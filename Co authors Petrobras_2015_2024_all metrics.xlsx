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reedelsevier-my.sharepoint.com/personal/gusmaofe_science_regn_net/Documents/A&amp;G Clients/Brasil/FGV/Pure (Projeto IPEA)/Seleção dos pesquisadores/Co autors Petrobras/"/>
    </mc:Choice>
  </mc:AlternateContent>
  <xr:revisionPtr revIDLastSave="30" documentId="8_{B230EE19-CFC3-4C4E-A3ED-521723B8552E}" xr6:coauthVersionLast="47" xr6:coauthVersionMax="47" xr10:uidLastSave="{698DF899-EC0F-467A-9270-F892E103DCA8}"/>
  <bookViews>
    <workbookView xWindow="-110" yWindow="-110" windowWidth="19420" windowHeight="10300" xr2:uid="{1DA6B01F-6899-4766-8DE4-62084DD592DF}"/>
  </bookViews>
  <sheets>
    <sheet name="Authors" sheetId="1" r:id="rId1"/>
  </sheets>
  <externalReferences>
    <externalReference r:id="rId2"/>
  </externalReferences>
  <definedNames>
    <definedName name="_xlnm._FilterDatabase" localSheetId="0" hidden="1">Authors!$A$2:$S$5326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26" i="1" l="1"/>
  <c r="C5325" i="1"/>
  <c r="C5324" i="1"/>
  <c r="C5323" i="1"/>
  <c r="C730" i="1"/>
  <c r="C5319" i="1"/>
  <c r="C5320" i="1"/>
  <c r="C4331" i="1"/>
  <c r="C277" i="1"/>
  <c r="C4209" i="1"/>
  <c r="C3392" i="1"/>
  <c r="C5315" i="1"/>
  <c r="C5314" i="1"/>
  <c r="C5313" i="1"/>
  <c r="C5312" i="1"/>
  <c r="C5311" i="1"/>
  <c r="C5310" i="1"/>
  <c r="C332" i="1"/>
  <c r="C5308" i="1"/>
  <c r="C5307" i="1"/>
  <c r="C5306" i="1"/>
  <c r="C5305" i="1"/>
  <c r="C3535" i="1"/>
  <c r="C3837" i="1"/>
  <c r="C5302" i="1"/>
  <c r="C5301" i="1"/>
  <c r="C5300" i="1"/>
  <c r="C5299" i="1"/>
  <c r="C5298" i="1"/>
  <c r="C765" i="1"/>
  <c r="C5296" i="1"/>
  <c r="C1136" i="1"/>
  <c r="C5294" i="1"/>
  <c r="C5293" i="1"/>
  <c r="C4324" i="1"/>
  <c r="C4559" i="1"/>
  <c r="C5290" i="1"/>
  <c r="C5289" i="1"/>
  <c r="C5288" i="1"/>
  <c r="C1687" i="1"/>
  <c r="C3332" i="1"/>
  <c r="C5285" i="1"/>
  <c r="C5284" i="1"/>
  <c r="C421" i="1"/>
  <c r="C3836" i="1"/>
  <c r="C5291" i="1"/>
  <c r="C1027" i="1"/>
  <c r="C5279" i="1"/>
  <c r="C5278" i="1"/>
  <c r="C5277" i="1"/>
  <c r="C3291" i="1"/>
  <c r="C5275" i="1"/>
  <c r="C243" i="1"/>
  <c r="C5052" i="1"/>
  <c r="C5272" i="1"/>
  <c r="C5271" i="1"/>
  <c r="C5270" i="1"/>
  <c r="C5269" i="1"/>
  <c r="C3998" i="1"/>
  <c r="C2550" i="1"/>
  <c r="C5266" i="1"/>
  <c r="C5265" i="1"/>
  <c r="C4558" i="1"/>
  <c r="C5263" i="1"/>
  <c r="C4386" i="1"/>
  <c r="C5261" i="1"/>
  <c r="C5260" i="1"/>
  <c r="C5259" i="1"/>
  <c r="C5258" i="1"/>
  <c r="C3835" i="1"/>
  <c r="C5256" i="1"/>
  <c r="C5255" i="1"/>
  <c r="C5138" i="1"/>
  <c r="C1218" i="1"/>
  <c r="C1080" i="1"/>
  <c r="C5251" i="1"/>
  <c r="C5250" i="1"/>
  <c r="C4323" i="1"/>
  <c r="C5248" i="1"/>
  <c r="C5247" i="1"/>
  <c r="C1467" i="1"/>
  <c r="C3833" i="1"/>
  <c r="C4771" i="1"/>
  <c r="C5243" i="1"/>
  <c r="C5242" i="1"/>
  <c r="C5241" i="1"/>
  <c r="C3534" i="1"/>
  <c r="C5239" i="1"/>
  <c r="C5238" i="1"/>
  <c r="C4144" i="1"/>
  <c r="C5236" i="1"/>
  <c r="C5282" i="1"/>
  <c r="C3924" i="1"/>
  <c r="C5233" i="1"/>
  <c r="C2427" i="1"/>
  <c r="C5231" i="1"/>
  <c r="C5230" i="1"/>
  <c r="C5229" i="1"/>
  <c r="C2991" i="1"/>
  <c r="C5227" i="1"/>
  <c r="C146" i="1"/>
  <c r="C2844" i="1"/>
  <c r="C536" i="1"/>
  <c r="C5223" i="1"/>
  <c r="C4321" i="1"/>
  <c r="C5221" i="1"/>
  <c r="C5220" i="1"/>
  <c r="C5219" i="1"/>
  <c r="C5218" i="1"/>
  <c r="C5217" i="1"/>
  <c r="C5216" i="1"/>
  <c r="C5215" i="1"/>
  <c r="C5287" i="1"/>
  <c r="C228" i="1"/>
  <c r="C590" i="1"/>
  <c r="C5211" i="1"/>
  <c r="C5210" i="1"/>
  <c r="C5209" i="1"/>
  <c r="C5208" i="1"/>
  <c r="C5207" i="1"/>
  <c r="C321" i="1"/>
  <c r="C5205" i="1"/>
  <c r="C4142" i="1"/>
  <c r="C5186" i="1"/>
  <c r="C1436" i="1"/>
  <c r="C5201" i="1"/>
  <c r="C3590" i="1"/>
  <c r="C1161" i="1"/>
  <c r="C5198" i="1"/>
  <c r="C115" i="1"/>
  <c r="C5196" i="1"/>
  <c r="C5195" i="1"/>
  <c r="C5194" i="1"/>
  <c r="C5193" i="1"/>
  <c r="C5192" i="1"/>
  <c r="C5191" i="1"/>
  <c r="C878" i="1"/>
  <c r="C4768" i="1"/>
  <c r="C5188" i="1"/>
  <c r="C3061" i="1"/>
  <c r="C3758" i="1"/>
  <c r="C2624" i="1"/>
  <c r="C5184" i="1"/>
  <c r="C5183" i="1"/>
  <c r="C5182" i="1"/>
  <c r="C5181" i="1"/>
  <c r="C668" i="1"/>
  <c r="C5179" i="1"/>
  <c r="C5178" i="1"/>
  <c r="C1895" i="1"/>
  <c r="C5176" i="1"/>
  <c r="C3331" i="1"/>
  <c r="C5012" i="1"/>
  <c r="C5173" i="1"/>
  <c r="C5172" i="1"/>
  <c r="C4383" i="1"/>
  <c r="C1958" i="1"/>
  <c r="C5169" i="1"/>
  <c r="C5168" i="1"/>
  <c r="C4319" i="1"/>
  <c r="C5166" i="1"/>
  <c r="C5165" i="1"/>
  <c r="C5164" i="1"/>
  <c r="C4838" i="1"/>
  <c r="C1321" i="1"/>
  <c r="C5161" i="1"/>
  <c r="C5160" i="1"/>
  <c r="C5159" i="1"/>
  <c r="C951" i="1"/>
  <c r="C5157" i="1"/>
  <c r="C5156" i="1"/>
  <c r="C206" i="1"/>
  <c r="C5154" i="1"/>
  <c r="C5153" i="1"/>
  <c r="C5152" i="1"/>
  <c r="C2500" i="1"/>
  <c r="C846" i="1"/>
  <c r="C2235" i="1"/>
  <c r="C5148" i="1"/>
  <c r="C2623" i="1"/>
  <c r="C5146" i="1"/>
  <c r="C4557" i="1"/>
  <c r="C5144" i="1"/>
  <c r="C3389" i="1"/>
  <c r="C5142" i="1"/>
  <c r="C5141" i="1"/>
  <c r="C5140" i="1"/>
  <c r="C5139" i="1"/>
  <c r="C4597" i="1"/>
  <c r="C3387" i="1"/>
  <c r="C5136" i="1"/>
  <c r="C1364" i="1"/>
  <c r="C4139" i="1"/>
  <c r="C5133" i="1"/>
  <c r="C5132" i="1"/>
  <c r="C2990" i="1"/>
  <c r="C875" i="1"/>
  <c r="C5129" i="1"/>
  <c r="C5128" i="1"/>
  <c r="C5127" i="1"/>
  <c r="C5126" i="1"/>
  <c r="C4836" i="1"/>
  <c r="C2043" i="1"/>
  <c r="C5123" i="1"/>
  <c r="C1072" i="1"/>
  <c r="C415" i="1"/>
  <c r="C5120" i="1"/>
  <c r="C5119" i="1"/>
  <c r="C5118" i="1"/>
  <c r="C5117" i="1"/>
  <c r="C5116" i="1"/>
  <c r="C589" i="1"/>
  <c r="C5114" i="1"/>
  <c r="C5113" i="1"/>
  <c r="C5112" i="1"/>
  <c r="C4764" i="1"/>
  <c r="C4041" i="1"/>
  <c r="C1822" i="1"/>
  <c r="C5108" i="1"/>
  <c r="C5107" i="1"/>
  <c r="C5106" i="1"/>
  <c r="C5105" i="1"/>
  <c r="C5104" i="1"/>
  <c r="C2685" i="1"/>
  <c r="C5102" i="1"/>
  <c r="C949" i="1"/>
  <c r="C5100" i="1"/>
  <c r="C5099" i="1"/>
  <c r="C5098" i="1"/>
  <c r="C948" i="1"/>
  <c r="C3116" i="1"/>
  <c r="C5095" i="1"/>
  <c r="C5094" i="1"/>
  <c r="C5093" i="1"/>
  <c r="C5092" i="1"/>
  <c r="C2425" i="1"/>
  <c r="C5090" i="1"/>
  <c r="C311" i="1"/>
  <c r="C5088" i="1"/>
  <c r="C5087" i="1"/>
  <c r="C5086" i="1"/>
  <c r="C5085" i="1"/>
  <c r="C5084" i="1"/>
  <c r="C5050" i="1"/>
  <c r="C5082" i="1"/>
  <c r="C5081" i="1"/>
  <c r="C5080" i="1"/>
  <c r="C5079" i="1"/>
  <c r="C5078" i="1"/>
  <c r="C5077" i="1"/>
  <c r="C3757" i="1"/>
  <c r="C5075" i="1"/>
  <c r="C5074" i="1"/>
  <c r="C5073" i="1"/>
  <c r="C4550" i="1"/>
  <c r="C729" i="1"/>
  <c r="C5070" i="1"/>
  <c r="C5069" i="1"/>
  <c r="C2549" i="1"/>
  <c r="C4286" i="1"/>
  <c r="C5066" i="1"/>
  <c r="C629" i="1"/>
  <c r="C2234" i="1"/>
  <c r="C5063" i="1"/>
  <c r="C5062" i="1"/>
  <c r="C392" i="1"/>
  <c r="C5060" i="1"/>
  <c r="C1772" i="1"/>
  <c r="C3995" i="1"/>
  <c r="C5057" i="1"/>
  <c r="C5056" i="1"/>
  <c r="C5055" i="1"/>
  <c r="C941" i="1"/>
  <c r="C266" i="1"/>
  <c r="C3749" i="1"/>
  <c r="C5051" i="1"/>
  <c r="C1609" i="1"/>
  <c r="C5049" i="1"/>
  <c r="C5048" i="1"/>
  <c r="C5047" i="1"/>
  <c r="C5046" i="1"/>
  <c r="C842" i="1"/>
  <c r="C5044" i="1"/>
  <c r="C5043" i="1"/>
  <c r="C2755" i="1"/>
  <c r="C5041" i="1"/>
  <c r="C5040" i="1"/>
  <c r="C5039" i="1"/>
  <c r="C4763" i="1"/>
  <c r="C5037" i="1"/>
  <c r="C5036" i="1"/>
  <c r="C5035" i="1"/>
  <c r="C3058" i="1"/>
  <c r="C5033" i="1"/>
  <c r="C5032" i="1"/>
  <c r="C5031" i="1"/>
  <c r="C5030" i="1"/>
  <c r="C5029" i="1"/>
  <c r="C1010" i="1"/>
  <c r="C5027" i="1"/>
  <c r="C5026" i="1"/>
  <c r="C3289" i="1"/>
  <c r="C5024" i="1"/>
  <c r="C5023" i="1"/>
  <c r="C4138" i="1"/>
  <c r="C5021" i="1"/>
  <c r="C1009" i="1"/>
  <c r="C940" i="1"/>
  <c r="C5018" i="1"/>
  <c r="C5017" i="1"/>
  <c r="C5016" i="1"/>
  <c r="C1819" i="1"/>
  <c r="C1070" i="1"/>
  <c r="C1247" i="1"/>
  <c r="C4285" i="1"/>
  <c r="C5011" i="1"/>
  <c r="C5010" i="1"/>
  <c r="C5009" i="1"/>
  <c r="C5008" i="1"/>
  <c r="C3993" i="1"/>
  <c r="C5006" i="1"/>
  <c r="C5005" i="1"/>
  <c r="C4981" i="1"/>
  <c r="C5003" i="1"/>
  <c r="C939" i="1"/>
  <c r="C5001" i="1"/>
  <c r="C3114" i="1"/>
  <c r="C5110" i="1"/>
  <c r="C4284" i="1"/>
  <c r="C4997" i="1"/>
  <c r="C4996" i="1"/>
  <c r="C4995" i="1"/>
  <c r="C4994" i="1"/>
  <c r="C4993" i="1"/>
  <c r="C2106" i="1"/>
  <c r="C4991" i="1"/>
  <c r="C2754" i="1"/>
  <c r="C4989" i="1"/>
  <c r="C4988" i="1"/>
  <c r="C4037" i="1"/>
  <c r="C4986" i="1"/>
  <c r="C2233" i="1"/>
  <c r="C4984" i="1"/>
  <c r="C4983" i="1"/>
  <c r="C4982" i="1"/>
  <c r="C5254" i="1"/>
  <c r="C5137" i="1"/>
  <c r="C2683" i="1"/>
  <c r="C4978" i="1"/>
  <c r="C4977" i="1"/>
  <c r="C4976" i="1"/>
  <c r="C4975" i="1"/>
  <c r="C4974" i="1"/>
  <c r="C4973" i="1"/>
  <c r="C201" i="1"/>
  <c r="C2422" i="1"/>
  <c r="C4970" i="1"/>
  <c r="C2546" i="1"/>
  <c r="C4968" i="1"/>
  <c r="C4967" i="1"/>
  <c r="C4966" i="1"/>
  <c r="C4965" i="1"/>
  <c r="C4964" i="1"/>
  <c r="C1814" i="1"/>
  <c r="C4962" i="1"/>
  <c r="C4283" i="1"/>
  <c r="C4960" i="1"/>
  <c r="C3056" i="1"/>
  <c r="C4958" i="1"/>
  <c r="C4957" i="1"/>
  <c r="C4956" i="1"/>
  <c r="C4942" i="1"/>
  <c r="C976" i="1"/>
  <c r="C4548" i="1"/>
  <c r="C4952" i="1"/>
  <c r="C4951" i="1"/>
  <c r="C4950" i="1"/>
  <c r="C4669" i="1"/>
  <c r="C4948" i="1"/>
  <c r="C4947" i="1"/>
  <c r="C4946" i="1"/>
  <c r="C3052" i="1"/>
  <c r="C1457" i="1"/>
  <c r="C3913" i="1"/>
  <c r="C3051" i="1"/>
  <c r="C2988" i="1"/>
  <c r="C4940" i="1"/>
  <c r="C4939" i="1"/>
  <c r="C4833" i="1"/>
  <c r="C836" i="1"/>
  <c r="C1813" i="1"/>
  <c r="C5045" i="1"/>
  <c r="C4934" i="1"/>
  <c r="C1608" i="1"/>
  <c r="C4932" i="1"/>
  <c r="C4832" i="1"/>
  <c r="C4930" i="1"/>
  <c r="C4929" i="1"/>
  <c r="C199" i="1"/>
  <c r="C3583" i="1"/>
  <c r="C2005" i="1"/>
  <c r="C4925" i="1"/>
  <c r="C626" i="1"/>
  <c r="C4923" i="1"/>
  <c r="C5199" i="1"/>
  <c r="C4921" i="1"/>
  <c r="C2322" i="1"/>
  <c r="C4919" i="1"/>
  <c r="C4918" i="1"/>
  <c r="C186" i="1"/>
  <c r="C4916" i="1"/>
  <c r="C4915" i="1"/>
  <c r="C4914" i="1"/>
  <c r="C5197" i="1"/>
  <c r="C4912" i="1"/>
  <c r="C4911" i="1"/>
  <c r="C4910" i="1"/>
  <c r="C4909" i="1"/>
  <c r="C1808" i="1"/>
  <c r="C4907" i="1"/>
  <c r="C4906" i="1"/>
  <c r="C4905" i="1"/>
  <c r="C4904" i="1"/>
  <c r="C2982" i="1"/>
  <c r="C4902" i="1"/>
  <c r="C2904" i="1"/>
  <c r="C4900" i="1"/>
  <c r="C4899" i="1"/>
  <c r="C4898" i="1"/>
  <c r="C4897" i="1"/>
  <c r="C1007" i="1"/>
  <c r="C4895" i="1"/>
  <c r="C3482" i="1"/>
  <c r="C4893" i="1"/>
  <c r="C4892" i="1"/>
  <c r="C1217" i="1"/>
  <c r="C4890" i="1"/>
  <c r="C5213" i="1"/>
  <c r="C4888" i="1"/>
  <c r="C4887" i="1"/>
  <c r="C4886" i="1"/>
  <c r="C4885" i="1"/>
  <c r="C4884" i="1"/>
  <c r="C1319" i="1"/>
  <c r="C4882" i="1"/>
  <c r="C4881" i="1"/>
  <c r="C4880" i="1"/>
  <c r="C4879" i="1"/>
  <c r="C4878" i="1"/>
  <c r="C4877" i="1"/>
  <c r="C3330" i="1"/>
  <c r="C4875" i="1"/>
  <c r="C4874" i="1"/>
  <c r="C4873" i="1"/>
  <c r="C4872" i="1"/>
  <c r="C4871" i="1"/>
  <c r="C4870" i="1"/>
  <c r="C3381" i="1"/>
  <c r="C4868" i="1"/>
  <c r="C4867" i="1"/>
  <c r="C4866" i="1"/>
  <c r="C4865" i="1"/>
  <c r="C3238" i="1"/>
  <c r="C4863" i="1"/>
  <c r="C4862" i="1"/>
  <c r="C4861" i="1"/>
  <c r="C4860" i="1"/>
  <c r="C4859" i="1"/>
  <c r="C1651" i="1"/>
  <c r="C4857" i="1"/>
  <c r="C4856" i="1"/>
  <c r="C4855" i="1"/>
  <c r="C4854" i="1"/>
  <c r="C4853" i="1"/>
  <c r="C4852" i="1"/>
  <c r="C4851" i="1"/>
  <c r="C4850" i="1"/>
  <c r="C4442" i="1"/>
  <c r="C727" i="1"/>
  <c r="C4847" i="1"/>
  <c r="C4846" i="1"/>
  <c r="C4845" i="1"/>
  <c r="C4844" i="1"/>
  <c r="C4843" i="1"/>
  <c r="C4842" i="1"/>
  <c r="C4841" i="1"/>
  <c r="C4840" i="1"/>
  <c r="C4839" i="1"/>
  <c r="C224" i="1"/>
  <c r="C4837" i="1"/>
  <c r="C1769" i="1"/>
  <c r="C4835" i="1"/>
  <c r="C4834" i="1"/>
  <c r="C417" i="1"/>
  <c r="C484" i="1"/>
  <c r="C4831" i="1"/>
  <c r="C4830" i="1"/>
  <c r="C4829" i="1"/>
  <c r="C4828" i="1"/>
  <c r="C4827" i="1"/>
  <c r="C3991" i="1"/>
  <c r="C4825" i="1"/>
  <c r="C4824" i="1"/>
  <c r="C4823" i="1"/>
  <c r="C148" i="1"/>
  <c r="C4821" i="1"/>
  <c r="C4820" i="1"/>
  <c r="C4819" i="1"/>
  <c r="C4818" i="1"/>
  <c r="C4817" i="1"/>
  <c r="C4816" i="1"/>
  <c r="C2316" i="1"/>
  <c r="C4814" i="1"/>
  <c r="C4813" i="1"/>
  <c r="C4812" i="1"/>
  <c r="C4826" i="1"/>
  <c r="C4810" i="1"/>
  <c r="C2751" i="1"/>
  <c r="C4808" i="1"/>
  <c r="C3234" i="1"/>
  <c r="C4806" i="1"/>
  <c r="C4805" i="1"/>
  <c r="C4804" i="1"/>
  <c r="C4547" i="1"/>
  <c r="C4802" i="1"/>
  <c r="C2673" i="1"/>
  <c r="C1807" i="1"/>
  <c r="C2099" i="1"/>
  <c r="C4798" i="1"/>
  <c r="C4797" i="1"/>
  <c r="C2179" i="1"/>
  <c r="C4795" i="1"/>
  <c r="C2315" i="1"/>
  <c r="C1314" i="1"/>
  <c r="C45" i="1"/>
  <c r="C4791" i="1"/>
  <c r="C3831" i="1"/>
  <c r="C4789" i="1"/>
  <c r="C4788" i="1"/>
  <c r="C4787" i="1"/>
  <c r="C4786" i="1"/>
  <c r="C4785" i="1"/>
  <c r="C4784" i="1"/>
  <c r="C4783" i="1"/>
  <c r="C4782" i="1"/>
  <c r="C4781" i="1"/>
  <c r="C4135" i="1"/>
  <c r="C4134" i="1"/>
  <c r="C169" i="1"/>
  <c r="C4777" i="1"/>
  <c r="C4776" i="1"/>
  <c r="C4775" i="1"/>
  <c r="C4774" i="1"/>
  <c r="C1363" i="1"/>
  <c r="C4772" i="1"/>
  <c r="C5212" i="1"/>
  <c r="C4770" i="1"/>
  <c r="C4769" i="1"/>
  <c r="C1261" i="1"/>
  <c r="C4767" i="1"/>
  <c r="C4766" i="1"/>
  <c r="C4765" i="1"/>
  <c r="C933" i="1"/>
  <c r="C3532" i="1"/>
  <c r="C4762" i="1"/>
  <c r="C4437" i="1"/>
  <c r="C1887" i="1"/>
  <c r="C4759" i="1"/>
  <c r="C3651" i="1"/>
  <c r="C4757" i="1"/>
  <c r="C4756" i="1"/>
  <c r="C3372" i="1"/>
  <c r="C4754" i="1"/>
  <c r="C4753" i="1"/>
  <c r="C4752" i="1"/>
  <c r="C4751" i="1"/>
  <c r="C2899" i="1"/>
  <c r="C4749" i="1"/>
  <c r="C4748" i="1"/>
  <c r="C4747" i="1"/>
  <c r="C4746" i="1"/>
  <c r="C4745" i="1"/>
  <c r="C694" i="1"/>
  <c r="C4743" i="1"/>
  <c r="C4742" i="1"/>
  <c r="C4741" i="1"/>
  <c r="C4740" i="1"/>
  <c r="C4739" i="1"/>
  <c r="C3646" i="1"/>
  <c r="C4737" i="1"/>
  <c r="C4736" i="1"/>
  <c r="C4735" i="1"/>
  <c r="C4734" i="1"/>
  <c r="C4733" i="1"/>
  <c r="C4732" i="1"/>
  <c r="C4731" i="1"/>
  <c r="C4730" i="1"/>
  <c r="C4729" i="1"/>
  <c r="C4728" i="1"/>
  <c r="C2672" i="1"/>
  <c r="C3286" i="1"/>
  <c r="C4725" i="1"/>
  <c r="C4724" i="1"/>
  <c r="C4723" i="1"/>
  <c r="C4722" i="1"/>
  <c r="C1260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3830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1949" i="1"/>
  <c r="C4689" i="1"/>
  <c r="C1361" i="1"/>
  <c r="C4687" i="1"/>
  <c r="C4686" i="1"/>
  <c r="C4685" i="1"/>
  <c r="C4684" i="1"/>
  <c r="C4683" i="1"/>
  <c r="C4682" i="1"/>
  <c r="C4681" i="1"/>
  <c r="C4680" i="1"/>
  <c r="C4679" i="1"/>
  <c r="C4678" i="1"/>
  <c r="C586" i="1"/>
  <c r="C4676" i="1"/>
  <c r="C4675" i="1"/>
  <c r="C4674" i="1"/>
  <c r="C4673" i="1"/>
  <c r="C4672" i="1"/>
  <c r="C4671" i="1"/>
  <c r="C4670" i="1"/>
  <c r="C1122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276" i="1"/>
  <c r="C4655" i="1"/>
  <c r="C2796" i="1"/>
  <c r="C4653" i="1"/>
  <c r="C3050" i="1"/>
  <c r="C4651" i="1"/>
  <c r="C3985" i="1"/>
  <c r="C5089" i="1"/>
  <c r="C4648" i="1"/>
  <c r="C4647" i="1"/>
  <c r="C4646" i="1"/>
  <c r="C4645" i="1"/>
  <c r="C4644" i="1"/>
  <c r="C4643" i="1"/>
  <c r="C4642" i="1"/>
  <c r="C4641" i="1"/>
  <c r="C4640" i="1"/>
  <c r="C4639" i="1"/>
  <c r="C4433" i="1"/>
  <c r="C4637" i="1"/>
  <c r="C4636" i="1"/>
  <c r="C4635" i="1"/>
  <c r="C4634" i="1"/>
  <c r="C4633" i="1"/>
  <c r="C4632" i="1"/>
  <c r="C4631" i="1"/>
  <c r="C4630" i="1"/>
  <c r="C4629" i="1"/>
  <c r="C4628" i="1"/>
  <c r="C2087" i="1"/>
  <c r="C4626" i="1"/>
  <c r="C4625" i="1"/>
  <c r="C4624" i="1"/>
  <c r="C4623" i="1"/>
  <c r="C4622" i="1"/>
  <c r="C4621" i="1"/>
  <c r="C871" i="1"/>
  <c r="C28" i="1"/>
  <c r="C4618" i="1"/>
  <c r="C34" i="1"/>
  <c r="C3113" i="1"/>
  <c r="C2750" i="1"/>
  <c r="C260" i="1"/>
  <c r="C4613" i="1"/>
  <c r="C4612" i="1"/>
  <c r="C2662" i="1"/>
  <c r="C681" i="1"/>
  <c r="C486" i="1"/>
  <c r="C1143" i="1"/>
  <c r="C2489" i="1"/>
  <c r="C4606" i="1"/>
  <c r="C4605" i="1"/>
  <c r="C4604" i="1"/>
  <c r="C4603" i="1"/>
  <c r="C4602" i="1"/>
  <c r="C4601" i="1"/>
  <c r="C4205" i="1"/>
  <c r="C4599" i="1"/>
  <c r="C4598" i="1"/>
  <c r="C101" i="1"/>
  <c r="C4596" i="1"/>
  <c r="C196" i="1"/>
  <c r="C4594" i="1"/>
  <c r="C4593" i="1"/>
  <c r="C1006" i="1"/>
  <c r="C4591" i="1"/>
  <c r="C5268" i="1"/>
  <c r="C2838" i="1"/>
  <c r="C4194" i="1"/>
  <c r="C4587" i="1"/>
  <c r="C4586" i="1"/>
  <c r="C4585" i="1"/>
  <c r="C222" i="1"/>
  <c r="C4544" i="1"/>
  <c r="C4582" i="1"/>
  <c r="C1255" i="1"/>
  <c r="C5007" i="1"/>
  <c r="C4579" i="1"/>
  <c r="C526" i="1"/>
  <c r="C4577" i="1"/>
  <c r="C4576" i="1"/>
  <c r="C4575" i="1"/>
  <c r="C3443" i="1"/>
  <c r="C4573" i="1"/>
  <c r="C3048" i="1"/>
  <c r="C4571" i="1"/>
  <c r="C3826" i="1"/>
  <c r="C3645" i="1"/>
  <c r="C4568" i="1"/>
  <c r="C5083" i="1"/>
  <c r="C4566" i="1"/>
  <c r="C3042" i="1"/>
  <c r="C3740" i="1"/>
  <c r="C583" i="1"/>
  <c r="C4562" i="1"/>
  <c r="C4483" i="1"/>
  <c r="C4560" i="1"/>
  <c r="C969" i="1"/>
  <c r="C4432" i="1"/>
  <c r="C1434" i="1"/>
  <c r="C4556" i="1"/>
  <c r="C4555" i="1"/>
  <c r="C4554" i="1"/>
  <c r="C4553" i="1"/>
  <c r="C4552" i="1"/>
  <c r="C4551" i="1"/>
  <c r="C1768" i="1"/>
  <c r="C4549" i="1"/>
  <c r="C608" i="1"/>
  <c r="C3479" i="1"/>
  <c r="C4546" i="1"/>
  <c r="C4545" i="1"/>
  <c r="C966" i="1"/>
  <c r="C4543" i="1"/>
  <c r="C4542" i="1"/>
  <c r="C1517" i="1"/>
  <c r="C4540" i="1"/>
  <c r="C4539" i="1"/>
  <c r="C4538" i="1"/>
  <c r="C1114" i="1"/>
  <c r="C239" i="1"/>
  <c r="C345" i="1"/>
  <c r="C4534" i="1"/>
  <c r="C1767" i="1"/>
  <c r="C465" i="1"/>
  <c r="C4531" i="1"/>
  <c r="C4530" i="1"/>
  <c r="C4529" i="1"/>
  <c r="C3531" i="1"/>
  <c r="C3983" i="1"/>
  <c r="C4526" i="1"/>
  <c r="C1649" i="1"/>
  <c r="C4524" i="1"/>
  <c r="C4523" i="1"/>
  <c r="C761" i="1"/>
  <c r="C4521" i="1"/>
  <c r="C3112" i="1"/>
  <c r="C4519" i="1"/>
  <c r="C4518" i="1"/>
  <c r="C4517" i="1"/>
  <c r="C4516" i="1"/>
  <c r="C4515" i="1"/>
  <c r="C4514" i="1"/>
  <c r="C4513" i="1"/>
  <c r="C4512" i="1"/>
  <c r="C2749" i="1"/>
  <c r="C4510" i="1"/>
  <c r="C4509" i="1"/>
  <c r="C4508" i="1"/>
  <c r="C4507" i="1"/>
  <c r="C4506" i="1"/>
  <c r="C514" i="1"/>
  <c r="C4941" i="1"/>
  <c r="C4503" i="1"/>
  <c r="C1210" i="1"/>
  <c r="C2619" i="1"/>
  <c r="C4500" i="1"/>
  <c r="C4499" i="1"/>
  <c r="C4498" i="1"/>
  <c r="C4497" i="1"/>
  <c r="C4496" i="1"/>
  <c r="C2488" i="1"/>
  <c r="C4494" i="1"/>
  <c r="C4493" i="1"/>
  <c r="C3110" i="1"/>
  <c r="C4491" i="1"/>
  <c r="C4490" i="1"/>
  <c r="C4489" i="1"/>
  <c r="C642" i="1"/>
  <c r="C4487" i="1"/>
  <c r="C4486" i="1"/>
  <c r="C2081" i="1"/>
  <c r="C4484" i="1"/>
  <c r="C437" i="1"/>
  <c r="C1453" i="1"/>
  <c r="C4481" i="1"/>
  <c r="C4480" i="1"/>
  <c r="C3912" i="1"/>
  <c r="C3032" i="1"/>
  <c r="C3478" i="1"/>
  <c r="C4476" i="1"/>
  <c r="C870" i="1"/>
  <c r="C265" i="1"/>
  <c r="C4473" i="1"/>
  <c r="C4472" i="1"/>
  <c r="C4471" i="1"/>
  <c r="C5163" i="1"/>
  <c r="C4469" i="1"/>
  <c r="C4468" i="1"/>
  <c r="C3169" i="1"/>
  <c r="C4317" i="1"/>
  <c r="C5004" i="1"/>
  <c r="C965" i="1"/>
  <c r="C1806" i="1"/>
  <c r="C4462" i="1"/>
  <c r="C4461" i="1"/>
  <c r="C4460" i="1"/>
  <c r="C4459" i="1"/>
  <c r="C4458" i="1"/>
  <c r="C4457" i="1"/>
  <c r="C47" i="1"/>
  <c r="C4455" i="1"/>
  <c r="C1560" i="1"/>
  <c r="C4453" i="1"/>
  <c r="C3982" i="1"/>
  <c r="C4451" i="1"/>
  <c r="C3734" i="1"/>
  <c r="C1804" i="1"/>
  <c r="C4448" i="1"/>
  <c r="C4447" i="1"/>
  <c r="C458" i="1"/>
  <c r="C4445" i="1"/>
  <c r="C798" i="1"/>
  <c r="C4443" i="1"/>
  <c r="C1556" i="1"/>
  <c r="C4441" i="1"/>
  <c r="C4440" i="1"/>
  <c r="C4439" i="1"/>
  <c r="C4438" i="1"/>
  <c r="C4938" i="1"/>
  <c r="C4436" i="1"/>
  <c r="C4435" i="1"/>
  <c r="C4434" i="1"/>
  <c r="C1545" i="1"/>
  <c r="C4761" i="1"/>
  <c r="C4431" i="1"/>
  <c r="C167" i="1"/>
  <c r="C2177" i="1"/>
  <c r="C3232" i="1"/>
  <c r="C4427" i="1"/>
  <c r="C4426" i="1"/>
  <c r="C4425" i="1"/>
  <c r="C4424" i="1"/>
  <c r="C2658" i="1"/>
  <c r="C319" i="1"/>
  <c r="C5135" i="1"/>
  <c r="C4420" i="1"/>
  <c r="C1881" i="1"/>
  <c r="C4192" i="1"/>
  <c r="C4417" i="1"/>
  <c r="C4416" i="1"/>
  <c r="C4415" i="1"/>
  <c r="C4414" i="1"/>
  <c r="C180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2616" i="1"/>
  <c r="C4399" i="1"/>
  <c r="C4398" i="1"/>
  <c r="C4397" i="1"/>
  <c r="C2314" i="1"/>
  <c r="C3907" i="1"/>
  <c r="C4394" i="1"/>
  <c r="C4393" i="1"/>
  <c r="C4392" i="1"/>
  <c r="C3581" i="1"/>
  <c r="C4390" i="1"/>
  <c r="C638" i="1"/>
  <c r="C4388" i="1"/>
  <c r="C3441" i="1"/>
  <c r="C2487" i="1"/>
  <c r="C4385" i="1"/>
  <c r="C4384" i="1"/>
  <c r="C3028" i="1"/>
  <c r="C4382" i="1"/>
  <c r="C4381" i="1"/>
  <c r="C817" i="1"/>
  <c r="C4379" i="1"/>
  <c r="C4378" i="1"/>
  <c r="C4377" i="1"/>
  <c r="C4376" i="1"/>
  <c r="C4375" i="1"/>
  <c r="C4374" i="1"/>
  <c r="C4373" i="1"/>
  <c r="C4372" i="1"/>
  <c r="C1209" i="1"/>
  <c r="C4370" i="1"/>
  <c r="C4369" i="1"/>
  <c r="C4482" i="1"/>
  <c r="C4367" i="1"/>
  <c r="C1160" i="1"/>
  <c r="C4365" i="1"/>
  <c r="C3166" i="1"/>
  <c r="C4363" i="1"/>
  <c r="C3473" i="1"/>
  <c r="C3165" i="1"/>
  <c r="C4360" i="1"/>
  <c r="C4359" i="1"/>
  <c r="C4358" i="1"/>
  <c r="C3328" i="1"/>
  <c r="C4356" i="1"/>
  <c r="C4355" i="1"/>
  <c r="C4354" i="1"/>
  <c r="C1515" i="1"/>
  <c r="C4352" i="1"/>
  <c r="C4351" i="1"/>
  <c r="C4430" i="1"/>
  <c r="C4349" i="1"/>
  <c r="C4348" i="1"/>
  <c r="C4347" i="1"/>
  <c r="C4346" i="1"/>
  <c r="C20" i="1"/>
  <c r="C4" i="1"/>
  <c r="C631" i="1"/>
  <c r="C4342" i="1"/>
  <c r="C2004" i="1"/>
  <c r="C4380" i="1"/>
  <c r="C4339" i="1"/>
  <c r="C4338" i="1"/>
  <c r="C4337" i="1"/>
  <c r="C4336" i="1"/>
  <c r="C4335" i="1"/>
  <c r="C4334" i="1"/>
  <c r="C4333" i="1"/>
  <c r="C4332" i="1"/>
  <c r="C2980" i="1"/>
  <c r="C4330" i="1"/>
  <c r="C4329" i="1"/>
  <c r="C4328" i="1"/>
  <c r="C4327" i="1"/>
  <c r="C4326" i="1"/>
  <c r="C4325" i="1"/>
  <c r="C4185" i="1"/>
  <c r="C2834" i="1"/>
  <c r="C4322" i="1"/>
  <c r="C2485" i="1"/>
  <c r="C4320" i="1"/>
  <c r="C3981" i="1"/>
  <c r="C4318" i="1"/>
  <c r="C4937" i="1"/>
  <c r="C3027" i="1"/>
  <c r="C1069" i="1"/>
  <c r="C4314" i="1"/>
  <c r="C3369" i="1"/>
  <c r="C3434" i="1"/>
  <c r="C4311" i="1"/>
  <c r="C3904" i="1"/>
  <c r="C1763" i="1"/>
  <c r="C4308" i="1"/>
  <c r="C4980" i="1"/>
  <c r="C376" i="1"/>
  <c r="C2748" i="1"/>
  <c r="C4304" i="1"/>
  <c r="C506" i="1"/>
  <c r="C4302" i="1"/>
  <c r="C2229" i="1"/>
  <c r="C4300" i="1"/>
  <c r="C4299" i="1"/>
  <c r="C3109" i="1"/>
  <c r="C3643" i="1"/>
  <c r="C4296" i="1"/>
  <c r="C4295" i="1"/>
  <c r="C2173" i="1"/>
  <c r="C294" i="1"/>
  <c r="C176" i="1"/>
  <c r="C4291" i="1"/>
  <c r="C4290" i="1"/>
  <c r="C4289" i="1"/>
  <c r="C410" i="1"/>
  <c r="C4287" i="1"/>
  <c r="C1360" i="1"/>
  <c r="C3980" i="1"/>
  <c r="C3730" i="1"/>
  <c r="C4595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920" i="1"/>
  <c r="C4263" i="1"/>
  <c r="C1427" i="1"/>
  <c r="C4261" i="1"/>
  <c r="C4260" i="1"/>
  <c r="C4259" i="1"/>
  <c r="C3903" i="1"/>
  <c r="C4541" i="1"/>
  <c r="C2419" i="1"/>
  <c r="C4255" i="1"/>
  <c r="C1607" i="1"/>
  <c r="C155" i="1"/>
  <c r="C444" i="1"/>
  <c r="C4251" i="1"/>
  <c r="C4250" i="1"/>
  <c r="C4249" i="1"/>
  <c r="C3725" i="1"/>
  <c r="C4247" i="1"/>
  <c r="C4246" i="1"/>
  <c r="C2747" i="1"/>
  <c r="C4244" i="1"/>
  <c r="C4243" i="1"/>
  <c r="C4242" i="1"/>
  <c r="C4241" i="1"/>
  <c r="C3229" i="1"/>
  <c r="C4239" i="1"/>
  <c r="C4537" i="1"/>
  <c r="C4237" i="1"/>
  <c r="C4236" i="1"/>
  <c r="C4235" i="1"/>
  <c r="C4234" i="1"/>
  <c r="C4233" i="1"/>
  <c r="C4232" i="1"/>
  <c r="C4231" i="1"/>
  <c r="C4230" i="1"/>
  <c r="C2794" i="1"/>
  <c r="C4228" i="1"/>
  <c r="C4227" i="1"/>
  <c r="C4226" i="1"/>
  <c r="C4225" i="1"/>
  <c r="C2171" i="1"/>
  <c r="C4223" i="1"/>
  <c r="C4222" i="1"/>
  <c r="C4221" i="1"/>
  <c r="C2042" i="1"/>
  <c r="C4219" i="1"/>
  <c r="C4218" i="1"/>
  <c r="C4217" i="1"/>
  <c r="C4216" i="1"/>
  <c r="C3164" i="1"/>
  <c r="C4214" i="1"/>
  <c r="C4213" i="1"/>
  <c r="C5002" i="1"/>
  <c r="C4592" i="1"/>
  <c r="C4210" i="1"/>
  <c r="C1068" i="1"/>
  <c r="C4208" i="1"/>
  <c r="C4207" i="1"/>
  <c r="C4206" i="1"/>
  <c r="C3108" i="1"/>
  <c r="C4204" i="1"/>
  <c r="C4203" i="1"/>
  <c r="C4202" i="1"/>
  <c r="C4201" i="1"/>
  <c r="C4200" i="1"/>
  <c r="C4199" i="1"/>
  <c r="C4198" i="1"/>
  <c r="C4197" i="1"/>
  <c r="C4196" i="1"/>
  <c r="C4195" i="1"/>
  <c r="C2978" i="1"/>
  <c r="C4193" i="1"/>
  <c r="C2970" i="1"/>
  <c r="C4191" i="1"/>
  <c r="C4190" i="1"/>
  <c r="C4189" i="1"/>
  <c r="C4188" i="1"/>
  <c r="C4187" i="1"/>
  <c r="C4186" i="1"/>
  <c r="C3899" i="1"/>
  <c r="C4184" i="1"/>
  <c r="C4183" i="1"/>
  <c r="C4182" i="1"/>
  <c r="C4181" i="1"/>
  <c r="C5253" i="1"/>
  <c r="C816" i="1"/>
  <c r="C4178" i="1"/>
  <c r="C4177" i="1"/>
  <c r="C4176" i="1"/>
  <c r="C4180" i="1"/>
  <c r="C4174" i="1"/>
  <c r="C4173" i="1"/>
  <c r="C4172" i="1"/>
  <c r="C4171" i="1"/>
  <c r="C4170" i="1"/>
  <c r="C4169" i="1"/>
  <c r="C262" i="1"/>
  <c r="C2373" i="1"/>
  <c r="C4166" i="1"/>
  <c r="C4165" i="1"/>
  <c r="C4164" i="1"/>
  <c r="C3825" i="1"/>
  <c r="C4162" i="1"/>
  <c r="C4161" i="1"/>
  <c r="C1022" i="1"/>
  <c r="C4159" i="1"/>
  <c r="C4158" i="1"/>
  <c r="C3528" i="1"/>
  <c r="C4156" i="1"/>
  <c r="C607" i="1"/>
  <c r="C4154" i="1"/>
  <c r="C3327" i="1"/>
  <c r="C2167" i="1"/>
  <c r="C4151" i="1"/>
  <c r="C2746" i="1"/>
  <c r="C4149" i="1"/>
  <c r="C4148" i="1"/>
  <c r="C2080" i="1"/>
  <c r="C4146" i="1"/>
  <c r="C4035" i="1"/>
  <c r="C2312" i="1"/>
  <c r="C4143" i="1"/>
  <c r="C1451" i="1"/>
  <c r="C4141" i="1"/>
  <c r="C4140" i="1"/>
  <c r="C1543" i="1"/>
  <c r="C2368" i="1"/>
  <c r="C4137" i="1"/>
  <c r="C4136" i="1"/>
  <c r="C5206" i="1"/>
  <c r="C962" i="1"/>
  <c r="C4133" i="1"/>
  <c r="C4132" i="1"/>
  <c r="C4131" i="1"/>
  <c r="C269" i="1"/>
  <c r="C4129" i="1"/>
  <c r="C4128" i="1"/>
  <c r="C5185" i="1"/>
  <c r="C4126" i="1"/>
  <c r="C482" i="1"/>
  <c r="C4124" i="1"/>
  <c r="C4123" i="1"/>
  <c r="C4122" i="1"/>
  <c r="C4917" i="1"/>
  <c r="C4120" i="1"/>
  <c r="C4119" i="1"/>
  <c r="C4118" i="1"/>
  <c r="C4536" i="1"/>
  <c r="C4116" i="1"/>
  <c r="C4115" i="1"/>
  <c r="C3526" i="1"/>
  <c r="C4113" i="1"/>
  <c r="C4112" i="1"/>
  <c r="C4111" i="1"/>
  <c r="C4110" i="1"/>
  <c r="C4109" i="1"/>
  <c r="C4108" i="1"/>
  <c r="C4107" i="1"/>
  <c r="C4106" i="1"/>
  <c r="C4105" i="1"/>
  <c r="C4104" i="1"/>
  <c r="C4103" i="1"/>
  <c r="C2077" i="1"/>
  <c r="C4101" i="1"/>
  <c r="C4100" i="1"/>
  <c r="C4099" i="1"/>
  <c r="C3432" i="1"/>
  <c r="C4097" i="1"/>
  <c r="C4096" i="1"/>
  <c r="C4095" i="1"/>
  <c r="C479" i="1"/>
  <c r="C4093" i="1"/>
  <c r="C4316" i="1"/>
  <c r="C2225" i="1"/>
  <c r="C4090" i="1"/>
  <c r="C4089" i="1"/>
  <c r="C4088" i="1"/>
  <c r="C4087" i="1"/>
  <c r="C4086" i="1"/>
  <c r="C4085" i="1"/>
  <c r="C4084" i="1"/>
  <c r="C4083" i="1"/>
  <c r="C4082" i="1"/>
  <c r="C4081" i="1"/>
  <c r="C114" i="1"/>
  <c r="C205" i="1"/>
  <c r="C4078" i="1"/>
  <c r="C4077" i="1"/>
  <c r="C4076" i="1"/>
  <c r="C3022" i="1"/>
  <c r="C929" i="1"/>
  <c r="C4073" i="1"/>
  <c r="C4072" i="1"/>
  <c r="C4071" i="1"/>
  <c r="C4070" i="1"/>
  <c r="C2302" i="1"/>
  <c r="C4068" i="1"/>
  <c r="C4067" i="1"/>
  <c r="C4066" i="1"/>
  <c r="C4065" i="1"/>
  <c r="C4064" i="1"/>
  <c r="C2612" i="1"/>
  <c r="C4062" i="1"/>
  <c r="C4061" i="1"/>
  <c r="C143" i="1"/>
  <c r="C2166" i="1"/>
  <c r="C4058" i="1"/>
  <c r="C4057" i="1"/>
  <c r="C4056" i="1"/>
  <c r="C3323" i="1"/>
  <c r="C4054" i="1"/>
  <c r="C4053" i="1"/>
  <c r="C3430" i="1"/>
  <c r="C4051" i="1"/>
  <c r="C4050" i="1"/>
  <c r="C4049" i="1"/>
  <c r="C4048" i="1"/>
  <c r="C4047" i="1"/>
  <c r="C3425" i="1"/>
  <c r="C4045" i="1"/>
  <c r="C4044" i="1"/>
  <c r="C4043" i="1"/>
  <c r="C4042" i="1"/>
  <c r="C5150" i="1"/>
  <c r="C4040" i="1"/>
  <c r="C4039" i="1"/>
  <c r="C4038" i="1"/>
  <c r="C4429" i="1"/>
  <c r="C4036" i="1"/>
  <c r="C2483" i="1"/>
  <c r="C3977" i="1"/>
  <c r="C3368" i="1"/>
  <c r="C1004" i="1"/>
  <c r="C1682" i="1"/>
  <c r="C4030" i="1"/>
  <c r="C4315" i="1"/>
  <c r="C323" i="1"/>
  <c r="C4027" i="1"/>
  <c r="C4026" i="1"/>
  <c r="C4025" i="1"/>
  <c r="C3472" i="1"/>
  <c r="C308" i="1"/>
  <c r="C4022" i="1"/>
  <c r="C4021" i="1"/>
  <c r="C2163" i="1"/>
  <c r="C4019" i="1"/>
  <c r="C4018" i="1"/>
  <c r="C3970" i="1"/>
  <c r="C4016" i="1"/>
  <c r="C4034" i="1"/>
  <c r="C3895" i="1"/>
  <c r="C4013" i="1"/>
  <c r="C4012" i="1"/>
  <c r="C4011" i="1"/>
  <c r="C2301" i="1"/>
  <c r="C4009" i="1"/>
  <c r="C4008" i="1"/>
  <c r="C4007" i="1"/>
  <c r="C4006" i="1"/>
  <c r="C4005" i="1"/>
  <c r="C3576" i="1"/>
  <c r="C4003" i="1"/>
  <c r="C4002" i="1"/>
  <c r="C4001" i="1"/>
  <c r="C4000" i="1"/>
  <c r="C1878" i="1"/>
  <c r="C1311" i="1"/>
  <c r="C3997" i="1"/>
  <c r="C3996" i="1"/>
  <c r="C5274" i="1"/>
  <c r="C3994" i="1"/>
  <c r="C4130" i="1"/>
  <c r="C3992" i="1"/>
  <c r="C3575" i="1"/>
  <c r="C3990" i="1"/>
  <c r="C3989" i="1"/>
  <c r="C3988" i="1"/>
  <c r="C3987" i="1"/>
  <c r="C3986" i="1"/>
  <c r="C1761" i="1"/>
  <c r="C3984" i="1"/>
  <c r="C1450" i="1"/>
  <c r="C4979" i="1"/>
  <c r="C5109" i="1"/>
  <c r="C4590" i="1"/>
  <c r="C3979" i="1"/>
  <c r="C3978" i="1"/>
  <c r="C4822" i="1"/>
  <c r="C3976" i="1"/>
  <c r="C3975" i="1"/>
  <c r="C3974" i="1"/>
  <c r="C3973" i="1"/>
  <c r="C3972" i="1"/>
  <c r="C3971" i="1"/>
  <c r="C2882" i="1"/>
  <c r="C3969" i="1"/>
  <c r="C3968" i="1"/>
  <c r="C3967" i="1"/>
  <c r="C3966" i="1"/>
  <c r="C3965" i="1"/>
  <c r="C3162" i="1"/>
  <c r="C3963" i="1"/>
  <c r="C3962" i="1"/>
  <c r="C3961" i="1"/>
  <c r="C1510" i="1"/>
  <c r="C1507" i="1"/>
  <c r="C3958" i="1"/>
  <c r="C3957" i="1"/>
  <c r="C3956" i="1"/>
  <c r="C3955" i="1"/>
  <c r="C2038" i="1"/>
  <c r="C3953" i="1"/>
  <c r="C3952" i="1"/>
  <c r="C3951" i="1"/>
  <c r="C3950" i="1"/>
  <c r="C3949" i="1"/>
  <c r="C3948" i="1"/>
  <c r="C3947" i="1"/>
  <c r="C3946" i="1"/>
  <c r="C760" i="1"/>
  <c r="C3944" i="1"/>
  <c r="C2545" i="1"/>
  <c r="C3366" i="1"/>
  <c r="C4913" i="1"/>
  <c r="C3940" i="1"/>
  <c r="C1359" i="1"/>
  <c r="C2656" i="1"/>
  <c r="C3937" i="1"/>
  <c r="C3936" i="1"/>
  <c r="C3935" i="1"/>
  <c r="C4656" i="1"/>
  <c r="C298" i="1"/>
  <c r="C3932" i="1"/>
  <c r="C726" i="1"/>
  <c r="C3930" i="1"/>
  <c r="C3929" i="1"/>
  <c r="C5042" i="1"/>
  <c r="C3927" i="1"/>
  <c r="C3723" i="1"/>
  <c r="C3417" i="1"/>
  <c r="C566" i="1"/>
  <c r="C3923" i="1"/>
  <c r="C3922" i="1"/>
  <c r="C3921" i="1"/>
  <c r="C3920" i="1"/>
  <c r="C3919" i="1"/>
  <c r="C3918" i="1"/>
  <c r="C3917" i="1"/>
  <c r="C3916" i="1"/>
  <c r="C3915" i="1"/>
  <c r="C3914" i="1"/>
  <c r="C4313" i="1"/>
  <c r="C1947" i="1"/>
  <c r="C3911" i="1"/>
  <c r="C3910" i="1"/>
  <c r="C3909" i="1"/>
  <c r="C3908" i="1"/>
  <c r="C1798" i="1"/>
  <c r="C3906" i="1"/>
  <c r="C3905" i="1"/>
  <c r="C2481" i="1"/>
  <c r="C4972" i="1"/>
  <c r="C3902" i="1"/>
  <c r="C3901" i="1"/>
  <c r="C3900" i="1"/>
  <c r="C2299" i="1"/>
  <c r="C3898" i="1"/>
  <c r="C3897" i="1"/>
  <c r="C3896" i="1"/>
  <c r="C2793" i="1"/>
  <c r="C3894" i="1"/>
  <c r="C1426" i="1"/>
  <c r="C1506" i="1"/>
  <c r="C5171" i="1"/>
  <c r="C3890" i="1"/>
  <c r="C3889" i="1"/>
  <c r="C3888" i="1"/>
  <c r="C1111" i="1"/>
  <c r="C3523" i="1"/>
  <c r="C3885" i="1"/>
  <c r="C3884" i="1"/>
  <c r="C351" i="1"/>
  <c r="C3882" i="1"/>
  <c r="C3881" i="1"/>
  <c r="C4760" i="1"/>
  <c r="C4758" i="1"/>
  <c r="C3878" i="1"/>
  <c r="C3893" i="1"/>
  <c r="C3876" i="1"/>
  <c r="C794" i="1"/>
  <c r="C3874" i="1"/>
  <c r="C5267" i="1"/>
  <c r="C535" i="1"/>
  <c r="C3871" i="1"/>
  <c r="C3870" i="1"/>
  <c r="C3869" i="1"/>
  <c r="C147" i="1"/>
  <c r="C3867" i="1"/>
  <c r="C4654" i="1"/>
  <c r="C3865" i="1"/>
  <c r="C3864" i="1"/>
  <c r="C3863" i="1"/>
  <c r="C3862" i="1"/>
  <c r="C3861" i="1"/>
  <c r="C18" i="1"/>
  <c r="C4179" i="1"/>
  <c r="C2968" i="1"/>
  <c r="C73" i="1"/>
  <c r="C3856" i="1"/>
  <c r="C3855" i="1"/>
  <c r="C3854" i="1"/>
  <c r="C3853" i="1"/>
  <c r="C3852" i="1"/>
  <c r="C1065" i="1"/>
  <c r="C2001" i="1"/>
  <c r="C3849" i="1"/>
  <c r="C3848" i="1"/>
  <c r="C3847" i="1"/>
  <c r="C3846" i="1"/>
  <c r="C86" i="1"/>
  <c r="C3844" i="1"/>
  <c r="C4535" i="1"/>
  <c r="C3842" i="1"/>
  <c r="C3841" i="1"/>
  <c r="C3840" i="1"/>
  <c r="C3839" i="1"/>
  <c r="C3838" i="1"/>
  <c r="C5103" i="1"/>
  <c r="C4652" i="1"/>
  <c r="C579" i="1"/>
  <c r="C3834" i="1"/>
  <c r="C4479" i="1"/>
  <c r="C3832" i="1"/>
  <c r="C2608" i="1"/>
  <c r="C2791" i="1"/>
  <c r="C3829" i="1"/>
  <c r="C3828" i="1"/>
  <c r="C3827" i="1"/>
  <c r="C1501" i="1"/>
  <c r="C2540" i="1"/>
  <c r="C2414" i="1"/>
  <c r="C3823" i="1"/>
  <c r="C3822" i="1"/>
  <c r="C3821" i="1"/>
  <c r="C3820" i="1"/>
  <c r="C3819" i="1"/>
  <c r="C1999" i="1"/>
  <c r="C2075" i="1"/>
  <c r="C3816" i="1"/>
  <c r="C3815" i="1"/>
  <c r="C3814" i="1"/>
  <c r="C3813" i="1"/>
  <c r="C3812" i="1"/>
  <c r="C3811" i="1"/>
  <c r="C12" i="1"/>
  <c r="C3154" i="1"/>
  <c r="C3808" i="1"/>
  <c r="C3807" i="1"/>
  <c r="C3806" i="1"/>
  <c r="C5038" i="1"/>
  <c r="C3804" i="1"/>
  <c r="C2474" i="1"/>
  <c r="C3802" i="1"/>
  <c r="C3801" i="1"/>
  <c r="C1759" i="1"/>
  <c r="C3799" i="1"/>
  <c r="C3798" i="1"/>
  <c r="C3797" i="1"/>
  <c r="C4650" i="1"/>
  <c r="C4127" i="1"/>
  <c r="C3794" i="1"/>
  <c r="C3793" i="1"/>
  <c r="C2366" i="1"/>
  <c r="C3791" i="1"/>
  <c r="C383" i="1"/>
  <c r="C3789" i="1"/>
  <c r="C5" i="1"/>
  <c r="C4908" i="1"/>
  <c r="C3786" i="1"/>
  <c r="C2833" i="1"/>
  <c r="C5134" i="1"/>
  <c r="C3783" i="1"/>
  <c r="C3107" i="1"/>
  <c r="C4815" i="1"/>
  <c r="C3780" i="1"/>
  <c r="C3779" i="1"/>
  <c r="C1202" i="1"/>
  <c r="C3777" i="1"/>
  <c r="C3776" i="1"/>
  <c r="C3775" i="1"/>
  <c r="C3774" i="1"/>
  <c r="C3773" i="1"/>
  <c r="C3772" i="1"/>
  <c r="C1425" i="1"/>
  <c r="C3770" i="1"/>
  <c r="C3769" i="1"/>
  <c r="C1498" i="1"/>
  <c r="C3767" i="1"/>
  <c r="C3640" i="1"/>
  <c r="C3765" i="1"/>
  <c r="C3764" i="1"/>
  <c r="C3763" i="1"/>
  <c r="C2745" i="1"/>
  <c r="C3761" i="1"/>
  <c r="C792" i="1"/>
  <c r="C2790" i="1"/>
  <c r="C1796" i="1"/>
  <c r="C5180" i="1"/>
  <c r="C3756" i="1"/>
  <c r="C3755" i="1"/>
  <c r="C3754" i="1"/>
  <c r="C3753" i="1"/>
  <c r="C3752" i="1"/>
  <c r="C3751" i="1"/>
  <c r="C3750" i="1"/>
  <c r="C2462" i="1"/>
  <c r="C3748" i="1"/>
  <c r="C3747" i="1"/>
  <c r="C3746" i="1"/>
  <c r="C3745" i="1"/>
  <c r="C3744" i="1"/>
  <c r="C3743" i="1"/>
  <c r="C3742" i="1"/>
  <c r="C3741" i="1"/>
  <c r="C2880" i="1"/>
  <c r="C3739" i="1"/>
  <c r="C3738" i="1"/>
  <c r="C3737" i="1"/>
  <c r="C3736" i="1"/>
  <c r="C3735" i="1"/>
  <c r="C3964" i="1"/>
  <c r="C3733" i="1"/>
  <c r="C3732" i="1"/>
  <c r="C3731" i="1"/>
  <c r="C160" i="1"/>
  <c r="C3729" i="1"/>
  <c r="C3728" i="1"/>
  <c r="C3727" i="1"/>
  <c r="C3726" i="1"/>
  <c r="C1350" i="1"/>
  <c r="C3724" i="1"/>
  <c r="C3720" i="1"/>
  <c r="C3722" i="1"/>
  <c r="C3721" i="1"/>
  <c r="C4478" i="1"/>
  <c r="C3719" i="1"/>
  <c r="C3892" i="1"/>
  <c r="C3717" i="1"/>
  <c r="C2363" i="1"/>
  <c r="C3715" i="1"/>
  <c r="C3714" i="1"/>
  <c r="C3713" i="1"/>
  <c r="C1142" i="1"/>
  <c r="C3711" i="1"/>
  <c r="C3710" i="1"/>
  <c r="C3709" i="1"/>
  <c r="C3708" i="1"/>
  <c r="C3707" i="1"/>
  <c r="C3706" i="1"/>
  <c r="C3705" i="1"/>
  <c r="C3704" i="1"/>
  <c r="C3703" i="1"/>
  <c r="C3702" i="1"/>
  <c r="C3701" i="1"/>
  <c r="C2297" i="1"/>
  <c r="C3699" i="1"/>
  <c r="C306" i="1"/>
  <c r="C3697" i="1"/>
  <c r="C3696" i="1"/>
  <c r="C3695" i="1"/>
  <c r="C442" i="1"/>
  <c r="C3364" i="1"/>
  <c r="C3692" i="1"/>
  <c r="C3691" i="1"/>
  <c r="C3690" i="1"/>
  <c r="C3689" i="1"/>
  <c r="C3688" i="1"/>
  <c r="C3687" i="1"/>
  <c r="C3686" i="1"/>
  <c r="C3685" i="1"/>
  <c r="C2037" i="1"/>
  <c r="C3683" i="1"/>
  <c r="C2072" i="1"/>
  <c r="C3681" i="1"/>
  <c r="C302" i="1"/>
  <c r="C3679" i="1"/>
  <c r="C3678" i="1"/>
  <c r="C3677" i="1"/>
  <c r="C3676" i="1"/>
  <c r="C2460" i="1"/>
  <c r="C3674" i="1"/>
  <c r="C3673" i="1"/>
  <c r="C3672" i="1"/>
  <c r="C3671" i="1"/>
  <c r="C3670" i="1"/>
  <c r="C3669" i="1"/>
  <c r="C3668" i="1"/>
  <c r="C3228" i="1"/>
  <c r="C3666" i="1"/>
  <c r="C3518" i="1"/>
  <c r="C3664" i="1"/>
  <c r="C211" i="1"/>
  <c r="C4649" i="1"/>
  <c r="C3661" i="1"/>
  <c r="C3660" i="1"/>
  <c r="C3659" i="1"/>
  <c r="C3658" i="1"/>
  <c r="C3657" i="1"/>
  <c r="C2789" i="1"/>
  <c r="C3655" i="1"/>
  <c r="C3654" i="1"/>
  <c r="C5000" i="1"/>
  <c r="C1064" i="1"/>
  <c r="C5204" i="1"/>
  <c r="C3650" i="1"/>
  <c r="C3649" i="1"/>
  <c r="C3648" i="1"/>
  <c r="C3647" i="1"/>
  <c r="C5281" i="1"/>
  <c r="C1599" i="1"/>
  <c r="C3644" i="1"/>
  <c r="C4033" i="1"/>
  <c r="C3642" i="1"/>
  <c r="C3641" i="1"/>
  <c r="C2156" i="1"/>
  <c r="C3639" i="1"/>
  <c r="C2296" i="1"/>
  <c r="C3637" i="1"/>
  <c r="C3636" i="1"/>
  <c r="C3635" i="1"/>
  <c r="C3718" i="1"/>
  <c r="C4125" i="1"/>
  <c r="C3632" i="1"/>
  <c r="C3631" i="1"/>
  <c r="C3630" i="1"/>
  <c r="C106" i="1"/>
  <c r="C5232" i="1"/>
  <c r="C2831" i="1"/>
  <c r="C3626" i="1"/>
  <c r="C3625" i="1"/>
  <c r="C3624" i="1"/>
  <c r="C3623" i="1"/>
  <c r="C3622" i="1"/>
  <c r="C2877" i="1"/>
  <c r="C5177" i="1"/>
  <c r="C3619" i="1"/>
  <c r="C3618" i="1"/>
  <c r="C2967" i="1"/>
  <c r="C3616" i="1"/>
  <c r="C43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245" i="1"/>
  <c r="C3601" i="1"/>
  <c r="C412" i="1"/>
  <c r="C2962" i="1"/>
  <c r="C3598" i="1"/>
  <c r="C3597" i="1"/>
  <c r="C3824" i="1"/>
  <c r="C3716" i="1"/>
  <c r="C3594" i="1"/>
  <c r="C3593" i="1"/>
  <c r="C3592" i="1"/>
  <c r="C3591" i="1"/>
  <c r="C4903" i="1"/>
  <c r="C3589" i="1"/>
  <c r="C3588" i="1"/>
  <c r="C3587" i="1"/>
  <c r="C3586" i="1"/>
  <c r="C3585" i="1"/>
  <c r="C3584" i="1"/>
  <c r="C1793" i="1"/>
  <c r="C3582" i="1"/>
  <c r="C4312" i="1"/>
  <c r="C3580" i="1"/>
  <c r="C3579" i="1"/>
  <c r="C3578" i="1"/>
  <c r="C3577" i="1"/>
  <c r="C10" i="1"/>
  <c r="C2362" i="1"/>
  <c r="C3574" i="1"/>
  <c r="C3573" i="1"/>
  <c r="C4371" i="1"/>
  <c r="C4811" i="1"/>
  <c r="C3570" i="1"/>
  <c r="C3569" i="1"/>
  <c r="C3568" i="1"/>
  <c r="C2221" i="1"/>
  <c r="C4755" i="1"/>
  <c r="C3565" i="1"/>
  <c r="C3564" i="1"/>
  <c r="C3363" i="1"/>
  <c r="C3562" i="1"/>
  <c r="C3561" i="1"/>
  <c r="C5244" i="1"/>
  <c r="C3559" i="1"/>
  <c r="C3558" i="1"/>
  <c r="C5240" i="1"/>
  <c r="C2653" i="1"/>
  <c r="C3415" i="1"/>
  <c r="C3554" i="1"/>
  <c r="C3818" i="1"/>
  <c r="C3552" i="1"/>
  <c r="C5170" i="1"/>
  <c r="C134" i="1"/>
  <c r="C128" i="1"/>
  <c r="C3548" i="1"/>
  <c r="C4032" i="1"/>
  <c r="C3546" i="1"/>
  <c r="C2361" i="1"/>
  <c r="C3544" i="1"/>
  <c r="C3543" i="1"/>
  <c r="C3542" i="1"/>
  <c r="C3541" i="1"/>
  <c r="C3540" i="1"/>
  <c r="C3539" i="1"/>
  <c r="C3538" i="1"/>
  <c r="C1239" i="1"/>
  <c r="C3536" i="1"/>
  <c r="C5264" i="1"/>
  <c r="C3891" i="1"/>
  <c r="C3533" i="1"/>
  <c r="C5286" i="1"/>
  <c r="C1945" i="1"/>
  <c r="C3530" i="1"/>
  <c r="C3529" i="1"/>
  <c r="C3471" i="1"/>
  <c r="C3527" i="1"/>
  <c r="C4533" i="1"/>
  <c r="C3525" i="1"/>
  <c r="C3524" i="1"/>
  <c r="C407" i="1"/>
  <c r="C3522" i="1"/>
  <c r="C3521" i="1"/>
  <c r="C3520" i="1"/>
  <c r="C3519" i="1"/>
  <c r="C3712" i="1"/>
  <c r="C3517" i="1"/>
  <c r="C3516" i="1"/>
  <c r="C3817" i="1"/>
  <c r="C3514" i="1"/>
  <c r="C3513" i="1"/>
  <c r="C2606" i="1"/>
  <c r="C603" i="1"/>
  <c r="C722" i="1"/>
  <c r="C3320" i="1"/>
  <c r="C1159" i="1"/>
  <c r="C3507" i="1"/>
  <c r="C1310" i="1"/>
  <c r="C961" i="1"/>
  <c r="C227" i="1"/>
  <c r="C3503" i="1"/>
  <c r="C3502" i="1"/>
  <c r="C3501" i="1"/>
  <c r="C3500" i="1"/>
  <c r="C1598" i="1"/>
  <c r="C3498" i="1"/>
  <c r="C3497" i="1"/>
  <c r="C3496" i="1"/>
  <c r="C3495" i="1"/>
  <c r="C3494" i="1"/>
  <c r="C4031" i="1"/>
  <c r="C3492" i="1"/>
  <c r="C3491" i="1"/>
  <c r="C2828" i="1"/>
  <c r="C5228" i="1"/>
  <c r="C3572" i="1"/>
  <c r="C2961" i="1"/>
  <c r="C3486" i="1"/>
  <c r="C3485" i="1"/>
  <c r="C5316" i="1"/>
  <c r="C4971" i="1"/>
  <c r="C4477" i="1"/>
  <c r="C3481" i="1"/>
  <c r="C3480" i="1"/>
  <c r="C3515" i="1"/>
  <c r="C3282" i="1"/>
  <c r="C3477" i="1"/>
  <c r="C3476" i="1"/>
  <c r="C3475" i="1"/>
  <c r="C3474" i="1"/>
  <c r="C2295" i="1"/>
  <c r="C1061" i="1"/>
  <c r="C4121" i="1"/>
  <c r="C2220" i="1"/>
  <c r="C3469" i="1"/>
  <c r="C3468" i="1"/>
  <c r="C2874" i="1"/>
  <c r="C3466" i="1"/>
  <c r="C500" i="1"/>
  <c r="C3464" i="1"/>
  <c r="C3463" i="1"/>
  <c r="C3462" i="1"/>
  <c r="C3461" i="1"/>
  <c r="C3460" i="1"/>
  <c r="C1195" i="1"/>
  <c r="C3458" i="1"/>
  <c r="C715" i="1"/>
  <c r="C3105" i="1"/>
  <c r="C3455" i="1"/>
  <c r="C1758" i="1"/>
  <c r="C533" i="1"/>
  <c r="C4750" i="1"/>
  <c r="C2294" i="1"/>
  <c r="C3450" i="1"/>
  <c r="C1349" i="1"/>
  <c r="C3448" i="1"/>
  <c r="C3447" i="1"/>
  <c r="C3446" i="1"/>
  <c r="C560" i="1"/>
  <c r="C3444" i="1"/>
  <c r="C5226" i="1"/>
  <c r="C3442" i="1"/>
  <c r="C4368" i="1"/>
  <c r="C3440" i="1"/>
  <c r="C3439" i="1"/>
  <c r="C3438" i="1"/>
  <c r="C3437" i="1"/>
  <c r="C3436" i="1"/>
  <c r="C3435" i="1"/>
  <c r="C2068" i="1"/>
  <c r="C3433" i="1"/>
  <c r="C3960" i="1"/>
  <c r="C3431" i="1"/>
  <c r="C3227" i="1"/>
  <c r="C3429" i="1"/>
  <c r="C3428" i="1"/>
  <c r="C3427" i="1"/>
  <c r="C3426" i="1"/>
  <c r="C4366" i="1"/>
  <c r="C3424" i="1"/>
  <c r="C3423" i="1"/>
  <c r="C3422" i="1"/>
  <c r="C3421" i="1"/>
  <c r="C3420" i="1"/>
  <c r="C3419" i="1"/>
  <c r="C3418" i="1"/>
  <c r="C552" i="1"/>
  <c r="C3416" i="1"/>
  <c r="C2744" i="1"/>
  <c r="C3152" i="1"/>
  <c r="C3413" i="1"/>
  <c r="C2960" i="1"/>
  <c r="C5034" i="1"/>
  <c r="C285" i="1"/>
  <c r="C3409" i="1"/>
  <c r="C3408" i="1"/>
  <c r="C3407" i="1"/>
  <c r="C3406" i="1"/>
  <c r="C3405" i="1"/>
  <c r="C1591" i="1"/>
  <c r="C3403" i="1"/>
  <c r="C5162" i="1"/>
  <c r="C3401" i="1"/>
  <c r="C3400" i="1"/>
  <c r="C3399" i="1"/>
  <c r="C3398" i="1"/>
  <c r="C3397" i="1"/>
  <c r="C3396" i="1"/>
  <c r="C3395" i="1"/>
  <c r="C680" i="1"/>
  <c r="C754" i="1"/>
  <c r="C3150" i="1"/>
  <c r="C3391" i="1"/>
  <c r="C3390" i="1"/>
  <c r="C2827" i="1"/>
  <c r="C3388" i="1"/>
  <c r="C5225" i="1"/>
  <c r="C3386" i="1"/>
  <c r="C3385" i="1"/>
  <c r="C3384" i="1"/>
  <c r="C3383" i="1"/>
  <c r="C3382" i="1"/>
  <c r="C927" i="1"/>
  <c r="C3380" i="1"/>
  <c r="C3379" i="1"/>
  <c r="C3378" i="1"/>
  <c r="C3377" i="1"/>
  <c r="C3376" i="1"/>
  <c r="C3375" i="1"/>
  <c r="C3374" i="1"/>
  <c r="C3373" i="1"/>
  <c r="C2359" i="1"/>
  <c r="C3371" i="1"/>
  <c r="C3370" i="1"/>
  <c r="C4029" i="1"/>
  <c r="C3887" i="1"/>
  <c r="C3367" i="1"/>
  <c r="C104" i="1"/>
  <c r="C3365" i="1"/>
  <c r="C2652" i="1"/>
  <c r="C2959" i="1"/>
  <c r="C3362" i="1"/>
  <c r="C3361" i="1"/>
  <c r="C3360" i="1"/>
  <c r="C3359" i="1"/>
  <c r="C3358" i="1"/>
  <c r="C3357" i="1"/>
  <c r="C1237" i="1"/>
  <c r="C3355" i="1"/>
  <c r="C1109" i="1"/>
  <c r="C158" i="1"/>
  <c r="C3352" i="1"/>
  <c r="C3351" i="1"/>
  <c r="C1193" i="1"/>
  <c r="C3349" i="1"/>
  <c r="C3348" i="1"/>
  <c r="C3347" i="1"/>
  <c r="C3346" i="1"/>
  <c r="C1001" i="1"/>
  <c r="C2217" i="1"/>
  <c r="C2954" i="1"/>
  <c r="C3342" i="1"/>
  <c r="C1059" i="1"/>
  <c r="C3340" i="1"/>
  <c r="C3339" i="1"/>
  <c r="C3338" i="1"/>
  <c r="C3337" i="1"/>
  <c r="C3336" i="1"/>
  <c r="C3335" i="1"/>
  <c r="C5131" i="1"/>
  <c r="C3333" i="1"/>
  <c r="C1303" i="1"/>
  <c r="C3101" i="1"/>
  <c r="C3886" i="1"/>
  <c r="C3329" i="1"/>
  <c r="C3149" i="1"/>
  <c r="C923" i="1"/>
  <c r="C3326" i="1"/>
  <c r="C3325" i="1"/>
  <c r="C3324" i="1"/>
  <c r="C3414" i="1"/>
  <c r="C3322" i="1"/>
  <c r="C3321" i="1"/>
  <c r="C2144" i="1"/>
  <c r="C3147" i="1"/>
  <c r="C3318" i="1"/>
  <c r="C3571" i="1"/>
  <c r="C3316" i="1"/>
  <c r="C3315" i="1"/>
  <c r="C3314" i="1"/>
  <c r="C3313" i="1"/>
  <c r="C3810" i="1"/>
  <c r="C4901" i="1"/>
  <c r="C3310" i="1"/>
  <c r="C3309" i="1"/>
  <c r="C3308" i="1"/>
  <c r="C5076" i="1"/>
  <c r="C3883" i="1"/>
  <c r="C1158" i="1"/>
  <c r="C3145" i="1"/>
  <c r="C3303" i="1"/>
  <c r="C3302" i="1"/>
  <c r="C4809" i="1"/>
  <c r="C1019" i="1"/>
  <c r="C1944" i="1"/>
  <c r="C3298" i="1"/>
  <c r="C3297" i="1"/>
  <c r="C3296" i="1"/>
  <c r="C5237" i="1"/>
  <c r="C3294" i="1"/>
  <c r="C2605" i="1"/>
  <c r="C3292" i="1"/>
  <c r="C1057" i="1"/>
  <c r="C3290" i="1"/>
  <c r="C812" i="1"/>
  <c r="C3288" i="1"/>
  <c r="C3287" i="1"/>
  <c r="C2651" i="1"/>
  <c r="C3285" i="1"/>
  <c r="C3284" i="1"/>
  <c r="C3283" i="1"/>
  <c r="C4589" i="1"/>
  <c r="C3281" i="1"/>
  <c r="C3280" i="1"/>
  <c r="C3279" i="1"/>
  <c r="C3278" i="1"/>
  <c r="C3277" i="1"/>
  <c r="C3276" i="1"/>
  <c r="C3275" i="1"/>
  <c r="C3274" i="1"/>
  <c r="C1588" i="1"/>
  <c r="C3272" i="1"/>
  <c r="C3319" i="1"/>
  <c r="C3270" i="1"/>
  <c r="C3317" i="1"/>
  <c r="C3268" i="1"/>
  <c r="C3267" i="1"/>
  <c r="C3412" i="1"/>
  <c r="C3265" i="1"/>
  <c r="C918" i="1"/>
  <c r="C3263" i="1"/>
  <c r="C4588" i="1"/>
  <c r="C2289" i="1"/>
  <c r="C3260" i="1"/>
  <c r="C3512" i="1"/>
  <c r="C3258" i="1"/>
  <c r="C3257" i="1"/>
  <c r="C1995" i="1"/>
  <c r="C3255" i="1"/>
  <c r="C2287" i="1"/>
  <c r="C5072" i="1"/>
  <c r="C5292" i="1"/>
  <c r="C3251" i="1"/>
  <c r="C1648" i="1"/>
  <c r="C3249" i="1"/>
  <c r="C3248" i="1"/>
  <c r="C3247" i="1"/>
  <c r="C3246" i="1"/>
  <c r="C3245" i="1"/>
  <c r="C3244" i="1"/>
  <c r="C3243" i="1"/>
  <c r="C3242" i="1"/>
  <c r="C3241" i="1"/>
  <c r="C3240" i="1"/>
  <c r="C1302" i="1"/>
  <c r="C2601" i="1"/>
  <c r="C3237" i="1"/>
  <c r="C3236" i="1"/>
  <c r="C3235" i="1"/>
  <c r="C3880" i="1"/>
  <c r="C3233" i="1"/>
  <c r="C4117" i="1"/>
  <c r="C3231" i="1"/>
  <c r="C3230" i="1"/>
  <c r="C4936" i="1"/>
  <c r="C1677" i="1"/>
  <c r="C4114" i="1"/>
  <c r="C1870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511" i="1"/>
  <c r="C3212" i="1"/>
  <c r="C3211" i="1"/>
  <c r="C3210" i="1"/>
  <c r="C3209" i="1"/>
  <c r="C2459" i="1"/>
  <c r="C3207" i="1"/>
  <c r="C3206" i="1"/>
  <c r="C1757" i="1"/>
  <c r="C3204" i="1"/>
  <c r="C3203" i="1"/>
  <c r="C3202" i="1"/>
  <c r="C3201" i="1"/>
  <c r="C808" i="1"/>
  <c r="C3199" i="1"/>
  <c r="C3021" i="1"/>
  <c r="C2786" i="1"/>
  <c r="C4532" i="1"/>
  <c r="C4528" i="1"/>
  <c r="C3194" i="1"/>
  <c r="C3193" i="1"/>
  <c r="C3192" i="1"/>
  <c r="C3191" i="1"/>
  <c r="C3190" i="1"/>
  <c r="C3189" i="1"/>
  <c r="C2600" i="1"/>
  <c r="C3187" i="1"/>
  <c r="C3186" i="1"/>
  <c r="C1751" i="1"/>
  <c r="C3184" i="1"/>
  <c r="C3183" i="1"/>
  <c r="C3182" i="1"/>
  <c r="C4969" i="1"/>
  <c r="C3180" i="1"/>
  <c r="C3179" i="1"/>
  <c r="C3178" i="1"/>
  <c r="C3177" i="1"/>
  <c r="C4175" i="1"/>
  <c r="C3175" i="1"/>
  <c r="C4935" i="1"/>
  <c r="C3173" i="1"/>
  <c r="C5190" i="1"/>
  <c r="C3171" i="1"/>
  <c r="C3170" i="1"/>
  <c r="C5167" i="1"/>
  <c r="C3168" i="1"/>
  <c r="C3167" i="1"/>
  <c r="C1444" i="1"/>
  <c r="C4527" i="1"/>
  <c r="C4744" i="1"/>
  <c r="C3163" i="1"/>
  <c r="C4963" i="1"/>
  <c r="C3161" i="1"/>
  <c r="C3160" i="1"/>
  <c r="C3159" i="1"/>
  <c r="C3158" i="1"/>
  <c r="C3157" i="1"/>
  <c r="C3156" i="1"/>
  <c r="C3155" i="1"/>
  <c r="C4738" i="1"/>
  <c r="C3153" i="1"/>
  <c r="C3879" i="1"/>
  <c r="C3151" i="1"/>
  <c r="C523" i="1"/>
  <c r="C184" i="1"/>
  <c r="C3148" i="1"/>
  <c r="C4310" i="1"/>
  <c r="C3146" i="1"/>
  <c r="C498" i="1"/>
  <c r="C3144" i="1"/>
  <c r="C601" i="1"/>
  <c r="C3142" i="1"/>
  <c r="C2823" i="1"/>
  <c r="C3140" i="1"/>
  <c r="C3139" i="1"/>
  <c r="C3226" i="1"/>
  <c r="C4896" i="1"/>
  <c r="C3136" i="1"/>
  <c r="C3135" i="1"/>
  <c r="C3134" i="1"/>
  <c r="C3133" i="1"/>
  <c r="C2034" i="1"/>
  <c r="C3131" i="1"/>
  <c r="C3130" i="1"/>
  <c r="C3129" i="1"/>
  <c r="C3638" i="1"/>
  <c r="C3127" i="1"/>
  <c r="C3126" i="1"/>
  <c r="C3125" i="1"/>
  <c r="C3124" i="1"/>
  <c r="C3123" i="1"/>
  <c r="C3122" i="1"/>
  <c r="C3121" i="1"/>
  <c r="C3120" i="1"/>
  <c r="C4584" i="1"/>
  <c r="C3020" i="1"/>
  <c r="C5175" i="1"/>
  <c r="C1942" i="1"/>
  <c r="C3115" i="1"/>
  <c r="C2453" i="1"/>
  <c r="C1865" i="1"/>
  <c r="C3959" i="1"/>
  <c r="C3111" i="1"/>
  <c r="C2784" i="1"/>
  <c r="C5071" i="1"/>
  <c r="C5028" i="1"/>
  <c r="C3954" i="1"/>
  <c r="C3106" i="1"/>
  <c r="C322" i="1"/>
  <c r="C3104" i="1"/>
  <c r="C3103" i="1"/>
  <c r="C3102" i="1"/>
  <c r="C1156" i="1"/>
  <c r="C3100" i="1"/>
  <c r="C3018" i="1"/>
  <c r="C3098" i="1"/>
  <c r="C3097" i="1"/>
  <c r="C4264" i="1"/>
  <c r="C3095" i="1"/>
  <c r="C3094" i="1"/>
  <c r="C2596" i="1"/>
  <c r="C3092" i="1"/>
  <c r="C3091" i="1"/>
  <c r="C3090" i="1"/>
  <c r="C3089" i="1"/>
  <c r="C3088" i="1"/>
  <c r="C3087" i="1"/>
  <c r="C3213" i="1"/>
  <c r="C1643" i="1"/>
  <c r="C3084" i="1"/>
  <c r="C3083" i="1"/>
  <c r="C3082" i="1"/>
  <c r="C3081" i="1"/>
  <c r="C3809" i="1"/>
  <c r="C3805" i="1"/>
  <c r="C3078" i="1"/>
  <c r="C3945" i="1"/>
  <c r="C3076" i="1"/>
  <c r="C2822" i="1"/>
  <c r="C1348" i="1"/>
  <c r="C3208" i="1"/>
  <c r="C3072" i="1"/>
  <c r="C3071" i="1"/>
  <c r="C3070" i="1"/>
  <c r="C3069" i="1"/>
  <c r="C4807" i="1"/>
  <c r="C3067" i="1"/>
  <c r="C3312" i="1"/>
  <c r="C3065" i="1"/>
  <c r="C3064" i="1"/>
  <c r="C2741" i="1"/>
  <c r="C3062" i="1"/>
  <c r="C2358" i="1"/>
  <c r="C3060" i="1"/>
  <c r="C3059" i="1"/>
  <c r="C3700" i="1"/>
  <c r="C3057" i="1"/>
  <c r="C426" i="1"/>
  <c r="C3055" i="1"/>
  <c r="C3054" i="1"/>
  <c r="C3053" i="1"/>
  <c r="C2739" i="1"/>
  <c r="C2738" i="1"/>
  <c r="C2650" i="1"/>
  <c r="C3049" i="1"/>
  <c r="C3017" i="1"/>
  <c r="C3047" i="1"/>
  <c r="C3046" i="1"/>
  <c r="C3045" i="1"/>
  <c r="C3044" i="1"/>
  <c r="C3043" i="1"/>
  <c r="C5304" i="1"/>
  <c r="C3041" i="1"/>
  <c r="C3040" i="1"/>
  <c r="C3039" i="1"/>
  <c r="C3038" i="1"/>
  <c r="C3037" i="1"/>
  <c r="C3036" i="1"/>
  <c r="C3035" i="1"/>
  <c r="C3034" i="1"/>
  <c r="C3033" i="1"/>
  <c r="C3567" i="1"/>
  <c r="C3031" i="1"/>
  <c r="C3030" i="1"/>
  <c r="C3029" i="1"/>
  <c r="C2532" i="1"/>
  <c r="C1748" i="1"/>
  <c r="C3026" i="1"/>
  <c r="C3025" i="1"/>
  <c r="C3024" i="1"/>
  <c r="C3023" i="1"/>
  <c r="C457" i="1"/>
  <c r="C2734" i="1"/>
  <c r="C3205" i="1"/>
  <c r="C3019" i="1"/>
  <c r="C4364" i="1"/>
  <c r="C3510" i="1"/>
  <c r="C3016" i="1"/>
  <c r="C3015" i="1"/>
  <c r="C3014" i="1"/>
  <c r="C4102" i="1"/>
  <c r="C3012" i="1"/>
  <c r="C3011" i="1"/>
  <c r="C2411" i="1"/>
  <c r="C3009" i="1"/>
  <c r="C3008" i="1"/>
  <c r="C916" i="1"/>
  <c r="C3006" i="1"/>
  <c r="C2949" i="1"/>
  <c r="C2031" i="1"/>
  <c r="C3003" i="1"/>
  <c r="C4525" i="1"/>
  <c r="C3001" i="1"/>
  <c r="C3000" i="1"/>
  <c r="C4309" i="1"/>
  <c r="C3803" i="1"/>
  <c r="C2997" i="1"/>
  <c r="C2996" i="1"/>
  <c r="C406" i="1"/>
  <c r="C3566" i="1"/>
  <c r="C2993" i="1"/>
  <c r="C1987" i="1"/>
  <c r="C3800" i="1"/>
  <c r="C2283" i="1"/>
  <c r="C2989" i="1"/>
  <c r="C714" i="1"/>
  <c r="C2987" i="1"/>
  <c r="C2986" i="1"/>
  <c r="C2985" i="1"/>
  <c r="C2984" i="1"/>
  <c r="C2983" i="1"/>
  <c r="C254" i="1"/>
  <c r="C2981" i="1"/>
  <c r="C4262" i="1"/>
  <c r="C2979" i="1"/>
  <c r="C4583" i="1"/>
  <c r="C2977" i="1"/>
  <c r="C2976" i="1"/>
  <c r="C2975" i="1"/>
  <c r="C2974" i="1"/>
  <c r="C2973" i="1"/>
  <c r="C2972" i="1"/>
  <c r="C2971" i="1"/>
  <c r="C2529" i="1"/>
  <c r="C2969" i="1"/>
  <c r="C2821" i="1"/>
  <c r="C4258" i="1"/>
  <c r="C2966" i="1"/>
  <c r="C2965" i="1"/>
  <c r="C2964" i="1"/>
  <c r="C2963" i="1"/>
  <c r="C1746" i="1"/>
  <c r="C3013" i="1"/>
  <c r="C3099" i="1"/>
  <c r="C2873" i="1"/>
  <c r="C2958" i="1"/>
  <c r="C2957" i="1"/>
  <c r="C2956" i="1"/>
  <c r="C2955" i="1"/>
  <c r="C3563" i="1"/>
  <c r="C2953" i="1"/>
  <c r="C2952" i="1"/>
  <c r="C2951" i="1"/>
  <c r="C2950" i="1"/>
  <c r="C1986" i="1"/>
  <c r="C2948" i="1"/>
  <c r="C2947" i="1"/>
  <c r="C2946" i="1"/>
  <c r="C2945" i="1"/>
  <c r="C2944" i="1"/>
  <c r="C2943" i="1"/>
  <c r="C2942" i="1"/>
  <c r="C2941" i="1"/>
  <c r="C4638" i="1"/>
  <c r="C2939" i="1"/>
  <c r="C1738" i="1"/>
  <c r="C2937" i="1"/>
  <c r="C2936" i="1"/>
  <c r="C2935" i="1"/>
  <c r="C2934" i="1"/>
  <c r="C1054" i="1"/>
  <c r="C2932" i="1"/>
  <c r="C2931" i="1"/>
  <c r="C2930" i="1"/>
  <c r="C2929" i="1"/>
  <c r="C2059" i="1"/>
  <c r="C2927" i="1"/>
  <c r="C2926" i="1"/>
  <c r="C1192" i="1"/>
  <c r="C2924" i="1"/>
  <c r="C2923" i="1"/>
  <c r="C2215" i="1"/>
  <c r="C2282" i="1"/>
  <c r="C2920" i="1"/>
  <c r="C2919" i="1"/>
  <c r="C2918" i="1"/>
  <c r="C3877" i="1"/>
  <c r="C2595" i="1"/>
  <c r="C678" i="1"/>
  <c r="C2914" i="1"/>
  <c r="C2913" i="1"/>
  <c r="C1860" i="1"/>
  <c r="C2446" i="1"/>
  <c r="C2910" i="1"/>
  <c r="C2909" i="1"/>
  <c r="C2908" i="1"/>
  <c r="C2819" i="1"/>
  <c r="C2357" i="1"/>
  <c r="C2905" i="1"/>
  <c r="C3943" i="1"/>
  <c r="C2903" i="1"/>
  <c r="C2902" i="1"/>
  <c r="C2901" i="1"/>
  <c r="C2900" i="1"/>
  <c r="C1298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1939" i="1"/>
  <c r="C2881" i="1"/>
  <c r="C5189" i="1"/>
  <c r="C2879" i="1"/>
  <c r="C2878" i="1"/>
  <c r="C3698" i="1"/>
  <c r="C2876" i="1"/>
  <c r="C2875" i="1"/>
  <c r="C4098" i="1"/>
  <c r="C4581" i="1"/>
  <c r="C2872" i="1"/>
  <c r="C2410" i="1"/>
  <c r="C2870" i="1"/>
  <c r="C2869" i="1"/>
  <c r="C2868" i="1"/>
  <c r="C2867" i="1"/>
  <c r="C4362" i="1"/>
  <c r="C2865" i="1"/>
  <c r="C5130" i="1"/>
  <c r="C1416" i="1"/>
  <c r="C2281" i="1"/>
  <c r="C2861" i="1"/>
  <c r="C2860" i="1"/>
  <c r="C2859" i="1"/>
  <c r="C2858" i="1"/>
  <c r="C2857" i="1"/>
  <c r="C4168" i="1"/>
  <c r="C5252" i="1"/>
  <c r="C1850" i="1"/>
  <c r="C2853" i="1"/>
  <c r="C2852" i="1"/>
  <c r="C2851" i="1"/>
  <c r="C2850" i="1"/>
  <c r="C2409" i="1"/>
  <c r="C2848" i="1"/>
  <c r="C3942" i="1"/>
  <c r="C2846" i="1"/>
  <c r="C74" i="1"/>
  <c r="C751" i="1"/>
  <c r="C2843" i="1"/>
  <c r="C2842" i="1"/>
  <c r="C2841" i="1"/>
  <c r="C2840" i="1"/>
  <c r="C2839" i="1"/>
  <c r="C1234" i="1"/>
  <c r="C2837" i="1"/>
  <c r="C2836" i="1"/>
  <c r="C2835" i="1"/>
  <c r="C275" i="1"/>
  <c r="C4727" i="1"/>
  <c r="C2832" i="1"/>
  <c r="C343" i="1"/>
  <c r="C2830" i="1"/>
  <c r="C2829" i="1"/>
  <c r="C4361" i="1"/>
  <c r="C1442" i="1"/>
  <c r="C2826" i="1"/>
  <c r="C2825" i="1"/>
  <c r="C2824" i="1"/>
  <c r="C3311" i="1"/>
  <c r="C4307" i="1"/>
  <c r="C4257" i="1"/>
  <c r="C2820" i="1"/>
  <c r="C676" i="1"/>
  <c r="C4256" i="1"/>
  <c r="C2817" i="1"/>
  <c r="C2816" i="1"/>
  <c r="C2444" i="1"/>
  <c r="C2814" i="1"/>
  <c r="C2813" i="1"/>
  <c r="C2812" i="1"/>
  <c r="C1154" i="1"/>
  <c r="C3307" i="1"/>
  <c r="C2809" i="1"/>
  <c r="C2808" i="1"/>
  <c r="C1050" i="1"/>
  <c r="C2806" i="1"/>
  <c r="C4522" i="1"/>
  <c r="C2594" i="1"/>
  <c r="C2058" i="1"/>
  <c r="C2802" i="1"/>
  <c r="C2801" i="1"/>
  <c r="C2800" i="1"/>
  <c r="C915" i="1"/>
  <c r="C1935" i="1"/>
  <c r="C2797" i="1"/>
  <c r="C4933" i="1"/>
  <c r="C2795" i="1"/>
  <c r="C3470" i="1"/>
  <c r="C1497" i="1"/>
  <c r="C2792" i="1"/>
  <c r="C4999" i="1"/>
  <c r="C5249" i="1"/>
  <c r="C1254" i="1"/>
  <c r="C2788" i="1"/>
  <c r="C2787" i="1"/>
  <c r="C4520" i="1"/>
  <c r="C2785" i="1"/>
  <c r="C3273" i="1"/>
  <c r="C363" i="1"/>
  <c r="C2782" i="1"/>
  <c r="C5203" i="1"/>
  <c r="C2780" i="1"/>
  <c r="C2783" i="1"/>
  <c r="C3467" i="1"/>
  <c r="C3694" i="1"/>
  <c r="C2776" i="1"/>
  <c r="C2775" i="1"/>
  <c r="C2774" i="1"/>
  <c r="C2773" i="1"/>
  <c r="C207" i="1"/>
  <c r="C2771" i="1"/>
  <c r="C2770" i="1"/>
  <c r="C3941" i="1"/>
  <c r="C2768" i="1"/>
  <c r="C2140" i="1"/>
  <c r="C2766" i="1"/>
  <c r="C2765" i="1"/>
  <c r="C2764" i="1"/>
  <c r="C1346" i="1"/>
  <c r="C2762" i="1"/>
  <c r="C2761" i="1"/>
  <c r="C4028" i="1"/>
  <c r="C2733" i="1"/>
  <c r="C2758" i="1"/>
  <c r="C2757" i="1"/>
  <c r="C2756" i="1"/>
  <c r="C1293" i="1"/>
  <c r="C2408" i="1"/>
  <c r="C2753" i="1"/>
  <c r="C2752" i="1"/>
  <c r="C2278" i="1"/>
  <c r="C4803" i="1"/>
  <c r="C2277" i="1"/>
  <c r="C4024" i="1"/>
  <c r="C200" i="1"/>
  <c r="C3465" i="1"/>
  <c r="C1641" i="1"/>
  <c r="C712" i="1"/>
  <c r="C2743" i="1"/>
  <c r="C2742" i="1"/>
  <c r="C4580" i="1"/>
  <c r="C2740" i="1"/>
  <c r="C914" i="1"/>
  <c r="C4511" i="1"/>
  <c r="C2737" i="1"/>
  <c r="C2736" i="1"/>
  <c r="C2735" i="1"/>
  <c r="C1585" i="1"/>
  <c r="C3693" i="1"/>
  <c r="C2732" i="1"/>
  <c r="C2731" i="1"/>
  <c r="C2730" i="1"/>
  <c r="C3560" i="1"/>
  <c r="C2728" i="1"/>
  <c r="C2727" i="1"/>
  <c r="C3010" i="1"/>
  <c r="C2725" i="1"/>
  <c r="C3306" i="1"/>
  <c r="C2723" i="1"/>
  <c r="C3684" i="1"/>
  <c r="C280" i="1"/>
  <c r="C2720" i="1"/>
  <c r="C5101" i="1"/>
  <c r="C2718" i="1"/>
  <c r="C1789" i="1"/>
  <c r="C2716" i="1"/>
  <c r="C2715" i="1"/>
  <c r="C2714" i="1"/>
  <c r="C2713" i="1"/>
  <c r="C1415" i="1"/>
  <c r="C2711" i="1"/>
  <c r="C3305" i="1"/>
  <c r="C2709" i="1"/>
  <c r="C2708" i="1"/>
  <c r="C1410" i="1"/>
  <c r="C2706" i="1"/>
  <c r="C379" i="1"/>
  <c r="C4578" i="1"/>
  <c r="C2703" i="1"/>
  <c r="C2702" i="1"/>
  <c r="C4574" i="1"/>
  <c r="C2700" i="1"/>
  <c r="C2699" i="1"/>
  <c r="C238" i="1"/>
  <c r="C2697" i="1"/>
  <c r="C2696" i="1"/>
  <c r="C2695" i="1"/>
  <c r="C2694" i="1"/>
  <c r="C2693" i="1"/>
  <c r="C5224" i="1"/>
  <c r="C2691" i="1"/>
  <c r="C2690" i="1"/>
  <c r="C2689" i="1"/>
  <c r="C1106" i="1"/>
  <c r="C2687" i="1"/>
  <c r="C2686" i="1"/>
  <c r="C1100" i="1"/>
  <c r="C2684" i="1"/>
  <c r="C4428" i="1"/>
  <c r="C2682" i="1"/>
  <c r="C2681" i="1"/>
  <c r="C2680" i="1"/>
  <c r="C2679" i="1"/>
  <c r="C2678" i="1"/>
  <c r="C2677" i="1"/>
  <c r="C2676" i="1"/>
  <c r="C2675" i="1"/>
  <c r="C2674" i="1"/>
  <c r="C1734" i="1"/>
  <c r="C1189" i="1"/>
  <c r="C2671" i="1"/>
  <c r="C2670" i="1"/>
  <c r="C2669" i="1"/>
  <c r="C2668" i="1"/>
  <c r="C2667" i="1"/>
  <c r="C2666" i="1"/>
  <c r="C2665" i="1"/>
  <c r="C2664" i="1"/>
  <c r="C2663" i="1"/>
  <c r="C37" i="1"/>
  <c r="C2661" i="1"/>
  <c r="C2660" i="1"/>
  <c r="C2659" i="1"/>
  <c r="C3509" i="1"/>
  <c r="C2657" i="1"/>
  <c r="C661" i="1"/>
  <c r="C2655" i="1"/>
  <c r="C2654" i="1"/>
  <c r="C954" i="1"/>
  <c r="C1674" i="1"/>
  <c r="C3200" i="1"/>
  <c r="C3007" i="1"/>
  <c r="C2649" i="1"/>
  <c r="C2648" i="1"/>
  <c r="C575" i="1"/>
  <c r="C1849" i="1"/>
  <c r="C2645" i="1"/>
  <c r="C3682" i="1"/>
  <c r="C4505" i="1"/>
  <c r="C362" i="1"/>
  <c r="C2641" i="1"/>
  <c r="C2640" i="1"/>
  <c r="C2781" i="1"/>
  <c r="C2638" i="1"/>
  <c r="C2637" i="1"/>
  <c r="C2636" i="1"/>
  <c r="C2635" i="1"/>
  <c r="C5309" i="1"/>
  <c r="C2633" i="1"/>
  <c r="C2057" i="1"/>
  <c r="C2631" i="1"/>
  <c r="C2630" i="1"/>
  <c r="C2629" i="1"/>
  <c r="C2628" i="1"/>
  <c r="C2627" i="1"/>
  <c r="C2626" i="1"/>
  <c r="C2528" i="1"/>
  <c r="C4726" i="1"/>
  <c r="C4254" i="1"/>
  <c r="C2622" i="1"/>
  <c r="C2621" i="1"/>
  <c r="C2620" i="1"/>
  <c r="C3796" i="1"/>
  <c r="C2618" i="1"/>
  <c r="C2617" i="1"/>
  <c r="C3508" i="1"/>
  <c r="C2615" i="1"/>
  <c r="C2614" i="1"/>
  <c r="C2613" i="1"/>
  <c r="C3939" i="1"/>
  <c r="C2611" i="1"/>
  <c r="C2610" i="1"/>
  <c r="C2609" i="1"/>
  <c r="C4931" i="1"/>
  <c r="C2607" i="1"/>
  <c r="C4423" i="1"/>
  <c r="C1978" i="1"/>
  <c r="C2604" i="1"/>
  <c r="C2603" i="1"/>
  <c r="C2602" i="1"/>
  <c r="C3938" i="1"/>
  <c r="C4094" i="1"/>
  <c r="C2599" i="1"/>
  <c r="C2598" i="1"/>
  <c r="C2597" i="1"/>
  <c r="C2211" i="1"/>
  <c r="C2403" i="1"/>
  <c r="C3356" i="1"/>
  <c r="C2593" i="1"/>
  <c r="C4357" i="1"/>
  <c r="C3198" i="1"/>
  <c r="C2590" i="1"/>
  <c r="C2401" i="1"/>
  <c r="C2588" i="1"/>
  <c r="C2587" i="1"/>
  <c r="C2586" i="1"/>
  <c r="C2585" i="1"/>
  <c r="C2584" i="1"/>
  <c r="C2583" i="1"/>
  <c r="C274" i="1"/>
  <c r="C3506" i="1"/>
  <c r="C2580" i="1"/>
  <c r="C5246" i="1"/>
  <c r="C1673" i="1"/>
  <c r="C2577" i="1"/>
  <c r="C3354" i="1"/>
  <c r="C1637" i="1"/>
  <c r="C2274" i="1"/>
  <c r="C2573" i="1"/>
  <c r="C4572" i="1"/>
  <c r="C3143" i="1"/>
  <c r="C2570" i="1"/>
  <c r="C1635" i="1"/>
  <c r="C2568" i="1"/>
  <c r="C2567" i="1"/>
  <c r="C2566" i="1"/>
  <c r="C570" i="1"/>
  <c r="C1496" i="1"/>
  <c r="C2563" i="1"/>
  <c r="C2562" i="1"/>
  <c r="C2561" i="1"/>
  <c r="C2560" i="1"/>
  <c r="C2559" i="1"/>
  <c r="C2558" i="1"/>
  <c r="C2871" i="1"/>
  <c r="C4894" i="1"/>
  <c r="C3505" i="1"/>
  <c r="C2554" i="1"/>
  <c r="C2553" i="1"/>
  <c r="C2552" i="1"/>
  <c r="C2551" i="1"/>
  <c r="C3875" i="1"/>
  <c r="C547" i="1"/>
  <c r="C2548" i="1"/>
  <c r="C2547" i="1"/>
  <c r="C5303" i="1"/>
  <c r="C3557" i="1"/>
  <c r="C2544" i="1"/>
  <c r="C2543" i="1"/>
  <c r="C2542" i="1"/>
  <c r="C2541" i="1"/>
  <c r="C2647" i="1"/>
  <c r="C2539" i="1"/>
  <c r="C2538" i="1"/>
  <c r="C2537" i="1"/>
  <c r="C2536" i="1"/>
  <c r="C2535" i="1"/>
  <c r="C2534" i="1"/>
  <c r="C2533" i="1"/>
  <c r="C5025" i="1"/>
  <c r="C2531" i="1"/>
  <c r="C2530" i="1"/>
  <c r="C913" i="1"/>
  <c r="C5068" i="1"/>
  <c r="C2527" i="1"/>
  <c r="C3556" i="1"/>
  <c r="C2525" i="1"/>
  <c r="C2524" i="1"/>
  <c r="C2523" i="1"/>
  <c r="C2522" i="1"/>
  <c r="C2521" i="1"/>
  <c r="C2520" i="1"/>
  <c r="C1150" i="1"/>
  <c r="C3634" i="1"/>
  <c r="C2354" i="1"/>
  <c r="C2516" i="1"/>
  <c r="C2515" i="1"/>
  <c r="C2514" i="1"/>
  <c r="C2513" i="1"/>
  <c r="C1542" i="1"/>
  <c r="C1970" i="1"/>
  <c r="C2510" i="1"/>
  <c r="C350" i="1"/>
  <c r="C2508" i="1"/>
  <c r="C2507" i="1"/>
  <c r="C2506" i="1"/>
  <c r="C1180" i="1"/>
  <c r="C2504" i="1"/>
  <c r="C2503" i="1"/>
  <c r="C2502" i="1"/>
  <c r="C2501" i="1"/>
  <c r="C3873" i="1"/>
  <c r="C2499" i="1"/>
  <c r="C2498" i="1"/>
  <c r="C2497" i="1"/>
  <c r="C2496" i="1"/>
  <c r="C2495" i="1"/>
  <c r="C2494" i="1"/>
  <c r="C2493" i="1"/>
  <c r="C2492" i="1"/>
  <c r="C2491" i="1"/>
  <c r="C2490" i="1"/>
  <c r="C2056" i="1"/>
  <c r="C3795" i="1"/>
  <c r="C2940" i="1"/>
  <c r="C2486" i="1"/>
  <c r="C2592" i="1"/>
  <c r="C2484" i="1"/>
  <c r="C4504" i="1"/>
  <c r="C2482" i="1"/>
  <c r="C281" i="1"/>
  <c r="C2480" i="1"/>
  <c r="C2479" i="1"/>
  <c r="C2478" i="1"/>
  <c r="C2477" i="1"/>
  <c r="C2476" i="1"/>
  <c r="C2475" i="1"/>
  <c r="C3934" i="1"/>
  <c r="C2473" i="1"/>
  <c r="C2472" i="1"/>
  <c r="C2471" i="1"/>
  <c r="C2470" i="1"/>
  <c r="C2469" i="1"/>
  <c r="C2468" i="1"/>
  <c r="C2467" i="1"/>
  <c r="C2466" i="1"/>
  <c r="C2465" i="1"/>
  <c r="C2464" i="1"/>
  <c r="C2463" i="1"/>
  <c r="C2591" i="1"/>
  <c r="C2461" i="1"/>
  <c r="C3504" i="1"/>
  <c r="C3792" i="1"/>
  <c r="C2458" i="1"/>
  <c r="C2457" i="1"/>
  <c r="C2456" i="1"/>
  <c r="C2455" i="1"/>
  <c r="C2454" i="1"/>
  <c r="C3872" i="1"/>
  <c r="C2452" i="1"/>
  <c r="C2451" i="1"/>
  <c r="C2450" i="1"/>
  <c r="C2449" i="1"/>
  <c r="C2448" i="1"/>
  <c r="C2447" i="1"/>
  <c r="C1724" i="1"/>
  <c r="C2445" i="1"/>
  <c r="C5125" i="1"/>
  <c r="C2443" i="1"/>
  <c r="C2442" i="1"/>
  <c r="C3459" i="1"/>
  <c r="C2440" i="1"/>
  <c r="C3868" i="1"/>
  <c r="C2438" i="1"/>
  <c r="C5067" i="1"/>
  <c r="C2436" i="1"/>
  <c r="C273" i="1"/>
  <c r="C546" i="1"/>
  <c r="C2433" i="1"/>
  <c r="C2432" i="1"/>
  <c r="C2431" i="1"/>
  <c r="C2430" i="1"/>
  <c r="C2429" i="1"/>
  <c r="C2428" i="1"/>
  <c r="C425" i="1"/>
  <c r="C2426" i="1"/>
  <c r="C2938" i="1"/>
  <c r="C2424" i="1"/>
  <c r="C2423" i="1"/>
  <c r="C2272" i="1"/>
  <c r="C2421" i="1"/>
  <c r="C2420" i="1"/>
  <c r="C2526" i="1"/>
  <c r="C2418" i="1"/>
  <c r="C2417" i="1"/>
  <c r="C2416" i="1"/>
  <c r="C2415" i="1"/>
  <c r="C3005" i="1"/>
  <c r="C2413" i="1"/>
  <c r="C2412" i="1"/>
  <c r="C2818" i="1"/>
  <c r="C2204" i="1"/>
  <c r="C660" i="1"/>
  <c r="C2589" i="1"/>
  <c r="C2407" i="1"/>
  <c r="C2406" i="1"/>
  <c r="C2405" i="1"/>
  <c r="C2404" i="1"/>
  <c r="C3141" i="1"/>
  <c r="C2402" i="1"/>
  <c r="C51" i="1"/>
  <c r="C2441" i="1"/>
  <c r="C2399" i="1"/>
  <c r="C2398" i="1"/>
  <c r="C2397" i="1"/>
  <c r="C2396" i="1"/>
  <c r="C2395" i="1"/>
  <c r="C102" i="1"/>
  <c r="C1018" i="1"/>
  <c r="C2392" i="1"/>
  <c r="C2391" i="1"/>
  <c r="C2390" i="1"/>
  <c r="C2389" i="1"/>
  <c r="C2388" i="1"/>
  <c r="C2387" i="1"/>
  <c r="C2582" i="1"/>
  <c r="C2385" i="1"/>
  <c r="C2384" i="1"/>
  <c r="C2383" i="1"/>
  <c r="C659" i="1"/>
  <c r="C2381" i="1"/>
  <c r="C2380" i="1"/>
  <c r="C5124" i="1"/>
  <c r="C2378" i="1"/>
  <c r="C2377" i="1"/>
  <c r="C3555" i="1"/>
  <c r="C2375" i="1"/>
  <c r="C2374" i="1"/>
  <c r="C4023" i="1"/>
  <c r="C2372" i="1"/>
  <c r="C2371" i="1"/>
  <c r="C2370" i="1"/>
  <c r="C2369" i="1"/>
  <c r="C905" i="1"/>
  <c r="C2367" i="1"/>
  <c r="C1345" i="1"/>
  <c r="C2365" i="1"/>
  <c r="C2364" i="1"/>
  <c r="C1540" i="1"/>
  <c r="C3680" i="1"/>
  <c r="C463" i="1"/>
  <c r="C2360" i="1"/>
  <c r="C3197" i="1"/>
  <c r="C903" i="1"/>
  <c r="C3933" i="1"/>
  <c r="C2356" i="1"/>
  <c r="C2355" i="1"/>
  <c r="C4475" i="1"/>
  <c r="C2353" i="1"/>
  <c r="C2352" i="1"/>
  <c r="C2351" i="1"/>
  <c r="C2350" i="1"/>
  <c r="C2349" i="1"/>
  <c r="C2348" i="1"/>
  <c r="C2347" i="1"/>
  <c r="C3499" i="1"/>
  <c r="C2729" i="1"/>
  <c r="C2344" i="1"/>
  <c r="C2779" i="1"/>
  <c r="C2342" i="1"/>
  <c r="C2341" i="1"/>
  <c r="C2778" i="1"/>
  <c r="C2339" i="1"/>
  <c r="C433" i="1"/>
  <c r="C2519" i="1"/>
  <c r="C2336" i="1"/>
  <c r="C2335" i="1"/>
  <c r="C2334" i="1"/>
  <c r="C3553" i="1"/>
  <c r="C2332" i="1"/>
  <c r="C5187" i="1"/>
  <c r="C235" i="1"/>
  <c r="C2329" i="1"/>
  <c r="C2328" i="1"/>
  <c r="C4092" i="1"/>
  <c r="C2326" i="1"/>
  <c r="C2325" i="1"/>
  <c r="C2324" i="1"/>
  <c r="C2323" i="1"/>
  <c r="C1409" i="1"/>
  <c r="C2321" i="1"/>
  <c r="C2320" i="1"/>
  <c r="C2319" i="1"/>
  <c r="C2318" i="1"/>
  <c r="C2317" i="1"/>
  <c r="C2726" i="1"/>
  <c r="C3271" i="1"/>
  <c r="C2815" i="1"/>
  <c r="C2313" i="1"/>
  <c r="C624" i="1"/>
  <c r="C2311" i="1"/>
  <c r="C2310" i="1"/>
  <c r="C2309" i="1"/>
  <c r="C2308" i="1"/>
  <c r="C2307" i="1"/>
  <c r="C2306" i="1"/>
  <c r="C2305" i="1"/>
  <c r="C2304" i="1"/>
  <c r="C2303" i="1"/>
  <c r="C2933" i="1"/>
  <c r="C190" i="1"/>
  <c r="C2300" i="1"/>
  <c r="C2724" i="1"/>
  <c r="C2298" i="1"/>
  <c r="C4570" i="1"/>
  <c r="C902" i="1"/>
  <c r="C4502" i="1"/>
  <c r="C3457" i="1"/>
  <c r="C2293" i="1"/>
  <c r="C2292" i="1"/>
  <c r="C2291" i="1"/>
  <c r="C2290" i="1"/>
  <c r="C2053" i="1"/>
  <c r="C2288" i="1"/>
  <c r="C4961" i="1"/>
  <c r="C2286" i="1"/>
  <c r="C2285" i="1"/>
  <c r="C2284" i="1"/>
  <c r="C4474" i="1"/>
  <c r="C2138" i="1"/>
  <c r="C3675" i="1"/>
  <c r="C2280" i="1"/>
  <c r="C2279" i="1"/>
  <c r="C3456" i="1"/>
  <c r="C3633" i="1"/>
  <c r="C2276" i="1"/>
  <c r="C2275" i="1"/>
  <c r="C2928" i="1"/>
  <c r="C2273" i="1"/>
  <c r="C171" i="1"/>
  <c r="C1230" i="1"/>
  <c r="C2270" i="1"/>
  <c r="C2269" i="1"/>
  <c r="C2268" i="1"/>
  <c r="C2267" i="1"/>
  <c r="C1000" i="1"/>
  <c r="C2265" i="1"/>
  <c r="C4253" i="1"/>
  <c r="C2263" i="1"/>
  <c r="C749" i="1"/>
  <c r="C4252" i="1"/>
  <c r="C2260" i="1"/>
  <c r="C3790" i="1"/>
  <c r="C2258" i="1"/>
  <c r="C1344" i="1"/>
  <c r="C1722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4091" i="1"/>
  <c r="C3866" i="1"/>
  <c r="C2241" i="1"/>
  <c r="C2240" i="1"/>
  <c r="C2239" i="1"/>
  <c r="C2238" i="1"/>
  <c r="C2811" i="1"/>
  <c r="C2236" i="1"/>
  <c r="C1532" i="1"/>
  <c r="C2518" i="1"/>
  <c r="C431" i="1"/>
  <c r="C2232" i="1"/>
  <c r="C2231" i="1"/>
  <c r="C2230" i="1"/>
  <c r="C253" i="1"/>
  <c r="C2228" i="1"/>
  <c r="C2227" i="1"/>
  <c r="C2226" i="1"/>
  <c r="C1721" i="1"/>
  <c r="C2224" i="1"/>
  <c r="C2223" i="1"/>
  <c r="C2222" i="1"/>
  <c r="C1290" i="1"/>
  <c r="C3667" i="1"/>
  <c r="C2219" i="1"/>
  <c r="C2218" i="1"/>
  <c r="C2777" i="1"/>
  <c r="C2216" i="1"/>
  <c r="C5065" i="1"/>
  <c r="C2214" i="1"/>
  <c r="C2213" i="1"/>
  <c r="C2212" i="1"/>
  <c r="C2052" i="1"/>
  <c r="C2210" i="1"/>
  <c r="C2209" i="1"/>
  <c r="C2208" i="1"/>
  <c r="C2207" i="1"/>
  <c r="C2206" i="1"/>
  <c r="C2205" i="1"/>
  <c r="C4353" i="1"/>
  <c r="C3269" i="1"/>
  <c r="C2202" i="1"/>
  <c r="C2201" i="1"/>
  <c r="C559" i="1"/>
  <c r="C2199" i="1"/>
  <c r="C2198" i="1"/>
  <c r="C2197" i="1"/>
  <c r="C2271" i="1"/>
  <c r="C4627" i="1"/>
  <c r="C2194" i="1"/>
  <c r="C2193" i="1"/>
  <c r="C2192" i="1"/>
  <c r="C4306" i="1"/>
  <c r="C2190" i="1"/>
  <c r="C5297" i="1"/>
  <c r="C2188" i="1"/>
  <c r="C2187" i="1"/>
  <c r="C2266" i="1"/>
  <c r="C2185" i="1"/>
  <c r="C2184" i="1"/>
  <c r="C867" i="1"/>
  <c r="C2182" i="1"/>
  <c r="C2181" i="1"/>
  <c r="C2180" i="1"/>
  <c r="C5318" i="1"/>
  <c r="C2178" i="1"/>
  <c r="C2925" i="1"/>
  <c r="C2176" i="1"/>
  <c r="C2175" i="1"/>
  <c r="C2174" i="1"/>
  <c r="C4501" i="1"/>
  <c r="C2172" i="1"/>
  <c r="C159" i="1"/>
  <c r="C2170" i="1"/>
  <c r="C2169" i="1"/>
  <c r="C2168" i="1"/>
  <c r="C2203" i="1"/>
  <c r="C2722" i="1"/>
  <c r="C2165" i="1"/>
  <c r="C2164" i="1"/>
  <c r="C4620" i="1"/>
  <c r="C2162" i="1"/>
  <c r="C2161" i="1"/>
  <c r="C2160" i="1"/>
  <c r="C2159" i="1"/>
  <c r="C2158" i="1"/>
  <c r="C2157" i="1"/>
  <c r="C4569" i="1"/>
  <c r="C2155" i="1"/>
  <c r="C2154" i="1"/>
  <c r="C2153" i="1"/>
  <c r="C2152" i="1"/>
  <c r="C2151" i="1"/>
  <c r="C2150" i="1"/>
  <c r="C2149" i="1"/>
  <c r="C2148" i="1"/>
  <c r="C2147" i="1"/>
  <c r="C2146" i="1"/>
  <c r="C2145" i="1"/>
  <c r="C4619" i="1"/>
  <c r="C2143" i="1"/>
  <c r="C2142" i="1"/>
  <c r="C2141" i="1"/>
  <c r="C4167" i="1"/>
  <c r="C2139" i="1"/>
  <c r="C1407" i="1"/>
  <c r="C2137" i="1"/>
  <c r="C2136" i="1"/>
  <c r="C2135" i="1"/>
  <c r="C2134" i="1"/>
  <c r="C2133" i="1"/>
  <c r="C2132" i="1"/>
  <c r="C2131" i="1"/>
  <c r="C2130" i="1"/>
  <c r="C4350" i="1"/>
  <c r="C2128" i="1"/>
  <c r="C2127" i="1"/>
  <c r="C2126" i="1"/>
  <c r="C2125" i="1"/>
  <c r="C2124" i="1"/>
  <c r="C2123" i="1"/>
  <c r="C2122" i="1"/>
  <c r="C2121" i="1"/>
  <c r="C2120" i="1"/>
  <c r="C2119" i="1"/>
  <c r="C4567" i="1"/>
  <c r="C2117" i="1"/>
  <c r="C2116" i="1"/>
  <c r="C3304" i="1"/>
  <c r="C4163" i="1"/>
  <c r="C2113" i="1"/>
  <c r="C150" i="1"/>
  <c r="C2111" i="1"/>
  <c r="C2110" i="1"/>
  <c r="C2109" i="1"/>
  <c r="C2108" i="1"/>
  <c r="C2107" i="1"/>
  <c r="C3004" i="1"/>
  <c r="C2105" i="1"/>
  <c r="C2104" i="1"/>
  <c r="C2103" i="1"/>
  <c r="C2102" i="1"/>
  <c r="C2101" i="1"/>
  <c r="C2100" i="1"/>
  <c r="C4617" i="1"/>
  <c r="C2098" i="1"/>
  <c r="C2097" i="1"/>
  <c r="C2096" i="1"/>
  <c r="C2095" i="1"/>
  <c r="C2094" i="1"/>
  <c r="C2093" i="1"/>
  <c r="C2092" i="1"/>
  <c r="C2091" i="1"/>
  <c r="C2090" i="1"/>
  <c r="C2089" i="1"/>
  <c r="C2088" i="1"/>
  <c r="C2866" i="1"/>
  <c r="C2086" i="1"/>
  <c r="C2085" i="1"/>
  <c r="C2084" i="1"/>
  <c r="C2083" i="1"/>
  <c r="C2082" i="1"/>
  <c r="C4801" i="1"/>
  <c r="C4080" i="1"/>
  <c r="C2079" i="1"/>
  <c r="C2078" i="1"/>
  <c r="C3353" i="1"/>
  <c r="C2076" i="1"/>
  <c r="C522" i="1"/>
  <c r="C2074" i="1"/>
  <c r="C2073" i="1"/>
  <c r="C1488" i="1"/>
  <c r="C2071" i="1"/>
  <c r="C2070" i="1"/>
  <c r="C2069" i="1"/>
  <c r="C79" i="1"/>
  <c r="C2067" i="1"/>
  <c r="C2066" i="1"/>
  <c r="C2065" i="1"/>
  <c r="C2064" i="1"/>
  <c r="C2063" i="1"/>
  <c r="C2062" i="1"/>
  <c r="C2061" i="1"/>
  <c r="C2060" i="1"/>
  <c r="C1787" i="1"/>
  <c r="C1406" i="1"/>
  <c r="C4616" i="1"/>
  <c r="C790" i="1"/>
  <c r="C2055" i="1"/>
  <c r="C2054" i="1"/>
  <c r="C832" i="1"/>
  <c r="C4891" i="1"/>
  <c r="C2646" i="1"/>
  <c r="C2050" i="1"/>
  <c r="C2049" i="1"/>
  <c r="C2048" i="1"/>
  <c r="C2721" i="1"/>
  <c r="C4959" i="1"/>
  <c r="C4800" i="1"/>
  <c r="C5295" i="1"/>
  <c r="C1620" i="1"/>
  <c r="C1285" i="1"/>
  <c r="C2041" i="1"/>
  <c r="C2040" i="1"/>
  <c r="C2039" i="1"/>
  <c r="C331" i="1"/>
  <c r="C1581" i="1"/>
  <c r="C2036" i="1"/>
  <c r="C2035" i="1"/>
  <c r="C1784" i="1"/>
  <c r="C2033" i="1"/>
  <c r="C2032" i="1"/>
  <c r="C4928" i="1"/>
  <c r="C2030" i="1"/>
  <c r="C2029" i="1"/>
  <c r="C2028" i="1"/>
  <c r="C2027" i="1"/>
  <c r="C2026" i="1"/>
  <c r="C2025" i="1"/>
  <c r="C2922" i="1"/>
  <c r="C478" i="1"/>
  <c r="C2719" i="1"/>
  <c r="C179" i="1"/>
  <c r="C2020" i="1"/>
  <c r="C2717" i="1"/>
  <c r="C2018" i="1"/>
  <c r="C3411" i="1"/>
  <c r="C2016" i="1"/>
  <c r="C2015" i="1"/>
  <c r="C2014" i="1"/>
  <c r="C3931" i="1"/>
  <c r="C2012" i="1"/>
  <c r="C2011" i="1"/>
  <c r="C4721" i="1"/>
  <c r="C2009" i="1"/>
  <c r="C2008" i="1"/>
  <c r="C1664" i="1"/>
  <c r="C622" i="1"/>
  <c r="C2346" i="1"/>
  <c r="C3860" i="1"/>
  <c r="C2003" i="1"/>
  <c r="C2002" i="1"/>
  <c r="C2772" i="1"/>
  <c r="C2000" i="1"/>
  <c r="C4615" i="1"/>
  <c r="C1998" i="1"/>
  <c r="C1997" i="1"/>
  <c r="C1996" i="1"/>
  <c r="C2439" i="1"/>
  <c r="C1994" i="1"/>
  <c r="C1993" i="1"/>
  <c r="C1992" i="1"/>
  <c r="C1991" i="1"/>
  <c r="C1990" i="1"/>
  <c r="C1989" i="1"/>
  <c r="C1988" i="1"/>
  <c r="C2712" i="1"/>
  <c r="C429" i="1"/>
  <c r="C1985" i="1"/>
  <c r="C1984" i="1"/>
  <c r="C1983" i="1"/>
  <c r="C1982" i="1"/>
  <c r="C1981" i="1"/>
  <c r="C1980" i="1"/>
  <c r="C1979" i="1"/>
  <c r="C742" i="1"/>
  <c r="C1977" i="1"/>
  <c r="C1976" i="1"/>
  <c r="C1975" i="1"/>
  <c r="C1974" i="1"/>
  <c r="C1973" i="1"/>
  <c r="C1972" i="1"/>
  <c r="C1971" i="1"/>
  <c r="C1663" i="1"/>
  <c r="C3002" i="1"/>
  <c r="C1968" i="1"/>
  <c r="C29" i="1"/>
  <c r="C4079" i="1"/>
  <c r="C1965" i="1"/>
  <c r="C1964" i="1"/>
  <c r="C1963" i="1"/>
  <c r="C107" i="1"/>
  <c r="C1961" i="1"/>
  <c r="C2769" i="1"/>
  <c r="C2200" i="1"/>
  <c r="C3196" i="1"/>
  <c r="C1957" i="1"/>
  <c r="C1956" i="1"/>
  <c r="C1955" i="1"/>
  <c r="C1954" i="1"/>
  <c r="C1953" i="1"/>
  <c r="C1952" i="1"/>
  <c r="C1951" i="1"/>
  <c r="C1950" i="1"/>
  <c r="C3788" i="1"/>
  <c r="C1948" i="1"/>
  <c r="C822" i="1"/>
  <c r="C1946" i="1"/>
  <c r="C4305" i="1"/>
  <c r="C237" i="1"/>
  <c r="C1943" i="1"/>
  <c r="C2264" i="1"/>
  <c r="C1941" i="1"/>
  <c r="C1940" i="1"/>
  <c r="C4470" i="1"/>
  <c r="C1938" i="1"/>
  <c r="C1937" i="1"/>
  <c r="C1936" i="1"/>
  <c r="C895" i="1"/>
  <c r="C1934" i="1"/>
  <c r="C1933" i="1"/>
  <c r="C1932" i="1"/>
  <c r="C2999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4303" i="1"/>
  <c r="C1916" i="1"/>
  <c r="C1915" i="1"/>
  <c r="C1914" i="1"/>
  <c r="C1913" i="1"/>
  <c r="C1912" i="1"/>
  <c r="C1911" i="1"/>
  <c r="C2345" i="1"/>
  <c r="C1909" i="1"/>
  <c r="C1908" i="1"/>
  <c r="C1907" i="1"/>
  <c r="C1906" i="1"/>
  <c r="C1905" i="1"/>
  <c r="C456" i="1"/>
  <c r="C1903" i="1"/>
  <c r="C1902" i="1"/>
  <c r="C1901" i="1"/>
  <c r="C1900" i="1"/>
  <c r="C1899" i="1"/>
  <c r="C2710" i="1"/>
  <c r="C1897" i="1"/>
  <c r="C1896" i="1"/>
  <c r="C4799" i="1"/>
  <c r="C1894" i="1"/>
  <c r="C1893" i="1"/>
  <c r="C1892" i="1"/>
  <c r="C1891" i="1"/>
  <c r="C1890" i="1"/>
  <c r="C1889" i="1"/>
  <c r="C1888" i="1"/>
  <c r="C3551" i="1"/>
  <c r="C1886" i="1"/>
  <c r="C1885" i="1"/>
  <c r="C1884" i="1"/>
  <c r="C1883" i="1"/>
  <c r="C1882" i="1"/>
  <c r="C521" i="1"/>
  <c r="C1880" i="1"/>
  <c r="C1879" i="1"/>
  <c r="C618" i="1"/>
  <c r="C1877" i="1"/>
  <c r="C1876" i="1"/>
  <c r="C1875" i="1"/>
  <c r="C1874" i="1"/>
  <c r="C1873" i="1"/>
  <c r="C1872" i="1"/>
  <c r="C1871" i="1"/>
  <c r="C3195" i="1"/>
  <c r="C1869" i="1"/>
  <c r="C1868" i="1"/>
  <c r="C1867" i="1"/>
  <c r="C1866" i="1"/>
  <c r="C4614" i="1"/>
  <c r="C1864" i="1"/>
  <c r="C1863" i="1"/>
  <c r="C1862" i="1"/>
  <c r="C1861" i="1"/>
  <c r="C4020" i="1"/>
  <c r="C1859" i="1"/>
  <c r="C1858" i="1"/>
  <c r="C1857" i="1"/>
  <c r="C1856" i="1"/>
  <c r="C1855" i="1"/>
  <c r="C1854" i="1"/>
  <c r="C1853" i="1"/>
  <c r="C1852" i="1"/>
  <c r="C1851" i="1"/>
  <c r="C2400" i="1"/>
  <c r="C1931" i="1"/>
  <c r="C1848" i="1"/>
  <c r="C1847" i="1"/>
  <c r="C1846" i="1"/>
  <c r="C1579" i="1"/>
  <c r="C1844" i="1"/>
  <c r="C1843" i="1"/>
  <c r="C2707" i="1"/>
  <c r="C1841" i="1"/>
  <c r="C5064" i="1"/>
  <c r="C1839" i="1"/>
  <c r="C1838" i="1"/>
  <c r="C1837" i="1"/>
  <c r="C890" i="1"/>
  <c r="C1713" i="1"/>
  <c r="C1834" i="1"/>
  <c r="C1833" i="1"/>
  <c r="C1832" i="1"/>
  <c r="C1831" i="1"/>
  <c r="C1830" i="1"/>
  <c r="C1829" i="1"/>
  <c r="C1828" i="1"/>
  <c r="C1827" i="1"/>
  <c r="C1826" i="1"/>
  <c r="C1825" i="1"/>
  <c r="C4248" i="1"/>
  <c r="C4075" i="1"/>
  <c r="C1531" i="1"/>
  <c r="C1821" i="1"/>
  <c r="C1820" i="1"/>
  <c r="C3629" i="1"/>
  <c r="C1818" i="1"/>
  <c r="C1817" i="1"/>
  <c r="C1816" i="1"/>
  <c r="C1815" i="1"/>
  <c r="C5158" i="1"/>
  <c r="C4301" i="1"/>
  <c r="C1812" i="1"/>
  <c r="C1811" i="1"/>
  <c r="C1810" i="1"/>
  <c r="C1809" i="1"/>
  <c r="C2437" i="1"/>
  <c r="C246" i="1"/>
  <c r="C1845" i="1"/>
  <c r="C1805" i="1"/>
  <c r="C1529" i="1"/>
  <c r="C4495" i="1"/>
  <c r="C1802" i="1"/>
  <c r="C1801" i="1"/>
  <c r="C1800" i="1"/>
  <c r="C1799" i="1"/>
  <c r="C3628" i="1"/>
  <c r="C1797" i="1"/>
  <c r="C454" i="1"/>
  <c r="C1795" i="1"/>
  <c r="C1794" i="1"/>
  <c r="C3454" i="1"/>
  <c r="C1792" i="1"/>
  <c r="C1791" i="1"/>
  <c r="C1790" i="1"/>
  <c r="C3787" i="1"/>
  <c r="C1788" i="1"/>
  <c r="C4889" i="1"/>
  <c r="C1786" i="1"/>
  <c r="C1785" i="1"/>
  <c r="C1340" i="1"/>
  <c r="C2644" i="1"/>
  <c r="C3453" i="1"/>
  <c r="C3493" i="1"/>
  <c r="C1780" i="1"/>
  <c r="C1779" i="1"/>
  <c r="C353" i="1"/>
  <c r="C1777" i="1"/>
  <c r="C807" i="1"/>
  <c r="C1775" i="1"/>
  <c r="C1774" i="1"/>
  <c r="C1773" i="1"/>
  <c r="C441" i="1"/>
  <c r="C1771" i="1"/>
  <c r="C1770" i="1"/>
  <c r="C2051" i="1"/>
  <c r="C497" i="1"/>
  <c r="C2864" i="1"/>
  <c r="C1766" i="1"/>
  <c r="C1765" i="1"/>
  <c r="C1764" i="1"/>
  <c r="C1339" i="1"/>
  <c r="C1762" i="1"/>
  <c r="C3096" i="1"/>
  <c r="C1760" i="1"/>
  <c r="C2262" i="1"/>
  <c r="C774" i="1"/>
  <c r="C3093" i="1"/>
  <c r="C1756" i="1"/>
  <c r="C1755" i="1"/>
  <c r="C1754" i="1"/>
  <c r="C1753" i="1"/>
  <c r="C1752" i="1"/>
  <c r="C4883" i="1"/>
  <c r="C1750" i="1"/>
  <c r="C1749" i="1"/>
  <c r="C3665" i="1"/>
  <c r="C1747" i="1"/>
  <c r="C4298" i="1"/>
  <c r="C1745" i="1"/>
  <c r="C1744" i="1"/>
  <c r="C1743" i="1"/>
  <c r="C1742" i="1"/>
  <c r="C1741" i="1"/>
  <c r="C1740" i="1"/>
  <c r="C1739" i="1"/>
  <c r="C865" i="1"/>
  <c r="C1737" i="1"/>
  <c r="C1736" i="1"/>
  <c r="C1735" i="1"/>
  <c r="C4467" i="1"/>
  <c r="C1733" i="1"/>
  <c r="C1732" i="1"/>
  <c r="C1731" i="1"/>
  <c r="C1730" i="1"/>
  <c r="C1729" i="1"/>
  <c r="C1728" i="1"/>
  <c r="C1727" i="1"/>
  <c r="C1726" i="1"/>
  <c r="C1725" i="1"/>
  <c r="C177" i="1"/>
  <c r="C1723" i="1"/>
  <c r="C2921" i="1"/>
  <c r="C3785" i="1"/>
  <c r="C1720" i="1"/>
  <c r="C1719" i="1"/>
  <c r="C1718" i="1"/>
  <c r="C1717" i="1"/>
  <c r="C1716" i="1"/>
  <c r="C1715" i="1"/>
  <c r="C1714" i="1"/>
  <c r="C2581" i="1"/>
  <c r="C2705" i="1"/>
  <c r="C1711" i="1"/>
  <c r="C1710" i="1"/>
  <c r="C1709" i="1"/>
  <c r="C1708" i="1"/>
  <c r="C4876" i="1"/>
  <c r="C1706" i="1"/>
  <c r="C1705" i="1"/>
  <c r="C1704" i="1"/>
  <c r="C3188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2129" i="1"/>
  <c r="C1689" i="1"/>
  <c r="C1688" i="1"/>
  <c r="C1402" i="1"/>
  <c r="C1686" i="1"/>
  <c r="C1685" i="1"/>
  <c r="C1684" i="1"/>
  <c r="C1683" i="1"/>
  <c r="C3086" i="1"/>
  <c r="C1681" i="1"/>
  <c r="C1680" i="1"/>
  <c r="C1679" i="1"/>
  <c r="C1678" i="1"/>
  <c r="C440" i="1"/>
  <c r="C1676" i="1"/>
  <c r="C1675" i="1"/>
  <c r="C3452" i="1"/>
  <c r="C3928" i="1"/>
  <c r="C1672" i="1"/>
  <c r="C1671" i="1"/>
  <c r="C1670" i="1"/>
  <c r="C1669" i="1"/>
  <c r="C1668" i="1"/>
  <c r="C1667" i="1"/>
  <c r="C1666" i="1"/>
  <c r="C1665" i="1"/>
  <c r="C2024" i="1"/>
  <c r="C3859" i="1"/>
  <c r="C1662" i="1"/>
  <c r="C1661" i="1"/>
  <c r="C1660" i="1"/>
  <c r="C1659" i="1"/>
  <c r="C1658" i="1"/>
  <c r="C2261" i="1"/>
  <c r="C3550" i="1"/>
  <c r="C1655" i="1"/>
  <c r="C1654" i="1"/>
  <c r="C1653" i="1"/>
  <c r="C1280" i="1"/>
  <c r="C4245" i="1"/>
  <c r="C1650" i="1"/>
  <c r="C1049" i="1"/>
  <c r="C805" i="1"/>
  <c r="C1647" i="1"/>
  <c r="C1646" i="1"/>
  <c r="C1645" i="1"/>
  <c r="C1644" i="1"/>
  <c r="C4998" i="1"/>
  <c r="C1642" i="1"/>
  <c r="C4796" i="1"/>
  <c r="C1640" i="1"/>
  <c r="C1639" i="1"/>
  <c r="C1638" i="1"/>
  <c r="C2343" i="1"/>
  <c r="C1636" i="1"/>
  <c r="C2517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4466" i="1"/>
  <c r="C1619" i="1"/>
  <c r="C1618" i="1"/>
  <c r="C5022" i="1"/>
  <c r="C1616" i="1"/>
  <c r="C1615" i="1"/>
  <c r="C1614" i="1"/>
  <c r="C1613" i="1"/>
  <c r="C1612" i="1"/>
  <c r="C1611" i="1"/>
  <c r="C1610" i="1"/>
  <c r="C485" i="1"/>
  <c r="C3085" i="1"/>
  <c r="C5020" i="1"/>
  <c r="C1606" i="1"/>
  <c r="C1605" i="1"/>
  <c r="C1604" i="1"/>
  <c r="C1603" i="1"/>
  <c r="C1602" i="1"/>
  <c r="C1601" i="1"/>
  <c r="C1600" i="1"/>
  <c r="C310" i="1"/>
  <c r="C3266" i="1"/>
  <c r="C1597" i="1"/>
  <c r="C1596" i="1"/>
  <c r="C1595" i="1"/>
  <c r="C1594" i="1"/>
  <c r="C1593" i="1"/>
  <c r="C1592" i="1"/>
  <c r="C3410" i="1"/>
  <c r="C1590" i="1"/>
  <c r="C1589" i="1"/>
  <c r="C2579" i="1"/>
  <c r="C1587" i="1"/>
  <c r="C1586" i="1"/>
  <c r="C3663" i="1"/>
  <c r="C1584" i="1"/>
  <c r="C1583" i="1"/>
  <c r="C1582" i="1"/>
  <c r="C2394" i="1"/>
  <c r="C1580" i="1"/>
  <c r="C5202" i="1"/>
  <c r="C1250" i="1"/>
  <c r="C3138" i="1"/>
  <c r="C1576" i="1"/>
  <c r="C5019" i="1"/>
  <c r="C1842" i="1"/>
  <c r="C1333" i="1"/>
  <c r="C1572" i="1"/>
  <c r="C1571" i="1"/>
  <c r="C1570" i="1"/>
  <c r="C1569" i="1"/>
  <c r="C1568" i="1"/>
  <c r="C1567" i="1"/>
  <c r="C1566" i="1"/>
  <c r="C1565" i="1"/>
  <c r="C3080" i="1"/>
  <c r="C4869" i="1"/>
  <c r="C1562" i="1"/>
  <c r="C1561" i="1"/>
  <c r="C2578" i="1"/>
  <c r="C1559" i="1"/>
  <c r="C1558" i="1"/>
  <c r="C1557" i="1"/>
  <c r="C2863" i="1"/>
  <c r="C1555" i="1"/>
  <c r="C1554" i="1"/>
  <c r="C1553" i="1"/>
  <c r="C1552" i="1"/>
  <c r="C1551" i="1"/>
  <c r="C1550" i="1"/>
  <c r="C1549" i="1"/>
  <c r="C1548" i="1"/>
  <c r="C1547" i="1"/>
  <c r="C1546" i="1"/>
  <c r="C2998" i="1"/>
  <c r="C1544" i="1"/>
  <c r="C1097" i="1"/>
  <c r="C3079" i="1"/>
  <c r="C1541" i="1"/>
  <c r="C4708" i="1"/>
  <c r="C1539" i="1"/>
  <c r="C1538" i="1"/>
  <c r="C1537" i="1"/>
  <c r="C1536" i="1"/>
  <c r="C1535" i="1"/>
  <c r="C1534" i="1"/>
  <c r="C1533" i="1"/>
  <c r="C5061" i="1"/>
  <c r="C3627" i="1"/>
  <c r="C1530" i="1"/>
  <c r="C1140" i="1"/>
  <c r="C1528" i="1"/>
  <c r="C1527" i="1"/>
  <c r="C2393" i="1"/>
  <c r="C4422" i="1"/>
  <c r="C1524" i="1"/>
  <c r="C1523" i="1"/>
  <c r="C1522" i="1"/>
  <c r="C3404" i="1"/>
  <c r="C5122" i="1"/>
  <c r="C1519" i="1"/>
  <c r="C1518" i="1"/>
  <c r="C2576" i="1"/>
  <c r="C1516" i="1"/>
  <c r="C475" i="1"/>
  <c r="C1514" i="1"/>
  <c r="C1513" i="1"/>
  <c r="C1512" i="1"/>
  <c r="C1511" i="1"/>
  <c r="C863" i="1"/>
  <c r="C1509" i="1"/>
  <c r="C1508" i="1"/>
  <c r="C3784" i="1"/>
  <c r="C3621" i="1"/>
  <c r="C1505" i="1"/>
  <c r="C1504" i="1"/>
  <c r="C1503" i="1"/>
  <c r="C1502" i="1"/>
  <c r="C2196" i="1"/>
  <c r="C1500" i="1"/>
  <c r="C1499" i="1"/>
  <c r="C1712" i="1"/>
  <c r="C1277" i="1"/>
  <c r="C3490" i="1"/>
  <c r="C1495" i="1"/>
  <c r="C1494" i="1"/>
  <c r="C1493" i="1"/>
  <c r="C1492" i="1"/>
  <c r="C1491" i="1"/>
  <c r="C1490" i="1"/>
  <c r="C1489" i="1"/>
  <c r="C85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3926" i="1"/>
  <c r="C1474" i="1"/>
  <c r="C1473" i="1"/>
  <c r="C1472" i="1"/>
  <c r="C4955" i="1"/>
  <c r="C1470" i="1"/>
  <c r="C3077" i="1"/>
  <c r="C1043" i="1"/>
  <c r="C3782" i="1"/>
  <c r="C1466" i="1"/>
  <c r="C1465" i="1"/>
  <c r="C1464" i="1"/>
  <c r="C1463" i="1"/>
  <c r="C1462" i="1"/>
  <c r="C1461" i="1"/>
  <c r="C1460" i="1"/>
  <c r="C1459" i="1"/>
  <c r="C1458" i="1"/>
  <c r="C2575" i="1"/>
  <c r="C1456" i="1"/>
  <c r="C1455" i="1"/>
  <c r="C1454" i="1"/>
  <c r="C4240" i="1"/>
  <c r="C1452" i="1"/>
  <c r="C2704" i="1"/>
  <c r="C1094" i="1"/>
  <c r="C1449" i="1"/>
  <c r="C1448" i="1"/>
  <c r="C1447" i="1"/>
  <c r="C1446" i="1"/>
  <c r="C1445" i="1"/>
  <c r="C4017" i="1"/>
  <c r="C1443" i="1"/>
  <c r="C4864" i="1"/>
  <c r="C1441" i="1"/>
  <c r="C1440" i="1"/>
  <c r="C2023" i="1"/>
  <c r="C1438" i="1"/>
  <c r="C5262" i="1"/>
  <c r="C3620" i="1"/>
  <c r="C1435" i="1"/>
  <c r="C3137" i="1"/>
  <c r="C1433" i="1"/>
  <c r="C1432" i="1"/>
  <c r="C1431" i="1"/>
  <c r="C1430" i="1"/>
  <c r="C1429" i="1"/>
  <c r="C1428" i="1"/>
  <c r="C2047" i="1"/>
  <c r="C2386" i="1"/>
  <c r="C3132" i="1"/>
  <c r="C1424" i="1"/>
  <c r="C1423" i="1"/>
  <c r="C1422" i="1"/>
  <c r="C1421" i="1"/>
  <c r="C1420" i="1"/>
  <c r="C1419" i="1"/>
  <c r="C1418" i="1"/>
  <c r="C1417" i="1"/>
  <c r="C703" i="1"/>
  <c r="C4565" i="1"/>
  <c r="C1414" i="1"/>
  <c r="C1413" i="1"/>
  <c r="C1412" i="1"/>
  <c r="C1411" i="1"/>
  <c r="C378" i="1"/>
  <c r="C94" i="1"/>
  <c r="C1408" i="1"/>
  <c r="C4564" i="1"/>
  <c r="C4492" i="1"/>
  <c r="C1405" i="1"/>
  <c r="C1404" i="1"/>
  <c r="C1403" i="1"/>
  <c r="C4465" i="1"/>
  <c r="C4992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702" i="1"/>
  <c r="C1384" i="1"/>
  <c r="C142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5257" i="1"/>
  <c r="C1369" i="1"/>
  <c r="C1368" i="1"/>
  <c r="C1367" i="1"/>
  <c r="C1366" i="1"/>
  <c r="C1365" i="1"/>
  <c r="C3264" i="1"/>
  <c r="C2917" i="1"/>
  <c r="C1362" i="1"/>
  <c r="C1223" i="1"/>
  <c r="C3549" i="1"/>
  <c r="C4794" i="1"/>
  <c r="C1358" i="1"/>
  <c r="C1357" i="1"/>
  <c r="C1356" i="1"/>
  <c r="C1355" i="1"/>
  <c r="C1354" i="1"/>
  <c r="C1353" i="1"/>
  <c r="C1352" i="1"/>
  <c r="C1351" i="1"/>
  <c r="C40" i="1"/>
  <c r="C1840" i="1"/>
  <c r="C953" i="1"/>
  <c r="C1347" i="1"/>
  <c r="C3489" i="1"/>
  <c r="C2862" i="1"/>
  <c r="C5059" i="1"/>
  <c r="C1343" i="1"/>
  <c r="C1342" i="1"/>
  <c r="C1341" i="1"/>
  <c r="C1969" i="1"/>
  <c r="C5149" i="1"/>
  <c r="C1338" i="1"/>
  <c r="C1337" i="1"/>
  <c r="C1336" i="1"/>
  <c r="C1335" i="1"/>
  <c r="C1334" i="1"/>
  <c r="C1783" i="1"/>
  <c r="C1332" i="1"/>
  <c r="C1331" i="1"/>
  <c r="C1330" i="1"/>
  <c r="C1329" i="1"/>
  <c r="C1328" i="1"/>
  <c r="C1327" i="1"/>
  <c r="C1326" i="1"/>
  <c r="C1325" i="1"/>
  <c r="C1324" i="1"/>
  <c r="C2022" i="1"/>
  <c r="C1322" i="1"/>
  <c r="C3301" i="1"/>
  <c r="C1320" i="1"/>
  <c r="C3781" i="1"/>
  <c r="C1318" i="1"/>
  <c r="C1317" i="1"/>
  <c r="C1316" i="1"/>
  <c r="C1315" i="1"/>
  <c r="C1967" i="1"/>
  <c r="C1313" i="1"/>
  <c r="C1312" i="1"/>
  <c r="C1782" i="1"/>
  <c r="C4015" i="1"/>
  <c r="C1309" i="1"/>
  <c r="C1308" i="1"/>
  <c r="C1307" i="1"/>
  <c r="C1306" i="1"/>
  <c r="C1305" i="1"/>
  <c r="C1304" i="1"/>
  <c r="C4954" i="1"/>
  <c r="C3262" i="1"/>
  <c r="C1301" i="1"/>
  <c r="C1300" i="1"/>
  <c r="C1299" i="1"/>
  <c r="C2643" i="1"/>
  <c r="C1297" i="1"/>
  <c r="C1296" i="1"/>
  <c r="C1295" i="1"/>
  <c r="C1294" i="1"/>
  <c r="C5174" i="1"/>
  <c r="C1292" i="1"/>
  <c r="C1291" i="1"/>
  <c r="C819" i="1"/>
  <c r="C1289" i="1"/>
  <c r="C1288" i="1"/>
  <c r="C1287" i="1"/>
  <c r="C1286" i="1"/>
  <c r="C699" i="1"/>
  <c r="C1284" i="1"/>
  <c r="C1283" i="1"/>
  <c r="C1282" i="1"/>
  <c r="C1281" i="1"/>
  <c r="C1836" i="1"/>
  <c r="C1279" i="1"/>
  <c r="C1278" i="1"/>
  <c r="C3925" i="1"/>
  <c r="C5235" i="1"/>
  <c r="C1275" i="1"/>
  <c r="C2574" i="1"/>
  <c r="C1273" i="1"/>
  <c r="C1272" i="1"/>
  <c r="C1271" i="1"/>
  <c r="C1270" i="1"/>
  <c r="C615" i="1"/>
  <c r="C1268" i="1"/>
  <c r="C1267" i="1"/>
  <c r="C1266" i="1"/>
  <c r="C1265" i="1"/>
  <c r="C1264" i="1"/>
  <c r="C1263" i="1"/>
  <c r="C1262" i="1"/>
  <c r="C470" i="1"/>
  <c r="C732" i="1"/>
  <c r="C1259" i="1"/>
  <c r="C1258" i="1"/>
  <c r="C1257" i="1"/>
  <c r="C1256" i="1"/>
  <c r="C4074" i="1"/>
  <c r="C4160" i="1"/>
  <c r="C1253" i="1"/>
  <c r="C1252" i="1"/>
  <c r="C1251" i="1"/>
  <c r="C4563" i="1"/>
  <c r="C5097" i="1"/>
  <c r="C1248" i="1"/>
  <c r="C4793" i="1"/>
  <c r="C1246" i="1"/>
  <c r="C1245" i="1"/>
  <c r="C1244" i="1"/>
  <c r="C1243" i="1"/>
  <c r="C1242" i="1"/>
  <c r="C1241" i="1"/>
  <c r="C1240" i="1"/>
  <c r="C5121" i="1"/>
  <c r="C1238" i="1"/>
  <c r="C3451" i="1"/>
  <c r="C1236" i="1"/>
  <c r="C1235" i="1"/>
  <c r="C1179" i="1"/>
  <c r="C1233" i="1"/>
  <c r="C1232" i="1"/>
  <c r="C1231" i="1"/>
  <c r="C4990" i="1"/>
  <c r="C1229" i="1"/>
  <c r="C1228" i="1"/>
  <c r="C1227" i="1"/>
  <c r="C1226" i="1"/>
  <c r="C1225" i="1"/>
  <c r="C1224" i="1"/>
  <c r="C3185" i="1"/>
  <c r="C1222" i="1"/>
  <c r="C1221" i="1"/>
  <c r="C1220" i="1"/>
  <c r="C1219" i="1"/>
  <c r="C3547" i="1"/>
  <c r="C4792" i="1"/>
  <c r="C1216" i="1"/>
  <c r="C1215" i="1"/>
  <c r="C1214" i="1"/>
  <c r="C1213" i="1"/>
  <c r="C1212" i="1"/>
  <c r="C1211" i="1"/>
  <c r="C60" i="1"/>
  <c r="C2340" i="1"/>
  <c r="C1208" i="1"/>
  <c r="C1207" i="1"/>
  <c r="C1206" i="1"/>
  <c r="C1205" i="1"/>
  <c r="C1204" i="1"/>
  <c r="C1203" i="1"/>
  <c r="C459" i="1"/>
  <c r="C1201" i="1"/>
  <c r="C1200" i="1"/>
  <c r="C1199" i="1"/>
  <c r="C1198" i="1"/>
  <c r="C1197" i="1"/>
  <c r="C1196" i="1"/>
  <c r="C3300" i="1"/>
  <c r="C1194" i="1"/>
  <c r="C5273" i="1"/>
  <c r="C3617" i="1"/>
  <c r="C1191" i="1"/>
  <c r="C1190" i="1"/>
  <c r="C2572" i="1"/>
  <c r="C1188" i="1"/>
  <c r="C1187" i="1"/>
  <c r="C1186" i="1"/>
  <c r="C1185" i="1"/>
  <c r="C1184" i="1"/>
  <c r="C1183" i="1"/>
  <c r="C1182" i="1"/>
  <c r="C1181" i="1"/>
  <c r="C4927" i="1"/>
  <c r="C4157" i="1"/>
  <c r="C1178" i="1"/>
  <c r="C1177" i="1"/>
  <c r="C1176" i="1"/>
  <c r="C1175" i="1"/>
  <c r="C1174" i="1"/>
  <c r="C1173" i="1"/>
  <c r="C2916" i="1"/>
  <c r="C1171" i="1"/>
  <c r="C1170" i="1"/>
  <c r="C1169" i="1"/>
  <c r="C1168" i="1"/>
  <c r="C1167" i="1"/>
  <c r="C1166" i="1"/>
  <c r="C1165" i="1"/>
  <c r="C1164" i="1"/>
  <c r="C1163" i="1"/>
  <c r="C1162" i="1"/>
  <c r="C3261" i="1"/>
  <c r="C315" i="1"/>
  <c r="C141" i="1"/>
  <c r="C1966" i="1"/>
  <c r="C1157" i="1"/>
  <c r="C4297" i="1"/>
  <c r="C1155" i="1"/>
  <c r="C1475" i="1"/>
  <c r="C1153" i="1"/>
  <c r="C1152" i="1"/>
  <c r="C1151" i="1"/>
  <c r="C2571" i="1"/>
  <c r="C1149" i="1"/>
  <c r="C1148" i="1"/>
  <c r="C1147" i="1"/>
  <c r="C389" i="1"/>
  <c r="C1041" i="1"/>
  <c r="C1144" i="1"/>
  <c r="C4069" i="1"/>
  <c r="C3545" i="1"/>
  <c r="C1141" i="1"/>
  <c r="C5222" i="1"/>
  <c r="C1139" i="1"/>
  <c r="C2915" i="1"/>
  <c r="C1137" i="1"/>
  <c r="C884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4345" i="1"/>
  <c r="C1121" i="1"/>
  <c r="C1120" i="1"/>
  <c r="C1119" i="1"/>
  <c r="C1118" i="1"/>
  <c r="C1117" i="1"/>
  <c r="C1116" i="1"/>
  <c r="C1115" i="1"/>
  <c r="C1146" i="1"/>
  <c r="C1113" i="1"/>
  <c r="C1112" i="1"/>
  <c r="C4464" i="1"/>
  <c r="C1110" i="1"/>
  <c r="C1040" i="1"/>
  <c r="C1108" i="1"/>
  <c r="C1107" i="1"/>
  <c r="C305" i="1"/>
  <c r="C1105" i="1"/>
  <c r="C1104" i="1"/>
  <c r="C1103" i="1"/>
  <c r="C1102" i="1"/>
  <c r="C1101" i="1"/>
  <c r="C3615" i="1"/>
  <c r="C1099" i="1"/>
  <c r="C1098" i="1"/>
  <c r="C857" i="1"/>
  <c r="C1096" i="1"/>
  <c r="C1095" i="1"/>
  <c r="C5322" i="1"/>
  <c r="C1093" i="1"/>
  <c r="C278" i="1"/>
  <c r="C1091" i="1"/>
  <c r="C1090" i="1"/>
  <c r="C1089" i="1"/>
  <c r="C1088" i="1"/>
  <c r="C1087" i="1"/>
  <c r="C1086" i="1"/>
  <c r="C1085" i="1"/>
  <c r="C3858" i="1"/>
  <c r="C1083" i="1"/>
  <c r="C3488" i="1"/>
  <c r="C1081" i="1"/>
  <c r="C187" i="1"/>
  <c r="C1079" i="1"/>
  <c r="C1078" i="1"/>
  <c r="C1077" i="1"/>
  <c r="C1076" i="1"/>
  <c r="C1075" i="1"/>
  <c r="C1074" i="1"/>
  <c r="C1073" i="1"/>
  <c r="C400" i="1"/>
  <c r="C1071" i="1"/>
  <c r="C4611" i="1"/>
  <c r="C1917" i="1"/>
  <c r="C1835" i="1"/>
  <c r="C1067" i="1"/>
  <c r="C1066" i="1"/>
  <c r="C3299" i="1"/>
  <c r="C4953" i="1"/>
  <c r="C1063" i="1"/>
  <c r="C1062" i="1"/>
  <c r="C423" i="1"/>
  <c r="C1060" i="1"/>
  <c r="C3295" i="1"/>
  <c r="C1058" i="1"/>
  <c r="C3602" i="1"/>
  <c r="C1056" i="1"/>
  <c r="C1055" i="1"/>
  <c r="C2046" i="1"/>
  <c r="C1053" i="1"/>
  <c r="C1052" i="1"/>
  <c r="C1051" i="1"/>
  <c r="C4238" i="1"/>
  <c r="C2810" i="1"/>
  <c r="C1048" i="1"/>
  <c r="C1047" i="1"/>
  <c r="C1046" i="1"/>
  <c r="C1045" i="1"/>
  <c r="C1044" i="1"/>
  <c r="C2642" i="1"/>
  <c r="C1042" i="1"/>
  <c r="C2435" i="1"/>
  <c r="C4463" i="1"/>
  <c r="C1039" i="1"/>
  <c r="C1038" i="1"/>
  <c r="C1037" i="1"/>
  <c r="C1036" i="1"/>
  <c r="C1035" i="1"/>
  <c r="C1034" i="1"/>
  <c r="C1033" i="1"/>
  <c r="C1401" i="1"/>
  <c r="C1031" i="1"/>
  <c r="C1030" i="1"/>
  <c r="C1029" i="1"/>
  <c r="C2195" i="1"/>
  <c r="C4790" i="1"/>
  <c r="C1026" i="1"/>
  <c r="C1025" i="1"/>
  <c r="C1024" i="1"/>
  <c r="C1023" i="1"/>
  <c r="C4780" i="1"/>
  <c r="C1021" i="1"/>
  <c r="C1020" i="1"/>
  <c r="C387" i="1"/>
  <c r="C4926" i="1"/>
  <c r="C1017" i="1"/>
  <c r="C5015" i="1"/>
  <c r="C1015" i="1"/>
  <c r="C1014" i="1"/>
  <c r="C1013" i="1"/>
  <c r="C1012" i="1"/>
  <c r="C1011" i="1"/>
  <c r="C3857" i="1"/>
  <c r="C293" i="1"/>
  <c r="C1008" i="1"/>
  <c r="C2701" i="1"/>
  <c r="C2639" i="1"/>
  <c r="C1005" i="1"/>
  <c r="C1439" i="1"/>
  <c r="C1003" i="1"/>
  <c r="C1002" i="1"/>
  <c r="C1910" i="1"/>
  <c r="C4421" i="1"/>
  <c r="C1276" i="1"/>
  <c r="C998" i="1"/>
  <c r="C4858" i="1"/>
  <c r="C996" i="1"/>
  <c r="C995" i="1"/>
  <c r="C994" i="1"/>
  <c r="C993" i="1"/>
  <c r="C992" i="1"/>
  <c r="C991" i="1"/>
  <c r="C990" i="1"/>
  <c r="C989" i="1"/>
  <c r="C988" i="1"/>
  <c r="C569" i="1"/>
  <c r="C5096" i="1"/>
  <c r="C985" i="1"/>
  <c r="C984" i="1"/>
  <c r="C983" i="1"/>
  <c r="C982" i="1"/>
  <c r="C981" i="1"/>
  <c r="C980" i="1"/>
  <c r="C3075" i="1"/>
  <c r="C978" i="1"/>
  <c r="C2382" i="1"/>
  <c r="C4456" i="1"/>
  <c r="C975" i="1"/>
  <c r="C974" i="1"/>
  <c r="C973" i="1"/>
  <c r="C972" i="1"/>
  <c r="C971" i="1"/>
  <c r="C970" i="1"/>
  <c r="C1471" i="1"/>
  <c r="C968" i="1"/>
  <c r="C967" i="1"/>
  <c r="C2569" i="1"/>
  <c r="C4014" i="1"/>
  <c r="C964" i="1"/>
  <c r="C963" i="1"/>
  <c r="C5214" i="1"/>
  <c r="C4610" i="1"/>
  <c r="C960" i="1"/>
  <c r="C959" i="1"/>
  <c r="C958" i="1"/>
  <c r="C957" i="1"/>
  <c r="C956" i="1"/>
  <c r="C955" i="1"/>
  <c r="C1092" i="1"/>
  <c r="C2807" i="1"/>
  <c r="C999" i="1"/>
  <c r="C596" i="1"/>
  <c r="C950" i="1"/>
  <c r="C4063" i="1"/>
  <c r="C2767" i="1"/>
  <c r="C947" i="1"/>
  <c r="C946" i="1"/>
  <c r="C945" i="1"/>
  <c r="C944" i="1"/>
  <c r="C943" i="1"/>
  <c r="C942" i="1"/>
  <c r="C1617" i="1"/>
  <c r="C2045" i="1"/>
  <c r="C2021" i="1"/>
  <c r="C938" i="1"/>
  <c r="C937" i="1"/>
  <c r="C936" i="1"/>
  <c r="C935" i="1"/>
  <c r="C934" i="1"/>
  <c r="C490" i="1"/>
  <c r="C932" i="1"/>
  <c r="C931" i="1"/>
  <c r="C930" i="1"/>
  <c r="C2191" i="1"/>
  <c r="C928" i="1"/>
  <c r="C4344" i="1"/>
  <c r="C926" i="1"/>
  <c r="C925" i="1"/>
  <c r="C924" i="1"/>
  <c r="C4779" i="1"/>
  <c r="C922" i="1"/>
  <c r="C921" i="1"/>
  <c r="C920" i="1"/>
  <c r="C919" i="1"/>
  <c r="C4488" i="1"/>
  <c r="C917" i="1"/>
  <c r="C1526" i="1"/>
  <c r="C1824" i="1"/>
  <c r="C593" i="1"/>
  <c r="C225" i="1"/>
  <c r="C912" i="1"/>
  <c r="C911" i="1"/>
  <c r="C910" i="1"/>
  <c r="C909" i="1"/>
  <c r="C908" i="1"/>
  <c r="C907" i="1"/>
  <c r="C906" i="1"/>
  <c r="C5147" i="1"/>
  <c r="C904" i="1"/>
  <c r="C952" i="1"/>
  <c r="C3778" i="1"/>
  <c r="C901" i="1"/>
  <c r="C900" i="1"/>
  <c r="C899" i="1"/>
  <c r="C898" i="1"/>
  <c r="C897" i="1"/>
  <c r="C896" i="1"/>
  <c r="C4987" i="1"/>
  <c r="C894" i="1"/>
  <c r="C893" i="1"/>
  <c r="C892" i="1"/>
  <c r="C891" i="1"/>
  <c r="C1016" i="1"/>
  <c r="C889" i="1"/>
  <c r="C888" i="1"/>
  <c r="C887" i="1"/>
  <c r="C886" i="1"/>
  <c r="C885" i="1"/>
  <c r="C3851" i="1"/>
  <c r="C2565" i="1"/>
  <c r="C882" i="1"/>
  <c r="C881" i="1"/>
  <c r="C880" i="1"/>
  <c r="C879" i="1"/>
  <c r="C4949" i="1"/>
  <c r="C877" i="1"/>
  <c r="C876" i="1"/>
  <c r="C3449" i="1"/>
  <c r="C874" i="1"/>
  <c r="C873" i="1"/>
  <c r="C872" i="1"/>
  <c r="C2259" i="1"/>
  <c r="C3350" i="1"/>
  <c r="C869" i="1"/>
  <c r="C868" i="1"/>
  <c r="C5145" i="1"/>
  <c r="C866" i="1"/>
  <c r="C2379" i="1"/>
  <c r="C864" i="1"/>
  <c r="C3181" i="1"/>
  <c r="C862" i="1"/>
  <c r="C861" i="1"/>
  <c r="C860" i="1"/>
  <c r="C859" i="1"/>
  <c r="C697" i="1"/>
  <c r="C5280" i="1"/>
  <c r="C856" i="1"/>
  <c r="C855" i="1"/>
  <c r="C244" i="1"/>
  <c r="C853" i="1"/>
  <c r="C852" i="1"/>
  <c r="C851" i="1"/>
  <c r="C850" i="1"/>
  <c r="C849" i="1"/>
  <c r="C848" i="1"/>
  <c r="C847" i="1"/>
  <c r="C557" i="1"/>
  <c r="C845" i="1"/>
  <c r="C844" i="1"/>
  <c r="C843" i="1"/>
  <c r="C4229" i="1"/>
  <c r="C841" i="1"/>
  <c r="C840" i="1"/>
  <c r="C839" i="1"/>
  <c r="C838" i="1"/>
  <c r="C837" i="1"/>
  <c r="C2805" i="1"/>
  <c r="C835" i="1"/>
  <c r="C834" i="1"/>
  <c r="C833" i="1"/>
  <c r="C69" i="1"/>
  <c r="C831" i="1"/>
  <c r="C830" i="1"/>
  <c r="C829" i="1"/>
  <c r="C828" i="1"/>
  <c r="C827" i="1"/>
  <c r="C826" i="1"/>
  <c r="C825" i="1"/>
  <c r="C824" i="1"/>
  <c r="C823" i="1"/>
  <c r="C3176" i="1"/>
  <c r="C821" i="1"/>
  <c r="C820" i="1"/>
  <c r="C453" i="1"/>
  <c r="C1657" i="1"/>
  <c r="C2338" i="1"/>
  <c r="C4294" i="1"/>
  <c r="C815" i="1"/>
  <c r="C814" i="1"/>
  <c r="C813" i="1"/>
  <c r="C1084" i="1"/>
  <c r="C811" i="1"/>
  <c r="C810" i="1"/>
  <c r="C809" i="1"/>
  <c r="C3174" i="1"/>
  <c r="C4293" i="1"/>
  <c r="C806" i="1"/>
  <c r="C2856" i="1"/>
  <c r="C4419" i="1"/>
  <c r="C803" i="1"/>
  <c r="C818" i="1"/>
  <c r="C801" i="1"/>
  <c r="C800" i="1"/>
  <c r="C799" i="1"/>
  <c r="C1578" i="1"/>
  <c r="C797" i="1"/>
  <c r="C796" i="1"/>
  <c r="C795" i="1"/>
  <c r="C2912" i="1"/>
  <c r="C793" i="1"/>
  <c r="C5283" i="1"/>
  <c r="C791" i="1"/>
  <c r="C2804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2855" i="1"/>
  <c r="C773" i="1"/>
  <c r="C772" i="1"/>
  <c r="C771" i="1"/>
  <c r="C556" i="1"/>
  <c r="C769" i="1"/>
  <c r="C768" i="1"/>
  <c r="C3345" i="1"/>
  <c r="C766" i="1"/>
  <c r="C2698" i="1"/>
  <c r="C764" i="1"/>
  <c r="C763" i="1"/>
  <c r="C762" i="1"/>
  <c r="C997" i="1"/>
  <c r="C4690" i="1"/>
  <c r="C759" i="1"/>
  <c r="C758" i="1"/>
  <c r="C757" i="1"/>
  <c r="C756" i="1"/>
  <c r="C755" i="1"/>
  <c r="C1525" i="1"/>
  <c r="C753" i="1"/>
  <c r="C752" i="1"/>
  <c r="C520" i="1"/>
  <c r="C750" i="1"/>
  <c r="C3662" i="1"/>
  <c r="C748" i="1"/>
  <c r="C747" i="1"/>
  <c r="C746" i="1"/>
  <c r="C745" i="1"/>
  <c r="C744" i="1"/>
  <c r="C743" i="1"/>
  <c r="C3445" i="1"/>
  <c r="C741" i="1"/>
  <c r="C740" i="1"/>
  <c r="C739" i="1"/>
  <c r="C738" i="1"/>
  <c r="C737" i="1"/>
  <c r="C736" i="1"/>
  <c r="C735" i="1"/>
  <c r="C734" i="1"/>
  <c r="C733" i="1"/>
  <c r="C1904" i="1"/>
  <c r="C731" i="1"/>
  <c r="C2763" i="1"/>
  <c r="C296" i="1"/>
  <c r="C728" i="1"/>
  <c r="C1274" i="1"/>
  <c r="C4060" i="1"/>
  <c r="C725" i="1"/>
  <c r="C724" i="1"/>
  <c r="C723" i="1"/>
  <c r="C3344" i="1"/>
  <c r="C721" i="1"/>
  <c r="C720" i="1"/>
  <c r="C719" i="1"/>
  <c r="C718" i="1"/>
  <c r="C717" i="1"/>
  <c r="C716" i="1"/>
  <c r="C3656" i="1"/>
  <c r="C3128" i="1"/>
  <c r="C713" i="1"/>
  <c r="C24" i="1"/>
  <c r="C711" i="1"/>
  <c r="C710" i="1"/>
  <c r="C709" i="1"/>
  <c r="C708" i="1"/>
  <c r="C707" i="1"/>
  <c r="C706" i="1"/>
  <c r="C705" i="1"/>
  <c r="C704" i="1"/>
  <c r="C3771" i="1"/>
  <c r="C467" i="1"/>
  <c r="C701" i="1"/>
  <c r="C700" i="1"/>
  <c r="C1781" i="1"/>
  <c r="C698" i="1"/>
  <c r="C3600" i="1"/>
  <c r="C1962" i="1"/>
  <c r="C695" i="1"/>
  <c r="C4010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14" i="1"/>
  <c r="C4418" i="1"/>
  <c r="C679" i="1"/>
  <c r="C2803" i="1"/>
  <c r="C677" i="1"/>
  <c r="C4454" i="1"/>
  <c r="C675" i="1"/>
  <c r="C674" i="1"/>
  <c r="C673" i="1"/>
  <c r="C672" i="1"/>
  <c r="C671" i="1"/>
  <c r="C670" i="1"/>
  <c r="C669" i="1"/>
  <c r="C555" i="1"/>
  <c r="C667" i="1"/>
  <c r="C666" i="1"/>
  <c r="C665" i="1"/>
  <c r="C664" i="1"/>
  <c r="C663" i="1"/>
  <c r="C662" i="1"/>
  <c r="C4155" i="1"/>
  <c r="C178" i="1"/>
  <c r="C2189" i="1"/>
  <c r="C658" i="1"/>
  <c r="C657" i="1"/>
  <c r="C656" i="1"/>
  <c r="C3850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1082" i="1"/>
  <c r="C641" i="1"/>
  <c r="C640" i="1"/>
  <c r="C639" i="1"/>
  <c r="C1145" i="1"/>
  <c r="C637" i="1"/>
  <c r="C636" i="1"/>
  <c r="C635" i="1"/>
  <c r="C634" i="1"/>
  <c r="C633" i="1"/>
  <c r="C632" i="1"/>
  <c r="C4849" i="1"/>
  <c r="C630" i="1"/>
  <c r="C330" i="1"/>
  <c r="C628" i="1"/>
  <c r="C627" i="1"/>
  <c r="C2019" i="1"/>
  <c r="C625" i="1"/>
  <c r="C2337" i="1"/>
  <c r="C623" i="1"/>
  <c r="C2333" i="1"/>
  <c r="C621" i="1"/>
  <c r="C620" i="1"/>
  <c r="C619" i="1"/>
  <c r="C2512" i="1"/>
  <c r="C617" i="1"/>
  <c r="C616" i="1"/>
  <c r="C2564" i="1"/>
  <c r="C4924" i="1"/>
  <c r="C4413" i="1"/>
  <c r="C612" i="1"/>
  <c r="C611" i="1"/>
  <c r="C610" i="1"/>
  <c r="C609" i="1"/>
  <c r="C3599" i="1"/>
  <c r="C987" i="1"/>
  <c r="C606" i="1"/>
  <c r="C605" i="1"/>
  <c r="C604" i="1"/>
  <c r="C544" i="1"/>
  <c r="C602" i="1"/>
  <c r="C1707" i="1"/>
  <c r="C600" i="1"/>
  <c r="C599" i="1"/>
  <c r="C598" i="1"/>
  <c r="C597" i="1"/>
  <c r="C4400" i="1"/>
  <c r="C595" i="1"/>
  <c r="C594" i="1"/>
  <c r="C3259" i="1"/>
  <c r="C592" i="1"/>
  <c r="C591" i="1"/>
  <c r="C2760" i="1"/>
  <c r="C5321" i="1"/>
  <c r="C588" i="1"/>
  <c r="C587" i="1"/>
  <c r="C2995" i="1"/>
  <c r="C585" i="1"/>
  <c r="C584" i="1"/>
  <c r="C2634" i="1"/>
  <c r="C582" i="1"/>
  <c r="C581" i="1"/>
  <c r="C580" i="1"/>
  <c r="C2186" i="1"/>
  <c r="C578" i="1"/>
  <c r="C577" i="1"/>
  <c r="C576" i="1"/>
  <c r="C4452" i="1"/>
  <c r="C574" i="1"/>
  <c r="C573" i="1"/>
  <c r="C572" i="1"/>
  <c r="C571" i="1"/>
  <c r="C4343" i="1"/>
  <c r="C2759" i="1"/>
  <c r="C568" i="1"/>
  <c r="C567" i="1"/>
  <c r="C4004" i="1"/>
  <c r="C565" i="1"/>
  <c r="C564" i="1"/>
  <c r="C563" i="1"/>
  <c r="C562" i="1"/>
  <c r="C561" i="1"/>
  <c r="C325" i="1"/>
  <c r="C4561" i="1"/>
  <c r="C558" i="1"/>
  <c r="C3653" i="1"/>
  <c r="C537" i="1"/>
  <c r="C804" i="1"/>
  <c r="C2017" i="1"/>
  <c r="C553" i="1"/>
  <c r="C5143" i="1"/>
  <c r="C551" i="1"/>
  <c r="C550" i="1"/>
  <c r="C549" i="1"/>
  <c r="C548" i="1"/>
  <c r="C3596" i="1"/>
  <c r="C4059" i="1"/>
  <c r="C545" i="1"/>
  <c r="C770" i="1"/>
  <c r="C543" i="1"/>
  <c r="C542" i="1"/>
  <c r="C541" i="1"/>
  <c r="C540" i="1"/>
  <c r="C539" i="1"/>
  <c r="C538" i="1"/>
  <c r="C2692" i="1"/>
  <c r="C4609" i="1"/>
  <c r="C2257" i="1"/>
  <c r="C534" i="1"/>
  <c r="C4450" i="1"/>
  <c r="C3256" i="1"/>
  <c r="C531" i="1"/>
  <c r="C530" i="1"/>
  <c r="C5014" i="1"/>
  <c r="C528" i="1"/>
  <c r="C527" i="1"/>
  <c r="C2434" i="1"/>
  <c r="C525" i="1"/>
  <c r="C524" i="1"/>
  <c r="C1778" i="1"/>
  <c r="C4608" i="1"/>
  <c r="C1385" i="1"/>
  <c r="C122" i="1"/>
  <c r="C2256" i="1"/>
  <c r="C1577" i="1"/>
  <c r="C517" i="1"/>
  <c r="C516" i="1"/>
  <c r="C2331" i="1"/>
  <c r="C532" i="1"/>
  <c r="C513" i="1"/>
  <c r="C512" i="1"/>
  <c r="C511" i="1"/>
  <c r="C510" i="1"/>
  <c r="C509" i="1"/>
  <c r="C508" i="1"/>
  <c r="C507" i="1"/>
  <c r="C5115" i="1"/>
  <c r="C505" i="1"/>
  <c r="C504" i="1"/>
  <c r="C503" i="1"/>
  <c r="C502" i="1"/>
  <c r="C501" i="1"/>
  <c r="C3119" i="1"/>
  <c r="C499" i="1"/>
  <c r="C4153" i="1"/>
  <c r="C1703" i="1"/>
  <c r="C496" i="1"/>
  <c r="C495" i="1"/>
  <c r="C494" i="1"/>
  <c r="C493" i="1"/>
  <c r="C492" i="1"/>
  <c r="C491" i="1"/>
  <c r="C655" i="1"/>
  <c r="C489" i="1"/>
  <c r="C488" i="1"/>
  <c r="C419" i="1"/>
  <c r="C4449" i="1"/>
  <c r="C2854" i="1"/>
  <c r="C1138" i="1"/>
  <c r="C483" i="1"/>
  <c r="C2118" i="1"/>
  <c r="C481" i="1"/>
  <c r="C480" i="1"/>
  <c r="C802" i="1"/>
  <c r="C4446" i="1"/>
  <c r="C477" i="1"/>
  <c r="C476" i="1"/>
  <c r="C3254" i="1"/>
  <c r="C474" i="1"/>
  <c r="C473" i="1"/>
  <c r="C472" i="1"/>
  <c r="C471" i="1"/>
  <c r="C5155" i="1"/>
  <c r="C469" i="1"/>
  <c r="C468" i="1"/>
  <c r="C4292" i="1"/>
  <c r="C2849" i="1"/>
  <c r="C4444" i="1"/>
  <c r="C464" i="1"/>
  <c r="C3074" i="1"/>
  <c r="C462" i="1"/>
  <c r="C461" i="1"/>
  <c r="C460" i="1"/>
  <c r="C1575" i="1"/>
  <c r="C5234" i="1"/>
  <c r="C3845" i="1"/>
  <c r="C3768" i="1"/>
  <c r="C455" i="1"/>
  <c r="C2013" i="1"/>
  <c r="C346" i="1"/>
  <c r="C452" i="1"/>
  <c r="C451" i="1"/>
  <c r="C450" i="1"/>
  <c r="C449" i="1"/>
  <c r="C448" i="1"/>
  <c r="C447" i="1"/>
  <c r="C446" i="1"/>
  <c r="C445" i="1"/>
  <c r="C2115" i="1"/>
  <c r="C443" i="1"/>
  <c r="C4778" i="1"/>
  <c r="C3073" i="1"/>
  <c r="C2632" i="1"/>
  <c r="C439" i="1"/>
  <c r="C1323" i="1"/>
  <c r="C284" i="1"/>
  <c r="C436" i="1"/>
  <c r="C2044" i="1"/>
  <c r="C434" i="1"/>
  <c r="C1960" i="1"/>
  <c r="C432" i="1"/>
  <c r="C5091" i="1"/>
  <c r="C430" i="1"/>
  <c r="C3293" i="1"/>
  <c r="C428" i="1"/>
  <c r="C427" i="1"/>
  <c r="C5111" i="1"/>
  <c r="C3068" i="1"/>
  <c r="C424" i="1"/>
  <c r="C3253" i="1"/>
  <c r="C422" i="1"/>
  <c r="C1574" i="1"/>
  <c r="C420" i="1"/>
  <c r="C4341" i="1"/>
  <c r="C418" i="1"/>
  <c r="C883" i="1"/>
  <c r="C416" i="1"/>
  <c r="C487" i="1"/>
  <c r="C414" i="1"/>
  <c r="C413" i="1"/>
  <c r="C1959" i="1"/>
  <c r="C3343" i="1"/>
  <c r="C1032" i="1"/>
  <c r="C409" i="1"/>
  <c r="C408" i="1"/>
  <c r="C1269" i="1"/>
  <c r="C2994" i="1"/>
  <c r="C405" i="1"/>
  <c r="C404" i="1"/>
  <c r="C403" i="1"/>
  <c r="C402" i="1"/>
  <c r="C401" i="1"/>
  <c r="C2243" i="1"/>
  <c r="C399" i="1"/>
  <c r="C398" i="1"/>
  <c r="C397" i="1"/>
  <c r="C396" i="1"/>
  <c r="C395" i="1"/>
  <c r="C394" i="1"/>
  <c r="C393" i="1"/>
  <c r="C4224" i="1"/>
  <c r="C391" i="1"/>
  <c r="C390" i="1"/>
  <c r="C267" i="1"/>
  <c r="C388" i="1"/>
  <c r="C5058" i="1"/>
  <c r="C386" i="1"/>
  <c r="C385" i="1"/>
  <c r="C384" i="1"/>
  <c r="C4607" i="1"/>
  <c r="C382" i="1"/>
  <c r="C381" i="1"/>
  <c r="C380" i="1"/>
  <c r="C3487" i="1"/>
  <c r="C2511" i="1"/>
  <c r="C377" i="1"/>
  <c r="C3252" i="1"/>
  <c r="C375" i="1"/>
  <c r="C374" i="1"/>
  <c r="C373" i="1"/>
  <c r="C372" i="1"/>
  <c r="C371" i="1"/>
  <c r="C370" i="1"/>
  <c r="C369" i="1"/>
  <c r="C368" i="1"/>
  <c r="C367" i="1"/>
  <c r="C366" i="1"/>
  <c r="C365" i="1"/>
  <c r="C364" i="1"/>
  <c r="C5054" i="1"/>
  <c r="C4220" i="1"/>
  <c r="C361" i="1"/>
  <c r="C360" i="1"/>
  <c r="C359" i="1"/>
  <c r="C358" i="1"/>
  <c r="C357" i="1"/>
  <c r="C356" i="1"/>
  <c r="C355" i="1"/>
  <c r="C354" i="1"/>
  <c r="C2114" i="1"/>
  <c r="C352" i="1"/>
  <c r="C3172" i="1"/>
  <c r="C2799" i="1"/>
  <c r="C349" i="1"/>
  <c r="C348" i="1"/>
  <c r="C347" i="1"/>
  <c r="C4396" i="1"/>
  <c r="C1383" i="1"/>
  <c r="C344" i="1"/>
  <c r="C5276" i="1"/>
  <c r="C342" i="1"/>
  <c r="C341" i="1"/>
  <c r="C340" i="1"/>
  <c r="C339" i="1"/>
  <c r="C338" i="1"/>
  <c r="C337" i="1"/>
  <c r="C336" i="1"/>
  <c r="C335" i="1"/>
  <c r="C334" i="1"/>
  <c r="C333" i="1"/>
  <c r="C1898" i="1"/>
  <c r="C270" i="1"/>
  <c r="C4985" i="1"/>
  <c r="C329" i="1"/>
  <c r="C328" i="1"/>
  <c r="C327" i="1"/>
  <c r="C326" i="1"/>
  <c r="C3766" i="1"/>
  <c r="C2509" i="1"/>
  <c r="C3402" i="1"/>
  <c r="C3652" i="1"/>
  <c r="C5053" i="1"/>
  <c r="C320" i="1"/>
  <c r="C986" i="1"/>
  <c r="C318" i="1"/>
  <c r="C317" i="1"/>
  <c r="C316" i="1"/>
  <c r="C1469" i="1"/>
  <c r="C314" i="1"/>
  <c r="C313" i="1"/>
  <c r="C312" i="1"/>
  <c r="C438" i="1"/>
  <c r="C1249" i="1"/>
  <c r="C309" i="1"/>
  <c r="C5317" i="1"/>
  <c r="C307" i="1"/>
  <c r="C1028" i="1"/>
  <c r="C4395" i="1"/>
  <c r="C4152" i="1"/>
  <c r="C303" i="1"/>
  <c r="C2330" i="1"/>
  <c r="C301" i="1"/>
  <c r="C300" i="1"/>
  <c r="C299" i="1"/>
  <c r="C4215" i="1"/>
  <c r="C297" i="1"/>
  <c r="C2911" i="1"/>
  <c r="C295" i="1"/>
  <c r="C554" i="1"/>
  <c r="C4150" i="1"/>
  <c r="C292" i="1"/>
  <c r="C291" i="1"/>
  <c r="C290" i="1"/>
  <c r="C289" i="1"/>
  <c r="C288" i="1"/>
  <c r="C287" i="1"/>
  <c r="C286" i="1"/>
  <c r="C236" i="1"/>
  <c r="C3118" i="1"/>
  <c r="C283" i="1"/>
  <c r="C282" i="1"/>
  <c r="C4922" i="1"/>
  <c r="C204" i="1"/>
  <c r="C279" i="1"/>
  <c r="C2688" i="1"/>
  <c r="C4288" i="1"/>
  <c r="C5245" i="1"/>
  <c r="C3484" i="1"/>
  <c r="C4945" i="1"/>
  <c r="C3341" i="1"/>
  <c r="C272" i="1"/>
  <c r="C271" i="1"/>
  <c r="C1823" i="1"/>
  <c r="C3250" i="1"/>
  <c r="C268" i="1"/>
  <c r="C3762" i="1"/>
  <c r="C979" i="1"/>
  <c r="C518" i="1"/>
  <c r="C264" i="1"/>
  <c r="C263" i="1"/>
  <c r="C1656" i="1"/>
  <c r="C261" i="1"/>
  <c r="C2847" i="1"/>
  <c r="C259" i="1"/>
  <c r="C258" i="1"/>
  <c r="C257" i="1"/>
  <c r="C256" i="1"/>
  <c r="C255" i="1"/>
  <c r="C2625" i="1"/>
  <c r="C2010" i="1"/>
  <c r="C252" i="1"/>
  <c r="C251" i="1"/>
  <c r="C250" i="1"/>
  <c r="C249" i="1"/>
  <c r="C248" i="1"/>
  <c r="C247" i="1"/>
  <c r="C4391" i="1"/>
  <c r="C2242" i="1"/>
  <c r="C696" i="1"/>
  <c r="C1468" i="1"/>
  <c r="C242" i="1"/>
  <c r="C241" i="1"/>
  <c r="C240" i="1"/>
  <c r="C854" i="1"/>
  <c r="C4688" i="1"/>
  <c r="C767" i="1"/>
  <c r="C4055" i="1"/>
  <c r="C234" i="1"/>
  <c r="C2376" i="1"/>
  <c r="C233" i="1"/>
  <c r="C232" i="1"/>
  <c r="C231" i="1"/>
  <c r="C230" i="1"/>
  <c r="C229" i="1"/>
  <c r="C3066" i="1"/>
  <c r="C4677" i="1"/>
  <c r="C226" i="1"/>
  <c r="C2007" i="1"/>
  <c r="C613" i="1"/>
  <c r="C223" i="1"/>
  <c r="C4848" i="1"/>
  <c r="C221" i="1"/>
  <c r="C220" i="1"/>
  <c r="C219" i="1"/>
  <c r="C218" i="1"/>
  <c r="C217" i="1"/>
  <c r="C216" i="1"/>
  <c r="C215" i="1"/>
  <c r="C214" i="1"/>
  <c r="C213" i="1"/>
  <c r="C212" i="1"/>
  <c r="C4944" i="1"/>
  <c r="C210" i="1"/>
  <c r="C209" i="1"/>
  <c r="C208" i="1"/>
  <c r="C4773" i="1"/>
  <c r="C2183" i="1"/>
  <c r="C3537" i="1"/>
  <c r="C519" i="1"/>
  <c r="C203" i="1"/>
  <c r="C202" i="1"/>
  <c r="C4485" i="1"/>
  <c r="C3063" i="1"/>
  <c r="C2992" i="1"/>
  <c r="C198" i="1"/>
  <c r="C197" i="1"/>
  <c r="C1652" i="1"/>
  <c r="C195" i="1"/>
  <c r="C194" i="1"/>
  <c r="C193" i="1"/>
  <c r="C192" i="1"/>
  <c r="C191" i="1"/>
  <c r="C5151" i="1"/>
  <c r="C189" i="1"/>
  <c r="C188" i="1"/>
  <c r="C3760" i="1"/>
  <c r="C2237" i="1"/>
  <c r="C185" i="1"/>
  <c r="C1370" i="1"/>
  <c r="C183" i="1"/>
  <c r="C182" i="1"/>
  <c r="C181" i="1"/>
  <c r="C180" i="1"/>
  <c r="C2907" i="1"/>
  <c r="C3394" i="1"/>
  <c r="C2112" i="1"/>
  <c r="C1437" i="1"/>
  <c r="C175" i="1"/>
  <c r="C174" i="1"/>
  <c r="C173" i="1"/>
  <c r="C172" i="1"/>
  <c r="C3843" i="1"/>
  <c r="C170" i="1"/>
  <c r="C1776" i="1"/>
  <c r="C168" i="1"/>
  <c r="C2557" i="1"/>
  <c r="C166" i="1"/>
  <c r="C165" i="1"/>
  <c r="C164" i="1"/>
  <c r="C163" i="1"/>
  <c r="C162" i="1"/>
  <c r="C161" i="1"/>
  <c r="C4600" i="1"/>
  <c r="C324" i="1"/>
  <c r="C4052" i="1"/>
  <c r="C157" i="1"/>
  <c r="C156" i="1"/>
  <c r="C1172" i="1"/>
  <c r="C154" i="1"/>
  <c r="C153" i="1"/>
  <c r="C152" i="1"/>
  <c r="C151" i="1"/>
  <c r="C3483" i="1"/>
  <c r="C149" i="1"/>
  <c r="C1521" i="1"/>
  <c r="C3334" i="1"/>
  <c r="C1573" i="1"/>
  <c r="C145" i="1"/>
  <c r="C144" i="1"/>
  <c r="C2556" i="1"/>
  <c r="C2906" i="1"/>
  <c r="C3393" i="1"/>
  <c r="C140" i="1"/>
  <c r="C139" i="1"/>
  <c r="C138" i="1"/>
  <c r="C137" i="1"/>
  <c r="C136" i="1"/>
  <c r="C135" i="1"/>
  <c r="C3999" i="1"/>
  <c r="C133" i="1"/>
  <c r="C132" i="1"/>
  <c r="C131" i="1"/>
  <c r="C130" i="1"/>
  <c r="C129" i="1"/>
  <c r="C515" i="1"/>
  <c r="C127" i="1"/>
  <c r="C126" i="1"/>
  <c r="C125" i="1"/>
  <c r="C124" i="1"/>
  <c r="C123" i="1"/>
  <c r="C4046" i="1"/>
  <c r="C121" i="1"/>
  <c r="C120" i="1"/>
  <c r="C119" i="1"/>
  <c r="C118" i="1"/>
  <c r="C117" i="1"/>
  <c r="C116" i="1"/>
  <c r="C2006" i="1"/>
  <c r="C1564" i="1"/>
  <c r="C113" i="1"/>
  <c r="C112" i="1"/>
  <c r="C111" i="1"/>
  <c r="C110" i="1"/>
  <c r="C109" i="1"/>
  <c r="C108" i="1"/>
  <c r="C3759" i="1"/>
  <c r="C4340" i="1"/>
  <c r="C105" i="1"/>
  <c r="C977" i="1"/>
  <c r="C103" i="1"/>
  <c r="C3595" i="1"/>
  <c r="C304" i="1"/>
  <c r="C100" i="1"/>
  <c r="C99" i="1"/>
  <c r="C98" i="1"/>
  <c r="C97" i="1"/>
  <c r="C96" i="1"/>
  <c r="C95" i="1"/>
  <c r="C466" i="1"/>
  <c r="C93" i="1"/>
  <c r="C92" i="1"/>
  <c r="C91" i="1"/>
  <c r="C90" i="1"/>
  <c r="C89" i="1"/>
  <c r="C88" i="1"/>
  <c r="C87" i="1"/>
  <c r="C1520" i="1"/>
  <c r="C85" i="1"/>
  <c r="C84" i="1"/>
  <c r="C83" i="1"/>
  <c r="C82" i="1"/>
  <c r="C81" i="1"/>
  <c r="C80" i="1"/>
  <c r="C4212" i="1"/>
  <c r="C78" i="1"/>
  <c r="C77" i="1"/>
  <c r="C76" i="1"/>
  <c r="C75" i="1"/>
  <c r="C4943" i="1"/>
  <c r="C4389" i="1"/>
  <c r="C72" i="1"/>
  <c r="C71" i="1"/>
  <c r="C70" i="1"/>
  <c r="C411" i="1"/>
  <c r="C68" i="1"/>
  <c r="C67" i="1"/>
  <c r="C66" i="1"/>
  <c r="C65" i="1"/>
  <c r="C64" i="1"/>
  <c r="C63" i="1"/>
  <c r="C62" i="1"/>
  <c r="C61" i="1"/>
  <c r="C1563" i="1"/>
  <c r="C59" i="1"/>
  <c r="C58" i="1"/>
  <c r="C57" i="1"/>
  <c r="C56" i="1"/>
  <c r="C55" i="1"/>
  <c r="C54" i="1"/>
  <c r="C53" i="1"/>
  <c r="C52" i="1"/>
  <c r="C2505" i="1"/>
  <c r="C50" i="1"/>
  <c r="C49" i="1"/>
  <c r="C48" i="1"/>
  <c r="C2798" i="1"/>
  <c r="C46" i="1"/>
  <c r="C5200" i="1"/>
  <c r="C44" i="1"/>
  <c r="C43" i="1"/>
  <c r="C42" i="1"/>
  <c r="C41" i="1"/>
  <c r="C5013" i="1"/>
  <c r="C39" i="1"/>
  <c r="C38" i="1"/>
  <c r="C2845" i="1"/>
  <c r="C36" i="1"/>
  <c r="C35" i="1"/>
  <c r="C529" i="1"/>
  <c r="C33" i="1"/>
  <c r="C32" i="1"/>
  <c r="C31" i="1"/>
  <c r="C30" i="1"/>
  <c r="C4211" i="1"/>
  <c r="C3117" i="1"/>
  <c r="C27" i="1"/>
  <c r="C26" i="1"/>
  <c r="C25" i="1"/>
  <c r="C2555" i="1"/>
  <c r="C23" i="1"/>
  <c r="C22" i="1"/>
  <c r="C21" i="1"/>
  <c r="C1690" i="1"/>
  <c r="C19" i="1"/>
  <c r="C4147" i="1"/>
  <c r="C17" i="1"/>
  <c r="C16" i="1"/>
  <c r="C15" i="1"/>
  <c r="C14" i="1"/>
  <c r="C13" i="1"/>
  <c r="C4145" i="1"/>
  <c r="C11" i="1"/>
  <c r="C3239" i="1"/>
  <c r="C9" i="1"/>
  <c r="C8" i="1"/>
  <c r="C7" i="1"/>
  <c r="C6" i="1"/>
  <c r="C4387" i="1"/>
  <c r="C2327" i="1"/>
  <c r="C3" i="1"/>
</calcChain>
</file>

<file path=xl/sharedStrings.xml><?xml version="1.0" encoding="utf-8"?>
<sst xmlns="http://schemas.openxmlformats.org/spreadsheetml/2006/main" count="5360" uniqueCount="5337">
  <si>
    <t>author_id</t>
  </si>
  <si>
    <t>author_name</t>
  </si>
  <si>
    <t>affiliation</t>
  </si>
  <si>
    <t>Citation Count</t>
  </si>
  <si>
    <t>Citations Per Publication</t>
  </si>
  <si>
    <t>H Index</t>
  </si>
  <si>
    <t>Field Weighted Citation Impact</t>
  </si>
  <si>
    <t>Top Journal Percentiles_1% Value</t>
  </si>
  <si>
    <t>Top Journal Percentiles_5% Value</t>
  </si>
  <si>
    <t>Top Journal Percentiles_10% Value</t>
  </si>
  <si>
    <t>Top Journal Percentiles_25% Value</t>
  </si>
  <si>
    <t>Top Journal Percentiles_50% Value</t>
  </si>
  <si>
    <t>Top Journal Percentiles_75% Value</t>
  </si>
  <si>
    <t>Top Citation Percentiles_1% Value</t>
  </si>
  <si>
    <t>Top Citation Percentiles_5% Value</t>
  </si>
  <si>
    <t>Top Citation Percentiles_10% Value</t>
  </si>
  <si>
    <t>Top Citation Percentiles_25% Value</t>
  </si>
  <si>
    <t>A D Maldonado, Paul</t>
  </si>
  <si>
    <t>Abedi, Behbood</t>
  </si>
  <si>
    <t>Abel, Mara</t>
  </si>
  <si>
    <t>Abrahão, Élcio</t>
  </si>
  <si>
    <t>Abrantes, Francisco Romeiro</t>
  </si>
  <si>
    <t>Abreu Fernandes, Renato De</t>
  </si>
  <si>
    <t>Abreu, Ana Carolina Alves</t>
  </si>
  <si>
    <t>Abreu, Danilo T.M.P.</t>
  </si>
  <si>
    <t>Abreu, Danilo Taverna Martins Pereira</t>
  </si>
  <si>
    <t>Abreu, Fernanda De Ávila</t>
  </si>
  <si>
    <t>Abreu, Ilene Matanó</t>
  </si>
  <si>
    <t>Abreu, Odilon</t>
  </si>
  <si>
    <t>Abreu, R. O.A.</t>
  </si>
  <si>
    <t>Abreu, Rafael</t>
  </si>
  <si>
    <t>da Cruz, André Vargas Abs</t>
  </si>
  <si>
    <t>Abuchacra, Rodrigo Coutinho</t>
  </si>
  <si>
    <t>Acevedo P, A. M.</t>
  </si>
  <si>
    <t>Achete, Carlos Alberto</t>
  </si>
  <si>
    <t>Achy, Acbal Rucas Andrade</t>
  </si>
  <si>
    <t>Acioli Júnior, George</t>
  </si>
  <si>
    <t>Acosta, J.</t>
  </si>
  <si>
    <t>Adamowski, Júlio Cezar</t>
  </si>
  <si>
    <t>Adolfo, Franciele Rovasi</t>
  </si>
  <si>
    <t>Adôrno, Rodrigo Rodrigues</t>
  </si>
  <si>
    <t>Afonso, Júlio Carlos</t>
  </si>
  <si>
    <t>Afonso, Luis Claudio Sugi</t>
  </si>
  <si>
    <t>Afonso, S. M.B.</t>
  </si>
  <si>
    <t>Agostinho, Sonia Maria O.</t>
  </si>
  <si>
    <t>Aguiar, Jonas</t>
  </si>
  <si>
    <t>Aguiar, Kelly L.N.P.</t>
  </si>
  <si>
    <t>Aguiar, Paula Fernandes De</t>
  </si>
  <si>
    <t>Aguieiras, Erika Cristina Gonçalves</t>
  </si>
  <si>
    <t>Aguilar, Ivan Fernney I.</t>
  </si>
  <si>
    <t>Aguillar, Jéssica</t>
  </si>
  <si>
    <t>Aguirre, Luis Antonio</t>
  </si>
  <si>
    <t>Agura, F. A.R.</t>
  </si>
  <si>
    <t>Ahón, Victor Rolando Ruiz</t>
  </si>
  <si>
    <t>Aires, Alysson Soares</t>
  </si>
  <si>
    <t>Alaeian, Mohsen</t>
  </si>
  <si>
    <t>Alba, Jéferson Luis</t>
  </si>
  <si>
    <t>Albanese, J. M.</t>
  </si>
  <si>
    <t>Albano, Filipe De M.</t>
  </si>
  <si>
    <t>Albertazzi, Armando G.</t>
  </si>
  <si>
    <t>Albrecht, Carl Horst</t>
  </si>
  <si>
    <t>Albuquerque, Ana Luiza Spadano</t>
  </si>
  <si>
    <t>Albuquerque, Angela</t>
  </si>
  <si>
    <t>Albuquerque, Cyro</t>
  </si>
  <si>
    <t>de Albuquerque, Eduardo Sim̃oes</t>
  </si>
  <si>
    <t>Albuquerque, Elise M.</t>
  </si>
  <si>
    <t>Albuquerque, Marcelo Portes</t>
  </si>
  <si>
    <t>Albuquerque, William Sikorsky Medeiros</t>
  </si>
  <si>
    <t>Albuquerque, Yulli Roxenne</t>
  </si>
  <si>
    <t>Alcantara, Amanda Pontes Maia Pires</t>
  </si>
  <si>
    <t>Alcoforado Rebello, João Marcos</t>
  </si>
  <si>
    <t>Aldeia, Santo W.</t>
  </si>
  <si>
    <t>Aldeia, W.</t>
  </si>
  <si>
    <t>Alegria, Luis Felipe Acuna</t>
  </si>
  <si>
    <t>Alencar, Marcio Lima</t>
  </si>
  <si>
    <t>Alencar, Yasmim Da S.</t>
  </si>
  <si>
    <t>Alessandretti, Luciano</t>
  </si>
  <si>
    <t>Alessio, Keiti Oliveira</t>
  </si>
  <si>
    <t>Alexandre, Kátia De Cassia B.</t>
  </si>
  <si>
    <t>Alexandre, Larissa O.</t>
  </si>
  <si>
    <t>Alexandre, Verônica Marinho Fontes</t>
  </si>
  <si>
    <t>Alfradique Monteiro, Douglas</t>
  </si>
  <si>
    <t>Alkmim, Aline Ribeiro</t>
  </si>
  <si>
    <t>Alkmim, Fernando Flecha</t>
  </si>
  <si>
    <t>Alkmin, Aline Ribeiro</t>
  </si>
  <si>
    <t>Alle, L. S.R.</t>
  </si>
  <si>
    <t>Allil, Alexandre S.</t>
  </si>
  <si>
    <t>Da Silva Barros Allil, Regina Celia</t>
  </si>
  <si>
    <t>Allochio Filho, João Francisco</t>
  </si>
  <si>
    <t>Almeida Cardoso, Giuseppe Sampaio</t>
  </si>
  <si>
    <t>Almeida Júnior, Pedro Orlando Borges De</t>
  </si>
  <si>
    <t>Almeida Prado, Tatiana De</t>
  </si>
  <si>
    <t>Almeida, Cleber Ribeiro</t>
  </si>
  <si>
    <t>Almeida, Dalva Alves De Lima</t>
  </si>
  <si>
    <t>Almeida, Dalva A.L.</t>
  </si>
  <si>
    <t>Almeida, Danilo Araujo</t>
  </si>
  <si>
    <t>Almeida, Douglas S.</t>
  </si>
  <si>
    <t>Almeida, Fabrício A.</t>
  </si>
  <si>
    <t>Almeida, Heraldo Luis Silveira De</t>
  </si>
  <si>
    <t>Almeida, José Claudino Souza</t>
  </si>
  <si>
    <t>Almeida, J. C.H.</t>
  </si>
  <si>
    <t>Almeida, Lucas A.</t>
  </si>
  <si>
    <t>Almeida, Luiz C.P.</t>
  </si>
  <si>
    <t>Almeida, Luiz Fernando Maia de</t>
  </si>
  <si>
    <t>Almeida, Luiz Henrique De</t>
  </si>
  <si>
    <t>Almeida, Mateus F.</t>
  </si>
  <si>
    <t>Almeida, Matheus Mde</t>
  </si>
  <si>
    <t>Almeida, N. S.</t>
  </si>
  <si>
    <t>Almeida, Renato Paes De</t>
  </si>
  <si>
    <t>Almeida, Tatiana C.</t>
  </si>
  <si>
    <t>Almeida, Victor Andrade F.</t>
  </si>
  <si>
    <t>Almeida, Vinícius M D L</t>
  </si>
  <si>
    <t>Almeida, Vitor M.</t>
  </si>
  <si>
    <t>Almeida-Filho, Raimundo</t>
  </si>
  <si>
    <t>Almeida-Lima, Débora Soares De</t>
  </si>
  <si>
    <t>Alonso, Jorge Makhlouta</t>
  </si>
  <si>
    <t>Altoé, Rodrigo</t>
  </si>
  <si>
    <t>Altvater, Luciana</t>
  </si>
  <si>
    <t>Alvarenga, João Bosco Rodrigues</t>
  </si>
  <si>
    <t>Dos Santos Alvarenga, Renata S.</t>
  </si>
  <si>
    <t>Álvarez, J. C.</t>
  </si>
  <si>
    <t>Alvarez, Leidy Laura</t>
  </si>
  <si>
    <t>Alvarez-Castro, Helver Crispiniano</t>
  </si>
  <si>
    <t>Alves da Silva, Fernando César</t>
  </si>
  <si>
    <t>Alves Feitosa, Karina</t>
  </si>
  <si>
    <t>Alves Ruislan, Andréa Lima</t>
  </si>
  <si>
    <t>Alves, Andrea Lima</t>
  </si>
  <si>
    <t>Alves, Bruna F.</t>
  </si>
  <si>
    <t>Alves, Bruno José Rodrigues</t>
  </si>
  <si>
    <t>Alves, Charlan D.S.</t>
  </si>
  <si>
    <t>Alves, Cleber Fernandes</t>
  </si>
  <si>
    <t>Alves, Daniel Pavani Vicente</t>
  </si>
  <si>
    <t>Alves, Demetrius Nunes</t>
  </si>
  <si>
    <t>Alves, Eduardo B.D.M.</t>
  </si>
  <si>
    <t>Alves, Isabel Mello</t>
  </si>
  <si>
    <t>Alves, Jose Jailson Nicacio</t>
  </si>
  <si>
    <t>Alves, José Luis Drummond</t>
  </si>
  <si>
    <t>Laurentino Alves, Julio Cesar</t>
  </si>
  <si>
    <t>Alves, Julliana F.</t>
  </si>
  <si>
    <t>Alves, Leonardo S.B.</t>
  </si>
  <si>
    <t>de Souza Alves, Marcelo Ferreira S.S.</t>
  </si>
  <si>
    <t>Alves, M. A.L.</t>
  </si>
  <si>
    <t>Alves, Marco Aurélio Duarte</t>
  </si>
  <si>
    <t>Alves, Marcos H.Da S.</t>
  </si>
  <si>
    <t>Alves, M. N.</t>
  </si>
  <si>
    <t>Alves, Mariana Cunha</t>
  </si>
  <si>
    <t>Alves, Matheus M.A.</t>
  </si>
  <si>
    <t>Alves, Odivaldo Cambraia</t>
  </si>
  <si>
    <t>Alves, Priscila Cristh Fonseca</t>
  </si>
  <si>
    <t>Alves, Paulo Henrique</t>
  </si>
  <si>
    <t>Alves, Paulo Henrique Bastos</t>
  </si>
  <si>
    <t>Alves, Rafael Fabrício</t>
  </si>
  <si>
    <t>Alves, Victor Luiz Da Silva</t>
  </si>
  <si>
    <t>Alves, Yuri Modesto</t>
  </si>
  <si>
    <t>Alves-Ferreira, Márcio</t>
  </si>
  <si>
    <t>Alviano, Celuta Sales</t>
  </si>
  <si>
    <t>Alviano, Daniela Sales</t>
  </si>
  <si>
    <t>Amaral Filho, João Henrique Bernardo</t>
  </si>
  <si>
    <t>Amaral, Camila N.R.</t>
  </si>
  <si>
    <t>Amaral, Fernando Venancio</t>
  </si>
  <si>
    <t>Amaral, J. L.M.</t>
  </si>
  <si>
    <t>Amaral, Míriam Cristina Santos</t>
  </si>
  <si>
    <t>Amaral, Monique de Jesus</t>
  </si>
  <si>
    <t>Amaral, Priscilla Filomena Fonseca</t>
  </si>
  <si>
    <t>Amaral, Rafael Aislan</t>
  </si>
  <si>
    <t>Amaral, Sergio Roberto</t>
  </si>
  <si>
    <t>Simões, Luiz Sérgio Amarante</t>
  </si>
  <si>
    <t>Amavisca, Carla Volff</t>
  </si>
  <si>
    <t>Ambrosi, Alan</t>
  </si>
  <si>
    <t>Ambrósio, José Donato</t>
  </si>
  <si>
    <t>Ambrósio, Priscila R.S.</t>
  </si>
  <si>
    <t>Amendola, José</t>
  </si>
  <si>
    <t>Américo, Monique Ferrary</t>
  </si>
  <si>
    <t>Amorim, Felipe Do Carmo</t>
  </si>
  <si>
    <t>Amorim, João Pedro Mancio De</t>
  </si>
  <si>
    <t>Amorim, Luciana Viana</t>
  </si>
  <si>
    <t>Andade, Andre L.S.</t>
  </si>
  <si>
    <t>Andia, José Luís M.</t>
  </si>
  <si>
    <t>Andrade, Alexandro Pereira</t>
  </si>
  <si>
    <t>Andrade, Amanda Medeiros</t>
  </si>
  <si>
    <t>de Andrade, Cristiano J.</t>
  </si>
  <si>
    <t>Andrade, Deborah Cordeiro</t>
  </si>
  <si>
    <t>Andrade, Diogo E.V.</t>
  </si>
  <si>
    <t>Andrade, Gabriel M.P.</t>
  </si>
  <si>
    <t>Andrade, Gustavo Fernandes Souza</t>
  </si>
  <si>
    <t>Andrade, Henrique Conde Carvalho De</t>
  </si>
  <si>
    <t>Andrade, Izaac Oliveira</t>
  </si>
  <si>
    <t>Andrade, Luana Dos Santos</t>
  </si>
  <si>
    <t>Andrade, Luciano</t>
  </si>
  <si>
    <t>Andrade, Marco Aurélio Brizzotti</t>
  </si>
  <si>
    <t>de Andrade, Moab Torres</t>
  </si>
  <si>
    <t>Anelli, Luiz Eduardo</t>
  </si>
  <si>
    <t>Angolini, Célio Fernando Figueiredo</t>
  </si>
  <si>
    <t>Angonese, Bruno Silverstone</t>
  </si>
  <si>
    <t>Anibal, Fernanda Freitas</t>
  </si>
  <si>
    <t>Anjos, Deborah A.</t>
  </si>
  <si>
    <t>Anjos, L. C.</t>
  </si>
  <si>
    <t>Anjos, R. M.</t>
  </si>
  <si>
    <t>Annese, Emilia</t>
  </si>
  <si>
    <t>Anschau, Kellen Francine</t>
  </si>
  <si>
    <t>Antes, Fabiane G.</t>
  </si>
  <si>
    <t>Antonietto, Lucas Silveira</t>
  </si>
  <si>
    <t>U de Souza, Antônio Augusto</t>
  </si>
  <si>
    <t>Antonioli, Luzia</t>
  </si>
  <si>
    <t>Antunes, Florence P.Novais</t>
  </si>
  <si>
    <t>Antunes, Helio Marcos Andre</t>
  </si>
  <si>
    <t>Antunes, Manoella M.</t>
  </si>
  <si>
    <t>Antunes, Marcio Ribeiro</t>
  </si>
  <si>
    <t>Antunes, Rogério Loureiro</t>
  </si>
  <si>
    <t>Aoki, Idalina Vieira</t>
  </si>
  <si>
    <t>Aparecida Silva Leite, Amanda Gabriela</t>
  </si>
  <si>
    <t>Apio, Andressa</t>
  </si>
  <si>
    <t>Appel, Lucia Gorenstin</t>
  </si>
  <si>
    <t>Aquije, Glória Maria De Farias Viégas</t>
  </si>
  <si>
    <t>Aquino Neto, Francisco Radler</t>
  </si>
  <si>
    <t>Aquino Neto, Francisco Radler De</t>
  </si>
  <si>
    <t>Aquino, A. D.L.</t>
  </si>
  <si>
    <t>Aquino, Aline Scaramuzza</t>
  </si>
  <si>
    <t>Aragão, Francisco Thiago Sacramento</t>
  </si>
  <si>
    <t>Arai, Mitsuru</t>
  </si>
  <si>
    <t>Aranda, Donato Alexandre Gomes</t>
  </si>
  <si>
    <t>Arantes, Pedro</t>
  </si>
  <si>
    <t>Arantes, Renata C.M.</t>
  </si>
  <si>
    <t>Araripe, Rilda Verônica Cardoso De</t>
  </si>
  <si>
    <t>Araujo, Ana P.U.</t>
  </si>
  <si>
    <t>Araújo, Antonio Carlos Brandão De</t>
  </si>
  <si>
    <t>Araújo, Antônio Carlos Brandao</t>
  </si>
  <si>
    <t>de Araújo, Araly Fabiana Lima</t>
  </si>
  <si>
    <t>Araújo, Bruno Quirino</t>
  </si>
  <si>
    <t>Araújo, Chrystiano</t>
  </si>
  <si>
    <t>Araújo, D. C.</t>
  </si>
  <si>
    <t>Araújo, Edmar Eufrasio De</t>
  </si>
  <si>
    <t>Araújo, Edson De Andrade</t>
  </si>
  <si>
    <t>Araújo, Élisson Michael</t>
  </si>
  <si>
    <t>Araujo, Geilson</t>
  </si>
  <si>
    <t>Araújo, Guido Rodrigo</t>
  </si>
  <si>
    <t>Araújo, Iury C.S.</t>
  </si>
  <si>
    <t>Araújo, Joyce R.</t>
  </si>
  <si>
    <t>Araújo, Jefferson F.D.F.</t>
  </si>
  <si>
    <t>Araújo, João Paulo Nogueira</t>
  </si>
  <si>
    <t>de Araújo, José Humberto</t>
  </si>
  <si>
    <t>Araujo, Leonardo Sales</t>
  </si>
  <si>
    <t>Araújo, Larissa Cristina</t>
  </si>
  <si>
    <t>Araujo, Leandro Neves</t>
  </si>
  <si>
    <t>Araujo, Leonardo D.</t>
  </si>
  <si>
    <t>Araújo, Leonardo D.</t>
  </si>
  <si>
    <t>Araújo, Lucia R.Raddi De</t>
  </si>
  <si>
    <t>Araújo, Ofélia Q.F.</t>
  </si>
  <si>
    <t>Araùjo, Renata E.B.</t>
  </si>
  <si>
    <t>Araujo, R. G.O.</t>
  </si>
  <si>
    <t>Araújo, Wagner Luiz</t>
  </si>
  <si>
    <t>Araújo, Walney Silva Silva</t>
  </si>
  <si>
    <t>Arbilla, Graciela</t>
  </si>
  <si>
    <t>Arcanjo, Ana Paula</t>
  </si>
  <si>
    <t>da Silva Arcas, Ariadny S.S.</t>
  </si>
  <si>
    <t>Arcênio, Patrícia Passos</t>
  </si>
  <si>
    <t>Archanjo, Bráulio Soares</t>
  </si>
  <si>
    <t>Archanjo, Carlos José</t>
  </si>
  <si>
    <t>Archilha, Nathaly L.</t>
  </si>
  <si>
    <t>Ardisson, José Domingos</t>
  </si>
  <si>
    <t>Areas, A. S.</t>
  </si>
  <si>
    <t>Areiza, Maria Cristina Lopez</t>
  </si>
  <si>
    <t>Arenas, Mónica P.</t>
  </si>
  <si>
    <t>Arencibia, Rosenda Valdés</t>
  </si>
  <si>
    <t>Argentin, Marcela Nunes</t>
  </si>
  <si>
    <t>Argöello, Facundo</t>
  </si>
  <si>
    <t>Arias, Santiago</t>
  </si>
  <si>
    <t>Arinelli, Lara De Oliveira</t>
  </si>
  <si>
    <t>Arismendi-Florez, Jhonatan Jair</t>
  </si>
  <si>
    <t>Armando Albertazzi, G.</t>
  </si>
  <si>
    <t>Armellini, Victor A.D.</t>
  </si>
  <si>
    <t>Arouca, F. O.</t>
  </si>
  <si>
    <t>Arroyo, Fábio M.</t>
  </si>
  <si>
    <t>A. Arroyo, Pedro Augusto</t>
  </si>
  <si>
    <t>Arruda, Wilton Zumpichiatti</t>
  </si>
  <si>
    <t>Arthur Júnior, José Carlos</t>
  </si>
  <si>
    <t>Asakura, Yumi</t>
  </si>
  <si>
    <t>Ascencao, Nathalia Q.</t>
  </si>
  <si>
    <t>Assine, Mario Luis</t>
  </si>
  <si>
    <t>Assis, M.</t>
  </si>
  <si>
    <t>Mariano Lessa Assis, Tatiana Mariano Lessa</t>
  </si>
  <si>
    <t>Assunção, Felipe R.S.</t>
  </si>
  <si>
    <t>Astudillo, Carlos A.</t>
  </si>
  <si>
    <t>Ataíde, Carlos Henrique</t>
  </si>
  <si>
    <t>Atehortúa, Carlos Mario Giraldo</t>
  </si>
  <si>
    <t>Atilio, Natália Cambiaghi</t>
  </si>
  <si>
    <t>de Angelis, Derlene Attili</t>
  </si>
  <si>
    <t>Aucélio, Ricardo Queiroz</t>
  </si>
  <si>
    <t>Augustin, Adolpho Herbert</t>
  </si>
  <si>
    <t>Abel Augusto, Andre Abel</t>
  </si>
  <si>
    <t>Augusto, Douglas Adriano</t>
  </si>
  <si>
    <t>Augusto, Fabio</t>
  </si>
  <si>
    <t>Augusto, Fabrício O.A.</t>
  </si>
  <si>
    <t>Auler, Augusto Sarreiro</t>
  </si>
  <si>
    <t>Pandava Aum, Pedro Tupã</t>
  </si>
  <si>
    <t>Guarniz Avalos, Gustavo O.</t>
  </si>
  <si>
    <t>Ávila, Bárbara M. F.</t>
  </si>
  <si>
    <t>Ávila, Ciro Alexandre</t>
  </si>
  <si>
    <t>Avila, Julian Arnaldo</t>
  </si>
  <si>
    <t>Avila, Manuel Ramon Vargas</t>
  </si>
  <si>
    <t>Ávila, Sabrini N.S.</t>
  </si>
  <si>
    <t>Aydos, Guilherme L.P.</t>
  </si>
  <si>
    <t>Ayres, Alysson S.</t>
  </si>
  <si>
    <t>Azeredo, Rodrigo Bagueira De Vasconcell</t>
  </si>
  <si>
    <t>de Azevedo, Allana Queiroz</t>
  </si>
  <si>
    <t>de Azevedo, Antônio Expedito Gomes</t>
  </si>
  <si>
    <t>Azevedo, Cesar R.F.</t>
  </si>
  <si>
    <t>Azevedo, Diana C. S.</t>
  </si>
  <si>
    <t>Azevedo, Daniele M.F.</t>
  </si>
  <si>
    <t>Azevedo, Débora A.</t>
  </si>
  <si>
    <t>de Azevedo, Gabriel Romualdo</t>
  </si>
  <si>
    <t>Azevedo, Luis Fernando A.</t>
  </si>
  <si>
    <t>Azevedo, Pedro Nieckele</t>
  </si>
  <si>
    <t>Azevedo, Rafael Valença</t>
  </si>
  <si>
    <t>Azevedo, Thalita M.</t>
  </si>
  <si>
    <t>Azevedo, Vasco A.c.</t>
  </si>
  <si>
    <t>Azevedo, Vasco Ariston Carvalho</t>
  </si>
  <si>
    <t>Baader, W. J.</t>
  </si>
  <si>
    <t>Babadopulos, Lucas F.A.L.</t>
  </si>
  <si>
    <t>Babinski, Marly</t>
  </si>
  <si>
    <t>Bachega Cruz, João Pedro</t>
  </si>
  <si>
    <t>Bachi, Leonardo</t>
  </si>
  <si>
    <t>Back, Ana Helena</t>
  </si>
  <si>
    <t>Backx, Bianca Pizzorno</t>
  </si>
  <si>
    <t>Baecker-Fauth, Simone</t>
  </si>
  <si>
    <t>Baesso, Renato C.G.</t>
  </si>
  <si>
    <t>Bagni, Fabio Luiz</t>
  </si>
  <si>
    <t>Bahiense, Ana Paula Rodrigues</t>
  </si>
  <si>
    <t>Bahniuk, Anelize Manuela</t>
  </si>
  <si>
    <t>Baia, Luana Ventura</t>
  </si>
  <si>
    <t>Baioco, Juliana Souza</t>
  </si>
  <si>
    <t>Bakr, Dhuann Paiva Antunes Fiori</t>
  </si>
  <si>
    <t>Balaban, Rosangela De Carvalho</t>
  </si>
  <si>
    <t>Balbino, Filipe Dmengeon Pedreiro</t>
  </si>
  <si>
    <t>Baldassin, Alexandro</t>
  </si>
  <si>
    <t>Baldasso, C.</t>
  </si>
  <si>
    <t>Baldissera, Alessandra Fiorini</t>
  </si>
  <si>
    <t>Balestrassi, Pedro P.</t>
  </si>
  <si>
    <t>Balieiro, Fabiano De Carvalho</t>
  </si>
  <si>
    <t>Baliño, Jorge Luis</t>
  </si>
  <si>
    <t>Bállico, Manoela Bettarel</t>
  </si>
  <si>
    <t>Balula, Augusto Furio</t>
  </si>
  <si>
    <t>Bandeira, Marina R.</t>
  </si>
  <si>
    <t>Bandeira, Merlin Cristina Elaine</t>
  </si>
  <si>
    <t>Banea, M. D.</t>
  </si>
  <si>
    <t>Bannwart, Antônio Carlos</t>
  </si>
  <si>
    <t>Baptista de Oliveira, Joáo</t>
  </si>
  <si>
    <t>Baptista, Gabriel Soares</t>
  </si>
  <si>
    <t>Baptista, Marcos Campello</t>
  </si>
  <si>
    <t>Baptistao, Mariana</t>
  </si>
  <si>
    <t>Barbato, Carla Napoli</t>
  </si>
  <si>
    <t>Barberes, G. A.</t>
  </si>
  <si>
    <t>Barbi, Nancy Dos Santos</t>
  </si>
  <si>
    <t>Barbieri, Naiade Caroline</t>
  </si>
  <si>
    <t>Barbosa Fazolato, Carolline Silva</t>
  </si>
  <si>
    <t>Barbosa, Agremis Guinho</t>
  </si>
  <si>
    <t>Barbosa, André Gustavo Horta</t>
  </si>
  <si>
    <t>Barbosa, Bruna R.</t>
  </si>
  <si>
    <t>Barbosa, Bruno Henrique Groenner</t>
  </si>
  <si>
    <t>Barbosa, Celmy Maria Bezerra De Menezes</t>
  </si>
  <si>
    <t>Barbosa, Carlos H.S.</t>
  </si>
  <si>
    <t>Barbosa, Catia F.</t>
  </si>
  <si>
    <t>Barbosa, Celmy M.B.M.</t>
  </si>
  <si>
    <t>Barbosa, F. S.</t>
  </si>
  <si>
    <t>Barbosa, Jader R.</t>
  </si>
  <si>
    <t>Barbosa, José A.</t>
  </si>
  <si>
    <t>Barbosa, José Antônio</t>
  </si>
  <si>
    <t>Barbosa, Lara Costa</t>
  </si>
  <si>
    <t>Barbosa, Lúcio Leonel</t>
  </si>
  <si>
    <t>Barbosa, Mariana Botelho</t>
  </si>
  <si>
    <t>Barbosa, Mario N.</t>
  </si>
  <si>
    <t>Barbosa, Paola Ferreira</t>
  </si>
  <si>
    <t>Barbosa, Rafael</t>
  </si>
  <si>
    <t>Barbosa, Rizoaldo</t>
  </si>
  <si>
    <t>Diniz Junqueira Barbosa, Simone Diniz Junqueira</t>
  </si>
  <si>
    <t>Barbosa, Valeria C.F.</t>
  </si>
  <si>
    <t>Barbosa, Vinícius Pimenta</t>
  </si>
  <si>
    <t>Barbosa, Vitor Scarabeli</t>
  </si>
  <si>
    <t>Barboz, Beatriz Ramos</t>
  </si>
  <si>
    <t>Barboza, Aline S.R.</t>
  </si>
  <si>
    <t>Barboza, Beatriz Ramos</t>
  </si>
  <si>
    <t>Barboza, Robson P.</t>
  </si>
  <si>
    <t>Barbuto, Fausto Arinos De A.</t>
  </si>
  <si>
    <t>Barca, Luiz Fernando</t>
  </si>
  <si>
    <t>Barcelos, Hercules De Melo</t>
  </si>
  <si>
    <t>Barcelos, Johann G.A.</t>
  </si>
  <si>
    <t>Barcia, Oswaldo Esteves</t>
  </si>
  <si>
    <t>Barichello, Márcia Meister</t>
  </si>
  <si>
    <t>Barone, Dante Augusto Couto</t>
  </si>
  <si>
    <t>Barp, Gustavo Bombardelli</t>
  </si>
  <si>
    <t>Barra, Thamara Andrade</t>
  </si>
  <si>
    <t>Figueroa Barraza, Joaquín</t>
  </si>
  <si>
    <t>Barreira, Leonardo Martins</t>
  </si>
  <si>
    <t>Barreto, Abelardo Borges</t>
  </si>
  <si>
    <t>Barreto, Alcina Magnólia Franca</t>
  </si>
  <si>
    <t>Barreto, Amaro Gomes</t>
  </si>
  <si>
    <t>Barreto, Cláudio Veloso</t>
  </si>
  <si>
    <t>Barreto, G. O.</t>
  </si>
  <si>
    <t>Barreto, Gabriela T.</t>
  </si>
  <si>
    <t>Barreto, Guilherme A.</t>
  </si>
  <si>
    <t>Barrionuevo, Simone</t>
  </si>
  <si>
    <t>Barrios, Adriana M.</t>
  </si>
  <si>
    <t>Barrios, Gynna Gómez</t>
  </si>
  <si>
    <t>Barros, Caio</t>
  </si>
  <si>
    <t>Barros, Eliane V.</t>
  </si>
  <si>
    <t>Barros, Hedilberto A.A.</t>
  </si>
  <si>
    <t>Barros, José Eduardo Mautone</t>
  </si>
  <si>
    <t>de Barros, Marcel Rodrigues</t>
  </si>
  <si>
    <t>Barros, Michelli</t>
  </si>
  <si>
    <t>Barros, Paloma Lins</t>
  </si>
  <si>
    <t>Barros, Péricles Rezende</t>
  </si>
  <si>
    <t>Barros, Samuel Porfírio Pinheiro</t>
  </si>
  <si>
    <t>Barros, Thalita Gonçalves</t>
  </si>
  <si>
    <t>Barros, Victor Souza Leão</t>
  </si>
  <si>
    <t>Barros, Wagner Queiroz</t>
  </si>
  <si>
    <t>Barroso, Emilio Velloso</t>
  </si>
  <si>
    <t>Barroso, Josue Dos S.</t>
  </si>
  <si>
    <t>Barroso, M.</t>
  </si>
  <si>
    <t>de Souza Barrozo, Marcos Antônio</t>
  </si>
  <si>
    <t>Barsi-Andreeta, Mariane</t>
  </si>
  <si>
    <t>Barzilai, Lúcia P.</t>
  </si>
  <si>
    <t>Bascuñan, Vera Lúcia Azzolin Frescura</t>
  </si>
  <si>
    <t>Basei, Miguel Angelo Stipp</t>
  </si>
  <si>
    <t>Bassane, João Felipe P.</t>
  </si>
  <si>
    <t>Bassani, Gabriel Soares</t>
  </si>
  <si>
    <t>Arcari Bassani, Marcel Antônio</t>
  </si>
  <si>
    <t>Bassi, Marcelo</t>
  </si>
  <si>
    <t>Bassin, J. P.</t>
  </si>
  <si>
    <t>Basso, Eduardo Donadel</t>
  </si>
  <si>
    <t>Bastos, Alex Cardoso</t>
  </si>
  <si>
    <t>Bastos, Isabela</t>
  </si>
  <si>
    <t>Bastos, Juceline Batista dos Santos</t>
  </si>
  <si>
    <t>Bastos, Michelle</t>
  </si>
  <si>
    <t>Bastos-Neto, Moises</t>
  </si>
  <si>
    <t>Batalha, João Arthur Ferreira Lunau</t>
  </si>
  <si>
    <t>Batalha, Nuno R.</t>
  </si>
  <si>
    <t>Batista, Evelyn Conceição Santos</t>
  </si>
  <si>
    <t>Batista, Josimar Nogueira</t>
  </si>
  <si>
    <t>Batista, Leonardo Vidal</t>
  </si>
  <si>
    <t>Batista, Solon Tarso</t>
  </si>
  <si>
    <t>Batista, W. G.S.</t>
  </si>
  <si>
    <t>Battisti, R.</t>
  </si>
  <si>
    <t>Bautista, Kristian David Torres</t>
  </si>
  <si>
    <t>Bavastri, C. A.</t>
  </si>
  <si>
    <t>Bayer da Silva, Daniel</t>
  </si>
  <si>
    <t>Bayer, Cimélio</t>
  </si>
  <si>
    <t>Bazyl, Alexandre</t>
  </si>
  <si>
    <t>Beal, Lademir Luiz</t>
  </si>
  <si>
    <t>Beal, Valter Estevão</t>
  </si>
  <si>
    <t>Beck, André T.</t>
  </si>
  <si>
    <t>Beckedorff, Leonel E.</t>
  </si>
  <si>
    <t>Buss Becker, Leandro Buss</t>
  </si>
  <si>
    <t>Becker, Tiago</t>
  </si>
  <si>
    <t>Becker-Kerber, Bruno</t>
  </si>
  <si>
    <t>Bedo, Marcos Vinicius Naves</t>
  </si>
  <si>
    <t>Beisl, Carlos Henrique</t>
  </si>
  <si>
    <t>Belem, Andre L.</t>
  </si>
  <si>
    <t>Belgini, Daiane Rodrigues Barbosa</t>
  </si>
  <si>
    <t>Bello, Rosa Maria da Silveira</t>
  </si>
  <si>
    <t>Bellumat, Ernanda</t>
  </si>
  <si>
    <t>Belonsi, Marcelo H.</t>
  </si>
  <si>
    <t>Beltrame, Thalya B.</t>
  </si>
  <si>
    <t>Benac, Pedro Monteiro</t>
  </si>
  <si>
    <t>Bender, Eduardo Pires</t>
  </si>
  <si>
    <t>Benedet, Mauro Eduardo</t>
  </si>
  <si>
    <t>Benites, Mariana</t>
  </si>
  <si>
    <t>Benvenutti, Edilson Valmir</t>
  </si>
  <si>
    <t>Berchieri, Natalia Bragiola</t>
  </si>
  <si>
    <t>Beres, Miloslav</t>
  </si>
  <si>
    <t>Bergiante, Níssia Carvalho Rosa</t>
  </si>
  <si>
    <t>Bergue, Cristianini Trescastro</t>
  </si>
  <si>
    <t>Bernard, Franciele Longaray</t>
  </si>
  <si>
    <t>Bernardes, Alan Nascimento</t>
  </si>
  <si>
    <t>Bernardes, Eduardo Müller</t>
  </si>
  <si>
    <t>Bernardes, Felipe Reis</t>
  </si>
  <si>
    <t>Bernardes, Marcelo Corrêa</t>
  </si>
  <si>
    <t>Bernardes, Renato Borges</t>
  </si>
  <si>
    <t>Bernardini, Flavia C.</t>
  </si>
  <si>
    <t>Bernardo, Piero S.</t>
  </si>
  <si>
    <t>Bernucci, Liedi Légi Bariani</t>
  </si>
  <si>
    <t>Bertholdi, Jonas</t>
  </si>
  <si>
    <t>Bertini, Luciano</t>
  </si>
  <si>
    <t>Bertolino, Luíz Carlos</t>
  </si>
  <si>
    <t>Bertoncello, João Carlos B.</t>
  </si>
  <si>
    <t>Bertoni, Fabiano</t>
  </si>
  <si>
    <t>Beserra, Leila Brunet De Sá</t>
  </si>
  <si>
    <t>Beserra, Nurielly L.R.</t>
  </si>
  <si>
    <t>Bessa, Iuri S.</t>
  </si>
  <si>
    <t>Bettoni, Izabel Cristina S.</t>
  </si>
  <si>
    <t>Bettú, Daniel Fabian</t>
  </si>
  <si>
    <t>Bezerra, André Ricardo Gomes</t>
  </si>
  <si>
    <t>Bezerra, Francisco Hilário Rego</t>
  </si>
  <si>
    <t>Bezerra, Jessé H.N.</t>
  </si>
  <si>
    <t>Biajo, Vitor Henrique Madureira</t>
  </si>
  <si>
    <t>Bianchi, Jaqueline</t>
  </si>
  <si>
    <t>Bianco, Bruno</t>
  </si>
  <si>
    <t>Biazussi, Jorge Luiz</t>
  </si>
  <si>
    <t>Bícego, M. C.</t>
  </si>
  <si>
    <t>Bidone, Edison Dausacker</t>
  </si>
  <si>
    <t>Biló, Tiago Carrilho</t>
  </si>
  <si>
    <t>Binas, F. A.V.</t>
  </si>
  <si>
    <t>Biondi, Mauro</t>
  </si>
  <si>
    <t>Bione, Fellippe Roberto Alves</t>
  </si>
  <si>
    <t>Biscaia, Evaristo Chalbaud</t>
  </si>
  <si>
    <t>Bisinotto, Gustavo Alencar</t>
  </si>
  <si>
    <t>Bisognin, Alberto</t>
  </si>
  <si>
    <t>Bispo, Felipe J.S.</t>
  </si>
  <si>
    <t>Bittencourt, Isabela C.S.</t>
  </si>
  <si>
    <t>Bittencourt, Lis</t>
  </si>
  <si>
    <t>Bizzi, Cezar A.</t>
  </si>
  <si>
    <t>Bizzo, H. R.</t>
  </si>
  <si>
    <t>Blanco, Guilherme E.O.</t>
  </si>
  <si>
    <t>Blank, Arie Fitzgerald</t>
  </si>
  <si>
    <t>Boa Morte, Icaro B.</t>
  </si>
  <si>
    <t>Boa, Talytha Fonte</t>
  </si>
  <si>
    <t>Bôas, Ana Carolina Vilas</t>
  </si>
  <si>
    <t>Bôas, Daniel Villas</t>
  </si>
  <si>
    <t>Boaventura, Ana Paula Freitas Vilela</t>
  </si>
  <si>
    <t>Bochio, Gustavo</t>
  </si>
  <si>
    <t>Böck, Carina Stefoni</t>
  </si>
  <si>
    <t>Bodart, Cristiani Perrini</t>
  </si>
  <si>
    <t>Bodstein, Gustavo César Rachid</t>
  </si>
  <si>
    <t>Boeira, Fernando Dekeper</t>
  </si>
  <si>
    <t>Boeres, C.</t>
  </si>
  <si>
    <t>Boesing Ponticelli, Julia</t>
  </si>
  <si>
    <t>Boesing, Julia</t>
  </si>
  <si>
    <t>Boggiani, Paulo César</t>
  </si>
  <si>
    <t>Bogo, Maurício Reis</t>
  </si>
  <si>
    <t>Boher E Souza, Luciana</t>
  </si>
  <si>
    <t>Bohrer, Denise N.</t>
  </si>
  <si>
    <t>Bolfarini, C.</t>
  </si>
  <si>
    <t>Bolzan, Ariovaldo</t>
  </si>
  <si>
    <t>Bom, Clécio Roque De</t>
  </si>
  <si>
    <t>Bom, Marlone Heliara Hünnig</t>
  </si>
  <si>
    <t>Bonagamba, T. J.</t>
  </si>
  <si>
    <t>Bonatto, Sandro L.</t>
  </si>
  <si>
    <t>Bonella, Vitor Berger</t>
  </si>
  <si>
    <t>Bonetti, Darlan</t>
  </si>
  <si>
    <t>Bongiolo, Everton Marques</t>
  </si>
  <si>
    <t>Bonomo, Robson</t>
  </si>
  <si>
    <t>Bordignon, Alex Laier</t>
  </si>
  <si>
    <t>Bordignon, Fernando Luis</t>
  </si>
  <si>
    <t>Bordin, Fabiane</t>
  </si>
  <si>
    <t>Borges Filho, Moacyr Nogueira</t>
  </si>
  <si>
    <t>Valle, J. A.B.</t>
  </si>
  <si>
    <t>Borges, C. P.</t>
  </si>
  <si>
    <t>Borges, D. G.</t>
  </si>
  <si>
    <t>Borges, Daniel L. G.</t>
  </si>
  <si>
    <t>Borges, Gustavo Rodrigues</t>
  </si>
  <si>
    <t>Borges, Itamar</t>
  </si>
  <si>
    <t>Borges, Jéssica V.</t>
  </si>
  <si>
    <t>Dos Anjos Borges, Luiz Gustavo</t>
  </si>
  <si>
    <t>Borges, Luiz G.F.</t>
  </si>
  <si>
    <t>Borges, Marcelo Favaro</t>
  </si>
  <si>
    <t>Borges, Rodrigo Fernando De Oliveira</t>
  </si>
  <si>
    <t>Borges-Silva, Milton</t>
  </si>
  <si>
    <t>Borghi, Fabrício Frizera</t>
  </si>
  <si>
    <t>Borghi, Flávia T.</t>
  </si>
  <si>
    <t>Borghi, Leonardo Fonseca</t>
  </si>
  <si>
    <t>Borin, Edson</t>
  </si>
  <si>
    <t>Bossolan, Nelma Regina Segnini</t>
  </si>
  <si>
    <t>Botelho, Alanna M.</t>
  </si>
  <si>
    <t>Botelho, Alberto Caixeta</t>
  </si>
  <si>
    <t>Botelho, Viviane Rodrigues</t>
  </si>
  <si>
    <t>Bott, Ivaní De Souza</t>
  </si>
  <si>
    <t>Botta, Clarice Maria Rispoli</t>
  </si>
  <si>
    <t>Botta, Lívia Silva</t>
  </si>
  <si>
    <t>Botta, W. J.</t>
  </si>
  <si>
    <t>Bouchonneau, Nadège</t>
  </si>
  <si>
    <t>Brackmann, Rodrigo</t>
  </si>
  <si>
    <t>Braga Lemos, Guilherme Vieira</t>
  </si>
  <si>
    <t>Braga, Adriana Da Costa</t>
  </si>
  <si>
    <t>Braga, Arthur Martins Barbosa</t>
  </si>
  <si>
    <t>Braga, Carlos Valois Maciel</t>
  </si>
  <si>
    <t>Braga, Dandara D.</t>
  </si>
  <si>
    <t>Braga, João J.V.</t>
  </si>
  <si>
    <t>Braga, Lucas C.</t>
  </si>
  <si>
    <t>Braga, Luis Paulo Vieira</t>
  </si>
  <si>
    <t>Braga, Mateus Urias Cerdeira</t>
  </si>
  <si>
    <t>Braga, Paola M.C.</t>
  </si>
  <si>
    <t>Braga, Rafael</t>
  </si>
  <si>
    <t>Braga, Renata Martins</t>
  </si>
  <si>
    <t>Braga, Sergio Leal</t>
  </si>
  <si>
    <t>Braggio, Flávia A.</t>
  </si>
  <si>
    <t>Braibante, Hugo T.S.</t>
  </si>
  <si>
    <t>Branco, Rodrigo Luís F.Castello</t>
  </si>
  <si>
    <t>Branco, T.</t>
  </si>
  <si>
    <t>Branco, Verônica Teixeira Franco Caste</t>
  </si>
  <si>
    <t>Brandão, Ana Carolina Pereira Soares</t>
  </si>
  <si>
    <t>Brandão, André</t>
  </si>
  <si>
    <t>Brandão, Anne C.M.</t>
  </si>
  <si>
    <t>Iglesias Brandao, Danilo Iglesias</t>
  </si>
  <si>
    <t>Brandao, J. F.S.</t>
  </si>
  <si>
    <t>Brandão, Luciene Pires</t>
  </si>
  <si>
    <t>Brandi, Sérgio Duarte</t>
  </si>
  <si>
    <t>Brandini, Frederico Pereira</t>
  </si>
  <si>
    <t>Brant, V.</t>
  </si>
  <si>
    <t>Brant, Vinnicius F.</t>
  </si>
  <si>
    <t>Brante, Glauber Gomes De Oliveira</t>
  </si>
  <si>
    <t>Brasil, Márcia Campos</t>
  </si>
  <si>
    <t>Brasil, Mirtes Aila De Carvalho</t>
  </si>
  <si>
    <t>Brasil, Simone Louise Delarue Cezar</t>
  </si>
  <si>
    <t>Brassolatti, Patrícia</t>
  </si>
  <si>
    <t>Braun Dos Santos, Natália</t>
  </si>
  <si>
    <t>Bräuning, Luis Felipe Guarda</t>
  </si>
  <si>
    <t>Braz, B. F.</t>
  </si>
  <si>
    <t>Braz, Guilherme De Araújo</t>
  </si>
  <si>
    <t>Braz, Patrick F.</t>
  </si>
  <si>
    <t>Brêda, Gabriela Coelho</t>
  </si>
  <si>
    <t>Brêda, Thaís Coelho</t>
  </si>
  <si>
    <t>Brehme, Isa</t>
  </si>
  <si>
    <t>Breitenbach, Joseane Ortiz</t>
  </si>
  <si>
    <t>Brenner, Maira Geane Birgeier</t>
  </si>
  <si>
    <t>Bresolin, Daniela</t>
  </si>
  <si>
    <t>Bressan, Lia Weigert</t>
  </si>
  <si>
    <t>Bressan, Lucas Paines</t>
  </si>
  <si>
    <t>Bressane, Andressa</t>
  </si>
  <si>
    <t>Bretas, Clara</t>
  </si>
  <si>
    <t>Bridi Guazzelli, Arthur</t>
  </si>
  <si>
    <t>Brienzo, Michel</t>
  </si>
  <si>
    <t>Brigagão, George Victor</t>
  </si>
  <si>
    <t>Brita, Júlio T.</t>
  </si>
  <si>
    <t>Brito, A.</t>
  </si>
  <si>
    <t>Brito, Ailton S.</t>
  </si>
  <si>
    <t>Brito, Ailton Silva</t>
  </si>
  <si>
    <t>Brito, Lélio Antônio Teixeira</t>
  </si>
  <si>
    <t>Brochsztain, Sérgio</t>
  </si>
  <si>
    <t>Brod, José Affonso</t>
  </si>
  <si>
    <t>Brondani, Chaveli</t>
  </si>
  <si>
    <t>Brückmann, Matheus Philipe</t>
  </si>
  <si>
    <t>Brudi, Letícia Callegaro</t>
  </si>
  <si>
    <t>Bruère, Vivianne Marie</t>
  </si>
  <si>
    <t>Brum Walter, Nicole Monique</t>
  </si>
  <si>
    <t>Brum, Diego</t>
  </si>
  <si>
    <t>Bruno, Antonio Carlos Oliveira</t>
  </si>
  <si>
    <t>Bruno, Miguel Antonio Pinho</t>
  </si>
  <si>
    <t>Bruno, Mauro Daniel Rodrigues</t>
  </si>
  <si>
    <t>Brusamarello, Beatriz</t>
  </si>
  <si>
    <t>Buarque, Filipe Smith</t>
  </si>
  <si>
    <t>Bubach Carvalho Simão, Laís</t>
  </si>
  <si>
    <t>Bucioli, Elaine Cristina</t>
  </si>
  <si>
    <t>Budhe, Sandip</t>
  </si>
  <si>
    <t>Goularte, Rayane Bueno</t>
  </si>
  <si>
    <t>Bueno, Alysson Helton Santos</t>
  </si>
  <si>
    <t>Bueno, André Duarte</t>
  </si>
  <si>
    <t>Bueno, Carolina Da Silveira</t>
  </si>
  <si>
    <t>Bueno, David Eduardo G.P.</t>
  </si>
  <si>
    <t>Bueno, Gilmar Vital</t>
  </si>
  <si>
    <t>Bueno, Lucas Dotto</t>
  </si>
  <si>
    <t>Buiochi, Flávio C.</t>
  </si>
  <si>
    <t>Bulgarelli, Natan Augusto Vieira</t>
  </si>
  <si>
    <t>Bulhoes, Frank Cenci</t>
  </si>
  <si>
    <t>Buonora, Marco Polo Pereira</t>
  </si>
  <si>
    <t>Burda, Matheus A.</t>
  </si>
  <si>
    <t>Burgo, Thiago Augusto Lima</t>
  </si>
  <si>
    <t>Burrowes, Mariana</t>
  </si>
  <si>
    <t>Buschinelli, Pedro D.V.</t>
  </si>
  <si>
    <t>Buzzatti, Diogo Trento</t>
  </si>
  <si>
    <t>Buzzatti, Jonas Trento</t>
  </si>
  <si>
    <t>Caarls, Wouter</t>
  </si>
  <si>
    <t>Caballero, Edison F.</t>
  </si>
  <si>
    <t>Torrez Caballero, Pablo</t>
  </si>
  <si>
    <t>Cabral, Guilherme B.</t>
  </si>
  <si>
    <t>Cabral, Hélder L.D.</t>
  </si>
  <si>
    <t>Cabral, Mateus Da C.S.</t>
  </si>
  <si>
    <t>Cabral, Murilo Feitosa</t>
  </si>
  <si>
    <t>Cabral, P. R.</t>
  </si>
  <si>
    <t>Cabral, Thiago Destri</t>
  </si>
  <si>
    <t>Cabrelon, Marcelo Dezena</t>
  </si>
  <si>
    <t>Cabrera, Eduardo Faria</t>
  </si>
  <si>
    <t>Caetano, Vanessa Santana</t>
  </si>
  <si>
    <t>Cagliari, J.</t>
  </si>
  <si>
    <t>Caiado, Rodrigo Goyannes Gusmão</t>
  </si>
  <si>
    <t>Caire, Marcelo</t>
  </si>
  <si>
    <t>Rodrigues, J. M.</t>
  </si>
  <si>
    <t>Caixeta, Guilherme Miranda</t>
  </si>
  <si>
    <t>Cajaiba, João</t>
  </si>
  <si>
    <t>Calabrez, N. D.</t>
  </si>
  <si>
    <t>Calado, Leandro</t>
  </si>
  <si>
    <t>Américo Calçada, Luís</t>
  </si>
  <si>
    <t>Caldana, Camila</t>
  </si>
  <si>
    <t>Caldas, Amanda M.</t>
  </si>
  <si>
    <t>Caldas, Theo</t>
  </si>
  <si>
    <t>Caldeira, Lecino</t>
  </si>
  <si>
    <t>Caldeira, Leila Rodrigues</t>
  </si>
  <si>
    <t>Winckler Caldeira, Marcos Vinicius</t>
  </si>
  <si>
    <t>Calderón, Jully A.</t>
  </si>
  <si>
    <t>Calderon-Fajardo, Alejandra</t>
  </si>
  <si>
    <t>Calili, R. F.</t>
  </si>
  <si>
    <t>Caliman, Ednéia</t>
  </si>
  <si>
    <t>Calixto, Guilherme Quintela</t>
  </si>
  <si>
    <t>Calixto, José Márcio Fonseca</t>
  </si>
  <si>
    <t>Callegari-Jacques, S. M.</t>
  </si>
  <si>
    <t>Calomeni, Gustavo Delfino</t>
  </si>
  <si>
    <t>Camacho, Alejandra</t>
  </si>
  <si>
    <t>Câmara, Maurício M.</t>
  </si>
  <si>
    <t>Câmara, Paulo César França Da</t>
  </si>
  <si>
    <t>Camargo, Abdigal</t>
  </si>
  <si>
    <t>Camargo, Gisele Nery</t>
  </si>
  <si>
    <t>Camargo, Mário Augusto</t>
  </si>
  <si>
    <t>Camargo, Murilo Henrique Taques</t>
  </si>
  <si>
    <t>Camelo, Beatriz Veloso</t>
  </si>
  <si>
    <t>Soriano Camelo, Cristian Yair</t>
  </si>
  <si>
    <t>Câmera, Adriana Simane</t>
  </si>
  <si>
    <t>Giron Camerini, Cesar Giron</t>
  </si>
  <si>
    <t>Camillo, Luciana</t>
  </si>
  <si>
    <t>Camiloti, Priscila Rosseto</t>
  </si>
  <si>
    <t>Caminha, Silane A.</t>
  </si>
  <si>
    <t>Caminhas, Walmir M.</t>
  </si>
  <si>
    <t>Cammarota, M. C.</t>
  </si>
  <si>
    <t>Campisano, Ivone Sampaio Pereira</t>
  </si>
  <si>
    <t>Camponogara, Eduardo</t>
  </si>
  <si>
    <t>Campos Machado, Matheus Da Silva</t>
  </si>
  <si>
    <t>Campos Oliveira, Luan Felipe</t>
  </si>
  <si>
    <t>Campos, Gabriela Munis</t>
  </si>
  <si>
    <t>Carbonelli Campos, Juacyara Carbonelli</t>
  </si>
  <si>
    <t>Campos, Jonathan</t>
  </si>
  <si>
    <t>Campos, Júlio Gonçalves</t>
  </si>
  <si>
    <t>Campos, Lucas Braga</t>
  </si>
  <si>
    <t>Campos, Luiz Felipe De O.</t>
  </si>
  <si>
    <t>Campos, Magno Silvério</t>
  </si>
  <si>
    <t>Campos, Pedro P.E.</t>
  </si>
  <si>
    <t>Campos, Thomas F.Costa</t>
  </si>
  <si>
    <t>Canabarro, Bruno</t>
  </si>
  <si>
    <t>Bortolassi, Ana Cláudia Canalli</t>
  </si>
  <si>
    <t>Canchumuni, Smith W.A.</t>
  </si>
  <si>
    <t>Cancino, Leonel R.</t>
  </si>
  <si>
    <t>Cancino-Bernardi, J.</t>
  </si>
  <si>
    <t>Candido, Arthur Cde Albuquerque Fonseca</t>
  </si>
  <si>
    <t>Candido, Juliana Dumard Carracena</t>
  </si>
  <si>
    <t>Candido, Laisa S.</t>
  </si>
  <si>
    <t>Candido, Mariane</t>
  </si>
  <si>
    <t>Cândido, Samuel N.</t>
  </si>
  <si>
    <t>Canguçu, Gabriel L.</t>
  </si>
  <si>
    <t>Canhaci, Simone J.</t>
  </si>
  <si>
    <t>Canterle, Joseane Ortiz Breitenbach</t>
  </si>
  <si>
    <t>Capistrano, Letícia Correa</t>
  </si>
  <si>
    <t>Cappelaro, Victor</t>
  </si>
  <si>
    <t>Caprace, Jean David Job Emmanuel Marie</t>
  </si>
  <si>
    <t>Capron, Bruno Didier Olivier</t>
  </si>
  <si>
    <t>Capuchinho, João Pedro Dias</t>
  </si>
  <si>
    <t>Capuzzo, Felipe V.</t>
  </si>
  <si>
    <t>Caram̃ao, Elina Bastos</t>
  </si>
  <si>
    <t>Carbonari, C. A.</t>
  </si>
  <si>
    <t>Carbonera, Joel Lúis</t>
  </si>
  <si>
    <t>Carboni, Andrea Piga</t>
  </si>
  <si>
    <t>Cardenas, A. L.</t>
  </si>
  <si>
    <t>Cardoso Santiago, Priscila</t>
  </si>
  <si>
    <t>Cardoso, Alexandre Ribeiro</t>
  </si>
  <si>
    <t>Cardoso, Andressa Andrade</t>
  </si>
  <si>
    <t>Cardoso, Carla</t>
  </si>
  <si>
    <t>Cardoso, Carlos Leonardo Souza</t>
  </si>
  <si>
    <t>Cardoso, Cristiane S.</t>
  </si>
  <si>
    <t>Cardoso, Dilson</t>
  </si>
  <si>
    <t>Cardoso, Daniel Carlos Taissum</t>
  </si>
  <si>
    <t>Cardoso, Giuseppe Sampaio Almeida</t>
  </si>
  <si>
    <t>Cardoso, Henrique Ribeiro Piaggio</t>
  </si>
  <si>
    <t>Cardoso, Jorge Luiz</t>
  </si>
  <si>
    <t>Cardoso, Juliana Lopes</t>
  </si>
  <si>
    <t>Cardoso, Milena B.</t>
  </si>
  <si>
    <t>Cardoso, Marcio</t>
  </si>
  <si>
    <t>Cardoso, Mariana Santos</t>
  </si>
  <si>
    <t>Cardoso, Pedro</t>
  </si>
  <si>
    <t>Cardoso, Renan Pereira</t>
  </si>
  <si>
    <t>Cardoso, Victor Gustavo Kelis</t>
  </si>
  <si>
    <t>Cardoso, Victor Soares</t>
  </si>
  <si>
    <t>Cardoso, Wilson Júnior</t>
  </si>
  <si>
    <t>Cardozo da Silva, Jean Carlos</t>
  </si>
  <si>
    <t>Cargnelutti Filho, Alberto</t>
  </si>
  <si>
    <t>Cargnin, Rejane Secretti</t>
  </si>
  <si>
    <t>Caríssimi, Alexandre Silva</t>
  </si>
  <si>
    <t>Carlim, Carlos</t>
  </si>
  <si>
    <t>Carminati, Hudson Bolsoni</t>
  </si>
  <si>
    <t>Carmo, F. L.</t>
  </si>
  <si>
    <t>Carmo, Kevin Luiz C.Ferrer Do</t>
  </si>
  <si>
    <t>Carmo, Weberton Reis Do</t>
  </si>
  <si>
    <t>Carneiro Mascarenhas, Grace Batista</t>
  </si>
  <si>
    <t>Carneiro, Antônio Adilton Oliveira</t>
  </si>
  <si>
    <t>Carneiro, João N.E.</t>
  </si>
  <si>
    <t>Carneiro, Manuel Castro</t>
  </si>
  <si>
    <t>Carneiro, Marília Da Silva Ramos</t>
  </si>
  <si>
    <t>Carneiro, Mikaelle Araujo</t>
  </si>
  <si>
    <t>Carniel, Adriano</t>
  </si>
  <si>
    <t>Carobino, Evandro Souto</t>
  </si>
  <si>
    <t>Carolina Hermógenes de Matos, Ana</t>
  </si>
  <si>
    <t>Caron de Souza, Pamela</t>
  </si>
  <si>
    <t>Carpio, R. R.</t>
  </si>
  <si>
    <t>Carrasco, Alfredo Moisés Vallejos</t>
  </si>
  <si>
    <t>Carreira, Renato S.</t>
  </si>
  <si>
    <t>Carreira, Victor Ribeiro</t>
  </si>
  <si>
    <t>Carreno Velasco, Javier Alejandro</t>
  </si>
  <si>
    <t>Carreño, Marcelo Nelson Páez</t>
  </si>
  <si>
    <t>Carriço, Victor Hugo Ribeiro</t>
  </si>
  <si>
    <t>Carrion, M. A.</t>
  </si>
  <si>
    <t>Carrion, Ronaldo</t>
  </si>
  <si>
    <t>Cartucho, Igor R.</t>
  </si>
  <si>
    <t>Carvalheira, Luciana</t>
  </si>
  <si>
    <t>Carvalho Coutinho, Luiz Felipe</t>
  </si>
  <si>
    <t>Carvalho Filho, José Maria</t>
  </si>
  <si>
    <t>Carvalho Medeiros, Lizianne</t>
  </si>
  <si>
    <t>Carvalho, Anny Rafaela De Araújo</t>
  </si>
  <si>
    <t>Carvalho, Cássio Francisco Moreira De</t>
  </si>
  <si>
    <t>Carvalho, Cesar Cosenza</t>
  </si>
  <si>
    <t>Carvalho, Danielle Fernandes</t>
  </si>
  <si>
    <t>Carvalho, Diego</t>
  </si>
  <si>
    <t>Carvalho, Emily A.</t>
  </si>
  <si>
    <t>Carvalho, Felipe Gomes De</t>
  </si>
  <si>
    <t>Carvalho, Florival R.</t>
  </si>
  <si>
    <t>Carvalho, Guilherme P.S.</t>
  </si>
  <si>
    <t>de Araújo Carvalho, Gustavo</t>
  </si>
  <si>
    <t>Carvalho, Ismar De Souza</t>
  </si>
  <si>
    <t>Carvalho, Juliana F.A.</t>
  </si>
  <si>
    <t>Carvalho, Karen Braathen</t>
  </si>
  <si>
    <t>Carvalho, Leandro Machado De</t>
  </si>
  <si>
    <t>Mariano Carvalho, Luiz Mariano</t>
  </si>
  <si>
    <t>Carvalho, Marcelo De Araújo</t>
  </si>
  <si>
    <t>Carvalho, Marcio da Silveira</t>
  </si>
  <si>
    <t>Carvalho, Nakédia M.F.</t>
  </si>
  <si>
    <t>Carvalho, Nayara Ferreira</t>
  </si>
  <si>
    <t>Carvalho, Pedro M.S.</t>
  </si>
  <si>
    <t>Carvalho, Rafael Dos Santos</t>
  </si>
  <si>
    <t>Carvalho, Regina Duque Estrada</t>
  </si>
  <si>
    <t>Carvalho, Tássio Farias De</t>
  </si>
  <si>
    <t>Carvalho, Verônica Vale</t>
  </si>
  <si>
    <t>Carvalho, Yuri</t>
  </si>
  <si>
    <t>Carvas, Karine Zuccolan</t>
  </si>
  <si>
    <t>Casanova, Alessandra V.K.</t>
  </si>
  <si>
    <t>Soeiro Junior, Jaime Casanova</t>
  </si>
  <si>
    <t>Casanova, Livia Marques</t>
  </si>
  <si>
    <t>Casanova, Marco Antonio</t>
  </si>
  <si>
    <t>Casilli, Alessandro</t>
  </si>
  <si>
    <t>Cássaro, Fábio Augusto Meira</t>
  </si>
  <si>
    <t>Cassol, Daniela</t>
  </si>
  <si>
    <t>Branco, Rodrigo L.Castello</t>
  </si>
  <si>
    <t>Castelo Branco, Verônica T.F.</t>
  </si>
  <si>
    <t>Castiblanco, Julián Eduardo Ballén</t>
  </si>
  <si>
    <t>Castilho, Caroline V.V.</t>
  </si>
  <si>
    <t>Castillo, M. A.</t>
  </si>
  <si>
    <t>Castor, Fernando De Paula Leite</t>
  </si>
  <si>
    <t>Castrillon Fernandez, L. I.</t>
  </si>
  <si>
    <t>Castro, Ana Paula O.</t>
  </si>
  <si>
    <t>Castro, Daniel Scandiuzzi Valença</t>
  </si>
  <si>
    <t>Castro, Eduardo Da Silva</t>
  </si>
  <si>
    <t>Castro, Helver C.A.</t>
  </si>
  <si>
    <t>Bermudez, Jose D.</t>
  </si>
  <si>
    <t>Castro, Júlia Cunha De</t>
  </si>
  <si>
    <t>Castro, Laís F.</t>
  </si>
  <si>
    <t>Castro, Laura Pereira de</t>
  </si>
  <si>
    <t>Castro, Marcelo S.</t>
  </si>
  <si>
    <t>Castro, Maria Clara</t>
  </si>
  <si>
    <t>Castro, Michele Rocha</t>
  </si>
  <si>
    <t>Castro, Vinícius G.De</t>
  </si>
  <si>
    <t>Castro, Walace S.</t>
  </si>
  <si>
    <t>Cauduro, Vitoria H.</t>
  </si>
  <si>
    <t>Mota, Bruno C.</t>
  </si>
  <si>
    <t>Cavalcante, A. A.</t>
  </si>
  <si>
    <t>Cavalcante, R. R.H.</t>
  </si>
  <si>
    <t>Cavalcanti, Elisa D’Avila Costa</t>
  </si>
  <si>
    <t>Cavalcanti, Tatiana</t>
  </si>
  <si>
    <t>Cavalheiro, André</t>
  </si>
  <si>
    <t>Cavallari, Marcella Luiza</t>
  </si>
  <si>
    <t>Cavallini, Aldemir A.</t>
  </si>
  <si>
    <t>Cavelhão, Gabriel</t>
  </si>
  <si>
    <t>Cayo, Eric Lubín</t>
  </si>
  <si>
    <t>Ceccato, Rodrigo</t>
  </si>
  <si>
    <t>Cechinel, Maria Alice P.</t>
  </si>
  <si>
    <t>Cecílio, Diogo L.</t>
  </si>
  <si>
    <t>Celante, Vinícius Guilherme</t>
  </si>
  <si>
    <t>Celes, Waldemar</t>
  </si>
  <si>
    <t>Celestino, Maria Alcione Lima</t>
  </si>
  <si>
    <t>Célia, Raquel Severo</t>
  </si>
  <si>
    <t>Celino, Karoline Nóbrega</t>
  </si>
  <si>
    <t>Celnik, Johnatan</t>
  </si>
  <si>
    <t>Cenpes, Petrobras</t>
  </si>
  <si>
    <t>Centeno, Felipe Roman</t>
  </si>
  <si>
    <t>Cenzi, Juliana Rangel</t>
  </si>
  <si>
    <t>Ceolin, Daiane</t>
  </si>
  <si>
    <t>Cerqueira, Alexsandro Guerra</t>
  </si>
  <si>
    <t>Cerqueira, José Roberto</t>
  </si>
  <si>
    <t>Cerutti, Myriam Lorena Melgarejo Navarr</t>
  </si>
  <si>
    <t>César, Vinícius M.</t>
  </si>
  <si>
    <t>Cetale Santos, M. A.</t>
  </si>
  <si>
    <t>Chaban, V. V.</t>
  </si>
  <si>
    <t>Chagas de Oliveira Mariano, Danielly</t>
  </si>
  <si>
    <t>Chagas de Paiva, Luan</t>
  </si>
  <si>
    <t>Chagas Junior, Milton de Freitas</t>
  </si>
  <si>
    <t>Chagas, Luciano Honorato</t>
  </si>
  <si>
    <t>Chagas, Renata B.A.</t>
  </si>
  <si>
    <t>Chagas, Rennan Danilo Seimetz</t>
  </si>
  <si>
    <t>Chang, Hungkiang</t>
  </si>
  <si>
    <t>Changa, Hung Kiang</t>
  </si>
  <si>
    <t>Charin, Rafael Mengotti</t>
  </si>
  <si>
    <t>Chastinet, Victor Lira</t>
  </si>
  <si>
    <t>Chaves B, Michel R.</t>
  </si>
  <si>
    <t>Chaves, Andrea Rodrigues</t>
  </si>
  <si>
    <t>Chaves, Eduardo S.</t>
  </si>
  <si>
    <t>Chaves, Gabriela Souza</t>
  </si>
  <si>
    <t>Chaves, Isabella</t>
  </si>
  <si>
    <t>Chaves, Luis Fernando Fiuza</t>
  </si>
  <si>
    <t>Chaves, Michel R.B.</t>
  </si>
  <si>
    <t>Chavez, Rafael</t>
  </si>
  <si>
    <t>Chemale Junior, Farid</t>
  </si>
  <si>
    <t>Chemingui, Nizar</t>
  </si>
  <si>
    <t>Chencarek, B.</t>
  </si>
  <si>
    <t>Chiara, Rafael D’Amaro</t>
  </si>
  <si>
    <t>Chiarello, Conrado</t>
  </si>
  <si>
    <t>Chiavone-Filho, Osvaldo</t>
  </si>
  <si>
    <t>Chimin, Roberta Q.F.</t>
  </si>
  <si>
    <t>Chinchay, Carlos Alberto León</t>
  </si>
  <si>
    <t>Chludzinski, Mariane</t>
  </si>
  <si>
    <t>Choueri, Nelson</t>
  </si>
  <si>
    <t>Chueke, Jacques</t>
  </si>
  <si>
    <t>Chujutali, John Alex</t>
  </si>
  <si>
    <t>Chujutalli, John H.</t>
  </si>
  <si>
    <t>Chuqui, Mateus Gustavo</t>
  </si>
  <si>
    <t>Ciapina, Luciane Prioli</t>
  </si>
  <si>
    <t>Ciarelli, Patrick Marques</t>
  </si>
  <si>
    <t>Cicconeto, Fernando</t>
  </si>
  <si>
    <t>Cicelini, Gabriel</t>
  </si>
  <si>
    <t>Cícero do Nascimento, Paulo</t>
  </si>
  <si>
    <t>Cid, K. F.</t>
  </si>
  <si>
    <t>Cinelli, Bernardo A.</t>
  </si>
  <si>
    <t>Cinelli, Lucas Pinheiro</t>
  </si>
  <si>
    <t>Cioccari, Giovani Matte</t>
  </si>
  <si>
    <t>Cioffi, Caue Rodrigues</t>
  </si>
  <si>
    <t>Cipolatti, E. P.</t>
  </si>
  <si>
    <t>Cipriano, Daniel F.</t>
  </si>
  <si>
    <t>Cirano, Mauro</t>
  </si>
  <si>
    <t>Cirilo, Leilane Carla Matos</t>
  </si>
  <si>
    <t>Citó, Antônia Maria Das Graças Lopes</t>
  </si>
  <si>
    <t>Clarke, Thomas Gabriel Rosauro</t>
  </si>
  <si>
    <t>Claro, Rafael Tobio</t>
  </si>
  <si>
    <t>Claumann, Carlos Alberto</t>
  </si>
  <si>
    <t>Claussen, Luís Evandro</t>
  </si>
  <si>
    <t>Clavijo, Nayher A.</t>
  </si>
  <si>
    <t>Clemente, Ricardo Gomes</t>
  </si>
  <si>
    <t>Cleto, Pedro Rogério</t>
  </si>
  <si>
    <t>Clevelario, Judimar De Assiss</t>
  </si>
  <si>
    <t>Clua, Esteban Walter Gonzalez</t>
  </si>
  <si>
    <t>Cobalchini, Fabiana W.</t>
  </si>
  <si>
    <t>Melian Cobas, Vladimir Rafael</t>
  </si>
  <si>
    <t>Coelho, Bernardo</t>
  </si>
  <si>
    <t>Coelho, Déborah Regina Bispo</t>
  </si>
  <si>
    <t>Coelho, Dimas</t>
  </si>
  <si>
    <t>Coelho, Felipe Ramos</t>
  </si>
  <si>
    <t>Coelho, Gilberto S.</t>
  </si>
  <si>
    <t>Coelho, Gustavo M.C.</t>
  </si>
  <si>
    <t>Coelho, Icaro</t>
  </si>
  <si>
    <t>Coelho, J. C.</t>
  </si>
  <si>
    <t>Coêlho, Jéferson Rômulo Pereira</t>
  </si>
  <si>
    <t>Coelho, Juliana A.</t>
  </si>
  <si>
    <t>Coelho, Juliana Da Mota</t>
  </si>
  <si>
    <t>Coelho, Maria Alice Zarur</t>
  </si>
  <si>
    <t>Coelho, Tiago L.</t>
  </si>
  <si>
    <t>Coelho, Tobias Rafael M.</t>
  </si>
  <si>
    <t>Coello, J. A.C.</t>
  </si>
  <si>
    <t>Cofferri, Leonardo</t>
  </si>
  <si>
    <t>Coimbra, Iury</t>
  </si>
  <si>
    <t>Coimbra, Pedro V.S.</t>
  </si>
  <si>
    <t>Colaço, Marcelo</t>
  </si>
  <si>
    <t>Collaço, Ana Cristina De A.</t>
  </si>
  <si>
    <t>Colombini, Angelo Cesar</t>
  </si>
  <si>
    <t>Coltro, W. K.T.</t>
  </si>
  <si>
    <t>Cárdenas Concha, V. O.</t>
  </si>
  <si>
    <t>Conci, A.</t>
  </si>
  <si>
    <t>Congro, Marcello</t>
  </si>
  <si>
    <t>Conopoima, Cesar Augusto</t>
  </si>
  <si>
    <t>Consoli, Bernardo Scapini</t>
  </si>
  <si>
    <t>Constant, Marcelo Jardim</t>
  </si>
  <si>
    <t>Contant, Marcelo Jardim</t>
  </si>
  <si>
    <t>Conte, Marco Germano</t>
  </si>
  <si>
    <t>Contreras, Maria Marjorie</t>
  </si>
  <si>
    <t>Copetti, Alessandro</t>
  </si>
  <si>
    <t>Cordão-Neto, Manoel Porfírio</t>
  </si>
  <si>
    <t>Cordeiro, Felipe Biasuz</t>
  </si>
  <si>
    <t>Cordeiro, Lívia Gebara M.S.</t>
  </si>
  <si>
    <t>Cordeiro, Renato Campello</t>
  </si>
  <si>
    <t>Córdoba, Valéria Centurión</t>
  </si>
  <si>
    <t>Cordon, Marco</t>
  </si>
  <si>
    <t>Corrêa Junior, Carlos Barbosa</t>
  </si>
  <si>
    <t>Correa-Pabón, Rosa Elvira</t>
  </si>
  <si>
    <t>Correa, Bethania Machado</t>
  </si>
  <si>
    <t>Correa, Bruno</t>
  </si>
  <si>
    <t>Correa, Carlos</t>
  </si>
  <si>
    <t>Corrêa, Cleysson C.</t>
  </si>
  <si>
    <t>Corrêa, Daniela Leite</t>
  </si>
  <si>
    <t>Corrêa, Harrison Lourenço</t>
  </si>
  <si>
    <t>Corrêa, Rodrigo José</t>
  </si>
  <si>
    <t>Machado Corrêa, Sérgio Machado</t>
  </si>
  <si>
    <t>Corrêa, Simone N.</t>
  </si>
  <si>
    <t>Correa, Tarcisio</t>
  </si>
  <si>
    <t>Corrêa, Thamiris De Souza</t>
  </si>
  <si>
    <t>Correia Filho, Osvaldo José</t>
  </si>
  <si>
    <t>Correia Marques, João Marcos</t>
  </si>
  <si>
    <t>Correia, O. J.</t>
  </si>
  <si>
    <t>Correia, Pedro M.B.</t>
  </si>
  <si>
    <t>Corseuil, Eduardo Thadeu Leite</t>
  </si>
  <si>
    <t>Corseuil, Henry Xavier</t>
  </si>
  <si>
    <t>Côrtes, Adriano M.A.</t>
  </si>
  <si>
    <t>Côrtes, Árley</t>
  </si>
  <si>
    <t>Cosme, Jaqueline Guimarães Lima</t>
  </si>
  <si>
    <t>Cosmo, Rafael de Paula</t>
  </si>
  <si>
    <t>Costa de Sousa, Alek André</t>
  </si>
  <si>
    <t>Costa de Souza, Alcemir</t>
  </si>
  <si>
    <t>Costa Louzada, Tamires C.</t>
  </si>
  <si>
    <t>Costa, André M.M.</t>
  </si>
  <si>
    <t>Costa, A. M.S.</t>
  </si>
  <si>
    <t>Costa, Alexandre Barreto</t>
  </si>
  <si>
    <t>Costa, André Luiz Hemerly</t>
  </si>
  <si>
    <t>Amorim Costa, Anna Carolina</t>
  </si>
  <si>
    <t>Costa, Anna Helena Reali</t>
  </si>
  <si>
    <t>Costa, Antonio Mario L.M.</t>
  </si>
  <si>
    <t>Costa, Bruno Leonardo De Sena</t>
  </si>
  <si>
    <t>Costa, Beethoven Gdos S.</t>
  </si>
  <si>
    <t>Costa, Bruno Vieira</t>
  </si>
  <si>
    <t>Costa, Carlos Alberto Rodrigues</t>
  </si>
  <si>
    <t>Costa, Eduardo Almeida</t>
  </si>
  <si>
    <t>da Costa, Eleani Maria</t>
  </si>
  <si>
    <t>Costa, Erbet A.</t>
  </si>
  <si>
    <t>Costa, Fábio Ouverney</t>
  </si>
  <si>
    <t>Costa, Felipe Timóteo Da</t>
  </si>
  <si>
    <t>Da Costa, Greice K.B.</t>
  </si>
  <si>
    <t>Costa, Hélio R.</t>
  </si>
  <si>
    <t>Costa, Ingrid B.</t>
  </si>
  <si>
    <t>Costa, Izabel C.Medeiros</t>
  </si>
  <si>
    <t>Costa, J. C.</t>
  </si>
  <si>
    <t>Costa, Joao Felipe Coimbra Leite</t>
  </si>
  <si>
    <t>Costa, Jessé Carvalho W.A.</t>
  </si>
  <si>
    <t>Costa, Juliana</t>
  </si>
  <si>
    <t>Costa, Karen Badaraco</t>
  </si>
  <si>
    <t>Costa, Kelton Augusto Pontara Da</t>
  </si>
  <si>
    <t>Costa, Kerwin Araújo</t>
  </si>
  <si>
    <t>Costa, Lucas Gabriel De Oliveira</t>
  </si>
  <si>
    <t>Costa, Marysilvia Ferreira Da</t>
  </si>
  <si>
    <t>Costa, Natália Silva</t>
  </si>
  <si>
    <t>Costa, Nathalia M.L.</t>
  </si>
  <si>
    <t>Costa, Newton Bruno De Almeida</t>
  </si>
  <si>
    <t>Costa, Paulo R.S.</t>
  </si>
  <si>
    <t>Costa, Paulo Alberto Silva Da</t>
  </si>
  <si>
    <t>da Costa, Pedro Vassalo Maia</t>
  </si>
  <si>
    <t>Costa, Ramon Romankevicius</t>
  </si>
  <si>
    <t>Costa, Rodrigo Vinagre Cintra Da</t>
  </si>
  <si>
    <t>Costa, Sabryna I.G.</t>
  </si>
  <si>
    <t>Costa, Tamires Cristina</t>
  </si>
  <si>
    <t>Costa, Tatiane</t>
  </si>
  <si>
    <t>Rodrigues Pontes da Costa, Waleska</t>
  </si>
  <si>
    <t>Costa, Zurel S.</t>
  </si>
  <si>
    <t>Cota, Raphael Enes</t>
  </si>
  <si>
    <t>Coteskvisk, Patrícia M.</t>
  </si>
  <si>
    <t>Cotrim, Lucas Pereira</t>
  </si>
  <si>
    <t>Cotrim, M. L.</t>
  </si>
  <si>
    <t>Coutinho, A. L.G.A.</t>
  </si>
  <si>
    <t>Coutinho, Dayane Magalhães</t>
  </si>
  <si>
    <t>Coutinho, Diogo Azevedo</t>
  </si>
  <si>
    <t>Coutinho, Gabriel</t>
  </si>
  <si>
    <t>Coutinho, Igor Andrade</t>
  </si>
  <si>
    <t>Coutinho, Luiz Felipe Carvalho</t>
  </si>
  <si>
    <t>Coutinho, Naira</t>
  </si>
  <si>
    <t>Coutinho, P. P.</t>
  </si>
  <si>
    <t>Coutinho, Rafaelli De C.</t>
  </si>
  <si>
    <t>Coutinho, Ricardo</t>
  </si>
  <si>
    <t>Coutinho-Neto, Maurício Domingues</t>
  </si>
  <si>
    <t>Couto, Daniel De Matos</t>
  </si>
  <si>
    <t>Couto, Paulo</t>
  </si>
  <si>
    <t>Covas, Taynara Rodrigues</t>
  </si>
  <si>
    <t>Covell, Lidiane</t>
  </si>
  <si>
    <t>Cozin, Cristiane</t>
  </si>
  <si>
    <t>Cravo, Walter Barreiro</t>
  </si>
  <si>
    <t>Creatto, Eduardo José</t>
  </si>
  <si>
    <t>Cremasco, Carlos W.</t>
  </si>
  <si>
    <t>Cremona, Marco</t>
  </si>
  <si>
    <t>Crepani, Edison</t>
  </si>
  <si>
    <t>Crespo, Natália Machado</t>
  </si>
  <si>
    <t>Crispim, Josicelli Souza</t>
  </si>
  <si>
    <t>Cristian, Muara</t>
  </si>
  <si>
    <t>Crósta, Álvaro Penteado</t>
  </si>
  <si>
    <t>Crucello, Juliana</t>
  </si>
  <si>
    <t>Cruz Nascimento, Mario Luiz</t>
  </si>
  <si>
    <t>Cruz, Átila L.</t>
  </si>
  <si>
    <t>Cruz, Fernanda P.</t>
  </si>
  <si>
    <t>Cruz, Flávio Caldas</t>
  </si>
  <si>
    <t>Da Cruz, Georgiana F.</t>
  </si>
  <si>
    <t>Cruz, J. N.</t>
  </si>
  <si>
    <t>Cruz, Matheus A.</t>
  </si>
  <si>
    <t>Cruz, Manuel Ernani</t>
  </si>
  <si>
    <t>Cruz, M. S.</t>
  </si>
  <si>
    <t>Cruz, Matheus De Andrade</t>
  </si>
  <si>
    <t>Cuba, João Pedro B.</t>
  </si>
  <si>
    <t>Cubas Jonck, Cássia C.</t>
  </si>
  <si>
    <t>Cubas, J. M.C.</t>
  </si>
  <si>
    <t>Cucinelli Neto, Roberto Pinto</t>
  </si>
  <si>
    <t>Cueva, L. G.</t>
  </si>
  <si>
    <t>Cugnasca, Carlos E.</t>
  </si>
  <si>
    <t>Cuminato, José Alberto</t>
  </si>
  <si>
    <t>Cunha, Alfredo Gonçalves</t>
  </si>
  <si>
    <t>Cunha, Felipe Coelho</t>
  </si>
  <si>
    <t>Cunha, Gerson Gomes</t>
  </si>
  <si>
    <t>Cunha, João Victor Moura</t>
  </si>
  <si>
    <t>da Cunha, Márcio José</t>
  </si>
  <si>
    <t>Cunha, Pedro H.P.</t>
  </si>
  <si>
    <t>Cunha, Rodrigo F.</t>
  </si>
  <si>
    <t>Cunha, Rodrigo Da Silva</t>
  </si>
  <si>
    <t>Cunha, R. L.</t>
  </si>
  <si>
    <t>Cunha, Sérgio Barros Da</t>
  </si>
  <si>
    <t>Cunha, Tiago Vieira da</t>
  </si>
  <si>
    <t>Cuno, Jordan Salas</t>
  </si>
  <si>
    <t>Curtius, Adilson José</t>
  </si>
  <si>
    <t>Cury, Alexandre A.</t>
  </si>
  <si>
    <t>Cusihualpa, Carla</t>
  </si>
  <si>
    <t>Custódio, Diogo A.S.</t>
  </si>
  <si>
    <t>Custódio, Fábio Lima</t>
  </si>
  <si>
    <t>Custódio, Luiz Felipe Niedermaier</t>
  </si>
  <si>
    <t>Ramalho Cyrino, Julio C.</t>
  </si>
  <si>
    <t>D’Almeida, Albino Lopes</t>
  </si>
  <si>
    <t>D’Bastiani, Camila</t>
  </si>
  <si>
    <t>Correa da Camara Rosa, Maria Luiza</t>
  </si>
  <si>
    <t>da Câmara, Paulo César França</t>
  </si>
  <si>
    <t>da Carvalho, M. S.</t>
  </si>
  <si>
    <t>da Costa Alves, Eliane C.</t>
  </si>
  <si>
    <t>da Costa Magalhães, Bruno</t>
  </si>
  <si>
    <t>da Costa Marques Calderari, Mônica Regina</t>
  </si>
  <si>
    <t>da Costa Mattos, Heraldo S.</t>
  </si>
  <si>
    <t>Costa, Celio A.</t>
  </si>
  <si>
    <t>da Costa Nóbrega, Karina Assumpção</t>
  </si>
  <si>
    <t>da Costa Rachid, Caio Tavora Coelho</t>
  </si>
  <si>
    <t>da Costa, A. B.</t>
  </si>
  <si>
    <t>Augusto Da Costa, Antonio Carlos Carlos Augusto</t>
  </si>
  <si>
    <t>da Costa, Alter D.</t>
  </si>
  <si>
    <t>da Costa, Andressa Maio</t>
  </si>
  <si>
    <t>da Costa, Bruna M.C.</t>
  </si>
  <si>
    <t>da Costa, Eduardo Ferreira</t>
  </si>
  <si>
    <t>da Costa, Janaína Silva Rodrigues</t>
  </si>
  <si>
    <t>Maia da Costa, Marcelo Eduardo H.</t>
  </si>
  <si>
    <t>da Costa, Paula Rocha</t>
  </si>
  <si>
    <t>da Costa, Sabryna Isabelly Giordani</t>
  </si>
  <si>
    <t>Santos da Costa, Vladimir Santos</t>
  </si>
  <si>
    <t>da Costa, Waleska Rodrigues Pontes</t>
  </si>
  <si>
    <t>da Cruz Gallo, Flávia</t>
  </si>
  <si>
    <t>da Cruz MacHado, Luciana</t>
  </si>
  <si>
    <t>da Cruz Meleiros, Luiz Augusto</t>
  </si>
  <si>
    <t>Da Cruz, Gabriel A.</t>
  </si>
  <si>
    <t>da Cruz, Juliana Cunha</t>
  </si>
  <si>
    <t>da Cruz, S. F.R.</t>
  </si>
  <si>
    <t>da Cunha Hora Paraíso, Eduardo</t>
  </si>
  <si>
    <t>da Cunha Ponciano Gomes, Antônio Pedro Andrade</t>
  </si>
  <si>
    <t>da Cunha, Fernando Jardim Borges</t>
  </si>
  <si>
    <t>Cotrim Da Cunha, Leticia Cotrim</t>
  </si>
  <si>
    <t>da Cunha, Michele Espinosa</t>
  </si>
  <si>
    <t>da Cunha, Pedro Henrique Pereira</t>
  </si>
  <si>
    <t>Cunha, Pedro Henrique Costa Pereira D</t>
  </si>
  <si>
    <t>da Cunha, Rafael Nunes</t>
  </si>
  <si>
    <t>da Cunha, Rodrigo Fernandes R.E.P.</t>
  </si>
  <si>
    <t>Fonseca, Fabiana Valéria Da</t>
  </si>
  <si>
    <t>Fonseca, Gláucio Soares Da</t>
  </si>
  <si>
    <t>da Fonseca, José Eduardo Ferreira</t>
  </si>
  <si>
    <t>Goliatt, Leonardo</t>
  </si>
  <si>
    <t>Klein, Antonio H.da F.</t>
  </si>
  <si>
    <t>Silva, Tatiane F.</t>
  </si>
  <si>
    <t>da Luz, Murilo</t>
  </si>
  <si>
    <t>da Mata, Cristian Roberto</t>
  </si>
  <si>
    <t>da Mota, Fabio Faria</t>
  </si>
  <si>
    <t>da Mota, Iuri D.P.</t>
  </si>
  <si>
    <t>da Motta, L. J.</t>
  </si>
  <si>
    <t>da Paixão, Ronan Alves</t>
  </si>
  <si>
    <t>da Ponte Souza, João Paulo</t>
  </si>
  <si>
    <t>da Rocha Magalhães, Luciano</t>
  </si>
  <si>
    <t>Watanabe, Erica R.L.R.</t>
  </si>
  <si>
    <t>da Rocha, Davi Lôtfi Lavôr Navarro</t>
  </si>
  <si>
    <t>Rocha, Elisson B.D.</t>
  </si>
  <si>
    <t>da Rocha, Humberto Ribeiro</t>
  </si>
  <si>
    <t>da Rocha, R. P.</t>
  </si>
  <si>
    <t>Rosa, L. M.</t>
  </si>
  <si>
    <t>Da, Daniele C.G.</t>
  </si>
  <si>
    <t>Da, Rodrigo</t>
  </si>
  <si>
    <t>da Saudade Araújo Santos Maran, Maria</t>
  </si>
  <si>
    <t>da Silv, Adriano</t>
  </si>
  <si>
    <t>da Silva Aguiar, Eduardo</t>
  </si>
  <si>
    <t>da Silva Almeida, Darlene Souza</t>
  </si>
  <si>
    <t>Alvarenga, Rodrigo F.S.</t>
  </si>
  <si>
    <t>da Silva Barbosa, Matheus</t>
  </si>
  <si>
    <t>da Silva Braga, Marco Antonio</t>
  </si>
  <si>
    <t>da Silva Candido, Ludmila</t>
  </si>
  <si>
    <t>Carreira, R. S.</t>
  </si>
  <si>
    <t>da Silva Cunha, Rodrigo</t>
  </si>
  <si>
    <t>da Silva Fernandes, Beatriz</t>
  </si>
  <si>
    <t>da Silva Fernandez, Beatriz</t>
  </si>
  <si>
    <t>Da Silva-Filho, Wellington Ferreira</t>
  </si>
  <si>
    <t>da Silva Inacio, Anderson Miguel</t>
  </si>
  <si>
    <t>da Silva Junior, Joveilton Batista</t>
  </si>
  <si>
    <t>Da Silva Lima, Gesiane S.</t>
  </si>
  <si>
    <t>Lima, Marcos Natan Da Silva</t>
  </si>
  <si>
    <t>da Silva Müller Teixeira, Flávia</t>
  </si>
  <si>
    <t>da Silva Neto, Alano Viera</t>
  </si>
  <si>
    <t>da Silva Rocha, Lucas Tadeu N.</t>
  </si>
  <si>
    <t>da Silva Ruiz, Naira Machado</t>
  </si>
  <si>
    <t>da Silva Schmitt, Renata</t>
  </si>
  <si>
    <t>Sousa, Edymilaís da Silva</t>
  </si>
  <si>
    <t>da Silva Sousa, Rodrigo</t>
  </si>
  <si>
    <t>da Silva Távora, Giselle</t>
  </si>
  <si>
    <t>da Silva, A.</t>
  </si>
  <si>
    <t>da Silva, Alessandra V.</t>
  </si>
  <si>
    <t>da Silva, Alexandre A.</t>
  </si>
  <si>
    <t>da Silva, Alexandre K.</t>
  </si>
  <si>
    <t>da Silva, Ana Lúcia Nazareth</t>
  </si>
  <si>
    <t>da Silva, Anselmo Luís</t>
  </si>
  <si>
    <t>Ribeiro Da Silva, Antonio Jorge</t>
  </si>
  <si>
    <t>Da Silva, B. F.</t>
  </si>
  <si>
    <t>da Silva, Bismark Nogueira</t>
  </si>
  <si>
    <t>da Silva, C. N.</t>
  </si>
  <si>
    <t>da Silva, Carlos Adriano Moreira</t>
  </si>
  <si>
    <t>da Silva, Carlos César Nascimento</t>
  </si>
  <si>
    <t>da Silva, Carlos Eduardo Tanajura</t>
  </si>
  <si>
    <t>da Silva, Cleyton Martins</t>
  </si>
  <si>
    <t>da Silva, Débora Guimarães</t>
  </si>
  <si>
    <t>da Silva, D. S.</t>
  </si>
  <si>
    <t>da Silva, Daniel Bayer</t>
  </si>
  <si>
    <t>da Silva, Daniel Rezende</t>
  </si>
  <si>
    <t>da Silva, Dennys Correia</t>
  </si>
  <si>
    <t>da Silva, Edilson Domingos</t>
  </si>
  <si>
    <t>Da Silva, Edson Antônio</t>
  </si>
  <si>
    <t>da Silva, Eduardo A.B.</t>
  </si>
  <si>
    <t>da Silva, Elisângela B.</t>
  </si>
  <si>
    <t>da Silva, Fabio Rodrigues Gonçalves</t>
  </si>
  <si>
    <t>da Silva, Fábio Aparecido Alves</t>
  </si>
  <si>
    <t>da Silva, Fabrício Pereira Feitoza</t>
  </si>
  <si>
    <t>da Silva, Felipe Pereira</t>
  </si>
  <si>
    <t>da Silva, Felipe Rafael Secco</t>
  </si>
  <si>
    <t>da Silva, Frederico Sobrinho</t>
  </si>
  <si>
    <t>da Silva, Gabriel Francisco</t>
  </si>
  <si>
    <t>da Silva, Gabrielle A.R.</t>
  </si>
  <si>
    <t>da Silva, Geiza Maria Hamazaki</t>
  </si>
  <si>
    <t>da Silva, Geovane De Almeida Santos</t>
  </si>
  <si>
    <t>da Silva, Giulia S.</t>
  </si>
  <si>
    <t>Carneiro Queiroz da Silva, Guilherme Carneiro Queiroz</t>
  </si>
  <si>
    <t>da Silva, Gustavo Teixeira</t>
  </si>
  <si>
    <t>da Silva, Heleno Bispo</t>
  </si>
  <si>
    <t>da Silva, Hugo Alves</t>
  </si>
  <si>
    <t>da Silva, J. E.M.</t>
  </si>
  <si>
    <t>da Silva, João Francisco Cajaiba</t>
  </si>
  <si>
    <t>da Silva, Jaqueline Diniz</t>
  </si>
  <si>
    <t>Da Silva, Jean Carlos Cardozo</t>
  </si>
  <si>
    <t>da Silva, Jéssica Duarte</t>
  </si>
  <si>
    <t>da Silva, Jessica Rocha Q.</t>
  </si>
  <si>
    <t>da Silva, José Alberto Fracassi</t>
  </si>
  <si>
    <t>da Silva, José Waldemar</t>
  </si>
  <si>
    <t>da Silva, Josilene</t>
  </si>
  <si>
    <t>Mendes Da Silva, Julio A.</t>
  </si>
  <si>
    <t>da Silva, Leonardo Paes</t>
  </si>
  <si>
    <t>da Silva, Lidiane Sabino</t>
  </si>
  <si>
    <t>da Silva, Luan Coelho Vieira</t>
  </si>
  <si>
    <t>da Silva, Lucas B.</t>
  </si>
  <si>
    <t>Peixoto da Silva, Luciano Henrique</t>
  </si>
  <si>
    <t>da Silva, Luis A.C.</t>
  </si>
  <si>
    <t>Figueira da Silva, Luis Fernando</t>
  </si>
  <si>
    <t>da Silva, Luiz Eduardo</t>
  </si>
  <si>
    <t>da Silva, Matherson L.D.</t>
  </si>
  <si>
    <t>da Silva, Marcelo José Gomes</t>
  </si>
  <si>
    <t>da Silva, Marcinei Santos</t>
  </si>
  <si>
    <t>da Silva, Márcio Rosa</t>
  </si>
  <si>
    <t>Da Silva, M. J.</t>
  </si>
  <si>
    <t>da Silva, Maria Gertrudes Alvarez Justi</t>
  </si>
  <si>
    <t>Silva, Mário Luis Ferreira</t>
  </si>
  <si>
    <t>da Silva, Maurício Dias</t>
  </si>
  <si>
    <t>da Silva, Moisés T.</t>
  </si>
  <si>
    <t>da Silva, Mônica Antunes Pereira</t>
  </si>
  <si>
    <t>da Silva, Normann Paulo Dantas</t>
  </si>
  <si>
    <t>da Silva, Patrícia Ferreira</t>
  </si>
  <si>
    <t>da Silva, Paulo Vitor Macedo</t>
  </si>
  <si>
    <t>da Silva, Priscila Rufino</t>
  </si>
  <si>
    <t>Pacheco da Silva, Ramon Peruchi</t>
  </si>
  <si>
    <t>da Silva, Renan Favarão</t>
  </si>
  <si>
    <t>Silva, R. A.P.</t>
  </si>
  <si>
    <t>da Silva, Robson Felipe Viana</t>
  </si>
  <si>
    <t>da Silva, Rodolfo Rodrigues</t>
  </si>
  <si>
    <t>da Silva, Sidinei Kebler</t>
  </si>
  <si>
    <t>da Silva, Sidney C.</t>
  </si>
  <si>
    <t>da Silva, T. B.</t>
  </si>
  <si>
    <t>Da Silva, Taís Freitas</t>
  </si>
  <si>
    <t>Da Silva, Tales Fernando</t>
  </si>
  <si>
    <t>da Silva, Talita Azevedo</t>
  </si>
  <si>
    <t>Silva, Tereza Cristina Cardoso</t>
  </si>
  <si>
    <t>da Silva, Thais Alves M.</t>
  </si>
  <si>
    <t>da Silva, Valéria Loureiro</t>
  </si>
  <si>
    <t>Teixeira Da Silva, V. L.S.</t>
  </si>
  <si>
    <t>da Silva, Vinicius M.</t>
  </si>
  <si>
    <t>Silveira-Neto, Aristeu Da</t>
  </si>
  <si>
    <t>Salla, Julia S.</t>
  </si>
  <si>
    <t>da Silveira, Ariane Santos</t>
  </si>
  <si>
    <t>da Silveira, Géssica Domingos Domingos</t>
  </si>
  <si>
    <t>Silveira, Ilson C.A.</t>
  </si>
  <si>
    <t>da Silveira, José Maria F.J.</t>
  </si>
  <si>
    <t>da Veiga, Arthur P.</t>
  </si>
  <si>
    <t>Daas, Andressa A.</t>
  </si>
  <si>
    <t>Daciuk, Rafael Jose</t>
  </si>
  <si>
    <t>Daflon, Sarah Dario Alves</t>
  </si>
  <si>
    <t>daFonseca, Bruno Guilherme</t>
  </si>
  <si>
    <t>Daher, Victor Bastos</t>
  </si>
  <si>
    <t>Dal Bó, Patrick Führ</t>
  </si>
  <si>
    <t>Dalbone De Carvalho, Mateus Azevedo</t>
  </si>
  <si>
    <t>Dalla Vecchia, Felipe</t>
  </si>
  <si>
    <t>Dalmaschio, Guilherme P.</t>
  </si>
  <si>
    <t>Dalmedico, Nicolas</t>
  </si>
  <si>
    <t>d'Almeida, Jose Roberto Moraes</t>
  </si>
  <si>
    <t>Dalto, Adriana Galindo</t>
  </si>
  <si>
    <t>Dalvi, Domenica P.</t>
  </si>
  <si>
    <t>Dam, Peter F.</t>
  </si>
  <si>
    <t>Damas Pascoal, Mayra Stéphanie</t>
  </si>
  <si>
    <t>Damas, Mayra Stéphanie Pascoal</t>
  </si>
  <si>
    <t>Damascena, Moema A.</t>
  </si>
  <si>
    <t>Damasceno Fernandes, Fábio Júnior</t>
  </si>
  <si>
    <t>Damasceno, Andre Luiz De Brandão</t>
  </si>
  <si>
    <t>Damasceno, Flaviana Cardoso</t>
  </si>
  <si>
    <t>Damasceno, Joaão Jorge Ribeiro</t>
  </si>
  <si>
    <t>Damasceno, Marcelo Maia Ribeiro</t>
  </si>
  <si>
    <t>Dambros, Jonathan William Vergani</t>
  </si>
  <si>
    <t>Damo, Thaise Poerschke</t>
  </si>
  <si>
    <t>Danaei, Shahram</t>
  </si>
  <si>
    <t>Dani, Norberto</t>
  </si>
  <si>
    <t>Daniela Lopes Júlio, Aline</t>
  </si>
  <si>
    <t>Danielowski, Rodrigo</t>
  </si>
  <si>
    <t>Danilewicz, Daniel</t>
  </si>
  <si>
    <t>Dannenhauer, Cristiano Édio</t>
  </si>
  <si>
    <t>Dantas, Claudio Marcio Silva</t>
  </si>
  <si>
    <t>Dantas, Elton Luiz</t>
  </si>
  <si>
    <t>Dantas, Éntony David</t>
  </si>
  <si>
    <t>Dantas, Luciana Nogueira</t>
  </si>
  <si>
    <t>Santana Dantas, Marcio Vinicius</t>
  </si>
  <si>
    <t>Dantas, Tarsila Barbosa</t>
  </si>
  <si>
    <t>Dante, Alex</t>
  </si>
  <si>
    <t>Danziger, Fernando Artur Brasil</t>
  </si>
  <si>
    <t>Dariva, Claudio</t>
  </si>
  <si>
    <t>Daroda, Romeu José</t>
  </si>
  <si>
    <t>Moura, Marcio C.</t>
  </si>
  <si>
    <t>das Chagas, Daniel Bezerra</t>
  </si>
  <si>
    <t>das Chagas, Renata Brenand Alvarenga</t>
  </si>
  <si>
    <t>das Dores, Felipe Gabriel L.</t>
  </si>
  <si>
    <t>das Neves, Daniely Amorim</t>
  </si>
  <si>
    <t>Das, Prabodha</t>
  </si>
  <si>
    <t>Dávila, Jeferson V.</t>
  </si>
  <si>
    <t>Valencia-Dávila, Jeferson A.</t>
  </si>
  <si>
    <t>dAvila, Thiago C.</t>
  </si>
  <si>
    <t>d'Avila, Thiago C.</t>
  </si>
  <si>
    <t>Davolio, Alessandra</t>
  </si>
  <si>
    <t>Davys, André</t>
  </si>
  <si>
    <t>De A Maniçoba, Naíra S.</t>
  </si>
  <si>
    <t>De, Francisco José</t>
  </si>
  <si>
    <t>De, Tatiane</t>
  </si>
  <si>
    <t>De, Gisela</t>
  </si>
  <si>
    <t>de Abreu Corrêa, Lúcio A.</t>
  </si>
  <si>
    <t>de Abreu, Alan Henrique Marques</t>
  </si>
  <si>
    <t>de Abreu, Hamilton Ferreira Gomes</t>
  </si>
  <si>
    <t>de Abreu, Odilon S.L.</t>
  </si>
  <si>
    <t>de Aguiar Pedott, Victor</t>
  </si>
  <si>
    <t>de Aguiar Porto, Nathália</t>
  </si>
  <si>
    <t>de Aguiar, Deborah Victória Alves</t>
  </si>
  <si>
    <t>de Aguiar, Paula Fernandes</t>
  </si>
  <si>
    <t>de Albuquerque de Carvalho, Marcelle Lins</t>
  </si>
  <si>
    <t>Portes de Albuquerque, Marcelo Portes</t>
  </si>
  <si>
    <t>de Albuquerque, Márcio Portes</t>
  </si>
  <si>
    <t>de Albuquerque, Victor Hugo Costa</t>
  </si>
  <si>
    <t>de Alencar Pires, Sandro</t>
  </si>
  <si>
    <t>de AlmadaGarcia, Pauli Adriano</t>
  </si>
  <si>
    <t>de Almeida Braggio, Flávia</t>
  </si>
  <si>
    <t>Carisio, Pedro Almeida</t>
  </si>
  <si>
    <t>de Almeida Costa, Newton Bruno</t>
  </si>
  <si>
    <t>de Almeida Heringer, Rodrigo</t>
  </si>
  <si>
    <t>de Almeida, Filipe Careli</t>
  </si>
  <si>
    <t>De Almeida, Fabiana K.</t>
  </si>
  <si>
    <t>de Almeida, James Moraes</t>
  </si>
  <si>
    <t>De Almeida, João M.A.R.</t>
  </si>
  <si>
    <t>Almeida, João Ricardo M.</t>
  </si>
  <si>
    <t>de Almeida, Karine Melro</t>
  </si>
  <si>
    <t>de Almeida, Luiz Henrique</t>
  </si>
  <si>
    <t>de Almeida, Márcio Souza Soares</t>
  </si>
  <si>
    <t>de Almeida, Maria Cascão Ferreira</t>
  </si>
  <si>
    <t>De Almeida, Neusvaldo Lira</t>
  </si>
  <si>
    <t>de Almeida, Priscila Duarte</t>
  </si>
  <si>
    <t>de Almeida, Raimundo Guedes</t>
  </si>
  <si>
    <t>de Almeida, Ricardo Cardoso</t>
  </si>
  <si>
    <t>Almeida, Tito César Marques De</t>
  </si>
  <si>
    <t>de Almeida, Vinicius Kreischer</t>
  </si>
  <si>
    <t>de Almeida, Vinícius Mansur Dose Lage</t>
  </si>
  <si>
    <t>de Almeida, Vitor Pinheiro</t>
  </si>
  <si>
    <t>de Almeida, William Silva Santana</t>
  </si>
  <si>
    <t>de Almeidaa, Priscila Duarte</t>
  </si>
  <si>
    <t>de Almeida-Lima, Débora Soares</t>
  </si>
  <si>
    <t>de Alvarenga Pires, Julio Cezar</t>
  </si>
  <si>
    <t>Donizeti Fernandes de Amorim, Aparecido</t>
  </si>
  <si>
    <t>de Amorim, Aparecido Donizeti Fernandes</t>
  </si>
  <si>
    <t>de Andrade Martins, Ronaldo A.</t>
  </si>
  <si>
    <t>de Andrade, Débora C.</t>
  </si>
  <si>
    <t>de Andrade, Déborah Cordeiro</t>
  </si>
  <si>
    <t>de Andrade, Gabriel S.</t>
  </si>
  <si>
    <t>de Andrade, Henrique Conde Carvalho</t>
  </si>
  <si>
    <t>Andrade, Rafhael M.</t>
  </si>
  <si>
    <t>de Andrade, Tatiana Barbosa</t>
  </si>
  <si>
    <t>de Andrade, Thayssa Pereira</t>
  </si>
  <si>
    <t>de Andrade, Thiago J.</t>
  </si>
  <si>
    <t>de Araripe, Rilda Verônica Cardoso</t>
  </si>
  <si>
    <t>de Araujo Carvalho, Marcelo</t>
  </si>
  <si>
    <t>de Araújo Nogueira Neto, José</t>
  </si>
  <si>
    <t>de Araújo Ponte, Francisco Fábio</t>
  </si>
  <si>
    <t>De Araújo Soares, Iane</t>
  </si>
  <si>
    <t>de Araújo Távora, Vladimir A.</t>
  </si>
  <si>
    <t>de Araújo, Bruno Bercini</t>
  </si>
  <si>
    <t>de Araújo, Celso Ribeiro</t>
  </si>
  <si>
    <t>de Araújo, Giovanna Lopes</t>
  </si>
  <si>
    <t>de Araújo, João Paulo Nogueira</t>
  </si>
  <si>
    <t>de Araujo, Livia Vieira</t>
  </si>
  <si>
    <t>de Araújo, Lucas Machado</t>
  </si>
  <si>
    <t>de Araújo, Lúcia Regina Raddi</t>
  </si>
  <si>
    <t>Araujo-Ferreira, Arthur Gustavo</t>
  </si>
  <si>
    <t>de Armas, Elvismary Molina</t>
  </si>
  <si>
    <t>de Arruda Bernardo, Luciene</t>
  </si>
  <si>
    <t>Passos, Vivian Silvani De Arruda</t>
  </si>
  <si>
    <t>Arruda, E. F.</t>
  </si>
  <si>
    <t>de Arruda, Lucia Valeria Ramos</t>
  </si>
  <si>
    <t>de Arruda, Wallthynay F.</t>
  </si>
  <si>
    <t>Boldt, Francisco de Assis</t>
  </si>
  <si>
    <t>de Assis Leite, Deborah Catharine</t>
  </si>
  <si>
    <t>de Assis Pereira, Fabio Ressel</t>
  </si>
  <si>
    <t>de Assis Ressel Pereira, Fábio</t>
  </si>
  <si>
    <t>de Assis, Kioshy Santos</t>
  </si>
  <si>
    <t>de Assumpção, Marcelo Sousa</t>
  </si>
  <si>
    <t>de Avillez, Roberto R.</t>
  </si>
  <si>
    <t>de Azevedo, Eduardo Ribeiro</t>
  </si>
  <si>
    <t>de Azevedo, Kiane Scheffer</t>
  </si>
  <si>
    <t>de Azevedo, Paola C.C.</t>
  </si>
  <si>
    <t>de Azevedo, Rogério Magalhães</t>
  </si>
  <si>
    <t>de Barros Chaves, Michel Ricardo</t>
  </si>
  <si>
    <t>de Barros Gomes, Edelvio</t>
  </si>
  <si>
    <t>de Barros, Bryan</t>
  </si>
  <si>
    <t>de Barros, Claudio Daniel T.</t>
  </si>
  <si>
    <t>de Barros, Eliane Valéria</t>
  </si>
  <si>
    <t>de Barros, Inácio</t>
  </si>
  <si>
    <t>de Barros, Maria Angélica Simões Dornella</t>
  </si>
  <si>
    <t>De Barros, Silvio Romero</t>
  </si>
  <si>
    <t>de Bittencourt, Gustavo Cunha</t>
  </si>
  <si>
    <t>de Bom, Clécio R.</t>
  </si>
  <si>
    <t>De Bribean Guerra, Ana Paula</t>
  </si>
  <si>
    <t>de Brito, Mayara Paes</t>
  </si>
  <si>
    <t>de Brito, Talita P.</t>
  </si>
  <si>
    <t>de Camargo, Mauro Alves Correa</t>
  </si>
  <si>
    <t>Camargo, Ricardo De</t>
  </si>
  <si>
    <t>de Campos, Maria Cecília Vaz</t>
  </si>
  <si>
    <t>de Campos, Marcello Luiz Rodrigues</t>
  </si>
  <si>
    <t>de Campos, Marcos Flávio</t>
  </si>
  <si>
    <t>de Campos, Vitor Calasense</t>
  </si>
  <si>
    <t>Cardoso Filho, B. J.</t>
  </si>
  <si>
    <t>de Carvalho Antunes, Rafaella</t>
  </si>
  <si>
    <t>De Carvalho Balaban, Rosangela</t>
  </si>
  <si>
    <t>Carneiro, Cleyton de Carvalho</t>
  </si>
  <si>
    <t>de Carvalho Duim, Fernanda Abizethe</t>
  </si>
  <si>
    <t>de Carvalho Filho, Jósé Maria</t>
  </si>
  <si>
    <t>de Carvalho Fonseca, Raíssa Gybson</t>
  </si>
  <si>
    <t>de Carvalho Infante, Carlos Eduardo Durange</t>
  </si>
  <si>
    <t>de Carvalho Neto, Sálvio Lima</t>
  </si>
  <si>
    <t>de Carvalho Paes Loureiro, Rodrigo</t>
  </si>
  <si>
    <t>de Carvalho, Esdras Penêdo</t>
  </si>
  <si>
    <t>de Carvalho, Fabíola Marques</t>
  </si>
  <si>
    <t>de Carvalho, Gustavo Senra Gonçalves</t>
  </si>
  <si>
    <t>de Carvalho, Ladimir José</t>
  </si>
  <si>
    <t>de Carvalho, Leandro Machado</t>
  </si>
  <si>
    <t>de Carvalho, Mateus Azevedo Dalbone</t>
  </si>
  <si>
    <t>de Carvalho, Natasha Oliveira</t>
  </si>
  <si>
    <t>de Cassia, Marliane</t>
  </si>
  <si>
    <t>de Castilho, Lívia Vieira Araujo</t>
  </si>
  <si>
    <t>de Castro Araujo Moreira, Andréa Cristina</t>
  </si>
  <si>
    <t>de Castro Assis, Eduardo</t>
  </si>
  <si>
    <t>de Castro Filho, Belmiro Mendes</t>
  </si>
  <si>
    <t>de Castro Moura Duarte, Francisco José</t>
  </si>
  <si>
    <t>Duarte, Francisco Jose Castro Moura</t>
  </si>
  <si>
    <t>de Castro Vargas Fernandes, Júlio De Castro Vargas</t>
  </si>
  <si>
    <t>de Castro Vargas Fernandes, Júlio</t>
  </si>
  <si>
    <t>de Castro, Alex Gazolla</t>
  </si>
  <si>
    <t>de Castro, Belmiro Mendes</t>
  </si>
  <si>
    <t>Castro, Cynthia A.</t>
  </si>
  <si>
    <t>De Castro, David Lopes</t>
  </si>
  <si>
    <t>de Castro, Eustáquio Vinicius Ribeiro</t>
  </si>
  <si>
    <t>de Castro, Gabriel G.R.</t>
  </si>
  <si>
    <t>Castro, J. A.</t>
  </si>
  <si>
    <t>de Castro, José Francisco Tebaldi</t>
  </si>
  <si>
    <t>de Castro, Tayane Miranda Silva</t>
  </si>
  <si>
    <t>de Coelho Andrade, Débora</t>
  </si>
  <si>
    <t>de Conto, Juliana Faccin</t>
  </si>
  <si>
    <t>de Correia, Ricardo O.</t>
  </si>
  <si>
    <t>de Cunha, Alexandre S.</t>
  </si>
  <si>
    <t>de da Silva, Geovane A.S.</t>
  </si>
  <si>
    <t>de Deus Santos, Raphael Értola Pereira</t>
  </si>
  <si>
    <t>de e Silva, Ana Beatriz C.G.</t>
  </si>
  <si>
    <t>De, Lorena</t>
  </si>
  <si>
    <t>Wasserman, Julio Cesar</t>
  </si>
  <si>
    <t>de Faria, Giancarlo Vilela</t>
  </si>
  <si>
    <t>de Farias, Shirley L.</t>
  </si>
  <si>
    <t>Orlando, A. F.</t>
  </si>
  <si>
    <t>de Fasolo, Ricardo Souza</t>
  </si>
  <si>
    <t>de Figueiredo Vilela, Leonardo</t>
  </si>
  <si>
    <t>de Figueiredo, Leandro Passos</t>
  </si>
  <si>
    <t>de Figueiredo, Marco Antonio Gaya</t>
  </si>
  <si>
    <t>de Figueiredo, Rodrigo Peluci</t>
  </si>
  <si>
    <t>de Fraga, Jean Luca</t>
  </si>
  <si>
    <t>de Fraga, Jean Lucca</t>
  </si>
  <si>
    <t>de França Passos, Douglas</t>
  </si>
  <si>
    <t>de Franceschi de Angelis, Dejanira</t>
  </si>
  <si>
    <t>De Freitas Anibal, Fernanda F.</t>
  </si>
  <si>
    <t>de Freitas Assad, Luiz Paulo</t>
  </si>
  <si>
    <t>Azevedo, Alexandre De Freitas</t>
  </si>
  <si>
    <t>De Freitas Duarte, Bernardo Alan</t>
  </si>
  <si>
    <t>de Freitas Filho, Paulo José</t>
  </si>
  <si>
    <t>De Freitas Júnior, José Esler</t>
  </si>
  <si>
    <t>de Freitas, Marcela Galdino</t>
  </si>
  <si>
    <t>de Freitas, Patrícia Guimarães Monteiro</t>
  </si>
  <si>
    <t>de Freitas, Rafael</t>
  </si>
  <si>
    <t>De Freitas, Raphael V.N.</t>
  </si>
  <si>
    <t>de Godoi, Leandro Augusto Gouvea</t>
  </si>
  <si>
    <t>de Godoy, Krissia Franco</t>
  </si>
  <si>
    <t>de Gouveia, Lucas Pereira</t>
  </si>
  <si>
    <t>de Gusmão Celestino, Gustavo</t>
  </si>
  <si>
    <t>Hollanda, Maria Helena Bezerra Maia</t>
  </si>
  <si>
    <t>de Holleben, Cíntia</t>
  </si>
  <si>
    <t>de Jesus Leite, Viviane</t>
  </si>
  <si>
    <t>de Jesus Marcelo, Célio</t>
  </si>
  <si>
    <t>de Jesus, Edgar Francisco Oliveira</t>
  </si>
  <si>
    <t>de Jesus, Luís Cláudio Lima</t>
  </si>
  <si>
    <t>de Jesus, Raimundo Jorge Abreu</t>
  </si>
  <si>
    <t>de la Vega, Jonathan</t>
  </si>
  <si>
    <t>de Lacerda, D. L.P.</t>
  </si>
  <si>
    <t>de Lacerda, Thiago Ângelo Gonçalves</t>
  </si>
  <si>
    <t>De Lai, Fernando C.</t>
  </si>
  <si>
    <t>De Lemos, M. J. S.</t>
  </si>
  <si>
    <t>de Lima Britto, Paulo Vinícius</t>
  </si>
  <si>
    <t>de Lima Fragelli, Bruna Dias</t>
  </si>
  <si>
    <t>de Lima Silva, Paulo H.</t>
  </si>
  <si>
    <t>de Lima, A. M.G.</t>
  </si>
  <si>
    <t>de Lima, A. A.</t>
  </si>
  <si>
    <t>de Lima, Anderson Nogueira</t>
  </si>
  <si>
    <t>de Lima, André Lucas Batista</t>
  </si>
  <si>
    <t>de Lima, Beatriz Souza Leite P.Pires</t>
  </si>
  <si>
    <t>de Lima, Daniele Rosendo</t>
  </si>
  <si>
    <t>de Lima, Djalan França</t>
  </si>
  <si>
    <t>de Lima, Evandro Fernandes</t>
  </si>
  <si>
    <t>de Lima, Fabiano Marcos</t>
  </si>
  <si>
    <t>de Lima, Isabela Maria Seabra</t>
  </si>
  <si>
    <t>de Lima, Leomir A.S.</t>
  </si>
  <si>
    <t>de Lima, M. Vinicius</t>
  </si>
  <si>
    <t>de Lima, Mauro Henrique Alves</t>
  </si>
  <si>
    <t>de Lima, Miguel</t>
  </si>
  <si>
    <t>de Lima, Olivar Antônio</t>
  </si>
  <si>
    <t>de Lima, Sidney Gonc¸alo</t>
  </si>
  <si>
    <t>de Lima, Toni Roger Schifelbain</t>
  </si>
  <si>
    <t>de Lima Neto, Pedro</t>
  </si>
  <si>
    <t>De Lira Mota, Marcelo A.</t>
  </si>
  <si>
    <t>de Liz, Nahyan T.P.</t>
  </si>
  <si>
    <t>de Los Ángeles González, María</t>
  </si>
  <si>
    <t>de Luca Rebello Wagener, Ângela</t>
  </si>
  <si>
    <t>de Lucca, Rodrigo Galves</t>
  </si>
  <si>
    <t>De, Thiago</t>
  </si>
  <si>
    <t>de Magalhães May Rossetti, Lucas</t>
  </si>
  <si>
    <t>de Magalhães Rocha, Raysa M.</t>
  </si>
  <si>
    <t>Magalhães, Welington F.</t>
  </si>
  <si>
    <t>de Maman, Alan</t>
  </si>
  <si>
    <t>de Marco, Leonardo M.</t>
  </si>
  <si>
    <t>de Martini, Ana Paula</t>
  </si>
  <si>
    <t>Martins, Clóvis de Arruda</t>
  </si>
  <si>
    <t>de Matos, Marcílio Castro</t>
  </si>
  <si>
    <t>de Mayrinck, Diogo</t>
  </si>
  <si>
    <t>de Medeiros Albano, Filipe</t>
  </si>
  <si>
    <t>de Medeiros, Fabiano Ferreira</t>
  </si>
  <si>
    <t>de Medeiros, José Luiz</t>
  </si>
  <si>
    <t>de Medeiros, L. G.M.O.</t>
  </si>
  <si>
    <t>de Medeiros, Walter Eugênio</t>
  </si>
  <si>
    <t>Junqueira, Silvio Luiz De Mello</t>
  </si>
  <si>
    <t>de Mello, Mariele Iara Souza</t>
  </si>
  <si>
    <t>de Mello, Pedro Cardozo</t>
  </si>
  <si>
    <t>de Melo Araújo, Márcio</t>
  </si>
  <si>
    <t>de Melo Costa, José Lucas</t>
  </si>
  <si>
    <t>de Melo Filho, Leonildes Soares</t>
  </si>
  <si>
    <t>de Melo, D. D.</t>
  </si>
  <si>
    <t>de Melo, Vinicius Toquetti</t>
  </si>
  <si>
    <t>de Mendonça Soares, Lucas Almeida</t>
  </si>
  <si>
    <t>de Meneses Lourenço, Maria Clara</t>
  </si>
  <si>
    <t>Meneses, Alessandra Cristina De</t>
  </si>
  <si>
    <t>de Menezes, Diego Queiroz Faria</t>
  </si>
  <si>
    <t>de Menezes, Eduardo Antonio Wink</t>
  </si>
  <si>
    <t>de Mesquita, Flavio Costa</t>
  </si>
  <si>
    <t>de Messano, Luciana Vicente Resende</t>
  </si>
  <si>
    <t>de Miranda Lopes Neumann, Virginio Henrique</t>
  </si>
  <si>
    <t>Miranda, Hélio Cordeiro</t>
  </si>
  <si>
    <t>de Miranda, Luiz Roberto Martins</t>
  </si>
  <si>
    <t>Miranda, Tiago Siqueira De</t>
  </si>
  <si>
    <t>de Moraes Oliveira, Gabrielle Fontella</t>
  </si>
  <si>
    <t>Moraes, Fernando S.</t>
  </si>
  <si>
    <t>de Moraes, J. O.</t>
  </si>
  <si>
    <t>De Moraes, Lídia María Pepe María Pepe</t>
  </si>
  <si>
    <t>de Moraes, M. A.F.</t>
  </si>
  <si>
    <t>de Moraes, Marta Bueno</t>
  </si>
  <si>
    <t>Moraes, Renato</t>
  </si>
  <si>
    <t>de Morais Coutinho, Gabriel</t>
  </si>
  <si>
    <t>de Morais, Mariana Abrahão Bueno</t>
  </si>
  <si>
    <t>de Morais, Stéphanie Cavalcante</t>
  </si>
  <si>
    <t>de Moura Emilio, Alice</t>
  </si>
  <si>
    <t>de Moura Filho, Adroaldo José Silva</t>
  </si>
  <si>
    <t>de Moura Gomes, Andréia</t>
  </si>
  <si>
    <t>de Moura, José dos Reis Vieira</t>
  </si>
  <si>
    <t>De Moura Junior, Natanael Nunes</t>
  </si>
  <si>
    <t>de Moura, Fernanda Marques</t>
  </si>
  <si>
    <t>de Moura, Hector Lise</t>
  </si>
  <si>
    <t>de Moura, Rafael Bendayan</t>
  </si>
  <si>
    <t>Ribeiro, Jéssica De Oliveira Notório</t>
  </si>
  <si>
    <t>de Oliveira Barra, Guilherme Mariz</t>
  </si>
  <si>
    <t>de Oliveira Borges, Ana Luiza</t>
  </si>
  <si>
    <t>de Oliveira Carmo, Vinicius Cleves</t>
  </si>
  <si>
    <t>Lara, L. O.C.</t>
  </si>
  <si>
    <t>de Oliveira Cocchiarale, Marcela</t>
  </si>
  <si>
    <t>de Oliveira Correia, Ricardo</t>
  </si>
  <si>
    <t>de Oliveira Filho, Carlos Alberto Alves</t>
  </si>
  <si>
    <t>de Oliveira Junior, Silvio</t>
  </si>
  <si>
    <t>de Oliveira Leite, Maurício</t>
  </si>
  <si>
    <t>de Oliveira Lopes, Verônica Regina</t>
  </si>
  <si>
    <t>Mendonça, Joalice Oliveira</t>
  </si>
  <si>
    <t>de Oliveira Moraes, Anelize</t>
  </si>
  <si>
    <t>de Oliveira Ubaldo, Mariluce</t>
  </si>
  <si>
    <t>de Oliveira, Aiko R.</t>
  </si>
  <si>
    <t>De Oliveira, Aline Capella</t>
  </si>
  <si>
    <t>de Oliveira, Amilton Moreira</t>
  </si>
  <si>
    <t>Oliveira, Andre Schneider de</t>
  </si>
  <si>
    <t>de Oliveira, Daiana Nara</t>
  </si>
  <si>
    <t>de Oliveira, Danian Steinkirch</t>
  </si>
  <si>
    <t>de Oliveira, Daniel Ferreira</t>
  </si>
  <si>
    <t>de Oliveira, David Holanda</t>
  </si>
  <si>
    <t>de Oliveira, Douglas Ericson M.</t>
  </si>
  <si>
    <t>de Oliveira, Eliel Prueza</t>
  </si>
  <si>
    <t>de Oliveira, Fábio Francisco</t>
  </si>
  <si>
    <t>de Oliveira, Felipe Eduardo Souza</t>
  </si>
  <si>
    <t>de Oliveira, Frederico Lima Aquino</t>
  </si>
  <si>
    <t>de Oliveira, G. M.</t>
  </si>
  <si>
    <t>de Oliveira, Henrique T.H.</t>
  </si>
  <si>
    <t>Oliveira, Ingrid Azevedo De</t>
  </si>
  <si>
    <t>de Oliveira, José Antônio</t>
  </si>
  <si>
    <t>de Oliveira, José́ Carlos</t>
  </si>
  <si>
    <t>de Oliveira, José F.L.</t>
  </si>
  <si>
    <t>de Oliveira, José Renato Moreira Da Silva</t>
  </si>
  <si>
    <t>de Oliveira, Larissa Dall Orto</t>
  </si>
  <si>
    <t>Oliveira, Larissa Rosa De</t>
  </si>
  <si>
    <t>de Oliveira, Lenon Silva</t>
  </si>
  <si>
    <t>de Oliveira, Leonardo Hadlich</t>
  </si>
  <si>
    <t>de Oliveira, Lucas Lima</t>
  </si>
  <si>
    <t>de Oliveira, Lucília Aparecida Ramos</t>
  </si>
  <si>
    <t>de Oliveira, Luís</t>
  </si>
  <si>
    <t>Cappa de Oliveira, Luiz Fernando</t>
  </si>
  <si>
    <t>de Oliveira, Luiza Pereira</t>
  </si>
  <si>
    <t>De Oliveira, M. A.l.</t>
  </si>
  <si>
    <t>de Oliveira, Michelle Dias</t>
  </si>
  <si>
    <t>de Oliveira, Nathália F.</t>
  </si>
  <si>
    <t>de Oliveira, Paula Campos</t>
  </si>
  <si>
    <t>de Oliveira, Rafael</t>
  </si>
  <si>
    <t>de Oliveira, Ricardo Alexandrino Guimarães</t>
  </si>
  <si>
    <t>de Oliveira, Sanair Massafra</t>
  </si>
  <si>
    <t>Oliveira, Tereza Cristina De Souza</t>
  </si>
  <si>
    <t>de Oliveira, Tiago Almeida</t>
  </si>
  <si>
    <t>de Oliveira, Valéria Maia</t>
  </si>
  <si>
    <t>de Oliveira, Victor L.S.</t>
  </si>
  <si>
    <t>de Oliveira, Viviane</t>
  </si>
  <si>
    <t>de Oliveira, Yasmin Felix</t>
  </si>
  <si>
    <t>Oro Arenas, Luis De</t>
  </si>
  <si>
    <t>de Paiva, Kleber Vieira</t>
  </si>
  <si>
    <t>de Paula Júnior, Marcos Rogério</t>
  </si>
  <si>
    <t>Souza de Paula, Aline Souza</t>
  </si>
  <si>
    <t>de Paula, Eduardo Lopes</t>
  </si>
  <si>
    <t>de Paula, Junia Nunes</t>
  </si>
  <si>
    <t>de Paula, Marcus Vinicius</t>
  </si>
  <si>
    <t>de Paula, Sérgio Oliveira</t>
  </si>
  <si>
    <t>de Paulo, Ellisson H.</t>
  </si>
  <si>
    <t>de Pinho, Vinicius Mesquita</t>
  </si>
  <si>
    <t>de Prado, Tatiana A.</t>
  </si>
  <si>
    <t>de Quadros, Danilo Gusmão</t>
  </si>
  <si>
    <t>de Queiros Eugenio, Erika</t>
  </si>
  <si>
    <t>de Queiroz Almeida-Neto, Francisco Wagner</t>
  </si>
  <si>
    <t>de Queiroz, Anderson Vergílio</t>
  </si>
  <si>
    <t>de Queiroz, Carlos Vinicius R.P.</t>
  </si>
  <si>
    <t>de Queiroz, Danielle Simas</t>
  </si>
  <si>
    <t>De Queiroz, Max H.</t>
  </si>
  <si>
    <t>de Queiroz, Thiago Branquinho</t>
  </si>
  <si>
    <t>De Assis Machado Reis, Francisco De A.Mac Hado</t>
  </si>
  <si>
    <t>de Rodolpho, Joice M.A.</t>
  </si>
  <si>
    <t>De Ros, Luiz Fernando</t>
  </si>
  <si>
    <t>De, Alexandre</t>
  </si>
  <si>
    <t>de Sá, Alberto Magalhães</t>
  </si>
  <si>
    <t>de Sá, Fagner Geovani</t>
  </si>
  <si>
    <t>de Sá, Filipe R.G.</t>
  </si>
  <si>
    <t>de Sant'Ana, Hosiberto B.</t>
  </si>
  <si>
    <t>de Santana, Marcelo Patrício</t>
  </si>
  <si>
    <t>de Santana, Ronnymaxwell Silva Gomes</t>
  </si>
  <si>
    <t>de Santanna, T.</t>
  </si>
  <si>
    <t>de Sena Costa, Bruno Leonardo</t>
  </si>
  <si>
    <t>de Sena, Lídia Ágata</t>
  </si>
  <si>
    <t>de Sena, Rodrigo Caciano</t>
  </si>
  <si>
    <t>de Simone, Marcelo</t>
  </si>
  <si>
    <t>de Siqueira, Andréia Arenari</t>
  </si>
  <si>
    <t>Siqueira, F. D.</t>
  </si>
  <si>
    <t>de Siqueira, Marcos Queija</t>
  </si>
  <si>
    <t>de Siqueira, Natalie C.</t>
  </si>
  <si>
    <t>de Sousa Pires, Araceli</t>
  </si>
  <si>
    <t>de Sousa, Alek Andre Costa</t>
  </si>
  <si>
    <t>de Sousa, Alysson Gomes</t>
  </si>
  <si>
    <t>Sousa, Elaine Parros Machado de</t>
  </si>
  <si>
    <t>de Sousa, Flávio Vieira Vasques</t>
  </si>
  <si>
    <t>de Sousa, Fernando Jorge Mendes</t>
  </si>
  <si>
    <t>de Sousa, Gustavo José</t>
  </si>
  <si>
    <t>de Sousa, José Renato Mendes</t>
  </si>
  <si>
    <t>de Sousa, Rômulo César Costa</t>
  </si>
  <si>
    <t>De Sousa, Wescley Tiago Batista</t>
  </si>
  <si>
    <t>de Souz, Antônio Augusto Ulson</t>
  </si>
  <si>
    <t>de Souz, Selene Maria Arruda Guelli Uls</t>
  </si>
  <si>
    <t>de Souza Bindes Gomes Lopes, Monica Aparecida Ferreira</t>
  </si>
  <si>
    <t>Camargo, Sérgio Souza</t>
  </si>
  <si>
    <t>de Souza Cruz, Marcelo</t>
  </si>
  <si>
    <t>de Souza Ferreira, Geraldo</t>
  </si>
  <si>
    <t>de Souza Ferreira, Marina</t>
  </si>
  <si>
    <t>de Souza Filho, Pedro Lincoln</t>
  </si>
  <si>
    <t>Souza Junior, Fernando Gomes</t>
  </si>
  <si>
    <t>De Souza Mendes, Paulo R.</t>
  </si>
  <si>
    <t>de Souza Rios, Vinicius</t>
  </si>
  <si>
    <t>de Souza Severino, Hemmely Guilhermond</t>
  </si>
  <si>
    <t>de Souza, Ana Lúcia Barbosa</t>
  </si>
  <si>
    <t>de Souza, Adriana Velloso Alves</t>
  </si>
  <si>
    <t>de Souza, Ana Clara Braga</t>
  </si>
  <si>
    <t>de Souza, Ana Paula França</t>
  </si>
  <si>
    <t>de Souza, Andrey Oliveira</t>
  </si>
  <si>
    <t>De Souza, A. P.</t>
  </si>
  <si>
    <t>de Souza, Antônio Augusto Ulson</t>
  </si>
  <si>
    <t>de Souza, Antonio Carlos Zambroni</t>
  </si>
  <si>
    <t>de Souza, Antonio Luiz Serra</t>
  </si>
  <si>
    <t>de Souza, Carlos Eduardo Conceição</t>
  </si>
  <si>
    <t>de Souza, D. M.P.T.</t>
  </si>
  <si>
    <t>de Souza, Daniel Henrique Silva</t>
  </si>
  <si>
    <t>de Souza, Derek Fonseca</t>
  </si>
  <si>
    <t>de Souza, Douglas Delgado</t>
  </si>
  <si>
    <t>de Souza, Eduardo Alencar</t>
  </si>
  <si>
    <t>de Souza, Elias Luiz</t>
  </si>
  <si>
    <t>de Souza, Eliene Lopes</t>
  </si>
  <si>
    <t>de Souza, Elvis</t>
  </si>
  <si>
    <t>Menezes, Eniuce</t>
  </si>
  <si>
    <t>de Souza, Ezequiel Galvão</t>
  </si>
  <si>
    <t>de Souza, Flávia Carvalho</t>
  </si>
  <si>
    <t>de Souza, Flávia G.</t>
  </si>
  <si>
    <t>De Souza, Gilberto F.M.</t>
  </si>
  <si>
    <t>de Souza, Gustavo José Suto</t>
  </si>
  <si>
    <t>de Souza, Igor A.</t>
  </si>
  <si>
    <t>de Souza, Isabella Maria Martins</t>
  </si>
  <si>
    <t>de Souza, Juliana Mariano</t>
  </si>
  <si>
    <t>de Souza, Laís Vieira</t>
  </si>
  <si>
    <t>de Souza, Lindamara M.</t>
  </si>
  <si>
    <t>de Souza, Luciara C.</t>
  </si>
  <si>
    <t>Souza, L. F.G.</t>
  </si>
  <si>
    <t>de Souza, Marcelo Igor Lourenço</t>
  </si>
  <si>
    <t>de Souza, Marcelo Kehl</t>
  </si>
  <si>
    <t>de Souza, Márcio Nele</t>
  </si>
  <si>
    <t>de Souza, Matheus O.</t>
  </si>
  <si>
    <t>De Souza, Miguel Angelo Fonseca</t>
  </si>
  <si>
    <t>de Souza, Pamella Macedo</t>
  </si>
  <si>
    <t>de Souza, Raphael Vieira Menezes</t>
  </si>
  <si>
    <t>de Souza, Raquel Carvalho</t>
  </si>
  <si>
    <t>de Souza, Renato Nunes</t>
  </si>
  <si>
    <t>de Souza, Rodrigo A.F.</t>
  </si>
  <si>
    <t>de Souza, Rodrigo Octávio Mendonça Alves</t>
  </si>
  <si>
    <t>de Souza, Selene Maria Arruda Guelli Uls</t>
  </si>
  <si>
    <t>Guelli Ulson de Souza, Selene M.A.</t>
  </si>
  <si>
    <t>de Souza, Sonia Regina</t>
  </si>
  <si>
    <t>de Souza, Stefania P.</t>
  </si>
  <si>
    <t>de Souza, Wallace Carvalho</t>
  </si>
  <si>
    <t>Souza, Wesley Angelino De</t>
  </si>
  <si>
    <t>de Telles, José C.F.</t>
  </si>
  <si>
    <t>De Toni, Amir Roberto</t>
  </si>
  <si>
    <t>de Vargas Terres, Vinicius</t>
  </si>
  <si>
    <t>Vasconcellos, Suzan Pantaroto de</t>
  </si>
  <si>
    <t>Vasconcelos, Ana Tereza R.</t>
  </si>
  <si>
    <t>de Vasconcelos, Cláudia Karina Barbosa</t>
  </si>
  <si>
    <t>De, A. P.V.</t>
  </si>
  <si>
    <t>Dearaújo, J. P.N.</t>
  </si>
  <si>
    <t>Rossi, André Luis Debiaso</t>
  </si>
  <si>
    <t>Decker, R. K.</t>
  </si>
  <si>
    <t>Decote, Paulo A.P.</t>
  </si>
  <si>
    <t>Deiró, N. F.R.</t>
  </si>
  <si>
    <t>del Aguila, Eduardo M.</t>
  </si>
  <si>
    <t>del Bigio, J. C.</t>
  </si>
  <si>
    <t>del Mouro, Lucas</t>
  </si>
  <si>
    <t>Delescen, J. H.W.</t>
  </si>
  <si>
    <t>Delgado, Horácio Guimarães</t>
  </si>
  <si>
    <t>Delgado, Myriam Regattieri B.S.</t>
  </si>
  <si>
    <t>D'Elia, Eliane</t>
  </si>
  <si>
    <t>Della-Rocca, Daniela Gier</t>
  </si>
  <si>
    <t>Dellagnezze, Bruna Martins</t>
  </si>
  <si>
    <t>Delmiro, Thalita Marreiro</t>
  </si>
  <si>
    <t>de Azevedo Delou, Pedro A.</t>
  </si>
  <si>
    <t>E Silva, Ananda G.B.P.</t>
  </si>
  <si>
    <t>Demani, Uesllei B.</t>
  </si>
  <si>
    <t>DeMarco, Ricardo</t>
  </si>
  <si>
    <t>Demarque, Rudineli</t>
  </si>
  <si>
    <t>Demetino, G. G.</t>
  </si>
  <si>
    <t>Demétrio, José Geilson Alves</t>
  </si>
  <si>
    <t>Deneke, Christoph F.</t>
  </si>
  <si>
    <t>Denezine, Matheus</t>
  </si>
  <si>
    <t>Denilson Dantas de Aquino, Antonio</t>
  </si>
  <si>
    <t>Deon, Monique</t>
  </si>
  <si>
    <t>Déplanté, Christian</t>
  </si>
  <si>
    <t>Dereczynski, Claudine P.</t>
  </si>
  <si>
    <t>Derks, Peter W.J.</t>
  </si>
  <si>
    <t>Deus, Jhulya S.R.</t>
  </si>
  <si>
    <t>Deus, Katherine Carrilho De Oliveira</t>
  </si>
  <si>
    <t>Deus, Marcell Santana</t>
  </si>
  <si>
    <t>Devloo, Philippe Remy Bernard</t>
  </si>
  <si>
    <t>Dezotti, M. W.C.</t>
  </si>
  <si>
    <t>Di Iorio Monte Bastos, Mariana</t>
  </si>
  <si>
    <t>Di Luccio, Marco</t>
  </si>
  <si>
    <t>Di Vaio, Marco V.</t>
  </si>
  <si>
    <t>de Lima, Caroline Dias Amancio</t>
  </si>
  <si>
    <t>Dias, Ana Carolina Spindola Rangel</t>
  </si>
  <si>
    <t>Dias, Ayres Guimarães</t>
  </si>
  <si>
    <t>Dias, Beatriz Do Carmo</t>
  </si>
  <si>
    <t>Dias, Carlos Alberto</t>
  </si>
  <si>
    <t>Dias, Daiane</t>
  </si>
  <si>
    <t>Dias, Douglas Mota</t>
  </si>
  <si>
    <t>Dias, Francisco C.</t>
  </si>
  <si>
    <t>Dias, Flávio Venancio Loureiro</t>
  </si>
  <si>
    <t>Dias, Gilberto Pereira</t>
  </si>
  <si>
    <t>Dias, Graciela Maria</t>
  </si>
  <si>
    <t>Dias, Guilherme Gerevini</t>
  </si>
  <si>
    <t>Dias, Heloísa P.</t>
  </si>
  <si>
    <t>Dias, Lucas Moreira</t>
  </si>
  <si>
    <t>Dias, Luciana Olivia</t>
  </si>
  <si>
    <t>Dias, Marcos Lopes</t>
  </si>
  <si>
    <t>Dias, Roberto Sousa</t>
  </si>
  <si>
    <t>Dias, Rodrigo A.C.</t>
  </si>
  <si>
    <t>Dias, Vitoria</t>
  </si>
  <si>
    <t>Dias, Williams</t>
  </si>
  <si>
    <t>Dias-Brito, Dimas</t>
  </si>
  <si>
    <t>Dias-Souza, M. V.</t>
  </si>
  <si>
    <t>Diaz, Rút Amélia</t>
  </si>
  <si>
    <t>Díaz, Susana</t>
  </si>
  <si>
    <t>Diehl, Carla Adriana Theis Soares</t>
  </si>
  <si>
    <t>Diehl, Igor Luís</t>
  </si>
  <si>
    <t>Diehl, Liange O.</t>
  </si>
  <si>
    <t>Diehl, Lisarb O.</t>
  </si>
  <si>
    <t>Dille, Jean André</t>
  </si>
  <si>
    <t>Diniz, J. C.</t>
  </si>
  <si>
    <t>Diniz, Jorge Luiz Coutinho</t>
  </si>
  <si>
    <t>Diniz, Pedro Mendes</t>
  </si>
  <si>
    <t>Diniz, Renata Côrtes Oliveira</t>
  </si>
  <si>
    <t>Diniz, Yan Vidal De Figueiredo Gomes</t>
  </si>
  <si>
    <t>Dixini, Pedro Vitor Morbach</t>
  </si>
  <si>
    <t>do Canto Pivetta, Felipe</t>
  </si>
  <si>
    <t>do Carmo Alonso, Carolina Maria</t>
  </si>
  <si>
    <t>Carmo, Dermeval Aparecido</t>
  </si>
  <si>
    <t>do Carmo, Rafael P.</t>
  </si>
  <si>
    <t>Reis do Carmo, Weberton</t>
  </si>
  <si>
    <t>do Espírito Santo, Marcos Vinícius</t>
  </si>
  <si>
    <t>do Lago, Claudimir Lucio</t>
  </si>
  <si>
    <t>do Monte Guerra, Rodrigo M.</t>
  </si>
  <si>
    <t>do Nascimento Guimarães, Leonardo José</t>
  </si>
  <si>
    <t>Nascimento, Daniel Rodrigues Do</t>
  </si>
  <si>
    <t>do Nascimento Marques, Nivia</t>
  </si>
  <si>
    <t>do Nascimento Silva Alves, Antonio</t>
  </si>
  <si>
    <t>do Nascimento Vitorino Lima, Maria Eduarda</t>
  </si>
  <si>
    <t>do Nascimento, Camila Telles M.</t>
  </si>
  <si>
    <t>do Nascimento, Denise B.</t>
  </si>
  <si>
    <t>do Nascimento, Felipe Valle</t>
  </si>
  <si>
    <t>do Nascimento, Luiz Ricardo Silva Lobo</t>
  </si>
  <si>
    <t>do Nascimento, Marcelo Avelar</t>
  </si>
  <si>
    <t>do Nascimento, Matheus Vasconcelos</t>
  </si>
  <si>
    <t>do Nascimento, Paulo Cícero</t>
  </si>
  <si>
    <t>Cadeira Do Prado, Ludmila Alves</t>
  </si>
  <si>
    <t>Dos Santos, Claudio Filipi Gonçalves</t>
  </si>
  <si>
    <t>Dognini, Jocinei</t>
  </si>
  <si>
    <t>Domingos da Silva, Edilson</t>
  </si>
  <si>
    <t>Domingos, Débora V.</t>
  </si>
  <si>
    <t>Domingos, Gustavo Santos</t>
  </si>
  <si>
    <t>Domingos, Hiduino Venâncio</t>
  </si>
  <si>
    <t>Domingos, Josiel B.</t>
  </si>
  <si>
    <t>Donati, Damylle Cristina Xavier</t>
  </si>
  <si>
    <t>Donato, Augusto José</t>
  </si>
  <si>
    <t>Donatti, Carlos Newmar</t>
  </si>
  <si>
    <t>Doneda, Morgana</t>
  </si>
  <si>
    <t>Dorle, Wilhelm</t>
  </si>
  <si>
    <t>Dornelas, Paulo Henrique Grossi</t>
  </si>
  <si>
    <t>Dos Anjos Silva, Gabriel Rodrigues</t>
  </si>
  <si>
    <t>Dos Anjos, Carlos Eduardo Menezes</t>
  </si>
  <si>
    <t>Dos Costa, Beethoven G.S.</t>
  </si>
  <si>
    <t>Dos Passos, Bruna Temochko</t>
  </si>
  <si>
    <t>Castilho, Leda R.</t>
  </si>
  <si>
    <t>Dos Reis Darcie, Letícia</t>
  </si>
  <si>
    <t>Dos Reis Tagliari, Mariana</t>
  </si>
  <si>
    <t>Dos Reis, Adriano Domingos</t>
  </si>
  <si>
    <t>Dos Reis, Ricardo André Oliveira</t>
  </si>
  <si>
    <t>Ferreira, Anderson L.S.</t>
  </si>
  <si>
    <t>Dos Santos Filho, Marcos Antonio Batista</t>
  </si>
  <si>
    <t>Dos Santos Ribeiro, Dalai S.</t>
  </si>
  <si>
    <t>Dos Santos Rossi Ribeiro, Ana Cláudia</t>
  </si>
  <si>
    <t>Dos Santos Salles, Halina</t>
  </si>
  <si>
    <t>Dos Santos Scatena, Gabriel</t>
  </si>
  <si>
    <t>Dos Santos Scherer, Claiton Marlon</t>
  </si>
  <si>
    <t>Siqueira, Celeste Yara Dos Santos</t>
  </si>
  <si>
    <t>dos Santos, Amanda</t>
  </si>
  <si>
    <t>Dos Santos, Anaí Loreiro</t>
  </si>
  <si>
    <t>Dos Santos, Anderson Fragoso</t>
  </si>
  <si>
    <t>Dos Santos, Andre Luiz Cordeiro</t>
  </si>
  <si>
    <t>Alonso, Augusto Matheus dos Santos</t>
  </si>
  <si>
    <t>Dos Santos, Beatriz Bandeira</t>
  </si>
  <si>
    <t>Dos Santos, Bianca Ferreira</t>
  </si>
  <si>
    <t>Dos Santos, Bruno</t>
  </si>
  <si>
    <t>Santos, Célia A.L.</t>
  </si>
  <si>
    <t>Dos Santos, D. D.</t>
  </si>
  <si>
    <t>Dos Santos, Dílson Silva</t>
  </si>
  <si>
    <t>Dos Santos, Ellem Patrícia</t>
  </si>
  <si>
    <t>Dos Santos, Eloisa Hasper</t>
  </si>
  <si>
    <t>Dos Santos, Francine Melise</t>
  </si>
  <si>
    <t>Dos Santos, Francisco Alves</t>
  </si>
  <si>
    <t>Dos Santos, Francisco Paulo</t>
  </si>
  <si>
    <t>Dos Santos, Gabriel Franco</t>
  </si>
  <si>
    <t>Dos Santos, Gilsonley Lopes</t>
  </si>
  <si>
    <t>Dos Santos, Gyslane Aparecida Romano</t>
  </si>
  <si>
    <t>Dos Santos, Isaac Luquetti</t>
  </si>
  <si>
    <t>Dos Santos, Isadora Guimarães</t>
  </si>
  <si>
    <t>Dos Santos, Izabel Cristina V.M.</t>
  </si>
  <si>
    <t>Dos Santos, Jhuly Gleice Nascimento</t>
  </si>
  <si>
    <t>Dos Santos, Leonardo Moreira</t>
  </si>
  <si>
    <t>Dos Santos, Lúis Orlando Emerich</t>
  </si>
  <si>
    <t>Dos Santos, Marcos Sebastião</t>
  </si>
  <si>
    <t>Dos Santos, Maria R.</t>
  </si>
  <si>
    <t>Dos Santos, Marvin Martins</t>
  </si>
  <si>
    <t>Dos Santos, Maycon Vieira</t>
  </si>
  <si>
    <t>Dos Santos, Millena Couto</t>
  </si>
  <si>
    <t>Dos Santos, Nathália Ferreira</t>
  </si>
  <si>
    <t>Dos Santos, R. F.</t>
  </si>
  <si>
    <t>Santos, Rafael Dos</t>
  </si>
  <si>
    <t>Dos Santos, R. E.</t>
  </si>
  <si>
    <t>Dos Santos, Rafael Victor Gomes</t>
  </si>
  <si>
    <t>Dos Santos, Rodolpho Caeiro</t>
  </si>
  <si>
    <t>Dos Santos, Tárcio Henrique Ribeiro</t>
  </si>
  <si>
    <t>Dos Santos, Vera Lúcia</t>
  </si>
  <si>
    <t>Dos Santos, Vinicius G.</t>
  </si>
  <si>
    <t>Dos Santos, Vinicius Guedes</t>
  </si>
  <si>
    <t>Dotta, Raúl</t>
  </si>
  <si>
    <t>Dottori, Marcelo</t>
  </si>
  <si>
    <t>Dourado, Erico Rodrigues</t>
  </si>
  <si>
    <t>Dourado, Raul Silva</t>
  </si>
  <si>
    <t>Doyle, Adriana</t>
  </si>
  <si>
    <t>Drach, Patrícia R.C.</t>
  </si>
  <si>
    <t>Drago, Gabriel Barbosa</t>
  </si>
  <si>
    <t>Drago, Susan Martins</t>
  </si>
  <si>
    <t>Dressler, Valderi Luiz</t>
  </si>
  <si>
    <t>Dreyer, Uilian José</t>
  </si>
  <si>
    <t>Driemeier, Carlos Eduardo</t>
  </si>
  <si>
    <t>Driemeier, Larissa</t>
  </si>
  <si>
    <t>Driemeyer, Deborah</t>
  </si>
  <si>
    <t>López Droguett, Enrique López</t>
  </si>
  <si>
    <t>Drummond Alves, José Luís</t>
  </si>
  <si>
    <t>Drummond, Lúcia Maria A.</t>
  </si>
  <si>
    <t>Drumond, Geovana Pereira</t>
  </si>
  <si>
    <t>Druzian, Gabriel Toneto</t>
  </si>
  <si>
    <t>Duarte de Farias, Andréa M.</t>
  </si>
  <si>
    <t>Duarte Nunes, Danielle Aparecida</t>
  </si>
  <si>
    <t>Duarte Vidal, Alyne</t>
  </si>
  <si>
    <t>Duarte, Alan Magalhães</t>
  </si>
  <si>
    <t>Duarte, Beatriz Paschoal</t>
  </si>
  <si>
    <t>Duarte, Bernardo Alan De Freitas</t>
  </si>
  <si>
    <t>Duarte, Cláudio Roberto</t>
  </si>
  <si>
    <t>Duarte, Evandro A.</t>
  </si>
  <si>
    <t>Duarte, Fabio A.</t>
  </si>
  <si>
    <t>Duarte, Fernanda Oliveira</t>
  </si>
  <si>
    <t>Duarte, Gustavo Adolpho Santos</t>
  </si>
  <si>
    <t>Duarte, Janaína Pereira</t>
  </si>
  <si>
    <t>Duarte, Juliano Picanço</t>
  </si>
  <si>
    <t>Duarte, Julio Cesar</t>
  </si>
  <si>
    <t>Duarte, Lucas Mattos</t>
  </si>
  <si>
    <t>Duarte, Marcus Antônio Viana</t>
  </si>
  <si>
    <t>Duarte, Nathália G.</t>
  </si>
  <si>
    <t>Duarte-Junior, Gerson F.</t>
  </si>
  <si>
    <t>Duczinski, Rafael B.</t>
  </si>
  <si>
    <t>Duda, Pedro</t>
  </si>
  <si>
    <t>Dufrayer, Gabriel Henry Morais</t>
  </si>
  <si>
    <t>Dullius, A. H.</t>
  </si>
  <si>
    <t>Dumlao, Vincent Carl Quibranza</t>
  </si>
  <si>
    <t>Dunaiski, Rafael</t>
  </si>
  <si>
    <t>Duncke, Angela Camila P.</t>
  </si>
  <si>
    <t>Dunker, Philip A.</t>
  </si>
  <si>
    <t>Dupont, Jairton</t>
  </si>
  <si>
    <t>Duque Neto, O. A.</t>
  </si>
  <si>
    <t>Duque, Maria Clara Hado De Almeida</t>
  </si>
  <si>
    <t>Duque-Castaño, Diana Carolina</t>
  </si>
  <si>
    <t>Duraiski, Ricardo Guilherme</t>
  </si>
  <si>
    <t>Durán, Alberto L.</t>
  </si>
  <si>
    <t>Dureck, Eduardo Henrique</t>
  </si>
  <si>
    <t>Dussel, Izabela F.Girão</t>
  </si>
  <si>
    <t>Dussin, Ivo Antônio</t>
  </si>
  <si>
    <t>da Silva, Ricardo Dutra</t>
  </si>
  <si>
    <t>Dutra, André Melo Carvalhais</t>
  </si>
  <si>
    <t>Dutra, Caroline P.</t>
  </si>
  <si>
    <t>Benedet Dutra, G.</t>
  </si>
  <si>
    <t>Dutra, Guilherme</t>
  </si>
  <si>
    <t>Dutra, Gustavo Rachid</t>
  </si>
  <si>
    <t>Dutra, Isadora</t>
  </si>
  <si>
    <t>Dutra, Jair Carlos</t>
  </si>
  <si>
    <t>Dutra, Joyce Da Cruz Ferraz</t>
  </si>
  <si>
    <t>Dutra, Julio Cesar Sampaio</t>
  </si>
  <si>
    <t>e Oliveira, Victor Hugo Pereira Moraes</t>
  </si>
  <si>
    <t>Gonçalves e Silva, Régis Henrique</t>
  </si>
  <si>
    <t>Favilla Ebecken, Nelson Francisco</t>
  </si>
  <si>
    <t>Ebeling, Günter</t>
  </si>
  <si>
    <t>Eberlin, M. N.</t>
  </si>
  <si>
    <t>Egmont, Philippe R.</t>
  </si>
  <si>
    <t>Egreja Filho, Fernando Barboza</t>
  </si>
  <si>
    <t>Egues, Sílvia Maria Da Silva</t>
  </si>
  <si>
    <t>Einloft, Sandra Mara Oliveira</t>
  </si>
  <si>
    <t>Eizirik, Eduardo</t>
  </si>
  <si>
    <t>El Seoud, Omar A.</t>
  </si>
  <si>
    <t>Elias, Renato Nascimento</t>
  </si>
  <si>
    <t>De, Ellen A.</t>
  </si>
  <si>
    <t>Ellwanger, Gilberto Bruno</t>
  </si>
  <si>
    <t>ElMassalami, Mohammed</t>
  </si>
  <si>
    <t>Emmanuel da Silva Calixto, Ewerton</t>
  </si>
  <si>
    <t>Enders, Michele Stefani Peters</t>
  </si>
  <si>
    <t>Engelbrecht, Bruno Zanon</t>
  </si>
  <si>
    <t>Engelke da Silva, Vanessa</t>
  </si>
  <si>
    <t>Engelke, V.</t>
  </si>
  <si>
    <t>Engelmann de Oliveira, Christie Helouise</t>
  </si>
  <si>
    <t>Ennes-Silva, Renata A.</t>
  </si>
  <si>
    <t>Enríquez-León, Alexis Jair</t>
  </si>
  <si>
    <t>Értola Pereira de Deus Santos, Raphael</t>
  </si>
  <si>
    <t>Escobar, Julian D.</t>
  </si>
  <si>
    <t>Escobar, Renato Gutiérrez</t>
  </si>
  <si>
    <t>Escovedo, Tatiana</t>
  </si>
  <si>
    <t>Esperança, P. T.T.</t>
  </si>
  <si>
    <t>Espíndola, Rogério Pinto</t>
  </si>
  <si>
    <t>Espolador, João Felipe Raffs</t>
  </si>
  <si>
    <t>Esporcatte, Carolina Mathias</t>
  </si>
  <si>
    <t>Estefen, Segen Farid</t>
  </si>
  <si>
    <t>Estevam, Valdir</t>
  </si>
  <si>
    <t>Esteves, Aline Viana</t>
  </si>
  <si>
    <t>Esteves, Pierre Mothé</t>
  </si>
  <si>
    <t>Estilon de Souza, I.</t>
  </si>
  <si>
    <t>Estrela, Gabriela Alves</t>
  </si>
  <si>
    <t>Cardoso Estumano, Diego Cardoso</t>
  </si>
  <si>
    <t>Eufrazio, Edilvando Pereira</t>
  </si>
  <si>
    <t>Eugenio, Erika De Queiros</t>
  </si>
  <si>
    <t>Euzébio, Thiago Antonio Melo</t>
  </si>
  <si>
    <t>Evsukoff, A. G.</t>
  </si>
  <si>
    <t>Exterkoetter, Rodrigo</t>
  </si>
  <si>
    <t>Fabbri Gondim, Fernanda</t>
  </si>
  <si>
    <t>Fabbri, Glauco Tulio Pessa</t>
  </si>
  <si>
    <t>Fabris, Guilherme S.L.</t>
  </si>
  <si>
    <t>Fabro, Adriano T.</t>
  </si>
  <si>
    <t>Fabro, João Alberto</t>
  </si>
  <si>
    <t>Facanali, Roselaine</t>
  </si>
  <si>
    <t>Faccin, Cléber</t>
  </si>
  <si>
    <t>Faccin, H.</t>
  </si>
  <si>
    <t>Faccini, Ubiratan Ferrucio</t>
  </si>
  <si>
    <t>Fagundes, Flávia M.</t>
  </si>
  <si>
    <t>Fagundes, Thais Bortotti</t>
  </si>
  <si>
    <t>Fairbairn, Eduardo De Moraes Rego</t>
  </si>
  <si>
    <t>Falcade, Tiago</t>
  </si>
  <si>
    <t>Falcão, Alexandre Xavier</t>
  </si>
  <si>
    <t>Fantin, Analucia Vieira</t>
  </si>
  <si>
    <t>Fantini, Cristano</t>
  </si>
  <si>
    <t>Fantini, Cristiano Leite</t>
  </si>
  <si>
    <t>Farenzena, Marcelo</t>
  </si>
  <si>
    <t>Faria, Clara Vieira De</t>
  </si>
  <si>
    <t>de Faria, Elisângela Lopes</t>
  </si>
  <si>
    <t>Faria, Jackson</t>
  </si>
  <si>
    <t>Faria, Jessica</t>
  </si>
  <si>
    <t>Faria, Priscila Esteves De</t>
  </si>
  <si>
    <t>Faria, Rafael O.</t>
  </si>
  <si>
    <t>Faria, Vinícius W.</t>
  </si>
  <si>
    <t>Farias, Bárbara Cibelle Soares</t>
  </si>
  <si>
    <t>Farias, Cássia O.</t>
  </si>
  <si>
    <t>Farias, Fernanda F.</t>
  </si>
  <si>
    <t>Farias, Francisco Werley Cipriano</t>
  </si>
  <si>
    <t>Farias, Larissa Silva</t>
  </si>
  <si>
    <t>Farias, Marcelle Alves</t>
  </si>
  <si>
    <t>Farias, María De Los Ángeles González</t>
  </si>
  <si>
    <t>Farina, Leandro</t>
  </si>
  <si>
    <t>Farines, Jean Marie Alexandre</t>
  </si>
  <si>
    <t>Faro, Arnaldo Da Costa</t>
  </si>
  <si>
    <t>Fasciotti, Maíra</t>
  </si>
  <si>
    <t>Fasolin, Karina</t>
  </si>
  <si>
    <t>Fauth, Gerson</t>
  </si>
  <si>
    <t>Della Fávera, Jorge Carlos</t>
  </si>
  <si>
    <t>Favero, J. L.</t>
  </si>
  <si>
    <t>Favoreto, Júlia</t>
  </si>
  <si>
    <t>Leandro Faxina, Adalberto Leandro</t>
  </si>
  <si>
    <t>Fazio, Gabriella</t>
  </si>
  <si>
    <t>Fazolato, Carolline Silva Barbosa</t>
  </si>
  <si>
    <t>Federico, Valéria Falleiros Spina</t>
  </si>
  <si>
    <t>Feijó, Lucas</t>
  </si>
  <si>
    <t>de Sá Feital, Thiago</t>
  </si>
  <si>
    <t>Feitosa, F. X.</t>
  </si>
  <si>
    <t>Feitosa, Karina Alves</t>
  </si>
  <si>
    <t>Feitosa, Leon F.</t>
  </si>
  <si>
    <t>Fejoli, Rômulo Fieni</t>
  </si>
  <si>
    <t>Felipe Silva Santos, Daniel</t>
  </si>
  <si>
    <t>Felipe, Diego Staub</t>
  </si>
  <si>
    <t>Félix, Guilherme</t>
  </si>
  <si>
    <t>Félix, Lorenzo Marzari</t>
  </si>
  <si>
    <t>Felix-Cordeiro, Thais</t>
  </si>
  <si>
    <t>Fengler, Ricardo Zardin</t>
  </si>
  <si>
    <t>Fernandes Soares, Isabela</t>
  </si>
  <si>
    <t>Fernandes, A. F.</t>
  </si>
  <si>
    <t>Fernandes, Antonio Carlos</t>
  </si>
  <si>
    <t>Fernandes, Antonio L.</t>
  </si>
  <si>
    <t>Fernandes, Beatriz S.</t>
  </si>
  <si>
    <t>Fernandes, Bernardo Branco Lopes</t>
  </si>
  <si>
    <t>Fernandes, Bruno Alves</t>
  </si>
  <si>
    <t>Fernandes, C.</t>
  </si>
  <si>
    <t>Fernandes, C. M.</t>
  </si>
  <si>
    <t>Fernandes, C. P.</t>
  </si>
  <si>
    <t>Fernandes, Daniel Mendes</t>
  </si>
  <si>
    <t>Fernandes, D. R.</t>
  </si>
  <si>
    <t>Fernandes, Fábio Júnior Damasceno</t>
  </si>
  <si>
    <t>Fernandes, Hayane A.</t>
  </si>
  <si>
    <t>Fernandes, J. R.</t>
  </si>
  <si>
    <t>Fernandes, Keysson Vieira</t>
  </si>
  <si>
    <t>Fernandes, Lindoval Domiciano</t>
  </si>
  <si>
    <t>Fernandes, Leandro Augusto Frata</t>
  </si>
  <si>
    <t>Fernandes, Luiz Alberto</t>
  </si>
  <si>
    <t>Fernandes, Marcelo Ferreira</t>
  </si>
  <si>
    <t>Fernandes, Mariana Aragão</t>
  </si>
  <si>
    <t>Fernandes, Rafael Da Silva</t>
  </si>
  <si>
    <t>Fernandes, Rodrigo P.</t>
  </si>
  <si>
    <t>Fernandes, William Paulo Ducca</t>
  </si>
  <si>
    <t>Cardenoso-Fernandez, Franklin Cardenoso</t>
  </si>
  <si>
    <t>Ferracine, Edilene Deise Da Silva</t>
  </si>
  <si>
    <t>Ferraço Brant, Vinnicius</t>
  </si>
  <si>
    <t>Ferraresi, Rafael Nardon</t>
  </si>
  <si>
    <t>Ferraresi, Valtair Antônio</t>
  </si>
  <si>
    <t>Ferrari, Henrique Zucchetti</t>
  </si>
  <si>
    <t>Ferrari, J. V.</t>
  </si>
  <si>
    <t>Ferraz, Caroline</t>
  </si>
  <si>
    <t>Ferraz, Helen Conceição</t>
  </si>
  <si>
    <t>Ferraz, Luis M.R.</t>
  </si>
  <si>
    <t>Ferraz, Rodrigo S.C.</t>
  </si>
  <si>
    <t>Ferreira da Costa Campos, Thomas</t>
  </si>
  <si>
    <t>Ferreira Dos Santos, Nathália</t>
  </si>
  <si>
    <t>Ferreira Sales, Vini Cius</t>
  </si>
  <si>
    <t>Ferreira, A. L.Dos S.</t>
  </si>
  <si>
    <t>Ferreira, Ailton Freitas Balieiro</t>
  </si>
  <si>
    <t>Ferreira, A. F.</t>
  </si>
  <si>
    <t>Ferreira, Amanda Duim</t>
  </si>
  <si>
    <t>Ferreira, André Alves</t>
  </si>
  <si>
    <t>Ferreira, André Davi</t>
  </si>
  <si>
    <t>Ferreira, Anna Danielli Da Fonseca</t>
  </si>
  <si>
    <t>Ferreira, Bruna Moraes</t>
  </si>
  <si>
    <t>Ferreira, Cintia G.</t>
  </si>
  <si>
    <t>Ferreira, Conny Cerai</t>
  </si>
  <si>
    <t>Ferreira, Daniele Melo</t>
  </si>
  <si>
    <t>Ferreira, D. V.G.</t>
  </si>
  <si>
    <t>Ferreira, Edir M.</t>
  </si>
  <si>
    <t>Ferreira, Fabricio L.</t>
  </si>
  <si>
    <t>Ferreira, Fedra A.V.</t>
  </si>
  <si>
    <t>Ferreira, Fernanda Nunes</t>
  </si>
  <si>
    <t>Ferreira, Gabriel M.</t>
  </si>
  <si>
    <t>Ferreira, H. A.S.</t>
  </si>
  <si>
    <t>Ferreira, João</t>
  </si>
  <si>
    <t>Ferreira, João Eduardo</t>
  </si>
  <si>
    <t>Ferreira, Jonathas O.</t>
  </si>
  <si>
    <t>Ferreira, Jorge Luis S.</t>
  </si>
  <si>
    <t>Ferreira, Livia J.</t>
  </si>
  <si>
    <t>Ferreira, Naira Coutinho</t>
  </si>
  <si>
    <t>Ferreira, Neila Nunes</t>
  </si>
  <si>
    <t>Ferreira, P. F.</t>
  </si>
  <si>
    <t>Ferreira, Paulo Henrique</t>
  </si>
  <si>
    <t>Ferreira, Polianna Da S.</t>
  </si>
  <si>
    <t>Nunes Ferreira, Rodrigo</t>
  </si>
  <si>
    <t>Ferreira, S. O.</t>
  </si>
  <si>
    <t>Ferreira, Talita Rosas</t>
  </si>
  <si>
    <t>Ferreira, Talles Souza</t>
  </si>
  <si>
    <t>Ferreira, Thuany M.</t>
  </si>
  <si>
    <t>Ferreira, Tomás Pinho</t>
  </si>
  <si>
    <t>Ferreira, V. H.</t>
  </si>
  <si>
    <t>Ferreira, Vítor Pinheiro</t>
  </si>
  <si>
    <t>Ferreira, Virgilio José Martins</t>
  </si>
  <si>
    <t>Ferreiramelo, Jennifer Mikaella</t>
  </si>
  <si>
    <t>Ferro, A. P.A.</t>
  </si>
  <si>
    <t>Fertonani, Fernando Luis</t>
  </si>
  <si>
    <t>Fett-Neto, A. G.</t>
  </si>
  <si>
    <t>Fick, Cristiano</t>
  </si>
  <si>
    <t>Fidalgo-Neto, Antônio Augusto</t>
  </si>
  <si>
    <t>Fideles, Francisco Felipe De M.</t>
  </si>
  <si>
    <t>Figliuolo, Saulo Queiroz</t>
  </si>
  <si>
    <t>Figueira, Isabella Françoso Rebutini</t>
  </si>
  <si>
    <t>Figueiredo, Alberto Garcia F.</t>
  </si>
  <si>
    <t>Figueiredo, Aline Barbosa</t>
  </si>
  <si>
    <t>Figueiredo, Guylerme</t>
  </si>
  <si>
    <t>Figueiredo, Henrique César Pereira</t>
  </si>
  <si>
    <t>Figueiredo, Igor Silva</t>
  </si>
  <si>
    <t>Figueirêdo, Ilan Sousa</t>
  </si>
  <si>
    <t>de Souza Figueiredo, Katia Cecília</t>
  </si>
  <si>
    <t>Figueiredo, Leandro</t>
  </si>
  <si>
    <t>de Figueiredo, Rodrigo Marques</t>
  </si>
  <si>
    <t>Figueiró, Wilson Mouzer</t>
  </si>
  <si>
    <t>Figueiroa da Silva Cabral, Marco Antonio</t>
  </si>
  <si>
    <t>Filardi, Vitor Leão</t>
  </si>
  <si>
    <t>Fileti, Ana Maria Frattini</t>
  </si>
  <si>
    <t>Filgueiras, Paulo Roberto</t>
  </si>
  <si>
    <t>de Amorim Francisco Soares Fil, Afrânio</t>
  </si>
  <si>
    <t>Filho, Antonio Fernando H.F.</t>
  </si>
  <si>
    <t>Várady Filho, Christiano Augusto Ferrário</t>
  </si>
  <si>
    <t>Souza Filho, Carlos Roberto de</t>
  </si>
  <si>
    <t>Filho, Elvio B.Melo</t>
  </si>
  <si>
    <t>Filho, Ernani Dda S.</t>
  </si>
  <si>
    <t>Filho, João Graciano Mendonça</t>
  </si>
  <si>
    <t>Filho, José Pissolato</t>
  </si>
  <si>
    <t>Filho, Leônidas Pereira</t>
  </si>
  <si>
    <t>Filho, Menezes A.P.</t>
  </si>
  <si>
    <t>Filho, Moacyr Nogueira Borges</t>
  </si>
  <si>
    <t>Filho, Paulo José De Freitas</t>
  </si>
  <si>
    <t>Filho, Pedro Lincoln De Souza</t>
  </si>
  <si>
    <t>Filho, Romildo S.Escarpini</t>
  </si>
  <si>
    <t>Bose Filho, Waldek Wladimir</t>
  </si>
  <si>
    <t>Filho, William Soares</t>
  </si>
  <si>
    <t>Filipi Gonçalves Dos Santos, Claudio</t>
  </si>
  <si>
    <t>Finamore, Camila</t>
  </si>
  <si>
    <t>Finzi Neto, Roberto Mendes</t>
  </si>
  <si>
    <t>Fiorentin, Thiago A.</t>
  </si>
  <si>
    <t>Firme, Pedro A.L.P.</t>
  </si>
  <si>
    <t>Flausino, Bruno</t>
  </si>
  <si>
    <t>Florencio, Cláudio Pires</t>
  </si>
  <si>
    <t>Flores Luna, Genoveva Lourdes</t>
  </si>
  <si>
    <t>de Moraes Flores, Érico Marlon</t>
  </si>
  <si>
    <t>Flores, Luis C.</t>
  </si>
  <si>
    <t>Flores, Vinicius Ribeiro</t>
  </si>
  <si>
    <t>Cerra Florez, Mauro Andres</t>
  </si>
  <si>
    <t>Folli, Gabriely Silveira</t>
  </si>
  <si>
    <t>Fonseca Rocha, L. D.</t>
  </si>
  <si>
    <t>Fonseca, Ana Beatriz Dantas</t>
  </si>
  <si>
    <t>Fonseca, Antônio Sergio Medeiros</t>
  </si>
  <si>
    <t>Fonseca, Bruno S.</t>
  </si>
  <si>
    <t>Fonseca, Carla Grijó</t>
  </si>
  <si>
    <t>Fonseca, Douglas Lima</t>
  </si>
  <si>
    <t>Fonseca, Debora Junqueira</t>
  </si>
  <si>
    <t>Fonseca, Eduardo Bertoni da</t>
  </si>
  <si>
    <t>da Fonseca, Estefan Monteiro</t>
  </si>
  <si>
    <t>Fonseca, J. P.</t>
  </si>
  <si>
    <t>Fonseca, Meliza Jennifer Da Costa</t>
  </si>
  <si>
    <t>De Araújo Fonseca, Marcus Vinícius</t>
  </si>
  <si>
    <t>Fonseca, Samantha G.</t>
  </si>
  <si>
    <t>Fonseca, Thayse Sant’Ana</t>
  </si>
  <si>
    <t>Fonseca, Victor Da Rocha</t>
  </si>
  <si>
    <t>Fontalvo, E. M.G.</t>
  </si>
  <si>
    <t>Fontana, Klaiani Bez</t>
  </si>
  <si>
    <t>Fontana, Márcio</t>
  </si>
  <si>
    <t>Fontaneta, Gabriella Talamo</t>
  </si>
  <si>
    <t>Fonte-Boa, Tobias M.R.</t>
  </si>
  <si>
    <t>Fontella de Moraes Oliveira, Gabrielle</t>
  </si>
  <si>
    <t>Fontes, E. F.</t>
  </si>
  <si>
    <t>Fontoura, Diener Volpin Ribeiro</t>
  </si>
  <si>
    <t>Da Fontoura, Sérgio Augusto Barreto</t>
  </si>
  <si>
    <t>Fontoura, Sergio Augusto B.</t>
  </si>
  <si>
    <t>Fontoura, Tahyná Barbalho</t>
  </si>
  <si>
    <t>Forero, John H.</t>
  </si>
  <si>
    <t>Forlin, Felipe</t>
  </si>
  <si>
    <t>Formolo Ferronatto, João Pedro</t>
  </si>
  <si>
    <t>Fortaleza, Eugenio Libório Feitosa</t>
  </si>
  <si>
    <t>Fortes, Fabiane Silva A.</t>
  </si>
  <si>
    <t>Zamboti Fortes, Marcio Zamboti</t>
  </si>
  <si>
    <t>Forti, Tiago Luís Duarte</t>
  </si>
  <si>
    <t>Fortulan, Carlos Alberto</t>
  </si>
  <si>
    <t>Fortunato, Douglas Da S.</t>
  </si>
  <si>
    <t>Fortuny, Montserrat</t>
  </si>
  <si>
    <t>Frade, M. A.</t>
  </si>
  <si>
    <t>Fraga, Assis K.</t>
  </si>
  <si>
    <t>Fraga, Bernardo M.O.</t>
  </si>
  <si>
    <t>Fraga, Igor A.</t>
  </si>
  <si>
    <t>Fraga, Marco A.</t>
  </si>
  <si>
    <t>Fragelli, Bruna Dias De Lima</t>
  </si>
  <si>
    <t>Frajhof, Isabella Zalcberg</t>
  </si>
  <si>
    <t>França Dias, Marcela</t>
  </si>
  <si>
    <t>França-Neta, Luzia Sergina</t>
  </si>
  <si>
    <t>França, Almério Barros</t>
  </si>
  <si>
    <t>França, Daniela A.</t>
  </si>
  <si>
    <t>França, Elvis J.</t>
  </si>
  <si>
    <t>França, Francis Henrique Ramos</t>
  </si>
  <si>
    <t>França, Gabriela Papoulias</t>
  </si>
  <si>
    <t>França, Rharyne H.M.</t>
  </si>
  <si>
    <t>Franceschi, Elton</t>
  </si>
  <si>
    <t>Francesquini, Emilio</t>
  </si>
  <si>
    <t>Francisco, Agatha Densy Dos Santos</t>
  </si>
  <si>
    <t>Francisco, Marcos A.S.</t>
  </si>
  <si>
    <t>Franco, Admilson Teixeira</t>
  </si>
  <si>
    <t>Franco, Daniel R.</t>
  </si>
  <si>
    <t>Franco, Danielle Mitze Muller</t>
  </si>
  <si>
    <t>Franco, Gumercindo Loriano</t>
  </si>
  <si>
    <t>Franco, Ligia Gaigher</t>
  </si>
  <si>
    <t>Franco, Marilia F.</t>
  </si>
  <si>
    <t>Franco, Sinésio Domingues</t>
  </si>
  <si>
    <t>Franco, Vera Lúcia Donizetti Sousa</t>
  </si>
  <si>
    <t>Franzini, Guilherme Rosa</t>
  </si>
  <si>
    <t>Frattini Fileti, Ana Maria</t>
  </si>
  <si>
    <t>Frazão, Eugênio Pires</t>
  </si>
  <si>
    <t>Frazão, Leonardo E.</t>
  </si>
  <si>
    <t>Fregatto, Marcela Mederos</t>
  </si>
  <si>
    <t>Freire, Aline Soares</t>
  </si>
  <si>
    <t>Freire, Antonio Fernando Menezes</t>
  </si>
  <si>
    <t>Freire, D. M.G.</t>
  </si>
  <si>
    <t>Freire, FL Lázaro</t>
  </si>
  <si>
    <t>Freire, Fernando</t>
  </si>
  <si>
    <t>Freire, José Luiz De França</t>
  </si>
  <si>
    <t>Freitas, Alessandra Conde</t>
  </si>
  <si>
    <t>Dos Santos Freitas, Andria</t>
  </si>
  <si>
    <t>Freitas, Brenda Juliet Martins</t>
  </si>
  <si>
    <t>Freitas, Carla Santos De</t>
  </si>
  <si>
    <t>Freitas, Cláudia</t>
  </si>
  <si>
    <t>Freitas, Corinada Costa</t>
  </si>
  <si>
    <t>Freitas, David Fraga</t>
  </si>
  <si>
    <t>Freitas, Diana Carvalho De</t>
  </si>
  <si>
    <t>Freitas, Fernanda Darcle Silva</t>
  </si>
  <si>
    <t>de Almeida Freitas, Fernando Augusto</t>
  </si>
  <si>
    <t>Freitas, Geovane R.</t>
  </si>
  <si>
    <t>Freitas, Gizele Batalha</t>
  </si>
  <si>
    <t>Freitas, Gustavo Medeiros</t>
  </si>
  <si>
    <t>Freitas, Inês S.G.</t>
  </si>
  <si>
    <t>Freitas, Jair C.C.</t>
  </si>
  <si>
    <t>Freitas, Júlio Cézar De</t>
  </si>
  <si>
    <t>Freitas, Lisiane Dos Santos</t>
  </si>
  <si>
    <t>Freitas, Lucas F.L.</t>
  </si>
  <si>
    <t>Freitas, Marcela G.</t>
  </si>
  <si>
    <t>Freitas, R. B.R.M.</t>
  </si>
  <si>
    <t>Freitas, Rafael Luis Menezes</t>
  </si>
  <si>
    <t>de Freitas, Ramon Morais</t>
  </si>
  <si>
    <t>Freitas, Raul Oliveira</t>
  </si>
  <si>
    <t>Freitas, Renan S.</t>
  </si>
  <si>
    <t>Freitas, Roberto</t>
  </si>
  <si>
    <t>Frescura, Vera Lúcia Azzolin</t>
  </si>
  <si>
    <t>Frescuraa, Vera L.A.</t>
  </si>
  <si>
    <t>Fréty, Roger Thomas François</t>
  </si>
  <si>
    <t>FrinhaniChimin, Roberta Quintino</t>
  </si>
  <si>
    <t>Fritzen, Marcos Antonio</t>
  </si>
  <si>
    <t>Fröhlich, Andressa Cristiana</t>
  </si>
  <si>
    <t>Frota, Maurício N.</t>
  </si>
  <si>
    <t>Frota, Rewbenio A.</t>
  </si>
  <si>
    <t>Frota, Yuri A.De M.</t>
  </si>
  <si>
    <t>Frutuoso E Melo, Paulo Fernando Ferreira</t>
  </si>
  <si>
    <t>Fucatu, Carlos Hakio</t>
  </si>
  <si>
    <t>Fuck, João Vitor Rios</t>
  </si>
  <si>
    <t>Fuck, Reinhardt Adolfo</t>
  </si>
  <si>
    <t>Fujarra, Andre Luis Condino</t>
  </si>
  <si>
    <t>Furtado, Carla P.Q.</t>
  </si>
  <si>
    <t>Furtado, Cristina Russi Guimarães</t>
  </si>
  <si>
    <t>Furtado, Filipe Arantes</t>
  </si>
  <si>
    <t>Furtado, Roberto S.</t>
  </si>
  <si>
    <t>Futai, M. M.</t>
  </si>
  <si>
    <t>Gabioux, Mariela</t>
  </si>
  <si>
    <t>Gabriel, Cléverson Fernandes Senra</t>
  </si>
  <si>
    <t>Cozman, Fábio Gagliardi</t>
  </si>
  <si>
    <t>Gago, Reynaldo Mateus</t>
  </si>
  <si>
    <t>Galdino, Jonathan Felipe</t>
  </si>
  <si>
    <t>Gallo, Bernardo</t>
  </si>
  <si>
    <t>Gallo, Carlos Alberto</t>
  </si>
  <si>
    <t>Galotta, Cátia</t>
  </si>
  <si>
    <t>Galottas, Catia</t>
  </si>
  <si>
    <t>Galotto, Luigi G.</t>
  </si>
  <si>
    <t>Galvão, Paulo Henrique Ferreira</t>
  </si>
  <si>
    <t>Galves, Breno L.</t>
  </si>
  <si>
    <t>Gama de Oliveira, Renata Marins Alvim</t>
  </si>
  <si>
    <t>Gama, Fábio Furlan</t>
  </si>
  <si>
    <t>Gama, Pedro Henrique Targino</t>
  </si>
  <si>
    <t>Gamba, Douglas</t>
  </si>
  <si>
    <t>Gamboa, Carlos Andrés</t>
  </si>
  <si>
    <t>Ganade, Carlos Eduardo</t>
  </si>
  <si>
    <t>Gandra, J. R.</t>
  </si>
  <si>
    <t>Garbossa, Luis Hamilton Pospissil</t>
  </si>
  <si>
    <t>Garção, Leandro Alves</t>
  </si>
  <si>
    <t>Garcia Monteiro, Cid Da Silva</t>
  </si>
  <si>
    <t>Garcia, Alessandro Fabricio</t>
  </si>
  <si>
    <t>Garcia, Antônio Jorge Vasconcellos</t>
  </si>
  <si>
    <t>Garcia, C. A.E.</t>
  </si>
  <si>
    <t>García, Cláudio</t>
  </si>
  <si>
    <t>García, Diego Fernando</t>
  </si>
  <si>
    <t>Garcia, Douglas A.</t>
  </si>
  <si>
    <t>Garcia, Eduardo L.M.</t>
  </si>
  <si>
    <t>Yupanqui García, Glen Jasper</t>
  </si>
  <si>
    <t>García, Grettel Monteagudo</t>
  </si>
  <si>
    <t>Garcia, José Wagner</t>
  </si>
  <si>
    <t>Garcia, Luan Fonseca</t>
  </si>
  <si>
    <t>Garcia, Luciano Garim</t>
  </si>
  <si>
    <t>Garcia, Pauli A.A.</t>
  </si>
  <si>
    <t>Cordero Garcia, Raymundo Cordero</t>
  </si>
  <si>
    <t>Dos Santos Garcia, Rodrigo Henrique</t>
  </si>
  <si>
    <t>Garcia, Vanessa S.</t>
  </si>
  <si>
    <t>Gardinal, Rodrigo</t>
  </si>
  <si>
    <t>Gaseta, M.</t>
  </si>
  <si>
    <t>Gaspar, Alexandre Barros</t>
  </si>
  <si>
    <t>Voltani, Cibele Gasparelo</t>
  </si>
  <si>
    <t>Gasparotto, Luiz H.S.</t>
  </si>
  <si>
    <t>Gaudencio, M.</t>
  </si>
  <si>
    <t>Gedraite, Estevão S.</t>
  </si>
  <si>
    <t>Gedraite, Rubens</t>
  </si>
  <si>
    <t>Geiger, Filipe Paixão</t>
  </si>
  <si>
    <t>Geller, Ana Maria</t>
  </si>
  <si>
    <t>Genovez, Patrícia Carneiro</t>
  </si>
  <si>
    <t>Geraldi, Edson L.</t>
  </si>
  <si>
    <t>Gerber, Alexandra Lehmkuhl</t>
  </si>
  <si>
    <t>Gerber, Juliano P.</t>
  </si>
  <si>
    <t>Gerevini, Giovani</t>
  </si>
  <si>
    <t>Gesser, Rodrigo S.</t>
  </si>
  <si>
    <t>Gewehr de Mello, Raquel</t>
  </si>
  <si>
    <t>Ghislain Ogoulola, Christel Enock</t>
  </si>
  <si>
    <t>Ghizelini, Angela Michelato</t>
  </si>
  <si>
    <t>Giachini, Admir José</t>
  </si>
  <si>
    <t>Giacomelli, F. M.W.</t>
  </si>
  <si>
    <t>Giannini, Paulo César Fonseca</t>
  </si>
  <si>
    <t>Gier Della Rocca, Daniela</t>
  </si>
  <si>
    <t>Giesbrecht, Cristiano K.</t>
  </si>
  <si>
    <t>Gil, Fabio Vinicius Fontoura</t>
  </si>
  <si>
    <t>Gimenez, J. R.</t>
  </si>
  <si>
    <t>Giongo, Adriana</t>
  </si>
  <si>
    <t>Giordano, Gabriela Furlan</t>
  </si>
  <si>
    <t>Giorgioni, Martino</t>
  </si>
  <si>
    <t>Gioria, R. S.</t>
  </si>
  <si>
    <t>Giorjão, Rafael Arthur Reghine</t>
  </si>
  <si>
    <t>Giraldo, Sergio Andres Castaño</t>
  </si>
  <si>
    <t>Girelli, T. J.</t>
  </si>
  <si>
    <t>Girolaheredia, Laerte</t>
  </si>
  <si>
    <t>Giuliani, Caio Merlini</t>
  </si>
  <si>
    <t>Giustina, Enzo D.</t>
  </si>
  <si>
    <t>Gmyterco, Alexandre</t>
  </si>
  <si>
    <t>Gobbi, Ângelo Luiz</t>
  </si>
  <si>
    <t>Gobo, Luciana Assis</t>
  </si>
  <si>
    <t>Godinho Zanetti, Débora</t>
  </si>
  <si>
    <t>Godoy, José Marcus De Oliveira</t>
  </si>
  <si>
    <t>Godoy, Krissia Franco De</t>
  </si>
  <si>
    <t>Godoy, Maria Luíza Duarte Pinto</t>
  </si>
  <si>
    <t>Godoy, Ruben Barros</t>
  </si>
  <si>
    <t>Goes Oliveira, Jorge Luiz</t>
  </si>
  <si>
    <t>Góes-Neto, Aristóteles</t>
  </si>
  <si>
    <t>Goldfard, Ernesto</t>
  </si>
  <si>
    <t>Goldfeld, Paulo</t>
  </si>
  <si>
    <t>Gomes da Silva, Thiago</t>
  </si>
  <si>
    <t>Gomes de Carvalho, Paula</t>
  </si>
  <si>
    <t>Gomes de Medeiros, Peterson Y.</t>
  </si>
  <si>
    <t>Gomes Teixeira, Marco Antônio</t>
  </si>
  <si>
    <t>Soares-Gomes, Abílio</t>
  </si>
  <si>
    <t>Gomes, Alexandre Ferreira</t>
  </si>
  <si>
    <t>Gomes, Anderson Fernando De Carvalho</t>
  </si>
  <si>
    <t>Gomes, Danilo Fernandes</t>
  </si>
  <si>
    <t>Gomes, Elisa Silva</t>
  </si>
  <si>
    <t>Gomes, Guilherme José Cunha</t>
  </si>
  <si>
    <t>Gomes, Gustavo De Goes</t>
  </si>
  <si>
    <t>Gomes, I. F.</t>
  </si>
  <si>
    <t>Gomes, Italo Martins</t>
  </si>
  <si>
    <t>Gomes, J. L.S.</t>
  </si>
  <si>
    <t>da Cunha Ponciano, José Antônio</t>
  </si>
  <si>
    <t>Gomes, José Antônio Da Cunha Ponciano</t>
  </si>
  <si>
    <t>Gomes, Lucas Bonan</t>
  </si>
  <si>
    <t>Gomes, Lucas Moura</t>
  </si>
  <si>
    <t>Gomes, Lucas P.</t>
  </si>
  <si>
    <t>Gomes, Luís Carlos</t>
  </si>
  <si>
    <t>Gomes, Milene Barbosa</t>
  </si>
  <si>
    <t>Gomes, Manoela C.</t>
  </si>
  <si>
    <t>Gomes, Márcia Elisa Boscato</t>
  </si>
  <si>
    <t>Gomes, Rosimeire Floripes</t>
  </si>
  <si>
    <t>Gomes, Sônia Maria</t>
  </si>
  <si>
    <t>Gomes, Thiago Pedro De Lira</t>
  </si>
  <si>
    <t>Gomes, Thiago Santiago</t>
  </si>
  <si>
    <t>Gomes, Vagner Marcelo</t>
  </si>
  <si>
    <t>Gomes, Vitória Régia</t>
  </si>
  <si>
    <t>Gomes, Wellison J.S.</t>
  </si>
  <si>
    <t>Gómez González, Sergio Yesid</t>
  </si>
  <si>
    <t>Goméz, Wilfred</t>
  </si>
  <si>
    <t>Gomi, Edson Satoshi</t>
  </si>
  <si>
    <t>Gonçalo de Lima, Sidney</t>
  </si>
  <si>
    <t>Gonçalves Evsukoff, Alexandre</t>
  </si>
  <si>
    <t>Gonçalves, Adão S.</t>
  </si>
  <si>
    <t>Gonçalves, André B.</t>
  </si>
  <si>
    <t>da Silva Gonçalves, Arlan S.</t>
  </si>
  <si>
    <t>Gonçalves, Arthur S.</t>
  </si>
  <si>
    <t>Gonçalves, Caroline De O.</t>
  </si>
  <si>
    <t>Gonçalves, Eline Simões</t>
  </si>
  <si>
    <t>Gonçalves, Félix Thadeu Teixeira</t>
  </si>
  <si>
    <t>Gonçalves, Flavio Jaime Pol</t>
  </si>
  <si>
    <t>Gonçalves, Gustavo Dos Reis</t>
  </si>
  <si>
    <t>Gonçalves, J. F.</t>
  </si>
  <si>
    <t>Gonçalves, José Eduardo Arruda</t>
  </si>
  <si>
    <t>Gonçalves, M. C.</t>
  </si>
  <si>
    <t>Gonçalves, Maria Luísa Aleixo</t>
  </si>
  <si>
    <t>Gonçalves, Milton Alves</t>
  </si>
  <si>
    <t>Gonçalves, P. F. B.</t>
  </si>
  <si>
    <t>Gonçalves, Rodolfo Trentin</t>
  </si>
  <si>
    <t>Gonçalves, Rafael Adriano Alves Camargo</t>
  </si>
  <si>
    <t>Gonçalves, Raoni Schroeder Borges</t>
  </si>
  <si>
    <t>Gonçalves, Ruth Luna Do Nascimento</t>
  </si>
  <si>
    <t>Gonçalves, Vinicius Ottonio O. Ottonio O.</t>
  </si>
  <si>
    <t>Gontarski, Aline Leal De Lima</t>
  </si>
  <si>
    <t>Gontijo, Boniek</t>
  </si>
  <si>
    <t>Gonzaga, Luiz</t>
  </si>
  <si>
    <t>Gómez Gonzales, Giancarlo L.</t>
  </si>
  <si>
    <t>Gonzales-Limache, E. E.</t>
  </si>
  <si>
    <t>Gonzalez Clua, Esteban Walter</t>
  </si>
  <si>
    <t>Gonzalez, Gabriel Mattos</t>
  </si>
  <si>
    <t>González, Gaspar</t>
  </si>
  <si>
    <t>González, Gerardo A.G.S.</t>
  </si>
  <si>
    <t>Gonzalez, Guilherme G.</t>
  </si>
  <si>
    <t>González, Jorge L.</t>
  </si>
  <si>
    <t>González, María De Los Ángeles</t>
  </si>
  <si>
    <t>González, Marleny Blanco</t>
  </si>
  <si>
    <t>Gonzatto Junior, Oilson Alberto</t>
  </si>
  <si>
    <t>Gorgulho, Honória De Fátima</t>
  </si>
  <si>
    <t>Gorla, Felipe Ferreira Luiz</t>
  </si>
  <si>
    <t>Gotardo, Larissa Ester</t>
  </si>
  <si>
    <t>Goudinho, Flávio Soares</t>
  </si>
  <si>
    <t>Goulart Rodrigues, Amanda</t>
  </si>
  <si>
    <t>Goulart, Fátima Regina De Vasconcelos</t>
  </si>
  <si>
    <t>Goulart, Rosimar De Souza</t>
  </si>
  <si>
    <t>de Gouvêa, Rodrigo César Teixeira</t>
  </si>
  <si>
    <t>Gouveia, Lucas Pereira De</t>
  </si>
  <si>
    <t>Figueredo Gouveia, Rubia Figueredo</t>
  </si>
  <si>
    <t>Govone, José Sílvio</t>
  </si>
  <si>
    <t>Gozzo, Fábio C.</t>
  </si>
  <si>
    <t>Graciano, José Eduardo A.</t>
  </si>
  <si>
    <t>Granja-Saavedra, A. L.</t>
  </si>
  <si>
    <t>Grasmann, Carla S.</t>
  </si>
  <si>
    <t>Grassi, Vinícius Galhard</t>
  </si>
  <si>
    <t>Grassmann, Carla S.</t>
  </si>
  <si>
    <t>Grave, Malú</t>
  </si>
  <si>
    <t>Greco, Sandro José</t>
  </si>
  <si>
    <t>Greco‑Duarte, Jaqueline</t>
  </si>
  <si>
    <t>Grein, Ederson A.</t>
  </si>
  <si>
    <t>Grosman, Jonatas S.</t>
  </si>
  <si>
    <t>Grossi, Caroline Dias</t>
  </si>
  <si>
    <t>Grossmann, Karen Santiago</t>
  </si>
  <si>
    <t>Grosso, Marcella</t>
  </si>
  <si>
    <t>Gruber, Liliane Dailei Almeida</t>
  </si>
  <si>
    <t>Guadagnin, Felipe</t>
  </si>
  <si>
    <t>Guarato de Freitas Santos, Jessica</t>
  </si>
  <si>
    <t>Nani Guarieiro, Lílian Lefol</t>
  </si>
  <si>
    <t>Guarneri, Giovanni Alfredo</t>
  </si>
  <si>
    <t>Guedes, Armando Souza</t>
  </si>
  <si>
    <t>Guedes, Eliane</t>
  </si>
  <si>
    <t>Guedes, Fernanda A.F.</t>
  </si>
  <si>
    <t>Guedes, Thamires A.L.</t>
  </si>
  <si>
    <t>Guerra Bernadá, Gabriel M.</t>
  </si>
  <si>
    <t>Guerra, Antônio C.O.</t>
  </si>
  <si>
    <t>Guerra, Igor Lopes</t>
  </si>
  <si>
    <t>Guerra, Matheus J.P.</t>
  </si>
  <si>
    <t>Guerreiro, João Nisan Correia</t>
  </si>
  <si>
    <t>Guerrero, Carlos Alberto Villegas</t>
  </si>
  <si>
    <t>Guerrero Martin, Camilo Andrés</t>
  </si>
  <si>
    <t>Guevara, Nestor Oscar</t>
  </si>
  <si>
    <t>Guiguer, Nilson</t>
  </si>
  <si>
    <t>Guilhen, Augusto</t>
  </si>
  <si>
    <t>Guilherme, Carlos Eduardo Marcos</t>
  </si>
  <si>
    <t>Guilherme, Ivan Rizzo</t>
  </si>
  <si>
    <t>Guimarães Pedronette, Daniel Carlos</t>
  </si>
  <si>
    <t>Guimarães, Ana Paula C.</t>
  </si>
  <si>
    <t>Guimarães, André S.</t>
  </si>
  <si>
    <t>Guimarães, Carolina Reis</t>
  </si>
  <si>
    <t>Guimarães, Edi Mendes</t>
  </si>
  <si>
    <t>Guimarães-Dias, Fábia</t>
  </si>
  <si>
    <t>Guimarães, Felipe Bevilaqua Foldes</t>
  </si>
  <si>
    <t>Guimarães, Gustavo F.</t>
  </si>
  <si>
    <t>Guimarães, João Henrique Diniz</t>
  </si>
  <si>
    <t>Guimarães, Leonardo J.N. Josédo Nasciment</t>
  </si>
  <si>
    <t>Guimarães, Luiz Gallisa</t>
  </si>
  <si>
    <t>Guimarães, Tainá T.</t>
  </si>
  <si>
    <t>Guimarães, Tarsila M.</t>
  </si>
  <si>
    <t>Guimares Mendes, Tefilo Paiva</t>
  </si>
  <si>
    <t>Gund, Jefferson</t>
  </si>
  <si>
    <t>Gurgel, Marcio</t>
  </si>
  <si>
    <t>Gurova, Tetyana</t>
  </si>
  <si>
    <t>Gürtler, Salete</t>
  </si>
  <si>
    <t>Gutarra, M. L.E.</t>
  </si>
  <si>
    <t>Z Güth, Arthur Ziggiatti</t>
  </si>
  <si>
    <t>Gutierrez, Gabriel B.</t>
  </si>
  <si>
    <t>Gutierrez, Ricardo Homero Ramírez</t>
  </si>
  <si>
    <t>Gutierrez, Raíssa Ferreira</t>
  </si>
  <si>
    <t>Guzmán, Juliana</t>
  </si>
  <si>
    <t>Haag, Jefferson</t>
  </si>
  <si>
    <t>Haag, Taiana</t>
  </si>
  <si>
    <t>Habert, Alberto Cláudio</t>
  </si>
  <si>
    <t>Habran, Margarita</t>
  </si>
  <si>
    <t>Hackbarth, Fabíola Vignola</t>
  </si>
  <si>
    <t>Haddad, Assed N.</t>
  </si>
  <si>
    <t>Haddad, Juliana Fischer S.</t>
  </si>
  <si>
    <t>Hahn, Gabriela</t>
  </si>
  <si>
    <t>Haimovici, M.</t>
  </si>
  <si>
    <t>Barbosa, Carlos Roberto Hall</t>
  </si>
  <si>
    <t>Hamilton, Fabiana C.</t>
  </si>
  <si>
    <t>Hantao, Leandro Wang</t>
  </si>
  <si>
    <t>Nigri Happ, Patrick</t>
  </si>
  <si>
    <t>Hartmann, Daniela</t>
  </si>
  <si>
    <t>Hartmann, Ricardo Morel</t>
  </si>
  <si>
    <t>Haupt, William</t>
  </si>
  <si>
    <t>Hayashi, Thamy Cristina</t>
  </si>
  <si>
    <t>Hecker, Nicolas</t>
  </si>
  <si>
    <t>Heemann, Roberto</t>
  </si>
  <si>
    <t>Heilbron, Mönica Costa Pereira Lavalle</t>
  </si>
  <si>
    <t>Hendges, Letiane Thomas</t>
  </si>
  <si>
    <t>Henriqson, Éder</t>
  </si>
  <si>
    <t>Henrique, Fábio J.F.S.</t>
  </si>
  <si>
    <t>Henriques, André M.</t>
  </si>
  <si>
    <t>Henriques, Cristiane Assumpção Assumpção</t>
  </si>
  <si>
    <t>Henriques, Ruan Roberto</t>
  </si>
  <si>
    <t>Henrique-Silva, Flávio</t>
  </si>
  <si>
    <t>Hernandez, Irving David</t>
  </si>
  <si>
    <t>Herrera, Duvan Ricardo</t>
  </si>
  <si>
    <t>Herzog, Iasmin Louzada</t>
  </si>
  <si>
    <t>Hidalgo, P.</t>
  </si>
  <si>
    <t>Hidalgo Martinez, Kelly J.</t>
  </si>
  <si>
    <t>Hidalgo-Martinez, Kelly</t>
  </si>
  <si>
    <t>Higa, Karen M.</t>
  </si>
  <si>
    <t>Higuti, Ricardo Tokio</t>
  </si>
  <si>
    <t>Hinrichs, Ruth</t>
  </si>
  <si>
    <t>Hissa, D. C.</t>
  </si>
  <si>
    <t>Hodges, Edwin</t>
  </si>
  <si>
    <t>Hoerlle, Cristian Alex</t>
  </si>
  <si>
    <t>Höfig, Daianne Francis</t>
  </si>
  <si>
    <t>Hoinacki, Chrys Katielli</t>
  </si>
  <si>
    <t>Boffo, Carolina Holz</t>
  </si>
  <si>
    <t>Homem-de-Mello, Paula</t>
  </si>
  <si>
    <t>Honorato, Henrique Jaques</t>
  </si>
  <si>
    <t>Honorato, Luciana Ribeiro</t>
  </si>
  <si>
    <t>Honório, Gabriel De Brito</t>
  </si>
  <si>
    <t>Horota, Rafael Kenji</t>
  </si>
  <si>
    <t>Horowitz, Bernardo</t>
  </si>
  <si>
    <t>Horta de Almeida, Julio Cesar</t>
  </si>
  <si>
    <t>Horta, Bruno A. C.</t>
  </si>
  <si>
    <t>Hossa, Pedro</t>
  </si>
  <si>
    <t>Hotta, Marcelo Muta</t>
  </si>
  <si>
    <t>Hougaz, Augusto Borella</t>
  </si>
  <si>
    <t>Houmard, Manuel</t>
  </si>
  <si>
    <t>Hoyos, John Jairo</t>
  </si>
  <si>
    <t>Hsu, Liu</t>
  </si>
  <si>
    <t>Huang, Alex Saratani</t>
  </si>
  <si>
    <t>Huang, Chunte</t>
  </si>
  <si>
    <t>Hülse, Eduardo Otte</t>
  </si>
  <si>
    <t>Hummels, Yuri H.</t>
  </si>
  <si>
    <t>Hünnig Bom, Marlone Heliara</t>
  </si>
  <si>
    <t>Ibanez, Iván F.</t>
  </si>
  <si>
    <t>Iceri, Daiane Mieko</t>
  </si>
  <si>
    <t>Igino, Wellington Passos</t>
  </si>
  <si>
    <t>Iglesias, Rodrigo Sebastian</t>
  </si>
  <si>
    <t>Iltchenco, Janaina</t>
  </si>
  <si>
    <t>Imamura, Paulo Mitsuo</t>
  </si>
  <si>
    <t>Inocencio, Leonardo Campos</t>
  </si>
  <si>
    <t>Inoue, Nelson</t>
  </si>
  <si>
    <t>Isaac, Augusta Cerceau</t>
  </si>
  <si>
    <t>Isler, Elias</t>
  </si>
  <si>
    <t>Itikawa, M. A.</t>
  </si>
  <si>
    <t>Izquierdo, Yenier Torres</t>
  </si>
  <si>
    <t>Izumi, Celly M.S.</t>
  </si>
  <si>
    <t>Jacob, Breno Pinheiro</t>
  </si>
  <si>
    <t>Jacques, Ricardo Callegari</t>
  </si>
  <si>
    <t>Jacques, R. A.</t>
  </si>
  <si>
    <t>Jaculli, Marcelo A.</t>
  </si>
  <si>
    <t>Jafelice, Rosana Motta</t>
  </si>
  <si>
    <t>Jahnert, Frederico Alves</t>
  </si>
  <si>
    <t>Jahnert, Ricardo Jorge</t>
  </si>
  <si>
    <t>Janasi, Valdecir de Assis</t>
  </si>
  <si>
    <t>Janikian, Liliane</t>
  </si>
  <si>
    <t>Jantalia, ClÃ¡udia Pozzi</t>
  </si>
  <si>
    <t>Jardim, Eduardo A.P.</t>
  </si>
  <si>
    <t>Jardim, Kerly Araújo</t>
  </si>
  <si>
    <t>Jardim-Messeder, Douglas</t>
  </si>
  <si>
    <t>Jeck, Izabel King</t>
  </si>
  <si>
    <t>Jelinek, Andréa Ritter</t>
  </si>
  <si>
    <t>De Jesus, Gabriel Torres</t>
  </si>
  <si>
    <t>Jesus, Vanessa Christina Branda Marti</t>
  </si>
  <si>
    <t>Jora, Manazael Zuliani</t>
  </si>
  <si>
    <t>Jordanou, Jean Panaioti</t>
  </si>
  <si>
    <t>Jordão, Bruno L.</t>
  </si>
  <si>
    <t>Jorge, Fábio Elias</t>
  </si>
  <si>
    <t>Jorge, Gabriel</t>
  </si>
  <si>
    <t>Jorge, Carlos Ferreira Jorge</t>
  </si>
  <si>
    <t>Jorge, Leonardo M.S.</t>
  </si>
  <si>
    <t>Jorge, Sandra Brandão</t>
  </si>
  <si>
    <t>José Corrêa, Rodrigo</t>
  </si>
  <si>
    <t>JoséSchiozer, Denis</t>
  </si>
  <si>
    <t>Josuinkas, Fernanda M.</t>
  </si>
  <si>
    <t>Jovane, Luigi</t>
  </si>
  <si>
    <t>Juliani, Caetano</t>
  </si>
  <si>
    <t>Júnior, D. F.Gregório</t>
  </si>
  <si>
    <t>Junior, E. T.Lima</t>
  </si>
  <si>
    <t>Júnior, Elírio Ernestino Toldo</t>
  </si>
  <si>
    <t>Junior, Eugenio Pena Mendes</t>
  </si>
  <si>
    <t>Saboya Albuquerque Júnior, Fernando Albuquerque J.</t>
  </si>
  <si>
    <t>Junior, Flávio Neves</t>
  </si>
  <si>
    <t>Acioli, George</t>
  </si>
  <si>
    <t>Junior, Heleno B.S.</t>
  </si>
  <si>
    <t>Junior, Horácio Guimarães Delgado</t>
  </si>
  <si>
    <t>Júnior, Ivaldo Itabaiana</t>
  </si>
  <si>
    <t>Júnior, José Ivo Ribeiro</t>
  </si>
  <si>
    <t>Passos, Leandro A.</t>
  </si>
  <si>
    <t>Junior, Luiz Cesar Coutinho</t>
  </si>
  <si>
    <t>Júnior, Marcos Rde Paula</t>
  </si>
  <si>
    <t>Nogueira Barbosa Junior, Mario Nogueira Barbosa</t>
  </si>
  <si>
    <t>Junior, N. Choueri</t>
  </si>
  <si>
    <t>Junior, Oilson Alberto Gonzatto</t>
  </si>
  <si>
    <t>Júnior, Roque Aras Fiuza</t>
  </si>
  <si>
    <t>Ramos Jr., Roberto</t>
  </si>
  <si>
    <t>Junior, Rubens Tadeu Hock</t>
  </si>
  <si>
    <t>Lacerda Junior, Valdemar</t>
  </si>
  <si>
    <t>Junkes, Camila Fernanda De Oliveira</t>
  </si>
  <si>
    <t>Junqueira, S. L.M.</t>
  </si>
  <si>
    <t>Jural, Patrícia Alves</t>
  </si>
  <si>
    <t>Jurelevicius, Diogo</t>
  </si>
  <si>
    <t>Justino, Lorena R.</t>
  </si>
  <si>
    <t>Juvinao, A.</t>
  </si>
  <si>
    <t>Kaiser, Carlos Roland</t>
  </si>
  <si>
    <t>Kaiser, Júlia</t>
  </si>
  <si>
    <t>Kakitani, Celina</t>
  </si>
  <si>
    <t>Kalid, Ricardo de Araujo</t>
  </si>
  <si>
    <t>Kalinowski, M.</t>
  </si>
  <si>
    <t>Kameda, Etel</t>
  </si>
  <si>
    <t>Kampel, M.</t>
  </si>
  <si>
    <t>Kämpffe, Milton George Fonseca</t>
  </si>
  <si>
    <t>Kanan, Luis Fernando</t>
  </si>
  <si>
    <t>Kanizawa, Fabio Toshio</t>
  </si>
  <si>
    <t>Kannenberg, Gabriel Lanzer</t>
  </si>
  <si>
    <t>Kardjilov, Nikolay</t>
  </si>
  <si>
    <t>Karp, Joel R.</t>
  </si>
  <si>
    <t>Kartnaller, Vinicius</t>
  </si>
  <si>
    <t>Kassab, Elisa Janzen</t>
  </si>
  <si>
    <t>Kassuga, Alexandre Dias</t>
  </si>
  <si>
    <t>Megumi Kasuya, Maria Catarina</t>
  </si>
  <si>
    <t>Kataoka, Érica M.</t>
  </si>
  <si>
    <t>Kawano, Alexandre</t>
  </si>
  <si>
    <t>Kawashita, Koji K.</t>
  </si>
  <si>
    <t>Keley, Meysam Mohammadpour</t>
  </si>
  <si>
    <t>Kelner, Judith</t>
  </si>
  <si>
    <t>Kempf, Ariel</t>
  </si>
  <si>
    <t>Keppeler, Nicolas</t>
  </si>
  <si>
    <t>Kerber, Gilmar</t>
  </si>
  <si>
    <t>Kern, Henrique Parisi</t>
  </si>
  <si>
    <t>Kern, Marcio Luciano</t>
  </si>
  <si>
    <t>Kerpen, Felippe Stefanowski</t>
  </si>
  <si>
    <t>Ketzer, João Marcelo Medina</t>
  </si>
  <si>
    <t>Khatib, Hissam Abdul Basset</t>
  </si>
  <si>
    <t>Kich, Juliana Nichele</t>
  </si>
  <si>
    <t>Kieckow, Guilherme Silva</t>
  </si>
  <si>
    <t>Kifumbi, Carrel</t>
  </si>
  <si>
    <t>Kiminami, C. S.</t>
  </si>
  <si>
    <t>Kimpara, Marcio Luiz Magri</t>
  </si>
  <si>
    <t>Kindermann, Ellen</t>
  </si>
  <si>
    <t>Kinoshita, Denise</t>
  </si>
  <si>
    <t>Kishi, L. T.</t>
  </si>
  <si>
    <t>Klatt, Matheus</t>
  </si>
  <si>
    <t>Klein, Tania S.</t>
  </si>
  <si>
    <t>Klemz, Ana Caroline</t>
  </si>
  <si>
    <t>Klitzke, Clecio F.</t>
  </si>
  <si>
    <t>Kloh, Vinicius Prata</t>
  </si>
  <si>
    <t>Knoppers, Bastiaan Adriaan</t>
  </si>
  <si>
    <t>Kochhann, Karlos Guilherme Diemer</t>
  </si>
  <si>
    <t>Kochhann, Marcus V.L.</t>
  </si>
  <si>
    <t>Kock, Flávio Vinicius Crizostomo</t>
  </si>
  <si>
    <t>Koester, Edinei</t>
  </si>
  <si>
    <t>Yuuki Koga, Guilherme Yuuki</t>
  </si>
  <si>
    <t>Kohler, Manoela</t>
  </si>
  <si>
    <t>Koolen, Hector H.F.</t>
  </si>
  <si>
    <t>Koste, Emilie Caroline</t>
  </si>
  <si>
    <t>Kotik, Hector Guillermo</t>
  </si>
  <si>
    <t>Krahl, Guilherme</t>
  </si>
  <si>
    <t>Krambrock, Klaus Wilhelm Heinrich</t>
  </si>
  <si>
    <t>Krelling, Ana P.M.</t>
  </si>
  <si>
    <t>Kremer, Carolina Jung</t>
  </si>
  <si>
    <t>Kroeff, Filipe Cantelli</t>
  </si>
  <si>
    <t>Kuchenbecker, Matheus</t>
  </si>
  <si>
    <t>Küchle, Juliano</t>
  </si>
  <si>
    <t>Kühn, Vinícius Oliveira</t>
  </si>
  <si>
    <t>Kulakauskas, Lucas V.Q.</t>
  </si>
  <si>
    <t>Kulmann, Matheus Severo De Souza</t>
  </si>
  <si>
    <t>Kumagai, Patricia Suemy</t>
  </si>
  <si>
    <t>Kumaira, Sissa</t>
  </si>
  <si>
    <t>Kunstmann, Liliane N.O.</t>
  </si>
  <si>
    <t>Kupssinskü, Lucas S.</t>
  </si>
  <si>
    <t>Kuroda Avansi, M. C.</t>
  </si>
  <si>
    <t>Kuster, Ricardo Machado</t>
  </si>
  <si>
    <t>Fortis Kwietniewski, Carlos Eduardo</t>
  </si>
  <si>
    <t>Kwon, Michelle M.N.</t>
  </si>
  <si>
    <t>La Bruna, Vincenzo</t>
  </si>
  <si>
    <t>Laakia, Jaakko</t>
  </si>
  <si>
    <t>Labruzzo, Tiziano</t>
  </si>
  <si>
    <t>Lacerda, B. M.</t>
  </si>
  <si>
    <t>Lacerda, Josefa Nilmara Lopes</t>
  </si>
  <si>
    <t>Roditi-Lachter, Elizabeth Roditi</t>
  </si>
  <si>
    <t>Ladeira, Luiz Orlando</t>
  </si>
  <si>
    <t>Lage, M. A.</t>
  </si>
  <si>
    <t>Lages, Eduardo N.</t>
  </si>
  <si>
    <t>Laguardia, Clara Nogueira</t>
  </si>
  <si>
    <t>Laguna, Juliana Guimarães</t>
  </si>
  <si>
    <t>Lailson-Brito, José L.</t>
  </si>
  <si>
    <t>Lam, Yiu Lau</t>
  </si>
  <si>
    <t>Lamarão, Claúdio Nery</t>
  </si>
  <si>
    <t>Lampert, Luís Pedro</t>
  </si>
  <si>
    <t>Lana, Cecília Cunha</t>
  </si>
  <si>
    <t>Lana, Cristiano de Carvalho</t>
  </si>
  <si>
    <t>Lana, Mary Ane Gonçalves</t>
  </si>
  <si>
    <t>Landau, Luiz L.</t>
  </si>
  <si>
    <t>Landell, Renan Mensch</t>
  </si>
  <si>
    <t>Landers, Richard</t>
  </si>
  <si>
    <t>Landesmann, Alexandre</t>
  </si>
  <si>
    <t>Landi, Louise</t>
  </si>
  <si>
    <t>Landulfo, Eduardo</t>
  </si>
  <si>
    <t>Lange, Roberto</t>
  </si>
  <si>
    <t>Langone, Marta Antunes Pereira</t>
  </si>
  <si>
    <t>Lanzoni, Evandro M.</t>
  </si>
  <si>
    <t>Laranja, Rafael Antônio Comparsi</t>
  </si>
  <si>
    <t>Laurentino, Izabela Costa</t>
  </si>
  <si>
    <t>Laux, Marcele</t>
  </si>
  <si>
    <t>Lavall, Rodrigo Lassarote</t>
  </si>
  <si>
    <t>Lavina, Ernesto Luiz Corrêa</t>
  </si>
  <si>
    <t>Lavrado, Helena Passeri</t>
  </si>
  <si>
    <t>Lavras, T.</t>
  </si>
  <si>
    <t>Lazaneo, Cauê Z.</t>
  </si>
  <si>
    <t>Lazari, Marina Perassoli De</t>
  </si>
  <si>
    <t>Lazzarin, Helen Simone Chiaranda</t>
  </si>
  <si>
    <t>Roux, G. A.C.L.</t>
  </si>
  <si>
    <t>Leal, Bárbara Caroline</t>
  </si>
  <si>
    <t>Leal, Bárbara Cavalcante</t>
  </si>
  <si>
    <t>Leal, José Eduardo Silveira</t>
  </si>
  <si>
    <t>Leal, Kátia Zaccur</t>
  </si>
  <si>
    <t>Leandro, Carolina G.</t>
  </si>
  <si>
    <t>Leandro, Lilian Maia</t>
  </si>
  <si>
    <t>Leão, M. F.</t>
  </si>
  <si>
    <t>Leão, Raquel Ana Capela</t>
  </si>
  <si>
    <t>Lebron, Yuri Abner Rocha</t>
  </si>
  <si>
    <t>Lecerf, Didier B.</t>
  </si>
  <si>
    <t>Leiroz, Albino José Kalab</t>
  </si>
  <si>
    <t>Leitão, Alexandre Amaral</t>
  </si>
  <si>
    <t>Leitáo, Suzana Guimarães</t>
  </si>
  <si>
    <t>Leite Cristofaro, Raphael A.</t>
  </si>
  <si>
    <t>Leite, Adriana De Oliveira Sousa</t>
  </si>
  <si>
    <t>Leite, Amanda Moreira</t>
  </si>
  <si>
    <t>Leite, Antonio Candea</t>
  </si>
  <si>
    <t>Leite, Edson Roberto</t>
  </si>
  <si>
    <t>Leite, Gustavo</t>
  </si>
  <si>
    <t>Leite, Laura Silvia Bahiense Da Silva</t>
  </si>
  <si>
    <t>Leite, Marcel N.</t>
  </si>
  <si>
    <t>Leite, Mariana M.</t>
  </si>
  <si>
    <t>Garcia Praça Leite, Mariangela Garcia Praça</t>
  </si>
  <si>
    <t>Leite, Maurício De Oliveira</t>
  </si>
  <si>
    <t>Leite, Priscila Blasquez Da Costa</t>
  </si>
  <si>
    <t>Leite, V. J.</t>
  </si>
  <si>
    <t>Leite, Victor M.D.M.</t>
  </si>
  <si>
    <t>Lemes, Ailton Cesar</t>
  </si>
  <si>
    <t>Lemos, André Paim</t>
  </si>
  <si>
    <t>Lemos, Flávia Azevedo Pedrosa</t>
  </si>
  <si>
    <t>Lemos, G. V.B.</t>
  </si>
  <si>
    <t>Lemos, I. P.</t>
  </si>
  <si>
    <t>Lemos, Julia Coelho</t>
  </si>
  <si>
    <t>Lemos, Leandro Nascimento</t>
  </si>
  <si>
    <t>Lemos, Melissa</t>
  </si>
  <si>
    <t>Lemos, Tiago S.M.</t>
  </si>
  <si>
    <t>Lentini, Carlos Alessandre Domingos</t>
  </si>
  <si>
    <t>Lenz, Rafaela Luana</t>
  </si>
  <si>
    <t>Lenzi, Arcanjo</t>
  </si>
  <si>
    <t>De, Leonardo S.</t>
  </si>
  <si>
    <t>Leonardo, Noele Franchi</t>
  </si>
  <si>
    <t>Leone-Ignacio, Kassia</t>
  </si>
  <si>
    <t>Leonel, Bruno Vieira</t>
  </si>
  <si>
    <t>Lessa, Douglas O.</t>
  </si>
  <si>
    <t>Leta, Fabiana R.</t>
  </si>
  <si>
    <t>Letichevsky, Sonia</t>
  </si>
  <si>
    <t>Levy, Marjory Moreira</t>
  </si>
  <si>
    <t>Lewenfus, Gabriela</t>
  </si>
  <si>
    <t>Li, Xiaotian</t>
  </si>
  <si>
    <t>Liberado, Eduardo Verri</t>
  </si>
  <si>
    <t>Libório, Denisson De Oliveira</t>
  </si>
  <si>
    <t>Liduino, Vitor Silva</t>
  </si>
  <si>
    <t>Ligabue, Rosane Angélica</t>
  </si>
  <si>
    <t>Ligiéro, Carolina Bastos Pereira</t>
  </si>
  <si>
    <t>Lima da Silva, Marco Antônio</t>
  </si>
  <si>
    <t>do Carmo, Flávia Almada</t>
  </si>
  <si>
    <t>Lima Junior, E. T.</t>
  </si>
  <si>
    <t>Lima Junior, V.</t>
  </si>
  <si>
    <t>Lima Santos, João Paulo</t>
  </si>
  <si>
    <t>Lima, Adrienne Brito</t>
  </si>
  <si>
    <t>Lima, André T.cunha</t>
  </si>
  <si>
    <t>Lima, Andre H.Mascarenhas</t>
  </si>
  <si>
    <t>De Castro Lima, Antonio Cezar</t>
  </si>
  <si>
    <t>Lima, Daniel M.</t>
  </si>
  <si>
    <t>Lima, Djalan F.</t>
  </si>
  <si>
    <t>Lima, Eduardo</t>
  </si>
  <si>
    <t>Lima, Evandro Fernandes De</t>
  </si>
  <si>
    <t>Lima, Fabíola Aliaga</t>
  </si>
  <si>
    <t>Lima, F. P.A.</t>
  </si>
  <si>
    <t>Lima, Gilson B.A.</t>
  </si>
  <si>
    <t>Lima, H. L.S.</t>
  </si>
  <si>
    <t>Lima, Helena Santiago</t>
  </si>
  <si>
    <t>Lima, Hugo Orofino</t>
  </si>
  <si>
    <t>Lima, José Antonio Moreira</t>
  </si>
  <si>
    <t>Lima, Josefa Abucáter</t>
  </si>
  <si>
    <t>Lima, Júlio César De</t>
  </si>
  <si>
    <t>Lima, Ludiane Silva</t>
  </si>
  <si>
    <t>Lima, Larissa Lavorato</t>
  </si>
  <si>
    <t>Lima, Marcus Vinicius A.G.De</t>
  </si>
  <si>
    <t>Lima, Maria Eduarda Do Nascimento Vi</t>
  </si>
  <si>
    <t>Lima, Maria L.S.O.</t>
  </si>
  <si>
    <t>Lima, Mariana D.C.</t>
  </si>
  <si>
    <t>Lima, Mário César De Siqueira</t>
  </si>
  <si>
    <t>Lima, Natália Da Silva</t>
  </si>
  <si>
    <t>Lima, Nerilson Marques</t>
  </si>
  <si>
    <t>Lima, Rafael C.</t>
  </si>
  <si>
    <t>Lima, Raquel Oliveira</t>
  </si>
  <si>
    <t>Lima, Rebeca Seabra</t>
  </si>
  <si>
    <t>Lima, Renato Sousa</t>
  </si>
  <si>
    <t>Lima, Rodrigo</t>
  </si>
  <si>
    <t>Lima, S. M.C.</t>
  </si>
  <si>
    <t>Lima, Tamires Aliprandi</t>
  </si>
  <si>
    <t>Lima, Yhaohannah</t>
  </si>
  <si>
    <t>Pinheiro Lima-Filho, Francisco Pinheiro</t>
  </si>
  <si>
    <t>Limaverde Filho, J. O.A.</t>
  </si>
  <si>
    <t>Lindgren, Eric Brazil</t>
  </si>
  <si>
    <t>Linhares, Felipe Nunes</t>
  </si>
  <si>
    <t>Linhares, Ricardo C.</t>
  </si>
  <si>
    <t>Linhares, Vanessa N.</t>
  </si>
  <si>
    <t>Lins, Erb F.</t>
  </si>
  <si>
    <t>Lins, I. D.</t>
  </si>
  <si>
    <t>Lins, Ulysses Garcia C.</t>
  </si>
  <si>
    <t>de Lira, Raphael A.</t>
  </si>
  <si>
    <t>Lira, William Wagner Matos</t>
  </si>
  <si>
    <t>Lisbôa, Andre Fabiano Steklain</t>
  </si>
  <si>
    <t>Lisbôa, Kleber Marques</t>
  </si>
  <si>
    <t>Lisboa, Luana P.</t>
  </si>
  <si>
    <t>Lisboa, Pedro Henrique Braga</t>
  </si>
  <si>
    <t>Liu, Junpeng</t>
  </si>
  <si>
    <t>Lizárraga, Rebeca G.M.</t>
  </si>
  <si>
    <t>Lizarralde, Fernando C.</t>
  </si>
  <si>
    <t>Lobo, D. M.</t>
  </si>
  <si>
    <t>Lobo, J. S.</t>
  </si>
  <si>
    <t>Lobo, Janaína Teixeira</t>
  </si>
  <si>
    <t>Lobo-J�nior, Eul�cio Oliveira</t>
  </si>
  <si>
    <t>Lobosco, Raquel Jahara</t>
  </si>
  <si>
    <t>Locatel, William De R.</t>
  </si>
  <si>
    <t>Lodi, Leandro</t>
  </si>
  <si>
    <t>Loeff, Marcos V.</t>
  </si>
  <si>
    <t>Loeffle, C. F.</t>
  </si>
  <si>
    <t>Loeffler, Carlos Friedrich</t>
  </si>
  <si>
    <t>Loh, Roberta Kuan Tchuen M.</t>
  </si>
  <si>
    <t>Lona, L. M.F.</t>
  </si>
  <si>
    <t>Lonardelli, Josenilda</t>
  </si>
  <si>
    <t>Lôndero, Vinicius</t>
  </si>
  <si>
    <t>Longhi, Rafael Pedro</t>
  </si>
  <si>
    <t>Longhin, Gustavo C.</t>
  </si>
  <si>
    <t>Longo da Silva, Elson</t>
  </si>
  <si>
    <t>Lopes Junior, R.</t>
  </si>
  <si>
    <t>Nascimento, Heliara Dalva Lopes</t>
  </si>
  <si>
    <t>Lopes Simão, Taiz L.</t>
  </si>
  <si>
    <t>Lopes, Alexander A.O.</t>
  </si>
  <si>
    <t>Lopes, Alexandre Antonio De Oliveira</t>
  </si>
  <si>
    <t>Lopes, Alexandre Tavares</t>
  </si>
  <si>
    <t>Lopes, Angela Pacheco</t>
  </si>
  <si>
    <t>Lopes, Bruno</t>
  </si>
  <si>
    <t>Lopes, Bruno J.</t>
  </si>
  <si>
    <t>Lopes, Camila Calicchio</t>
  </si>
  <si>
    <t>Lopes, Déborah Romaskevis Gomes</t>
  </si>
  <si>
    <t>Lopes, Fernando Marcanth</t>
  </si>
  <si>
    <t>Lopes, Filipe Salvador</t>
  </si>
  <si>
    <t>Lopes, Gabriel S.</t>
  </si>
  <si>
    <t>Lopes, Guilherme Kronemberger</t>
  </si>
  <si>
    <t>Lopes, Hélio Côrtes Vieira</t>
  </si>
  <si>
    <t>Lopes, Isabela M.F.</t>
  </si>
  <si>
    <t>Lopes, Isabela Maria Ferreira</t>
  </si>
  <si>
    <t>Lopes, Ítalo Dos Reis</t>
  </si>
  <si>
    <t>Lopes, José Arimatéia Dantas</t>
  </si>
  <si>
    <t>Lopes, José Henrique</t>
  </si>
  <si>
    <t>Lopes, José Luiz S.</t>
  </si>
  <si>
    <t>Lopes, José Marques</t>
  </si>
  <si>
    <t>Lopes, Leonardo Brenguere Leão</t>
  </si>
  <si>
    <t>Lopes, Leonardo Tadeu</t>
  </si>
  <si>
    <t>Lopes, Lucas Gouveia Omena</t>
  </si>
  <si>
    <t>Lopes, Maria Célia Santos</t>
  </si>
  <si>
    <t>Lopes, Marilia Sousa</t>
  </si>
  <si>
    <t>Lopes, Melina Savioli</t>
  </si>
  <si>
    <t>Lopes, Ricardo Tadeu</t>
  </si>
  <si>
    <t>Lopes, Rafaela Nascimento</t>
  </si>
  <si>
    <t>Lopes, R. T.</t>
  </si>
  <si>
    <t>Lopes, S. J.S.</t>
  </si>
  <si>
    <t>Lopes, Stefane Rodrigues Xavier</t>
  </si>
  <si>
    <t>Lopes, Tuane Vanessa</t>
  </si>
  <si>
    <t>Lopes, Verônica Regina De Oliveira</t>
  </si>
  <si>
    <t>López, Facundo Sebastián</t>
  </si>
  <si>
    <t>López, Jimmy A.</t>
  </si>
  <si>
    <t>Lopez, Juan E.C.</t>
  </si>
  <si>
    <t>Lorenzon, Arthur Francisco</t>
  </si>
  <si>
    <t>Lorenzoni, William C.</t>
  </si>
  <si>
    <t>Lorenzzetti, João A.</t>
  </si>
  <si>
    <t>Loreto, Jesana M.</t>
  </si>
  <si>
    <t>Lorevice, Marcos V.</t>
  </si>
  <si>
    <t>Lorio, Diego Andrés</t>
  </si>
  <si>
    <t>Lourega, Rogério Vescia</t>
  </si>
  <si>
    <t>Loureiro, Alexandre R.</t>
  </si>
  <si>
    <t>Loureiro, Bruno Venturini</t>
  </si>
  <si>
    <t>Loureiro, Juliana Braga Rodrigues</t>
  </si>
  <si>
    <t>Loureiro, Marcelo Ehlers</t>
  </si>
  <si>
    <t>Loureiro, Maria Regina B.</t>
  </si>
  <si>
    <t>Lourenço, Felipe Rebello</t>
  </si>
  <si>
    <t>Lourenço, Rafael André</t>
  </si>
  <si>
    <t>Lourenço, V. S.</t>
  </si>
  <si>
    <t>Louzada, Francisco</t>
  </si>
  <si>
    <t>Lu, Shaoping</t>
  </si>
  <si>
    <t>Lucas, Ana Nadja L.</t>
  </si>
  <si>
    <t>Lucas, Cláudio R.S.</t>
  </si>
  <si>
    <t>Lucas, Cláudio Regis dos Santos</t>
  </si>
  <si>
    <t>Lucas, Elizabete Fernandes</t>
  </si>
  <si>
    <t>Lucas, L. C.V.</t>
  </si>
  <si>
    <t>De, Lucas F.</t>
  </si>
  <si>
    <t>de Oliveira, Éverton Lucas</t>
  </si>
  <si>
    <t>Lucena Kreppel Paes, Paulo</t>
  </si>
  <si>
    <t>Lucena, Sebastião M.P.</t>
  </si>
  <si>
    <t>Ludvig, Péter</t>
  </si>
  <si>
    <t>Ludwig, Daniel Evandro</t>
  </si>
  <si>
    <t>Luft-Souza, Fernanda</t>
  </si>
  <si>
    <t>Luiz de Abreu, Odilon Santana</t>
  </si>
  <si>
    <t>De, Luiz Felipe</t>
  </si>
  <si>
    <t>Luna, Aderval Severino</t>
  </si>
  <si>
    <t>Luna, Ivette Raymunda</t>
  </si>
  <si>
    <t>Lunelli, Rafael</t>
  </si>
  <si>
    <t>Lupinacci, Wagner Moreira</t>
  </si>
  <si>
    <t>Lutckmeier, Felipe</t>
  </si>
  <si>
    <t>Lutterbach, L. M M</t>
  </si>
  <si>
    <t>Lutterbach, Marcia Teresa Soares</t>
  </si>
  <si>
    <t>Luz, Ana Paula</t>
  </si>
  <si>
    <t>Lyra, P. R.M.</t>
  </si>
  <si>
    <t>M.t Cazanova, Catarina</t>
  </si>
  <si>
    <t>Maass, Danielle</t>
  </si>
  <si>
    <t>Macario, K. D.</t>
  </si>
  <si>
    <t>Macêdo Filho, Antomat Avelino De</t>
  </si>
  <si>
    <t>Macedo, B. N.</t>
  </si>
  <si>
    <t>Macedo, Elisa Alves Mayrinck</t>
  </si>
  <si>
    <t>Macedo, Fabiano Jorge</t>
  </si>
  <si>
    <t>MacEdo, G. M.</t>
  </si>
  <si>
    <t>Macedo, H. P.</t>
  </si>
  <si>
    <t>Macedo, July Bias</t>
  </si>
  <si>
    <t>Macedo, Ruza Gabriela Medeiros De Araú</t>
  </si>
  <si>
    <t>Macedo, Thaísa Ferreira</t>
  </si>
  <si>
    <t>Machado de Carvalho, Leandro</t>
  </si>
  <si>
    <t>Machado, Alexei Manso Correa</t>
  </si>
  <si>
    <t>Machado, Altair De Jesus</t>
  </si>
  <si>
    <t>Machado, Amanda S.</t>
  </si>
  <si>
    <t>Machado, André Paulo Ferreira</t>
  </si>
  <si>
    <t>Machado, Arthur Antonio</t>
  </si>
  <si>
    <t>Machado, Claudia Xavier</t>
  </si>
  <si>
    <t>Machado, Deivid Lopes</t>
  </si>
  <si>
    <t>Machado, Flora Gomes</t>
  </si>
  <si>
    <t>Machado, Hugo Gontijo</t>
  </si>
  <si>
    <t>Machado, Isaías Mortari</t>
  </si>
  <si>
    <t>MacHado, J. C.</t>
  </si>
  <si>
    <t>Machado, João Pacífico S.L.</t>
  </si>
  <si>
    <t>Machado, Leandro</t>
  </si>
  <si>
    <t>MacHado, M.</t>
  </si>
  <si>
    <t>Machado, M. B.</t>
  </si>
  <si>
    <t>Machado, Mariana F.</t>
  </si>
  <si>
    <t>Francisco Machado, Ricardo Antônio</t>
  </si>
  <si>
    <t>Machado, Victor H.R.</t>
  </si>
  <si>
    <t>Machado, Wilson Thadeu Valle</t>
  </si>
  <si>
    <t>Macharet, Douglas G.</t>
  </si>
  <si>
    <t>Maciel Filho, Rubens F.</t>
  </si>
  <si>
    <t>Maciel, Bruno M.C.M.</t>
  </si>
  <si>
    <t>MacIel, Cleiton Domingos</t>
  </si>
  <si>
    <t>Maciel, F. S.</t>
  </si>
  <si>
    <t>Pereira da Silva Maciel, Gabriela</t>
  </si>
  <si>
    <t>MacIel, Ingrid Barreto</t>
  </si>
  <si>
    <t>Maciel, Lanaia Ítala Louzeiro</t>
  </si>
  <si>
    <t>Maciel, Rodrigo Simões</t>
  </si>
  <si>
    <t>Maciel, Susanne T.r.</t>
  </si>
  <si>
    <t>Macrae, Andrew</t>
  </si>
  <si>
    <t>Madalão, João Carlos</t>
  </si>
  <si>
    <t>Madeira, Natã C.L.</t>
  </si>
  <si>
    <t>Maffra, Daniel A.</t>
  </si>
  <si>
    <t>Magalhães, Bruno C.</t>
  </si>
  <si>
    <t>Magalhães, Caio Augusto</t>
  </si>
  <si>
    <t>Magalhães, D. P.</t>
  </si>
  <si>
    <t>Magalhães, Elisan S.</t>
  </si>
  <si>
    <t>Magalhães, Gabriel Marcos</t>
  </si>
  <si>
    <t>Magalhães, Sérgio Da Cruz</t>
  </si>
  <si>
    <t>Magalhães, Tatiana O.</t>
  </si>
  <si>
    <t>Magini, Christiano</t>
  </si>
  <si>
    <t>Magluta, Carlos</t>
  </si>
  <si>
    <t>Magrini, Flaviane Eva</t>
  </si>
  <si>
    <t>Mahiques, Michel M.</t>
  </si>
  <si>
    <t>Mai, Leonardo</t>
  </si>
  <si>
    <t>Maia, Débora Aline Soares</t>
  </si>
  <si>
    <t>Maia, Joaquim Miguel</t>
  </si>
  <si>
    <t>Maia, Lenize Fernandes</t>
  </si>
  <si>
    <t>Maia, Luciano Carlos Da</t>
  </si>
  <si>
    <t>Maia, M. G.</t>
  </si>
  <si>
    <t>Maia, Pedro Paulo Nunes</t>
  </si>
  <si>
    <t>Maia, Renata Moreira Da Costa</t>
  </si>
  <si>
    <t>Arruda Maia, Renata Juliana</t>
  </si>
  <si>
    <t>Maia, Rúbson Pinheiro</t>
  </si>
  <si>
    <t>Maior, Caio Bezerra Souto</t>
  </si>
  <si>
    <t>Maior, Steve</t>
  </si>
  <si>
    <t>Barão, Leonardo Mairink</t>
  </si>
  <si>
    <t>Malacarne, Majorie M.</t>
  </si>
  <si>
    <t>Malafatti-Picca, Lusiane</t>
  </si>
  <si>
    <t>Malafatti‑Picca, Lusiane</t>
  </si>
  <si>
    <t>Maldonado, Paul Adrian Delgado</t>
  </si>
  <si>
    <t>Malgaresi, Gabriel V.C.</t>
  </si>
  <si>
    <t>Malta, Edgard Borges</t>
  </si>
  <si>
    <t>Malta, Gabriel Silva</t>
  </si>
  <si>
    <t>Mancilla, Ernesto</t>
  </si>
  <si>
    <t>Manco, Miguel R.</t>
  </si>
  <si>
    <t>Mandal, B.</t>
  </si>
  <si>
    <t>Mane, Miguel Ângelo</t>
  </si>
  <si>
    <t>Maneschy, José Eduardo</t>
  </si>
  <si>
    <t>Manfro, Robinson Luciano</t>
  </si>
  <si>
    <t>Mangeon, Amanda</t>
  </si>
  <si>
    <t>Mangeth, Ana Lara</t>
  </si>
  <si>
    <t>Manica, R.</t>
  </si>
  <si>
    <t>Manke, Ingo</t>
  </si>
  <si>
    <t>Manoel, V. B.</t>
  </si>
  <si>
    <t>Regina Elias Mansur, Claudia Regina Elias</t>
  </si>
  <si>
    <t>Mansur, Kátia Leite</t>
  </si>
  <si>
    <t>Mansur, W. J.</t>
  </si>
  <si>
    <t>Henriques Mantelli, Marcia Barbosa</t>
  </si>
  <si>
    <t>Mantovani, I. F.</t>
  </si>
  <si>
    <t>Mantuano, Dulce Gilson</t>
  </si>
  <si>
    <t>Manzoli, Osvaldo Luís</t>
  </si>
  <si>
    <t>Marafão, F. P.</t>
  </si>
  <si>
    <t>Fattori, Ana Carolina Maragno</t>
  </si>
  <si>
    <t>Marana, Aparecido Nilceu</t>
  </si>
  <si>
    <t>Marana, Sandro Roberto</t>
  </si>
  <si>
    <t>Marangoni, Cintia</t>
  </si>
  <si>
    <t>de Andrade Maranhão, Tatiane A.</t>
  </si>
  <si>
    <t>Maraschin, Anderson José</t>
  </si>
  <si>
    <t>Marassi, Agide Gimenez</t>
  </si>
  <si>
    <t>Maravilha, Tatiana S.L.</t>
  </si>
  <si>
    <t>Marcano, Francia</t>
  </si>
  <si>
    <t>Marcelino, Maraísa</t>
  </si>
  <si>
    <t>Marcellino, Guilherme C.</t>
  </si>
  <si>
    <t>Marcelo, Célio De Jesus</t>
  </si>
  <si>
    <t>Marchesi, Vivian Rodrigues</t>
  </si>
  <si>
    <t>Marconatto, Leticia</t>
  </si>
  <si>
    <t>Marcovistz, Ighor</t>
  </si>
  <si>
    <t>Marculino, Cinara F.G.</t>
  </si>
  <si>
    <t>Marenco, Javier</t>
  </si>
  <si>
    <t>Margarit-Mattos, I. C.P.</t>
  </si>
  <si>
    <t>Maria Zanforlin Martini, Adriana</t>
  </si>
  <si>
    <t>Mariani, Diego Henrique Diemmer</t>
  </si>
  <si>
    <t>Mariano, Danielly C.O.</t>
  </si>
  <si>
    <t>Mariano, Felipe Pamplona</t>
  </si>
  <si>
    <t>Mariano, Gorki</t>
  </si>
  <si>
    <t>Marim, Renan Guilherme</t>
  </si>
  <si>
    <t>Marimon, Rodrigo Schwantes</t>
  </si>
  <si>
    <t>Marin, Fernando De Oliveira</t>
  </si>
  <si>
    <t>Marin, Graciane</t>
  </si>
  <si>
    <t>Marinha, Marcelo Diniz Santa</t>
  </si>
  <si>
    <t>Alcantara Marinho, Belisa</t>
  </si>
  <si>
    <t>de Souza Marinho, Marcelo</t>
  </si>
  <si>
    <t>Marinho, Marcelo Manzi</t>
  </si>
  <si>
    <t>Marinho, Thiago Oliveira</t>
  </si>
  <si>
    <t>Marinković, Bojan A.</t>
  </si>
  <si>
    <t>Marins, Camila Pinheiro</t>
  </si>
  <si>
    <t>Marins, Matheus Araújo</t>
  </si>
  <si>
    <t>Markötter, Henning</t>
  </si>
  <si>
    <t>Marotta, Elaine</t>
  </si>
  <si>
    <t>Marques Ferreira, Adriano Dayvson</t>
  </si>
  <si>
    <t>Marques Junior, Ademir</t>
  </si>
  <si>
    <t>Marques, Caique Rodrigues</t>
  </si>
  <si>
    <t>Marques, Cleber</t>
  </si>
  <si>
    <t>Marques, Daniela C.</t>
  </si>
  <si>
    <t>Marques, Flávia Campos</t>
  </si>
  <si>
    <t>de Carvalho Marques, Flávia Ferreira C.</t>
  </si>
  <si>
    <t>Marques, Gisele Tavares</t>
  </si>
  <si>
    <t>Marques, Joana Montezano</t>
  </si>
  <si>
    <t>Marques, Leila Soares</t>
  </si>
  <si>
    <t>Marques, Marcia Talita Amorim</t>
  </si>
  <si>
    <t>Vieira Marques, Maria De Fátima</t>
  </si>
  <si>
    <t>Marques, Nívia N.</t>
  </si>
  <si>
    <t>Marques, Rui Pitanga</t>
  </si>
  <si>
    <t>Marquita, Rafael Lucas Da Silva</t>
  </si>
  <si>
    <t>Marsaioli, Anita</t>
  </si>
  <si>
    <t>Marson, Fernando Pinho</t>
  </si>
  <si>
    <t>Martel, Renan Bordulis</t>
  </si>
  <si>
    <t>Martelli, Cicero</t>
  </si>
  <si>
    <t>Martha, Luiz Fernando Campos Ramos</t>
  </si>
  <si>
    <t>Martí, Luis</t>
  </si>
  <si>
    <t>Martin, Paulo Alexandre</t>
  </si>
  <si>
    <t>Martinelli, Antônio Eduardo</t>
  </si>
  <si>
    <t>Padilla, Elie Luis Martínez</t>
  </si>
  <si>
    <t>Martínez, Elyser Estrada</t>
  </si>
  <si>
    <t>Martinez, Jorge Luis</t>
  </si>
  <si>
    <t>Martinez-Villabona, Oscar J.</t>
  </si>
  <si>
    <t>Antonelli Martiniano, Guilherme</t>
  </si>
  <si>
    <t>Martins Ferreira, Malu Millena</t>
  </si>
  <si>
    <t>Martins Reis, Rodrigo</t>
  </si>
  <si>
    <t>Martins, Adriely</t>
  </si>
  <si>
    <t>Martins, Agnaldo Silva</t>
  </si>
  <si>
    <t>Martins, Douglas Ferreira</t>
  </si>
  <si>
    <t>Martins, Fernanda Faria</t>
  </si>
  <si>
    <t>Martins, Giovani S.M.</t>
  </si>
  <si>
    <t>Martins, Ianto O.</t>
  </si>
  <si>
    <t>Martins, Jonathan Ribeiro</t>
  </si>
  <si>
    <t>Martins, Julia M.</t>
  </si>
  <si>
    <t>Martins, L. A.A.</t>
  </si>
  <si>
    <t>Ferreira Pacheco Malta Martins, Leonardo</t>
  </si>
  <si>
    <t>Martins, Lucas G.</t>
  </si>
  <si>
    <t>Martins, M. R.</t>
  </si>
  <si>
    <t>Martins, Márcio A.F.</t>
  </si>
  <si>
    <t>Martins, Márcio Arêdes</t>
  </si>
  <si>
    <t>Martíns, Virgínia A.</t>
  </si>
  <si>
    <t>Martins, Maximiano C.</t>
  </si>
  <si>
    <t>Martins, Rafael Oliveira</t>
  </si>
  <si>
    <t>Martins, Sebastian Moreira</t>
  </si>
  <si>
    <t>Martinuzzo, Lucas</t>
  </si>
  <si>
    <t>Masago, Fábio Kenji</t>
  </si>
  <si>
    <t>Masalla, Carlos E.V.</t>
  </si>
  <si>
    <t>Maschio, Célio L.</t>
  </si>
  <si>
    <t>Mascia, Fausto Leopoldo</t>
  </si>
  <si>
    <t>Masetti, Isaías Quaresma</t>
  </si>
  <si>
    <t>Masoumi, Mohammad</t>
  </si>
  <si>
    <t>Masse Vieira, Kaio Henrique</t>
  </si>
  <si>
    <t>Mas-Soler, Jordi</t>
  </si>
  <si>
    <t>Massone, Carlos German</t>
  </si>
  <si>
    <t>Matar, Papa</t>
  </si>
  <si>
    <t>Matheus, Caio R.V.</t>
  </si>
  <si>
    <t>S Barbosa, Matheus Da</t>
  </si>
  <si>
    <t>Matias, Filipe Augusto Serrão</t>
  </si>
  <si>
    <t>de Oliveira Matias, Ítalo</t>
  </si>
  <si>
    <t>Matias, Italo Oliveira</t>
  </si>
  <si>
    <t>Matos, Ana Carolina Hermógenes De</t>
  </si>
  <si>
    <t>Matos, Everton Moraes</t>
  </si>
  <si>
    <t>Matos, Leonardo F.</t>
  </si>
  <si>
    <t>Matos, P. H.M.C.</t>
  </si>
  <si>
    <t>Matos, Pedro Henrique De M.C.</t>
  </si>
  <si>
    <t>Matos-Pimentel, Hannah L.S.</t>
  </si>
  <si>
    <t>Mattei, Fabiano</t>
  </si>
  <si>
    <t>Mattos, João Guilherme</t>
  </si>
  <si>
    <t>Mattos, Nathalia Helena Secol</t>
  </si>
  <si>
    <t>Mattos, O. R.</t>
  </si>
  <si>
    <t>Mattoso, Marta</t>
  </si>
  <si>
    <t>Mattoso Filho, N. Pereira</t>
  </si>
  <si>
    <t>Mattuella, Jussara M.Leite</t>
  </si>
  <si>
    <t>Matuda, Marcelo Yassunori</t>
  </si>
  <si>
    <t>Maturana, Marcos Coelho</t>
  </si>
  <si>
    <t>Mauad, Cristiane Ribeiro</t>
  </si>
  <si>
    <t>Mauad, Frederico Fabio</t>
  </si>
  <si>
    <t>Maurina, Guilherme Z.</t>
  </si>
  <si>
    <t>Máximo-Canadas, Matheus</t>
  </si>
  <si>
    <t>Maziero, Fabrízio</t>
  </si>
  <si>
    <t>Maziviero, Fernando Velcic</t>
  </si>
  <si>
    <t>Mazur, Luciana P.</t>
  </si>
  <si>
    <t>Mazur, Nelson</t>
  </si>
  <si>
    <t>Mazuroski, Marina Elizabeth</t>
  </si>
  <si>
    <t>Mazza, Ricardo Augusto</t>
  </si>
  <si>
    <t>Mazzarotto, Gabriel Tomazzoni</t>
  </si>
  <si>
    <t>Mazzi, Vitor</t>
  </si>
  <si>
    <t>Mazzilli, Carlos Eduardo Nigro</t>
  </si>
  <si>
    <t>Mazzutti, Tiago</t>
  </si>
  <si>
    <t>Medeiros Barbosa, Rafael Yuri</t>
  </si>
  <si>
    <t>Medeiros Moreira, Rosana</t>
  </si>
  <si>
    <t>Medeiros, C. E.B.</t>
  </si>
  <si>
    <t>Medeiros, Felipe Da Silva</t>
  </si>
  <si>
    <t>Medeiros, J. A.G.</t>
  </si>
  <si>
    <t>Reis Medeiros, Khrissy Aracélly</t>
  </si>
  <si>
    <t>Medeiros, Lizianne Carvalho M.</t>
  </si>
  <si>
    <t>Medeiros, Rodolfo Luiz Bezerra De Araújo</t>
  </si>
  <si>
    <t>Medeiros, Vladimir Cruz De</t>
  </si>
  <si>
    <t>Medeiros, Walter Eugênio De</t>
  </si>
  <si>
    <t>Medina, A. F.</t>
  </si>
  <si>
    <t>Medina, Lutecia Rigueira</t>
  </si>
  <si>
    <t>Medina-Silva, Renata</t>
  </si>
  <si>
    <t>Medronho, R. A.</t>
  </si>
  <si>
    <t>Mei, P. R.</t>
  </si>
  <si>
    <t>Meier, Henry França</t>
  </si>
  <si>
    <t>Meirelles, Eduardo V.</t>
  </si>
  <si>
    <t>Mejia Sanchez, Eleazar Cristian</t>
  </si>
  <si>
    <t>Meleiro, Luiz Augusto Da Cruz</t>
  </si>
  <si>
    <t>Melendez-Perez, José Javier</t>
  </si>
  <si>
    <t>Melhorim, Guilherme Rainho</t>
  </si>
  <si>
    <t>Meliande, Luís Otávio Vieira</t>
  </si>
  <si>
    <t>Mello, A. A.</t>
  </si>
  <si>
    <t>Mello, Claudio Limeira</t>
  </si>
  <si>
    <t>Mello, Lucas Henrique Sousa</t>
  </si>
  <si>
    <t>Mello, Matheus D.</t>
  </si>
  <si>
    <t>Mello, Paola A.</t>
  </si>
  <si>
    <t>Mello, Rafael S.</t>
  </si>
  <si>
    <t>Mello, Raquel G.</t>
  </si>
  <si>
    <t>Mello, Thalles Pereira</t>
  </si>
  <si>
    <t>Melo Filho, Elvio Barreto</t>
  </si>
  <si>
    <t>Melo, Anderson Henrique</t>
  </si>
  <si>
    <t>Melo, Antônio Macário Cartaxo De</t>
  </si>
  <si>
    <t>Melo, Afrânio</t>
  </si>
  <si>
    <t>Melo, Alanny C.C.</t>
  </si>
  <si>
    <t>Melo, Alba C.m.a.</t>
  </si>
  <si>
    <t>Melo, Breno Nonato</t>
  </si>
  <si>
    <t>Melo, Clarissa Lovato</t>
  </si>
  <si>
    <t>Melo, Daniel D.E.F.</t>
  </si>
  <si>
    <t>Melo, D. M.A.</t>
  </si>
  <si>
    <t>Melo, Frutuoso E.</t>
  </si>
  <si>
    <t>Melo, Guilherme Freitas</t>
  </si>
  <si>
    <t>de Melo, Gustavo Henrique Coelho</t>
  </si>
  <si>
    <t>Melo, Isis C.</t>
  </si>
  <si>
    <t>Melo, Itamar Soares de</t>
  </si>
  <si>
    <t>Melo, J. M.F.</t>
  </si>
  <si>
    <t>Melo, Marcus Antonio De Freitas</t>
  </si>
  <si>
    <t>Melo, Paulo F.Frutuoso E.</t>
  </si>
  <si>
    <t>Melo, Príamo Albuquerque</t>
  </si>
  <si>
    <t>Melo, R. R.S.</t>
  </si>
  <si>
    <t>Melo, Rafael Romão Da Silva</t>
  </si>
  <si>
    <t>Melo, Rebeca C.</t>
  </si>
  <si>
    <t>Melo, Robbyson M.</t>
  </si>
  <si>
    <t>Melo, Vânia Maria Maciel</t>
  </si>
  <si>
    <t>Melo, Vítor R.M.</t>
  </si>
  <si>
    <t>Mendel, Henrique T.</t>
  </si>
  <si>
    <t>Mendes Júnior, E. P.</t>
  </si>
  <si>
    <t>Resende, João Victor Mendes</t>
  </si>
  <si>
    <t>Mendes, André Bergsten</t>
  </si>
  <si>
    <t>Mazoni Andrade Marçal Mendes, Eduardo Mazoni Andrade Marçal</t>
  </si>
  <si>
    <t>Mendes, Fabiana Magalhães Teixeira</t>
  </si>
  <si>
    <t>Mendes, G. L.</t>
  </si>
  <si>
    <t>Mendes, H. U.S.</t>
  </si>
  <si>
    <t>Mendes, José Ricardo Pelaquim</t>
  </si>
  <si>
    <t>Mendes, Julio Cesar</t>
  </si>
  <si>
    <t>Mendes, Matheus Campolina</t>
  </si>
  <si>
    <t>Mendes, Marcelo Da Silva</t>
  </si>
  <si>
    <t>Mendes, Mariana Dos S.A.</t>
  </si>
  <si>
    <t>Mendes, Matheus S.L.</t>
  </si>
  <si>
    <t>Mendes, Renato F.</t>
  </si>
  <si>
    <t>de Oliveira Mendes, Tiago Antônio</t>
  </si>
  <si>
    <t>Méndez-Arias, Johanna</t>
  </si>
  <si>
    <t>Mendiburu Zevallos, Andrés Armando</t>
  </si>
  <si>
    <t>Mendonça-Filho, João Graciano</t>
  </si>
  <si>
    <t>Mendonça, Janur</t>
  </si>
  <si>
    <t>Mendonça, Lucas Constantino</t>
  </si>
  <si>
    <t>Mendonça, Luís Felipe Ferreira De</t>
  </si>
  <si>
    <t>Mendonça, Rafael Silva</t>
  </si>
  <si>
    <t>Mendonça, Victória Maria Monteiro</t>
  </si>
  <si>
    <t>Mendonza, Leonardo</t>
  </si>
  <si>
    <t>Mendoza-Reales, Oscar Aurelio</t>
  </si>
  <si>
    <t>Mendoza, Leonardo Alfredo Forero</t>
  </si>
  <si>
    <t>Mendoza, Ursula Neira</t>
  </si>
  <si>
    <t>Meneau, Florian</t>
  </si>
  <si>
    <t>Meneghini, Julio R.</t>
  </si>
  <si>
    <t>Meneguin, Joziane Gimenes</t>
  </si>
  <si>
    <t>Meneses, Beatriz Matos</t>
  </si>
  <si>
    <t>De Meneses, Cristiano Teles</t>
  </si>
  <si>
    <t>Menezes Dos Anjos, Carlos Eduardo</t>
  </si>
  <si>
    <t>Menezes Silva, Gabriela</t>
  </si>
  <si>
    <t>de Menezes, Benjamim Rodrigues</t>
  </si>
  <si>
    <t>Menezes, Daniel F.</t>
  </si>
  <si>
    <t>Menezes, Danilo R C</t>
  </si>
  <si>
    <t>Menezes, Diego Q.Fde</t>
  </si>
  <si>
    <t>Novaes Menezes, Eduardo José</t>
  </si>
  <si>
    <t>Menezes, Rodrigo M.</t>
  </si>
  <si>
    <t>Menezes, Tamires Dos Reis</t>
  </si>
  <si>
    <t>Mercado, Marina P.</t>
  </si>
  <si>
    <t>Mercurio, Daiane Garcia</t>
  </si>
  <si>
    <t>Clavijo Mesa, Maria Valentina</t>
  </si>
  <si>
    <t>Mesa, Valentina Clavijo</t>
  </si>
  <si>
    <t>Mescolotti, Patrícia Colombo</t>
  </si>
  <si>
    <t>Mesquita, Gabriel Ramiro</t>
  </si>
  <si>
    <t>Mesquita, Rafael Dias</t>
  </si>
  <si>
    <t>Messano, Hector Fabian</t>
  </si>
  <si>
    <t>Mexias, André Sampaio</t>
  </si>
  <si>
    <t>Centeno, Tânia Mezzadri</t>
  </si>
  <si>
    <t>Michalski, Miguel Angelo de Carvalho</t>
  </si>
  <si>
    <t>Miekeley, Norbert F.</t>
  </si>
  <si>
    <t>Migowski, Pedro</t>
  </si>
  <si>
    <t>Miguel, Mateus Mendes</t>
  </si>
  <si>
    <t>Miguel, Rodrigo B.</t>
  </si>
  <si>
    <t>Milanez, Kênia W.</t>
  </si>
  <si>
    <t>Milani, Eder Angelo</t>
  </si>
  <si>
    <t>Milankovic, A.</t>
  </si>
  <si>
    <t>Miliotti, Millena Araújo</t>
  </si>
  <si>
    <t>Mill, Guilherme Nogueira</t>
  </si>
  <si>
    <t>Millo, Christian</t>
  </si>
  <si>
    <t>Miná, Emerson Mendonça</t>
  </si>
  <si>
    <t>Mincarone, Michael Maia</t>
  </si>
  <si>
    <t>Minoda, Ricardo Hiroshi</t>
  </si>
  <si>
    <t>de Miranda, Jussara Lopes</t>
  </si>
  <si>
    <t>de Mariz E Miranda, Leandro Soter</t>
  </si>
  <si>
    <t>Miranda, Nubia</t>
  </si>
  <si>
    <t>Miranda, Rafael</t>
  </si>
  <si>
    <t>Miranda, Tiago Filipe Da Silva</t>
  </si>
  <si>
    <t>Miranda, Yang Ricardo</t>
  </si>
  <si>
    <t>Miranda-Andrades, Jarol Ramon</t>
  </si>
  <si>
    <t>Miura, Kazuo</t>
  </si>
  <si>
    <t>Miyaji, Dan Yushin</t>
  </si>
  <si>
    <t>Mizuno, T. A.</t>
  </si>
  <si>
    <t>Mizusaki, Ana Maria Pimentel</t>
  </si>
  <si>
    <t>Mocitaiba, Leonardo Silva Ribeiro</t>
  </si>
  <si>
    <t>Modesto, Luiz Felipe Amarante</t>
  </si>
  <si>
    <t>Mohriak, Webster Ueipass</t>
  </si>
  <si>
    <t>Moita, Joao V.</t>
  </si>
  <si>
    <t>Mojica Ladino, O. F.</t>
  </si>
  <si>
    <t>Mojica, Oscar F.</t>
  </si>
  <si>
    <t>Mok, Roberto Wu</t>
  </si>
  <si>
    <t>Molina, Flávio Fernandes</t>
  </si>
  <si>
    <t>Möller, Sérgio Viçosa</t>
  </si>
  <si>
    <t>Momolli, Dione Richer</t>
  </si>
  <si>
    <t>Monaro, Renato Machado</t>
  </si>
  <si>
    <t>Monjardim, Gustavo Epichin</t>
  </si>
  <si>
    <t>de Barros, Larissa Montagner</t>
  </si>
  <si>
    <t>Montanheiro, Thaís Larissa do Amaral</t>
  </si>
  <si>
    <t>Monte Verde, William</t>
  </si>
  <si>
    <t>Montefeltro, Felipe C.</t>
  </si>
  <si>
    <t>Monteiro da Fonseca, Estefan</t>
  </si>
  <si>
    <t>Monteiro, Antonio Henrique</t>
  </si>
  <si>
    <t>Monteiro, Bruno Augusto Alemão</t>
  </si>
  <si>
    <t>Monteiro, Danielle De Oliveira</t>
  </si>
  <si>
    <t>Monteiro, Douglas Alfradique</t>
  </si>
  <si>
    <t>Monteiro, Elisabeth Costa</t>
  </si>
  <si>
    <t>Monteiro, Fábio F.</t>
  </si>
  <si>
    <t>Monteiro, João G.S.</t>
  </si>
  <si>
    <t>Monteiro, Luciane Pimentel Costa</t>
  </si>
  <si>
    <t>Monteiro, Lena Virgínia Soares</t>
  </si>
  <si>
    <t>Monteiro, Maria Inês Couto</t>
  </si>
  <si>
    <t>Monteiro, Mateus Fernandes</t>
  </si>
  <si>
    <t>Monteiro, Miguel L.</t>
  </si>
  <si>
    <t>Monteiro, Nilo Garcia</t>
  </si>
  <si>
    <t>Monteiro, Rodrigo Salvador</t>
  </si>
  <si>
    <t>Monteiro, Thays Vieira Da Costa</t>
  </si>
  <si>
    <t>Monteiro, Ulisses Admar Barbosa Vicente</t>
  </si>
  <si>
    <t>Monteiro, Wesley Formentin</t>
  </si>
  <si>
    <t>Montes, Luciana F.</t>
  </si>
  <si>
    <t>Morabito, Reinaldo N.</t>
  </si>
  <si>
    <t>Moraes e Oliveira, Victor Hugo Pereira</t>
  </si>
  <si>
    <t>Moraes, Antonio O.S.</t>
  </si>
  <si>
    <t>Moraes, Bruna S.</t>
  </si>
  <si>
    <t>Moraes, Edgar Perin</t>
  </si>
  <si>
    <t>Moraes, J. O.</t>
  </si>
  <si>
    <t>Moraes, Letícia</t>
  </si>
  <si>
    <t>Moraes, Pedro Ivo R.</t>
  </si>
  <si>
    <t>Moraes, Pedro Martins</t>
  </si>
  <si>
    <t>Moraes, Sílvia Maria Wanderley</t>
  </si>
  <si>
    <t>Moraes, Thamirys</t>
  </si>
  <si>
    <t>Moraes, Tiago Bueno de</t>
  </si>
  <si>
    <t>Morais Gautério, Jefferson</t>
  </si>
  <si>
    <t>Morais, Carlos Henrique Bittencourt</t>
  </si>
  <si>
    <t>Morais, Mateus Mota</t>
  </si>
  <si>
    <t>Morais, Stéphanie Cavalcante De</t>
  </si>
  <si>
    <t>Morales Paredes, Helmo Kelis</t>
  </si>
  <si>
    <t>Morales, M. S.T.</t>
  </si>
  <si>
    <t>Melgarejo Morales, Rigoberto Eleazar</t>
  </si>
  <si>
    <t>Morales-Monsalve, Cristhian Bernardo</t>
  </si>
  <si>
    <t>Moran, Maira Beatriz Hernandez</t>
  </si>
  <si>
    <t>Morantes, Lina R.</t>
  </si>
  <si>
    <t>Moratori, Patrick Barbosa</t>
  </si>
  <si>
    <t>Moreira da Silva, Luís Guilherme</t>
  </si>
  <si>
    <t>Moreira de Oliveira, Amilton</t>
  </si>
  <si>
    <t>Moreira Lupinacci, Wagner</t>
  </si>
  <si>
    <t>Moreira, Andréa</t>
  </si>
  <si>
    <t>Moreira, Anderson Camargo</t>
  </si>
  <si>
    <t>Ramus Moreira, Anna Ramus</t>
  </si>
  <si>
    <t>Moreira, Carla R.</t>
  </si>
  <si>
    <t>da Costa Moreira, Gabriela Paula C.</t>
  </si>
  <si>
    <t>Moreira, Júlio Cezar Fornazier</t>
  </si>
  <si>
    <t>Moreira, Luciane Silva</t>
  </si>
  <si>
    <t>Moreira, Leila C.</t>
  </si>
  <si>
    <t>Moreira, Manuel A.</t>
  </si>
  <si>
    <t>Henrique Silva Santos Moreira, Paulo</t>
  </si>
  <si>
    <t>Moreira, R. F.P.M.</t>
  </si>
  <si>
    <t>Moreira, Regina De Fátima Peralta Muniz</t>
  </si>
  <si>
    <t>Moreira, Rogaciano Maia</t>
  </si>
  <si>
    <t>Moreira, Roger Cardoso</t>
  </si>
  <si>
    <t>Moreira, Roger Matsumoto</t>
  </si>
  <si>
    <t>Moreira, Rosana Medeiros</t>
  </si>
  <si>
    <t>Moreira, Thierry Pinheiro</t>
  </si>
  <si>
    <t>Moreira, Victor Rezende</t>
  </si>
  <si>
    <t>Moreira, Vinicius Nunes</t>
  </si>
  <si>
    <t>Moreira, Viviane Pereira</t>
  </si>
  <si>
    <t>Moreira-Silva, Eduardo</t>
  </si>
  <si>
    <t>Moreno, Felipe M.</t>
  </si>
  <si>
    <t>Moreno, Jimmy Degaule Lima</t>
  </si>
  <si>
    <t>Moreno, Mileena</t>
  </si>
  <si>
    <t>Moreno, Ubirajara Franco</t>
  </si>
  <si>
    <t>Moreto, Carolina Penteado Natividade</t>
  </si>
  <si>
    <t>Moretti, Artur Lemes</t>
  </si>
  <si>
    <t>Vaz Morgado, Cláudia Do Rosário</t>
  </si>
  <si>
    <t>Mori, Milton</t>
  </si>
  <si>
    <t>Moriss, Mathieu A.G.</t>
  </si>
  <si>
    <t>Moro, Mariana K.</t>
  </si>
  <si>
    <t>Moro, Thebny Thaíse</t>
  </si>
  <si>
    <t>Mortean, Marcus Vinícius Volponi</t>
  </si>
  <si>
    <t>Moser, Priscila Barbosa</t>
  </si>
  <si>
    <t>Mota, Alex Leal</t>
  </si>
  <si>
    <t>Mota, Ana Carolina Silva</t>
  </si>
  <si>
    <t>Mota, André Luís Novais</t>
  </si>
  <si>
    <t>Mota, Bruno Bourguignon</t>
  </si>
  <si>
    <t>Mota, Claudio J.A.</t>
  </si>
  <si>
    <t>Mota, Maria Fernanda Dos Santos</t>
  </si>
  <si>
    <t>Mota, Pedro Henrique Augusto</t>
  </si>
  <si>
    <t>Mota-Lima, Andressa</t>
  </si>
  <si>
    <t>Mothé, Cheila Gonçalves</t>
  </si>
  <si>
    <t>Mothé, Michelle Gonçalves</t>
  </si>
  <si>
    <t>Motoki, Akihisa</t>
  </si>
  <si>
    <t>Motoki, Kenji Freire</t>
  </si>
  <si>
    <t>Motta, Allan Barbosa Geoffroy</t>
  </si>
  <si>
    <t>Motta, João Gabriel</t>
  </si>
  <si>
    <t>Da Motta, Laura Maria Goretti</t>
  </si>
  <si>
    <t>Motta, Marcelo Ferreira</t>
  </si>
  <si>
    <t>Motta, Renato de S.</t>
  </si>
  <si>
    <t>Motta, Thiago</t>
  </si>
  <si>
    <t>Moura, Alfran Sampaio</t>
  </si>
  <si>
    <t>Moura, Cândido Augusto Veloso</t>
  </si>
  <si>
    <t>Moura, Edja Iandeyara Freitas</t>
  </si>
  <si>
    <t>Moura, Gabriel</t>
  </si>
  <si>
    <t>Moura, Hector L.</t>
  </si>
  <si>
    <t>de Moura, Lyzette Gonçalves Moraes</t>
  </si>
  <si>
    <t>Moura, Nathalia M.L.</t>
  </si>
  <si>
    <t>Moura, P. A.S.</t>
  </si>
  <si>
    <t>Moura, Rafael Traldi</t>
  </si>
  <si>
    <t>Moura-Neto, Mário H.</t>
  </si>
  <si>
    <t>Mourão Silva, Ubiana De Cássia</t>
  </si>
  <si>
    <t>Mukati, Kapil</t>
  </si>
  <si>
    <t>Müller, André Luís</t>
  </si>
  <si>
    <t>Muller, Edson Irineo</t>
  </si>
  <si>
    <t>Muller, Eduardo Rauh</t>
  </si>
  <si>
    <t>Müller, Marianne</t>
  </si>
  <si>
    <t>Munari, Pedro Augusto</t>
  </si>
  <si>
    <t>Munaro, Celso José</t>
  </si>
  <si>
    <t>Muniz, Marcelo Costa</t>
  </si>
  <si>
    <t>Munõz, Patricio Rodrigo Montecinos</t>
  </si>
  <si>
    <t>Mura, José Cláudio</t>
  </si>
  <si>
    <t>Murad, Márcio Arab M.</t>
  </si>
  <si>
    <t>Murad, Márcio A.</t>
  </si>
  <si>
    <t>Murakami, Mário Tyago</t>
  </si>
  <si>
    <t>Murari, Rafael P.</t>
  </si>
  <si>
    <t>Murer, Rui C.</t>
  </si>
  <si>
    <t>Naccache, Monica Feijó</t>
  </si>
  <si>
    <t>Nagata, Paula D.</t>
  </si>
  <si>
    <t>Naidek, Bruna P.</t>
  </si>
  <si>
    <t>Nakaema, Walter Morinobu</t>
  </si>
  <si>
    <t>Nakamura, Thiago Akio</t>
  </si>
  <si>
    <t>Nakanishi, Simone Coelho</t>
  </si>
  <si>
    <t>Nangoi, Inna Martha</t>
  </si>
  <si>
    <t>Nápoli, Otavio Oliveira</t>
  </si>
  <si>
    <t>Nardecchia, S.</t>
  </si>
  <si>
    <t>Nardeli, Sarah Muniz</t>
  </si>
  <si>
    <t>Nascimento, Alexandre Romão Costa</t>
  </si>
  <si>
    <t>Nascimento, Adler C.</t>
  </si>
  <si>
    <t>Nascimento, Beatriz Oliveira</t>
  </si>
  <si>
    <t>Nascimento Júnior, Cairo Lúcio</t>
  </si>
  <si>
    <t>Nascimento, Christine Rabello V.</t>
  </si>
  <si>
    <t>Nascimento, Claudemi A.</t>
  </si>
  <si>
    <t>Nascimento, Cláudio Augusto Oller do</t>
  </si>
  <si>
    <t>Nascimento, Diego Tarley Ferreira</t>
  </si>
  <si>
    <t>Nascimento, Eduardo R.S.</t>
  </si>
  <si>
    <t>Nascimento, Erick Giovani Sperandio</t>
  </si>
  <si>
    <t>Nascimento, Gustavo</t>
  </si>
  <si>
    <t>Nascimento, Hezrom S.</t>
  </si>
  <si>
    <t>Nascimento, Idia Gigante</t>
  </si>
  <si>
    <t>Nascimento, Joseilson R.</t>
  </si>
  <si>
    <t>Nascimento, Kleby Soares</t>
  </si>
  <si>
    <t>Nascimento, Luiz Ricardo Da Silva Lôbo Do</t>
  </si>
  <si>
    <t>Nascimento, Murillo J.S.</t>
  </si>
  <si>
    <t>Nascimento, Regina Sandra Veiga</t>
  </si>
  <si>
    <t>Nascimento, Renalle Cristina Alves De Mede</t>
  </si>
  <si>
    <t>Nascimento, Sandra Antunes Do</t>
  </si>
  <si>
    <t>Nascimento, Sérgio</t>
  </si>
  <si>
    <t>Nascimento, V. M.</t>
  </si>
  <si>
    <t>Nasiri, Hossein</t>
  </si>
  <si>
    <t>Nassar, Sílvia Modesto</t>
  </si>
  <si>
    <t>Nasser, Rafael Barbosa</t>
  </si>
  <si>
    <t>Nauter-Alves, Andressa</t>
  </si>
  <si>
    <t>Navarro, Suellen S.T.</t>
  </si>
  <si>
    <t>Navaux, Philippe Olivier Alexandre</t>
  </si>
  <si>
    <t>Naveira-Cotta, Carolina Palma</t>
  </si>
  <si>
    <t>Navoni, Julio Alejandro</t>
  </si>
  <si>
    <t>Ndiaye, Papa Matar</t>
  </si>
  <si>
    <t>Negris, Luana</t>
  </si>
  <si>
    <t>Nele, Márcio</t>
  </si>
  <si>
    <t>Neta, Aurea Pereira Martins</t>
  </si>
  <si>
    <t>de França Neta, Luzia Sergina</t>
  </si>
  <si>
    <t>Neto, Álvaro Cunha</t>
  </si>
  <si>
    <t>Pereria Neto, Antônio Tavernard Pereira</t>
  </si>
  <si>
    <t>Neto, Arnaldo Alcover</t>
  </si>
  <si>
    <t>Neto, Arthur Ayres</t>
  </si>
  <si>
    <t>Neto, Dorval Moreira Coelho</t>
  </si>
  <si>
    <t>Neto, Helio Ribeiro</t>
  </si>
  <si>
    <t>Neto, J. C.Q.</t>
  </si>
  <si>
    <t>Cardia Neto, João Baptista</t>
  </si>
  <si>
    <t>Neto, José Antônio Baptista</t>
  </si>
  <si>
    <t>Marcelino Neto, Moisés Alves</t>
  </si>
  <si>
    <t>de Farias Neto, Severino Rodrigues</t>
  </si>
  <si>
    <t>Netto, Giovanni Budroni</t>
  </si>
  <si>
    <t>Netto, Renata Guimarães</t>
  </si>
  <si>
    <t>Netto, Sergio Lima</t>
  </si>
  <si>
    <t>Netto, Theodoro Antoun</t>
  </si>
  <si>
    <t>Neubauer, T. M.</t>
  </si>
  <si>
    <t>Neumann, Luis Fernando</t>
  </si>
  <si>
    <t>Neumann, R.</t>
  </si>
  <si>
    <t>Neumann, Virgínio Henrique De Miranda L</t>
  </si>
  <si>
    <t>Neves, Alex F.</t>
  </si>
  <si>
    <t>Neves, Bianca Cruz</t>
  </si>
  <si>
    <t>Neves, Douglas C.G.</t>
  </si>
  <si>
    <t>Neves, Eloíse Helena Policarpo</t>
  </si>
  <si>
    <t>Neves, Francisco</t>
  </si>
  <si>
    <t>Neves, Hugo Fernandes</t>
  </si>
  <si>
    <t>Neves, Laura A.</t>
  </si>
  <si>
    <t>Neves, Pedro H.G.</t>
  </si>
  <si>
    <t>Neves, Flávio Junior</t>
  </si>
  <si>
    <t>Neyra, Jair Rodrigues</t>
  </si>
  <si>
    <t>Ngonge, Emmanuel Donald</t>
  </si>
  <si>
    <t>Nicchio, Matheus Amador</t>
  </si>
  <si>
    <t>Nichele, Jakler</t>
  </si>
  <si>
    <t>Nicolás, Marisa Fabiana</t>
  </si>
  <si>
    <t>Dos Santos Nicolau, Andressa S.</t>
  </si>
  <si>
    <t>Nieckele, Angela Ourivio</t>
  </si>
  <si>
    <t>Ninanya, Hugo</t>
  </si>
  <si>
    <t>Nishimoto, Kazuo</t>
  </si>
  <si>
    <t>Nitschke, Márcia</t>
  </si>
  <si>
    <t>Nivelo, J. J.O.</t>
  </si>
  <si>
    <t>Nobre, Paulo A.</t>
  </si>
  <si>
    <t>Castro Nóbrega, Karine</t>
  </si>
  <si>
    <t>Nobrega, Marcos M.</t>
  </si>
  <si>
    <t>Nobuyuki Maeda, Roberto</t>
  </si>
  <si>
    <t>Nocko, Helder Rafael</t>
  </si>
  <si>
    <t>Noernberg, Maurício Almeida</t>
  </si>
  <si>
    <t>Rossi, Karina Nogueira Zambone Pinto</t>
  </si>
  <si>
    <t>Nogueira, André A.</t>
  </si>
  <si>
    <t>Nogueira, Afonso César Rodrigues</t>
  </si>
  <si>
    <t>Nogueira, Bruno Miceli Gonzalez</t>
  </si>
  <si>
    <t>Nogueira, C. F.</t>
  </si>
  <si>
    <t>Nogueira, Camila Tita</t>
  </si>
  <si>
    <t>Nogueira, Daniel O.</t>
  </si>
  <si>
    <t>Nogueira, Francisco Cézar Costa</t>
  </si>
  <si>
    <t>Nogueira, I. D.O.</t>
  </si>
  <si>
    <t>Nogueira, Izabel Christina Martins</t>
  </si>
  <si>
    <t>Nogueira, Rafael De Castro Martins</t>
  </si>
  <si>
    <t>Nomelini, Quintiliano Siqueira Schroden</t>
  </si>
  <si>
    <t>Noriler, Dirceu</t>
  </si>
  <si>
    <t>Normey-Rico, Júlio Elias</t>
  </si>
  <si>
    <t>Noseda, Francesco</t>
  </si>
  <si>
    <t>Novaes, Eduardo</t>
  </si>
  <si>
    <t>Novais Antunes, Florence P.</t>
  </si>
  <si>
    <t>Novaki, Luzia P.</t>
  </si>
  <si>
    <t>Novello, Cassia</t>
  </si>
  <si>
    <t>Novo, Tiago Amâncio</t>
  </si>
  <si>
    <t>Nudi, Adriana Haddad</t>
  </si>
  <si>
    <t>Nunes de Moura, Natanael M.J.</t>
  </si>
  <si>
    <t>Nunes de Souza, Renato</t>
  </si>
  <si>
    <t>Nunes, Alan L.</t>
  </si>
  <si>
    <t>Nunes, Anderson</t>
  </si>
  <si>
    <t>Nunes, Eduardo Henrique Martins</t>
  </si>
  <si>
    <t>Nunes, Eduardo V.L.</t>
  </si>
  <si>
    <t>Nunes, José Carlos Rodrigues</t>
  </si>
  <si>
    <t>Nunes, Karoline</t>
  </si>
  <si>
    <t>Nunes, Lucas</t>
  </si>
  <si>
    <t>Nunes, Luiz Antonio de Oliveira</t>
  </si>
  <si>
    <t>Nunes, Maria Isabela S.</t>
  </si>
  <si>
    <t>Nunes, Matheus Augusto Gonçalves</t>
  </si>
  <si>
    <t>Nunes, Regina Célia Reis</t>
  </si>
  <si>
    <t>Nunes, Rafael Menezes</t>
  </si>
  <si>
    <t>Nunes, Rita De Cássia Pessanha</t>
  </si>
  <si>
    <t>Nunes, Vanessa O.</t>
  </si>
  <si>
    <t>Nunes-Nesi, Adriano</t>
  </si>
  <si>
    <t>Nunhez, José Roberto</t>
  </si>
  <si>
    <t>Nzinga, Manuel A.Kiony</t>
  </si>
  <si>
    <t>Oba, Renato</t>
  </si>
  <si>
    <t>Obregón, Jesus A.L.O.</t>
  </si>
  <si>
    <t>Odloak, D.</t>
  </si>
  <si>
    <t>Francisco Oechsler, Bruno Francisco</t>
  </si>
  <si>
    <t>Ofuchi, Edgar Minoru</t>
  </si>
  <si>
    <t>Ogasawara, Eduardo Soares</t>
  </si>
  <si>
    <t>Okasaki, Fernando Bonin</t>
  </si>
  <si>
    <t>Okoe, Paul Michael Nii Anang</t>
  </si>
  <si>
    <t>Okubo, Juliana</t>
  </si>
  <si>
    <t>Oliva, Andresa</t>
  </si>
  <si>
    <t>Oliveira Baptista da Silva, Fábio</t>
  </si>
  <si>
    <t>Oliveira Barreto, Gisele De</t>
  </si>
  <si>
    <t>Oliveira Neto, Eberton Rodrigues De</t>
  </si>
  <si>
    <t>Oliveira Santos, José Arthur</t>
  </si>
  <si>
    <t>Oliveira, Amir Antonio Martins</t>
  </si>
  <si>
    <t>Oliveira, Alisson Lopes</t>
  </si>
  <si>
    <t>Oliveira, André L.</t>
  </si>
  <si>
    <t>Oliveira, Ângelo A.S.</t>
  </si>
  <si>
    <t>Oliveira, Antonio Carlos De Lemos</t>
  </si>
  <si>
    <t>De Oliveira, A. Costa</t>
  </si>
  <si>
    <t>Rosas de Oliveira, Beatriz</t>
  </si>
  <si>
    <t>Oliveira, Betina P.</t>
  </si>
  <si>
    <t>Oliveira, Bryan S.</t>
  </si>
  <si>
    <t>Oliveira, Caique Prado Machado De</t>
  </si>
  <si>
    <t>Oliveira, D.</t>
  </si>
  <si>
    <t>Oliveira, Davi Ferreira De</t>
  </si>
  <si>
    <t>Oliveira, D. L.P.</t>
  </si>
  <si>
    <t>Oliveira, D. L.</t>
  </si>
  <si>
    <t>Oliveira, Diego De Souza</t>
  </si>
  <si>
    <t>Oliveira, Douglas M.</t>
  </si>
  <si>
    <t>Oliveira, Eliane Pádua</t>
  </si>
  <si>
    <t>Oliveira, Elizabeth Mendes</t>
  </si>
  <si>
    <t>Oliveira, Elson P.</t>
  </si>
  <si>
    <t>Oliveira, Emanuele C.S.</t>
  </si>
  <si>
    <t>Oliveira, Emiliano Castro</t>
  </si>
  <si>
    <t>Oliveira, F. C.L.</t>
  </si>
  <si>
    <t>Oliveira, Felipe Lopes</t>
  </si>
  <si>
    <t>Oliveira, Fernanda G.</t>
  </si>
  <si>
    <t>Oliveira, Geovanio L.</t>
  </si>
  <si>
    <t>Oliveira, G. P.</t>
  </si>
  <si>
    <t>Oliveira, G. R.</t>
  </si>
  <si>
    <t>Oliveira, Gabrielle Fontella De Moraes</t>
  </si>
  <si>
    <t>Oliveira, Gregory V.Bde</t>
  </si>
  <si>
    <t>Ramos Oliveira, Guilherme José</t>
  </si>
  <si>
    <t>Oliveira, Gustavo N.</t>
  </si>
  <si>
    <t>de Oliveira, Hugo Neves</t>
  </si>
  <si>
    <t>Oliveira, Henrique Rodrigues</t>
  </si>
  <si>
    <t>Oliveira, Henrique Barros</t>
  </si>
  <si>
    <t>Oliveira, Henrique Tormen Haan De</t>
  </si>
  <si>
    <t>Oliveira, I. M.N.</t>
  </si>
  <si>
    <t>Oliveira, Ivan S.</t>
  </si>
  <si>
    <t>de Oliveira, Josibel Gomes</t>
  </si>
  <si>
    <t>Oliveira, Jorge Luiz Goes</t>
  </si>
  <si>
    <t>Cruz Oliveira, Jefferson Tavares</t>
  </si>
  <si>
    <t>Oliveira, João Eduardo De</t>
  </si>
  <si>
    <t>Oliveira, João Victor Ataíde</t>
  </si>
  <si>
    <t>Oliveira, José Augusto Furtado</t>
  </si>
  <si>
    <t>Oliveira, Jose Renato M.S.</t>
  </si>
  <si>
    <t>Oliveira, Kamila De Sá</t>
  </si>
  <si>
    <t>Oliveira, L. A.</t>
  </si>
  <si>
    <t>Oliveira, L. S.B.</t>
  </si>
  <si>
    <t>Oliveira, Laura Rafaela Cavalcanti De</t>
  </si>
  <si>
    <t>de Oliveira, Leonardo Barbosa</t>
  </si>
  <si>
    <t>Oliveira, Lucas Ramalho</t>
  </si>
  <si>
    <t>Oliveira, Luciano Rebouças De</t>
  </si>
  <si>
    <t>Oliveira, Maria Fernanda F.</t>
  </si>
  <si>
    <t>Oliveira, M. O.</t>
  </si>
  <si>
    <t>Oliveira, Maiara Monteiro</t>
  </si>
  <si>
    <t>Oliveira, Marília R.</t>
  </si>
  <si>
    <t>Oliveira, Matheus H.M.Zanchetta</t>
  </si>
  <si>
    <t>de Oliveira, Priscila Ferreira</t>
  </si>
  <si>
    <t>Oliveira, Rafael Lopes</t>
  </si>
  <si>
    <t>Rodrigues de Oliveira, Rafael Rodrigues</t>
  </si>
  <si>
    <t>Oliveira, Shyrlene L.A.</t>
  </si>
  <si>
    <t>Oliveira, Samuel A.</t>
  </si>
  <si>
    <t>Oliveira, Sílvia Correa</t>
  </si>
  <si>
    <t>Oliveira, Sonia A.G.</t>
  </si>
  <si>
    <t>Oliveira, Tiago Roux</t>
  </si>
  <si>
    <t>de Oliveira, Timóteo Francisco</t>
  </si>
  <si>
    <t>Oliveira Jr, Vanderlei C. Coelho</t>
  </si>
  <si>
    <t>Oliveira, Victor Hugo Pereira Moraes E.</t>
  </si>
  <si>
    <t>Oliveira, Willian Dener</t>
  </si>
  <si>
    <t>Oliveira-Santos, Thiago Dos</t>
  </si>
  <si>
    <t>Mendoza Orbegoso, Elder M.</t>
  </si>
  <si>
    <t>Orestes, Ednilsom</t>
  </si>
  <si>
    <t>Orige, Mateus Constantino</t>
  </si>
  <si>
    <t>Orlande, Helcio Rangel Barreto</t>
  </si>
  <si>
    <t>Orlando, Patrícia Del Gaudio</t>
  </si>
  <si>
    <t>Orozco, Johnny J.</t>
  </si>
  <si>
    <t>Orrico, L. C.</t>
  </si>
  <si>
    <t>Orsay, Guilherme Lucarelli</t>
  </si>
  <si>
    <t>Ortiz, Ronald Wbeimar Pacheco</t>
  </si>
  <si>
    <t>Osés, Gabriel Ladeira</t>
  </si>
  <si>
    <t>Osmar, Jeferson</t>
  </si>
  <si>
    <t>Osmari, Patricia Hennig</t>
  </si>
  <si>
    <t>Osorio, Luana Nobre</t>
  </si>
  <si>
    <t>Ossig, Andréia</t>
  </si>
  <si>
    <t>Oste, Jéssica Thaís Ferreira</t>
  </si>
  <si>
    <t>Otofuji, Caio Zuccolotto</t>
  </si>
  <si>
    <t>Ott, Paulo Henrique</t>
  </si>
  <si>
    <t>Ovídio, Ana</t>
  </si>
  <si>
    <t>Ozorio, Leonardo Peçanha</t>
  </si>
  <si>
    <t>Ozorio, Marcio Couto</t>
  </si>
  <si>
    <t>Pace, José Henrique Camargo</t>
  </si>
  <si>
    <t>Pacheco, Waldemar</t>
  </si>
  <si>
    <t>Pacheco, Bruno Machado</t>
  </si>
  <si>
    <t>Pacheco, César C.</t>
  </si>
  <si>
    <t>Pacheco, Clara Johanna</t>
  </si>
  <si>
    <t>Pacheco, Edson Patto</t>
  </si>
  <si>
    <t>Pacheco, Élen Beatriz Acordi Vasques</t>
  </si>
  <si>
    <t>Pacheco, Jose G.A.</t>
  </si>
  <si>
    <t>Cavalcanti Pacheco, Marco Aurelio P.</t>
  </si>
  <si>
    <t>Pacheco, Mírian Liza Alves Forancelli</t>
  </si>
  <si>
    <t>Padilla, Rafael</t>
  </si>
  <si>
    <t>Paes Leme, Luiz André P.</t>
  </si>
  <si>
    <t>Paes, Eduardo Tavares</t>
  </si>
  <si>
    <t>Paes, Felipe Leite</t>
  </si>
  <si>
    <t>Paes, Tiago Franca</t>
  </si>
  <si>
    <t>Paesi, Suelen Osmarina</t>
  </si>
  <si>
    <t>Paim, L. M.</t>
  </si>
  <si>
    <t>Paim, Paulo Sérgio Gomes</t>
  </si>
  <si>
    <t>Paiva, Afonso de Moraes</t>
  </si>
  <si>
    <t>Paiva, Carlos R.</t>
  </si>
  <si>
    <t>Paiva, Maria D.M.</t>
  </si>
  <si>
    <t>Paiva, Vitor Eboli L.</t>
  </si>
  <si>
    <t>Paixão, Edson</t>
  </si>
  <si>
    <t>Paixão, Elisiane</t>
  </si>
  <si>
    <t>Palaoro, Géssica</t>
  </si>
  <si>
    <t>Palar, Piatan Sfair</t>
  </si>
  <si>
    <t>Palhano, Leonardo Carvalho</t>
  </si>
  <si>
    <t>Palhares, Reinaldo Martinez</t>
  </si>
  <si>
    <t>Palmeira, Ronaldo Maia De Jesus</t>
  </si>
  <si>
    <t>Pandey, Sugandha Dogra</t>
  </si>
  <si>
    <t>Pandolfelli, Victor Carlos</t>
  </si>
  <si>
    <t>Ginoble Pandoli, Omar</t>
  </si>
  <si>
    <t>Panegassi, Barbara</t>
  </si>
  <si>
    <t>Panetta, Jairo</t>
  </si>
  <si>
    <t>Paniago, R. Magalhães</t>
  </si>
  <si>
    <t>Panicali, Antonio Roberto</t>
  </si>
  <si>
    <t>Panossian, Zehbour</t>
  </si>
  <si>
    <t>Pansonato, Marcelo Petratti</t>
  </si>
  <si>
    <t>Pap, Joao P.</t>
  </si>
  <si>
    <t>Papa, João Paulo</t>
  </si>
  <si>
    <t>Paraiso, Eduardo Da Cunha Hora</t>
  </si>
  <si>
    <t>Paranhos, Rodolfo Pinheiro Da Rocha</t>
  </si>
  <si>
    <t>Parêdes, João</t>
  </si>
  <si>
    <t>Paredes, Márcio Luis L.</t>
  </si>
  <si>
    <t>Parente Ribeiro, Carlos Eduardo</t>
  </si>
  <si>
    <t>Parente Jr., Evandro</t>
  </si>
  <si>
    <t>Parente, Francisco Thiago Franca</t>
  </si>
  <si>
    <t>Parigot, Augusto</t>
  </si>
  <si>
    <t>Parisotto, Iaçanã George Berte</t>
  </si>
  <si>
    <t>Paschoalin, Vania M.Flosi</t>
  </si>
  <si>
    <t>Pascoal Damas, Mayra Stéphanie</t>
  </si>
  <si>
    <t>Paskin, Ronnie</t>
  </si>
  <si>
    <t>Pasqualeti, Aniélli Martini</t>
  </si>
  <si>
    <t>Pasqualette, Marcelo De A.</t>
  </si>
  <si>
    <t>Pasqualino, Ilson Paranhos</t>
  </si>
  <si>
    <t>Passarin, Thiago Alberto Rigo</t>
  </si>
  <si>
    <t>Passos, Douglas De França</t>
  </si>
  <si>
    <t>Passos, Frederico Oliveira</t>
  </si>
  <si>
    <t>Passos, M. F.</t>
  </si>
  <si>
    <t>Passos, Wesley L.</t>
  </si>
  <si>
    <t>Pastre, Luiz Fernando</t>
  </si>
  <si>
    <t>Pastura, Valéria Fonseca Da Silva</t>
  </si>
  <si>
    <t>Patrício, Rafael Veloso</t>
  </si>
  <si>
    <t>Patrício, Rodrigo Augusto Camara</t>
  </si>
  <si>
    <t>Paula Palhares Simoncelli, Ana</t>
  </si>
  <si>
    <t>Paula, Eduardo Coutinho</t>
  </si>
  <si>
    <t>Paula, Fabiana S.</t>
  </si>
  <si>
    <t>Oliveira de Paula, Sérgio</t>
  </si>
  <si>
    <t>Paullo, L. F.</t>
  </si>
  <si>
    <t>Paulo Papa, João</t>
  </si>
  <si>
    <t>Paulo, Fernando F.</t>
  </si>
  <si>
    <t>Paulucci, Letícia T.</t>
  </si>
  <si>
    <t>Paulucci, Luciana C.S.</t>
  </si>
  <si>
    <t>Pavan, T. Z.</t>
  </si>
  <si>
    <t>Pavanello, Renato</t>
  </si>
  <si>
    <t>Payao, J. C.</t>
  </si>
  <si>
    <t>Pazos, Abraham Ricardo Guerrero</t>
  </si>
  <si>
    <t>Peçanha, Ricardo Pires</t>
  </si>
  <si>
    <t>Pedras, Bernardo M.V.</t>
  </si>
  <si>
    <t>Pedrini, Helio</t>
  </si>
  <si>
    <t>Pedrino, Matheus</t>
  </si>
  <si>
    <t>Pedro, Kelly Cristina Nascimento Rodr</t>
  </si>
  <si>
    <t>Pedronette, Daniel Carlos Guimarães</t>
  </si>
  <si>
    <t>Pedrosa, Flávia Azevedo</t>
  </si>
  <si>
    <t>Pedrosa-Soares, Antônio Carlos</t>
  </si>
  <si>
    <t>Pedroso Silva Santos, Bianca</t>
  </si>
  <si>
    <t>Pedrozo-Penãfiel, Marlin Jeannette</t>
  </si>
  <si>
    <t>Pegorini, Vinicius</t>
  </si>
  <si>
    <t>Peixoto Filho, Flávio Tito</t>
  </si>
  <si>
    <t>Peixoto, Alessandro Jacoud</t>
  </si>
  <si>
    <t>Peixoto, Hugo R.</t>
  </si>
  <si>
    <t>Peixoto, Julia O.</t>
  </si>
  <si>
    <t>Peixoto, Linus Pauling F.</t>
  </si>
  <si>
    <t>Peixoto, Raquel Silva</t>
  </si>
  <si>
    <t>Pelissari, Daniel C.</t>
  </si>
  <si>
    <t>Trevizan Pelissaro, Deise</t>
  </si>
  <si>
    <t>Pellegrini Pessoa, Fernando Luiz</t>
  </si>
  <si>
    <t>Pellegrini, Júlio A.C.</t>
  </si>
  <si>
    <t>Pellizari, V. Helena</t>
  </si>
  <si>
    <t>Pena, Fabrício J.C.</t>
  </si>
  <si>
    <t>Peña, W. D.L.</t>
  </si>
  <si>
    <t>Penha, Adrian Chaves B.</t>
  </si>
  <si>
    <t>Penha, Vitória C.</t>
  </si>
  <si>
    <t>Penteado, Bruno Elias</t>
  </si>
  <si>
    <t>Penteado, Marcos Roberto Mendes</t>
  </si>
  <si>
    <t>Pepe, Iuri Muniz</t>
  </si>
  <si>
    <t>Peralba, Maria Do Carmo Ruaro</t>
  </si>
  <si>
    <t>Percebom, Ana Maria</t>
  </si>
  <si>
    <t>Calôba, Luiz Pereira</t>
  </si>
  <si>
    <t>da Costa, Ayslan S.P.</t>
  </si>
  <si>
    <t>Pereira Dos Santos, Thiago</t>
  </si>
  <si>
    <t>Pereira Filho, Leônidas</t>
  </si>
  <si>
    <t>Pereira Neta, Aurea M.</t>
  </si>
  <si>
    <t>Pereira Pinheiro, Catarina De Nazaré</t>
  </si>
  <si>
    <t>Pereira, Andre Maues Brabo</t>
  </si>
  <si>
    <t>Pereira, Antônio Henrique Alves</t>
  </si>
  <si>
    <t>Pereira, Clayton Reginaldo</t>
  </si>
  <si>
    <t>Pereira, Caroline Eulino Gonçalves</t>
  </si>
  <si>
    <t>Pereira, Cristina Cardoso</t>
  </si>
  <si>
    <t>Pereira, Daniel De A.</t>
  </si>
  <si>
    <t>Pereira, Danillo Roberto</t>
  </si>
  <si>
    <t>Pereira, D. S.</t>
  </si>
  <si>
    <t>Pereira, Douglas E.S.</t>
  </si>
  <si>
    <t>Pereira, Egberto</t>
  </si>
  <si>
    <t>Pereira, Ella S.</t>
  </si>
  <si>
    <t>Pereira, Emanuele Graciosa</t>
  </si>
  <si>
    <t>Pereira, F. A.R.</t>
  </si>
  <si>
    <t>Pereira, Fernando Marcelo</t>
  </si>
  <si>
    <t>Pereira, Fábio De Assis Ressel</t>
  </si>
  <si>
    <t>Pereira, Fernanda L.G.</t>
  </si>
  <si>
    <t>Pereira, Fernando Reiszel</t>
  </si>
  <si>
    <t>Pereira, Francisca Rocha De Souza</t>
  </si>
  <si>
    <t>Pereira, G. G.C.</t>
  </si>
  <si>
    <t>Pereira, Gabriela Ribeiro</t>
  </si>
  <si>
    <t>Pereira, H. B.</t>
  </si>
  <si>
    <t>Pereira, Igor</t>
  </si>
  <si>
    <t>Pereira, Ingrid Cristina Soares</t>
  </si>
  <si>
    <t>Pereira, Janini</t>
  </si>
  <si>
    <t>Pereira, Joyce Carvalho</t>
  </si>
  <si>
    <t>Pereira, Jucélio Tomás</t>
  </si>
  <si>
    <t>Pereira, Juliana Alves</t>
  </si>
  <si>
    <t>Pereira, Juliana Severo Fagundes</t>
  </si>
  <si>
    <t>Pereira, Kaique Alves Brayner</t>
  </si>
  <si>
    <t>Pereira, Letícia Severo Fagundes</t>
  </si>
  <si>
    <t>Pereira, Leandro M.</t>
  </si>
  <si>
    <t>Pereira, Leonardo M.</t>
  </si>
  <si>
    <t>Pereira, Lucas Gomes</t>
  </si>
  <si>
    <t>Pereira, Marina Seixas</t>
  </si>
  <si>
    <t>Pereira, Marcelo MacIel</t>
  </si>
  <si>
    <t>Pereira, Marcio Machado</t>
  </si>
  <si>
    <t>Pereira, Márcio Weck</t>
  </si>
  <si>
    <t>Pereira, Marcos Gervásio</t>
  </si>
  <si>
    <t>Pereira, Marcus Vinicius</t>
  </si>
  <si>
    <t>Pereira, Marilia C.</t>
  </si>
  <si>
    <t>Pereira, Matheus V.R.</t>
  </si>
  <si>
    <t>Pereira Junior, Nei A.</t>
  </si>
  <si>
    <t>Pereira, Patrícia A.</t>
  </si>
  <si>
    <t>Pereira, Priscilla Albuquerque</t>
  </si>
  <si>
    <t>Pereira, R. S.</t>
  </si>
  <si>
    <t>Pereira, Thieres Magaive Costa</t>
  </si>
  <si>
    <t>Pereira, Víctor Ferrinho</t>
  </si>
  <si>
    <t>Pereira, Vinícius B.</t>
  </si>
  <si>
    <t>Pereira, Wagner Do Prado</t>
  </si>
  <si>
    <t>Pereira, Willian</t>
  </si>
  <si>
    <t>Peres Miguel, Matheus J.</t>
  </si>
  <si>
    <t>Peres Soares, Dominicky</t>
  </si>
  <si>
    <t>Peres Vianna, Igor Girão</t>
  </si>
  <si>
    <t>Peres, Rayana M.</t>
  </si>
  <si>
    <t>Péres, Valéria Flores</t>
  </si>
  <si>
    <t>Perez, Janaína Mendez</t>
  </si>
  <si>
    <t>Perez, Lucas</t>
  </si>
  <si>
    <t>Perez, Martha Gonzales</t>
  </si>
  <si>
    <t>Perez, Yoe A.R.</t>
  </si>
  <si>
    <t>Pérez-Gramatges, Aurora</t>
  </si>
  <si>
    <t>Pergher, S. B.C.</t>
  </si>
  <si>
    <t>Perissini, Ivan Carlos</t>
  </si>
  <si>
    <t>Perondi, Eduardo André</t>
  </si>
  <si>
    <t>Peruzzo, Tiago</t>
  </si>
  <si>
    <t>Peruzzo, Vanessa</t>
  </si>
  <si>
    <t>Pesce, Celso Pupo</t>
  </si>
  <si>
    <t>Pesco, Sinésio</t>
  </si>
  <si>
    <t>Pessoa, Artur A.</t>
  </si>
  <si>
    <t>Pessôa, Fernando Luiz Pellegrini</t>
  </si>
  <si>
    <t>Pessoa, Larissa Mota Barros</t>
  </si>
  <si>
    <t>Pestana, Marco Aurélio</t>
  </si>
  <si>
    <t>Pestana, Reynam C.</t>
  </si>
  <si>
    <t>Peters, Franciane Conceição</t>
  </si>
  <si>
    <t>Petri, I. J.</t>
  </si>
  <si>
    <t>Petroni, Marcos Henrique O.</t>
  </si>
  <si>
    <t>Petry, Adriane Prisco</t>
  </si>
  <si>
    <t>Petzhold, Cesar L.</t>
  </si>
  <si>
    <t>Philipp, R. P.</t>
  </si>
  <si>
    <t>Pianzolli, Rafael</t>
  </si>
  <si>
    <t>Piazzetta, Maria Helena O.Oliveira</t>
  </si>
  <si>
    <t>Piccin-Santos, Viviane</t>
  </si>
  <si>
    <t>Pico, Carlos Enrique</t>
  </si>
  <si>
    <t>Pícoli, N. A.S.</t>
  </si>
  <si>
    <t>Picoli, Vanessa Martins</t>
  </si>
  <si>
    <t>Pilloto, D.</t>
  </si>
  <si>
    <t>Pilotto, Débora</t>
  </si>
  <si>
    <t>Pimenta, Daiana S.</t>
  </si>
  <si>
    <t>Pimenta, Gutemberg Souza</t>
  </si>
  <si>
    <t>Pimentel, André Silva</t>
  </si>
  <si>
    <t>Pimentel, Gabriela L.P.</t>
  </si>
  <si>
    <t>Pimentel, Hannah H.L.S.M.</t>
  </si>
  <si>
    <t>Pimentel, I. A.</t>
  </si>
  <si>
    <t>Pimentel, Julio T.</t>
  </si>
  <si>
    <t>Pimentel, Márcio Martins</t>
  </si>
  <si>
    <t>Pimentel, Maria Fernanda</t>
  </si>
  <si>
    <t>Pimentel, Tairine</t>
  </si>
  <si>
    <t>Ping, Wo Wei</t>
  </si>
  <si>
    <t>Pinhati, Fernanda R.</t>
  </si>
  <si>
    <t>Pinheiro, Abgail Paula</t>
  </si>
  <si>
    <t>Pinheiro, Arthur Veiga Silvério</t>
  </si>
  <si>
    <t>Pinheiro, Bianca C.</t>
  </si>
  <si>
    <t>Pinheiro, Gil Roberto V.</t>
  </si>
  <si>
    <t>Pinheiro, Isabela F.</t>
  </si>
  <si>
    <t>Pinheiro, João Pedro V.</t>
  </si>
  <si>
    <t>Pinheiro, Kemilly M.P.</t>
  </si>
  <si>
    <t>Pinho, Andre Da Costa</t>
  </si>
  <si>
    <t>Pinho, Bruno V.</t>
  </si>
  <si>
    <t>Pinho, David</t>
  </si>
  <si>
    <t>Pinto, Carlos F.C.</t>
  </si>
  <si>
    <t>Duyck, Christiane Béatrice</t>
  </si>
  <si>
    <t>Pinto, Felipe R.</t>
  </si>
  <si>
    <t>Pinto, F. E.</t>
  </si>
  <si>
    <t>Pinto, George L.S.</t>
  </si>
  <si>
    <t>Pinto, Jefferson Wellano Oliveira</t>
  </si>
  <si>
    <t>Pereira Pinto, Joao Onofre</t>
  </si>
  <si>
    <t>Pinto, José Carlos Costa Da Silva Car</t>
  </si>
  <si>
    <t>Pinto, José Carlos Costa Da Silva</t>
  </si>
  <si>
    <t>Faria Pinto, Milena Faria</t>
  </si>
  <si>
    <t>Pinto, Mariana L.</t>
  </si>
  <si>
    <t>C. C. Pinto, Martina Costa Cerqueira</t>
  </si>
  <si>
    <t>Pinto, Shaft Corrêa</t>
  </si>
  <si>
    <t>da Costa Pinto, Tiago Loureiro Fígaro</t>
  </si>
  <si>
    <t>Pinto, Vladimir Steffen</t>
  </si>
  <si>
    <t>Pinto-Coelho, Cristina Valle</t>
  </si>
  <si>
    <t>Pinzan, Fernanda</t>
  </si>
  <si>
    <t>Piovesan, Enelise Katia</t>
  </si>
  <si>
    <t>Piovesan, Luiz M.</t>
  </si>
  <si>
    <t>Pipa, D. R.</t>
  </si>
  <si>
    <t>Pires, Adolfo P.</t>
  </si>
  <si>
    <t>Pires, Fábio Ribeiro</t>
  </si>
  <si>
    <t>Pires, Jéssica Pereira</t>
  </si>
  <si>
    <t>Pires, Luis Fernando Gonçalves</t>
  </si>
  <si>
    <t>Pires, Luiz Fernando</t>
  </si>
  <si>
    <t>Pires, Rafael Gonçalves</t>
  </si>
  <si>
    <t>Pires, Raphael Rezende</t>
  </si>
  <si>
    <t>Pires, Renata Vieira</t>
  </si>
  <si>
    <t>Pissanti, Daniela Ramminger</t>
  </si>
  <si>
    <t>Piva, Rodrigo B.</t>
  </si>
  <si>
    <t>Pivel, María Alejandra Gómez</t>
  </si>
  <si>
    <t>Pizzorno, Bianca S.</t>
  </si>
  <si>
    <t>Plucênio, Agustinho</t>
  </si>
  <si>
    <t>Poblete, Israel Bernardo De Souza</t>
  </si>
  <si>
    <t>Poggi, Marcus</t>
  </si>
  <si>
    <t>Polese, Luciana</t>
  </si>
  <si>
    <t>Polesso, Bárbara Burlini</t>
  </si>
  <si>
    <t>Poletto, Vinícius G.</t>
  </si>
  <si>
    <t>Policarpo, N. A.</t>
  </si>
  <si>
    <t>Dos Santos Polidoro, Allan</t>
  </si>
  <si>
    <t>Polito, Paulo S.</t>
  </si>
  <si>
    <t>Polli, Helton Luis</t>
  </si>
  <si>
    <t>Polo, Carla Cristina</t>
  </si>
  <si>
    <t>Polo, Marco Angel Gabriel</t>
  </si>
  <si>
    <t>Pompermaier Okuyama, Marcelo</t>
  </si>
  <si>
    <t>Ponciano, José A.C.P.</t>
  </si>
  <si>
    <t>Pontel, Caroline Azzolini</t>
  </si>
  <si>
    <t>Pontes, Amanda Moreira Moraes Ribeiro</t>
  </si>
  <si>
    <t>Pontes, Cayo Cesar Cortez</t>
  </si>
  <si>
    <t>Pontes, Fernanda Veronesi Marinho</t>
  </si>
  <si>
    <t>Pontes, Naedja Vasconcelos</t>
  </si>
  <si>
    <t>Pontes, Nathália S.</t>
  </si>
  <si>
    <t>Pontes, Rodrigo Leandro Bastos</t>
  </si>
  <si>
    <t>Pontin, Darlan</t>
  </si>
  <si>
    <t>Ponton Bravo, Patricia I.</t>
  </si>
  <si>
    <t>Ponzi, Gabriela Gonçalves Dias</t>
  </si>
  <si>
    <t>Ponzio, Eduardo Ariel</t>
  </si>
  <si>
    <t>Poppi, R. J.</t>
  </si>
  <si>
    <t>Porcher, Carla Cristine</t>
  </si>
  <si>
    <t>Porsani, Milton J.</t>
  </si>
  <si>
    <t>Portela, Natália De A.</t>
  </si>
  <si>
    <t>Porto, Christiane F.De C.</t>
  </si>
  <si>
    <t>Porto, Fábio André Machado</t>
  </si>
  <si>
    <t>Porto, Nathália De A.</t>
  </si>
  <si>
    <t>Portugal, D. S.V.</t>
  </si>
  <si>
    <t>Portugal, R. D.S.</t>
  </si>
  <si>
    <t>Possamai, Talita Sauter</t>
  </si>
  <si>
    <t>Potratz, Júlia</t>
  </si>
  <si>
    <t>Pozes, Bruna B.</t>
  </si>
  <si>
    <t>Prachedes, Lucas N.S.</t>
  </si>
  <si>
    <t>Prado, Alan Cabral Trindade</t>
  </si>
  <si>
    <t>Prado, Gustavo Marcondes Evangelista</t>
  </si>
  <si>
    <t>Prado, Juliana A.</t>
  </si>
  <si>
    <t>Prado, Julianade A.</t>
  </si>
  <si>
    <t>Prado, Ludmila Alves Cadeira Do</t>
  </si>
  <si>
    <t>Prado, Renato Deris</t>
  </si>
  <si>
    <t>Prado, Tatiana de A.</t>
  </si>
  <si>
    <t>Prata, Diego Martinez</t>
  </si>
  <si>
    <t>Prazeres Mazur, Luciana</t>
  </si>
  <si>
    <t>Preissler, Adriane G.</t>
  </si>
  <si>
    <t>Premaor, Eduardo</t>
  </si>
  <si>
    <t>Presciliano, Fabricio De Andrade</t>
  </si>
  <si>
    <t>Presciliano, Rogerio</t>
  </si>
  <si>
    <t>Presotto, João Gabriel Camacho</t>
  </si>
  <si>
    <t>Prestes, Eduardo</t>
  </si>
  <si>
    <t>Prinzhofer, Alain A.</t>
  </si>
  <si>
    <t>Privatto, Pedro Ivo Monteiro</t>
  </si>
  <si>
    <t>Procksch, Natalia</t>
  </si>
  <si>
    <t>Proenca, Audrey M.</t>
  </si>
  <si>
    <t>Proença, Thomas P.</t>
  </si>
  <si>
    <t>Proner, Mariane Carolina</t>
  </si>
  <si>
    <t>Protasio, Marcelo K.</t>
  </si>
  <si>
    <t>Provasi, Rodrigo</t>
  </si>
  <si>
    <t>Prudêncio, Rauhany Alves</t>
  </si>
  <si>
    <t>Pudenzi, Marcos Albieri A.</t>
  </si>
  <si>
    <t>Puhl, Eduardo</t>
  </si>
  <si>
    <t>Pureza, Vitória Maria Miranda</t>
  </si>
  <si>
    <t>Quadri, Marintho Bastos</t>
  </si>
  <si>
    <t>Quaresma, Bernardo</t>
  </si>
  <si>
    <t>Quaresma, V. S.</t>
  </si>
  <si>
    <t>Quartaroli, Larissa</t>
  </si>
  <si>
    <t>Queiroz Filho, Asdrubal N.</t>
  </si>
  <si>
    <t>Queiroz, E. M.</t>
  </si>
  <si>
    <t>Queiroz, Fábio Dos Santos</t>
  </si>
  <si>
    <t>Queiroz, Jonas F.P.</t>
  </si>
  <si>
    <t>Quero, Reverson Fernandes</t>
  </si>
  <si>
    <t>Andrea, Cristiano Quevedo</t>
  </si>
  <si>
    <t>Quevedo, Roberto J.</t>
  </si>
  <si>
    <t>Quezada, L. A.</t>
  </si>
  <si>
    <t>Quintino, André Mendes</t>
  </si>
  <si>
    <t>Quispe, José P.</t>
  </si>
  <si>
    <t>Quispe, José Luis Párraga</t>
  </si>
  <si>
    <t>Quispe, R. J.Q.</t>
  </si>
  <si>
    <t>Rabello, Gildeir Lima</t>
  </si>
  <si>
    <t>Rabelo, Diogo de Souza</t>
  </si>
  <si>
    <t>Rabelo, Juliana Gomes</t>
  </si>
  <si>
    <t>Rachid, Caio T.C.C.</t>
  </si>
  <si>
    <t>Freitas Rachid, Felipe Bastos de</t>
  </si>
  <si>
    <t>Racolte, Graciela Eliane Dos Reis</t>
  </si>
  <si>
    <t>Rade, Domingos Alves</t>
  </si>
  <si>
    <t>Radetic, Daniel</t>
  </si>
  <si>
    <t>Radke, Erik Duarte</t>
  </si>
  <si>
    <t>Rainha, Karla P.</t>
  </si>
  <si>
    <t>Ramalho, Ruver Rodrigues Feitosa</t>
  </si>
  <si>
    <t>Ramirez, João Paulo De F.</t>
  </si>
  <si>
    <t>Rammah, Khader Ibrahim</t>
  </si>
  <si>
    <t>Ramos, André</t>
  </si>
  <si>
    <t>Ramos, André Luis Dantas</t>
  </si>
  <si>
    <t>Ramos, D. L.</t>
  </si>
  <si>
    <t>Ramos, Egydio Tadeu Gomes</t>
  </si>
  <si>
    <t>Ramos, Felipe Cardoso</t>
  </si>
  <si>
    <t>Ramos, Germano Mário Silva</t>
  </si>
  <si>
    <t>Ramos, Gilsijane V.</t>
  </si>
  <si>
    <t>Ramos, Ieza Souza</t>
  </si>
  <si>
    <t>Ramos, João M.F.</t>
  </si>
  <si>
    <t>Ramos, José Luiz Lima</t>
  </si>
  <si>
    <t>Ramos, Luana</t>
  </si>
  <si>
    <t>Ramos, Maria E.A.F.</t>
  </si>
  <si>
    <t>Ramos, Nain M.</t>
  </si>
  <si>
    <t>Ramos, Pedro Luiz</t>
  </si>
  <si>
    <t>Ramos, Rafaela</t>
  </si>
  <si>
    <t>Ramos, Renato Rodriguez Cabral</t>
  </si>
  <si>
    <t>Ramos, R.</t>
  </si>
  <si>
    <t>Ramos, Sabrina P.</t>
  </si>
  <si>
    <t>Ramus, Anna</t>
  </si>
  <si>
    <t>Rangel, Bernardo R.</t>
  </si>
  <si>
    <t>Raposo, Alberto Barbosa</t>
  </si>
  <si>
    <t>Rapozo, Murilo Fiorenzano</t>
  </si>
  <si>
    <t>Rasera, Luiz Gustavo</t>
  </si>
  <si>
    <t>Rateiro, Felipe</t>
  </si>
  <si>
    <t>Rauber, Thomas Walter</t>
  </si>
  <si>
    <t>Rebello, Ana C.G.A.</t>
  </si>
  <si>
    <t>Alcoforado Rebello, Joao Marcos</t>
  </si>
  <si>
    <t>Rebello, Vinod E.F.</t>
  </si>
  <si>
    <t>Regalla, Sabrina</t>
  </si>
  <si>
    <t>Reges, Galdir D.</t>
  </si>
  <si>
    <t>Reginato, Leonardo Fonseca</t>
  </si>
  <si>
    <t>Régis, Cícero Roberto Teixeira</t>
  </si>
  <si>
    <t>Regis, Renata J.</t>
  </si>
  <si>
    <t>Regner, Daniel J.</t>
  </si>
  <si>
    <t>Reguly, Afonso</t>
  </si>
  <si>
    <t>Reinert, Fernanda</t>
  </si>
  <si>
    <t>Reinke Pereira, Alan</t>
  </si>
  <si>
    <t>Reis, Adriano Domingos dos</t>
  </si>
  <si>
    <t>Reis, Alessandra De Carvalho</t>
  </si>
  <si>
    <t>Reis, Alex</t>
  </si>
  <si>
    <t>Reis, Bernardo</t>
  </si>
  <si>
    <t>Reis, Beatriz Gasparini</t>
  </si>
  <si>
    <t>Reis, Filipe Britto</t>
  </si>
  <si>
    <t>Reis, Humberto Luís Siqueira</t>
  </si>
  <si>
    <t>Reis, João Marciano Laredo Dos</t>
  </si>
  <si>
    <t>Reis, James Blayne Oliveira</t>
  </si>
  <si>
    <t>Reis, Leidiane G.</t>
  </si>
  <si>
    <t>Reis, Philipe P.P.</t>
  </si>
  <si>
    <t>Reis, Ricardo A.</t>
  </si>
  <si>
    <t>Dos Reis, Rodrigo Azevedo</t>
  </si>
  <si>
    <t>Reis, Rodrigo Martins</t>
  </si>
  <si>
    <t>Reis, R. P.</t>
  </si>
  <si>
    <t>Reis, Viviane Castelo Branco</t>
  </si>
  <si>
    <t>Rempto, Milena J.</t>
  </si>
  <si>
    <t>Santos Andrade, Larissa Renata</t>
  </si>
  <si>
    <t>Renato, Bruno Dos Santos</t>
  </si>
  <si>
    <t>Renato, Natalia dos Santos</t>
  </si>
  <si>
    <t>Renck, Tiago Samuel</t>
  </si>
  <si>
    <t>Rennó Costa, Luiz</t>
  </si>
  <si>
    <t>Rennó, Francisco Palma</t>
  </si>
  <si>
    <t>Resende, Bárbara L.</t>
  </si>
  <si>
    <t>Ressel Pereira, Fabio De A.</t>
  </si>
  <si>
    <t>Rey, Nicolás Adrián</t>
  </si>
  <si>
    <t>Reyna, Carlos A.B.</t>
  </si>
  <si>
    <t>Reynier, Marcia Vieira</t>
  </si>
  <si>
    <t>Rezende Júnior, Marcus Vinícius</t>
  </si>
  <si>
    <t>Rezende, Carlos Eduardo</t>
  </si>
  <si>
    <t>Rezende, C. A.</t>
  </si>
  <si>
    <t>Rezende, Edson F.A.</t>
  </si>
  <si>
    <t>Rezende, Filipe Almeida</t>
  </si>
  <si>
    <t>Rezende, L. A.S.</t>
  </si>
  <si>
    <t>Rezende, R. S.</t>
  </si>
  <si>
    <t>Ribeiro Almeida, Luís Philipe</t>
  </si>
  <si>
    <t>Ribeiro Marnet, Luiza</t>
  </si>
  <si>
    <t>Ribeiro, Alexandre Cunha</t>
  </si>
  <si>
    <t>Ribeiro, Alexandre Sant Anna</t>
  </si>
  <si>
    <t>Ribeiro, André</t>
  </si>
  <si>
    <t>Ribeiro, Aurélio Kasakewitch</t>
  </si>
  <si>
    <t>Dias Ribeiro, Bernardo Dias</t>
  </si>
  <si>
    <t>Ribeiro, D. C.</t>
  </si>
  <si>
    <t>Ribeiro, E. M.</t>
  </si>
  <si>
    <t>Ribeiro, F.</t>
  </si>
  <si>
    <t>Ribeiro, Fabiana Alves de Lima</t>
  </si>
  <si>
    <t>Ribeiro, Fernando Luiz B.</t>
  </si>
  <si>
    <t>Ribeiro, Guilherme B.</t>
  </si>
  <si>
    <t>Ribeiro, I. B.</t>
  </si>
  <si>
    <t>Ribeiro, J. M.</t>
  </si>
  <si>
    <t>Ribeiro, José Roberto De Assis</t>
  </si>
  <si>
    <t>Ribeiro, Julio César De Oliveira</t>
  </si>
  <si>
    <t>Ribeiro, L. F.</t>
  </si>
  <si>
    <t>Ribeiro, Leonardo Gonçalves</t>
  </si>
  <si>
    <t>Ribeiro, Luiz Carlos Felix</t>
  </si>
  <si>
    <t>Ribeiro, Mario Luís</t>
  </si>
  <si>
    <t>Ribeiro, Nielson Fernando da Paixão</t>
  </si>
  <si>
    <t>Ribeiro, Paulo Roberto Cleyton De Castr</t>
  </si>
  <si>
    <t>Ribeiro, R. C.C.</t>
  </si>
  <si>
    <t>Ribeiro, Rickson C.</t>
  </si>
  <si>
    <t>Ribeiro, Rodrigo Duarte</t>
  </si>
  <si>
    <t>Ribeiro, Sergio S.</t>
  </si>
  <si>
    <t>Ribeiro, Tárcio Henrique</t>
  </si>
  <si>
    <t>Ribeiro, Thiago Felippe S.</t>
  </si>
  <si>
    <t>Ribeiro, V. J.S.</t>
  </si>
  <si>
    <t>Ribeiro, Vanessa De Jesus Da Silva</t>
  </si>
  <si>
    <t>Ribeiro, Ygor L.L.</t>
  </si>
  <si>
    <t>Ribeiro-Alves, Marcelo</t>
  </si>
  <si>
    <t>Ricardo, Amanda Menezes</t>
  </si>
  <si>
    <t>Ricardo, Guilherme A.N.</t>
  </si>
  <si>
    <t>Ricardo, Valdete W.</t>
  </si>
  <si>
    <t>Ricci, Bárbara Caroline</t>
  </si>
  <si>
    <t>Riccio, Bruno F.</t>
  </si>
  <si>
    <t>Riccomini, C.</t>
  </si>
  <si>
    <t>Riffel, Kauê Correa</t>
  </si>
  <si>
    <t>Riffel, Vinicius Ricardo</t>
  </si>
  <si>
    <t>Righetto, Guilherme Lima</t>
  </si>
  <si>
    <t>Rigo, Sandro José</t>
  </si>
  <si>
    <t>Rigon, Henrique Chiaradia</t>
  </si>
  <si>
    <t>Rigon, Pedro H.C.</t>
  </si>
  <si>
    <t>Rigoni, Rômulo F.G.</t>
  </si>
  <si>
    <t>Tom, Maria Emilia</t>
  </si>
  <si>
    <t>Rios-Netto, Aristóteles De Moraes</t>
  </si>
  <si>
    <t>Rissi, Thiago Lizier</t>
  </si>
  <si>
    <t>Ristow Branco, Tuanny M.C.</t>
  </si>
  <si>
    <t>Rita, Mariane Rodrigues</t>
  </si>
  <si>
    <t>Ritto, Thiago Gamboa</t>
  </si>
  <si>
    <t>Riveaux, José Angel</t>
  </si>
  <si>
    <t>Rizzini-Ansari, Nafisa</t>
  </si>
  <si>
    <t>Rizzo, Fernando Cosme</t>
  </si>
  <si>
    <t>Rizzo, P.</t>
  </si>
  <si>
    <t>Roberto Veronez, Mauricio</t>
  </si>
  <si>
    <t>Robichez, Gustavo</t>
  </si>
  <si>
    <t>Rocca, Laura</t>
  </si>
  <si>
    <t>Rocha Júnior, Paulo Roberto Da Souza</t>
  </si>
  <si>
    <t>Rocha Lopes, Victor Hugo</t>
  </si>
  <si>
    <t>Rocha, Anderson Araújo</t>
  </si>
  <si>
    <t>Rocha, A. P.</t>
  </si>
  <si>
    <t>Rocha, Adriana Da Cunha</t>
  </si>
  <si>
    <t>Rocha, Aline C.</t>
  </si>
  <si>
    <t>Rocha, Dilson Novais</t>
  </si>
  <si>
    <t>Rocha, Erica R.L.</t>
  </si>
  <si>
    <t>Rocha, Fernando Souza</t>
  </si>
  <si>
    <t>Rocha, Franciane F.</t>
  </si>
  <si>
    <t>Rocha, John W.S.</t>
  </si>
  <si>
    <t>Rocha, Julia T.C.</t>
  </si>
  <si>
    <t>Rocha, Marcelo Maia</t>
  </si>
  <si>
    <t>Rocha, Marcio S.</t>
  </si>
  <si>
    <t>Rocha, Marcos Lamha</t>
  </si>
  <si>
    <t>Rocha, Marisa Cristina Guimarães</t>
  </si>
  <si>
    <t>Rocha, Raoni</t>
  </si>
  <si>
    <t>Rocha, Renan Nicolau Ribeiro Da</t>
  </si>
  <si>
    <t>Rocha, Renan Paulo</t>
  </si>
  <si>
    <t>Rocha, Victor F.</t>
  </si>
  <si>
    <t>Rocha-Júnior, Eduardo Reis Viana</t>
  </si>
  <si>
    <t>Rochedo, Pedro R.R.</t>
  </si>
  <si>
    <t>Rochinha, Fernando Alves</t>
  </si>
  <si>
    <t>Rodamilans, Guilherme Boulhosa</t>
  </si>
  <si>
    <t>Rodella, Cristiane Barbieri</t>
  </si>
  <si>
    <t>Roder, Mateus</t>
  </si>
  <si>
    <t>Rodolpho, Joice M.A.</t>
  </si>
  <si>
    <t>Rodowanski, Ivanoe João</t>
  </si>
  <si>
    <t>Rodrigues Covas, Taynara</t>
  </si>
  <si>
    <t>Rodrigues de Sousa Junior, Gustavo</t>
  </si>
  <si>
    <t>Rodrigues, Alexandre Loureiros</t>
  </si>
  <si>
    <t>Rodrigues, Amanda Goulart</t>
  </si>
  <si>
    <t>Rodrigues, A. P.D.</t>
  </si>
  <si>
    <t>Rodrigues, André Rosch</t>
  </si>
  <si>
    <t>Rodrigues, Ariane Moraes Bueno</t>
  </si>
  <si>
    <t>Rodrigues, Áttila L.</t>
  </si>
  <si>
    <t>Rodrigues, Bela</t>
  </si>
  <si>
    <t>Rodrigues, Carolina C.</t>
  </si>
  <si>
    <t>Rodrigues, Christian V.</t>
  </si>
  <si>
    <t>Rodrigues, Diego G.</t>
  </si>
  <si>
    <t>Rodrigues, Domingos Marcelus Carias</t>
  </si>
  <si>
    <t>Rodrigues, Eric Tierre Aguello</t>
  </si>
  <si>
    <t>Rodrigues, Fabrício Henrique Henrique</t>
  </si>
  <si>
    <t>Rodrigues, Frederico</t>
  </si>
  <si>
    <t>Rodrigues, Guilherme Bernardes</t>
  </si>
  <si>
    <t>Rodrigues, H.</t>
  </si>
  <si>
    <t>Rodrigues, J. A.</t>
  </si>
  <si>
    <t>Rodrigues, José De Anchieta</t>
  </si>
  <si>
    <t>Rodrigues, Luciano Dos Santos</t>
  </si>
  <si>
    <t>Rodrigues, Luís Gustavo Pires</t>
  </si>
  <si>
    <t>Rodrigues, Luiz Francisco Venturini</t>
  </si>
  <si>
    <t>Rodrigues, Luiz Frederico</t>
  </si>
  <si>
    <t>Rodrigues, Marcella Ferreira</t>
  </si>
  <si>
    <t>Rodrigues, Marcos Allyson Felipe</t>
  </si>
  <si>
    <t>Rodrigues, Maria Isabel</t>
  </si>
  <si>
    <t>Rodrigues, Matheus Souza</t>
  </si>
  <si>
    <t>Poerner Rodrigues, Naira Poerner</t>
  </si>
  <si>
    <t>Rodrigues, O.</t>
  </si>
  <si>
    <t>Rodrigues, Pedro Ivo R B G</t>
  </si>
  <si>
    <t>Rodrigues, Rafael B.M.</t>
  </si>
  <si>
    <t>Rodrigues, Rafael C.</t>
  </si>
  <si>
    <t>Rodrigues, Rayza Rosa Tavares</t>
  </si>
  <si>
    <t>Rodrigues, Renê</t>
  </si>
  <si>
    <t>Rodrigues, Roberta Kamei</t>
  </si>
  <si>
    <t>Rodrigues, Rômulo L.P.</t>
  </si>
  <si>
    <t>de Oliveira Rodrigues, Sérgio Wilians O.</t>
  </si>
  <si>
    <t>Rodrigues, Silvana Vianna</t>
  </si>
  <si>
    <t>Rodrigues, T. A.</t>
  </si>
  <si>
    <t>Rodrigues, Thiago Camargo</t>
  </si>
  <si>
    <t>Rodrigues, Victor Hugo Pereira</t>
  </si>
  <si>
    <t>Rodrigues, Victor De Oliveira</t>
  </si>
  <si>
    <t>Picanco Rodrigues, Vinicius</t>
  </si>
  <si>
    <t>Rodrigues-Ferreira, Clara</t>
  </si>
  <si>
    <t>da Silva Rodrigues-Honda, Kelly Cristine</t>
  </si>
  <si>
    <t>Rodriguez, Claudio A.</t>
  </si>
  <si>
    <t>Rodriguez, Oscar M.H.</t>
  </si>
  <si>
    <t>Rodríguez-Berriguete, Álvaro</t>
  </si>
  <si>
    <t>Roehl, Deane Mesquita</t>
  </si>
  <si>
    <t>Rohem, Ney Robson Ferreira</t>
  </si>
  <si>
    <t>Rohn, Rosemarie</t>
  </si>
  <si>
    <t>Roisenberg, Mauro</t>
  </si>
  <si>
    <t>Roitman, Ney</t>
  </si>
  <si>
    <t>Rojas, Jônathan</t>
  </si>
  <si>
    <t>Fernández Rojas, Marisol</t>
  </si>
  <si>
    <t>Rollnic, Marcelo</t>
  </si>
  <si>
    <t>Romanel, Celso</t>
  </si>
  <si>
    <t>Romani, Eric Cardona</t>
  </si>
  <si>
    <t>Romano, P. N.</t>
  </si>
  <si>
    <t>de Araújo Romão, Patrícia</t>
  </si>
  <si>
    <t>Romão, Wanderson Masrouah</t>
  </si>
  <si>
    <t>Romeira, A.</t>
  </si>
  <si>
    <t>Romero Yanes, José Francisco</t>
  </si>
  <si>
    <t>Romero, Oldrich Joel</t>
  </si>
  <si>
    <t>Romero-Cale, Danitza Xiomara</t>
  </si>
  <si>
    <t>Romeu, Régis Kruel</t>
  </si>
  <si>
    <t>Romualdo, Lisandra Barboza</t>
  </si>
  <si>
    <t>Romualdo, Priscilla P.</t>
  </si>
  <si>
    <t>Romualdo, Victória Bezerra</t>
  </si>
  <si>
    <t>Rondon, N. D V F</t>
  </si>
  <si>
    <t>Roque, Jussara Valente</t>
  </si>
  <si>
    <t>Rosa, Carolina Delwing</t>
  </si>
  <si>
    <t>Rosa, Daiane Rossi</t>
  </si>
  <si>
    <t>Rosa, Diego Gabriel Gomes</t>
  </si>
  <si>
    <t>SpanÃ³ Rosa, EugÃªnio Spanó</t>
  </si>
  <si>
    <t>Rosa, Francisco C.</t>
  </si>
  <si>
    <t>Rosa, Guilherme Soares</t>
  </si>
  <si>
    <t>Rosa, L. R.</t>
  </si>
  <si>
    <t>Rosa, Luisa Silveira</t>
  </si>
  <si>
    <t>Rosa, Marcelo Barcellos Da</t>
  </si>
  <si>
    <t>Rosa, Paulo De Tarso Vieira E.</t>
  </si>
  <si>
    <t>Rosa, Taís S.</t>
  </si>
  <si>
    <t>Rosado, Alexandre Soares</t>
  </si>
  <si>
    <t>Rosado, João Gabriel</t>
  </si>
  <si>
    <t>Rosado, Phillipe Magalhães</t>
  </si>
  <si>
    <t>Rosas, Marco A.P.</t>
  </si>
  <si>
    <t>Rosenbach, Leonardo Iri Nicola Cristofari</t>
  </si>
  <si>
    <t>Roseno, Karina Tamião De Campos</t>
  </si>
  <si>
    <t>Rosetti, Guilherme Feitosa</t>
  </si>
  <si>
    <t>Rossa, Pedro A.Mendes</t>
  </si>
  <si>
    <t>Rossato, Daniel</t>
  </si>
  <si>
    <t>Rossatto, Thiago Tauchen</t>
  </si>
  <si>
    <t>Rossetti, Lucas M.M.</t>
  </si>
  <si>
    <t>Rossetti, Marcos M.M.</t>
  </si>
  <si>
    <t>Rossetto, Priscilla De Barros</t>
  </si>
  <si>
    <t>Rossi, Thiago Marconcini</t>
  </si>
  <si>
    <t>Rosso, Pedro Henrique</t>
  </si>
  <si>
    <t>Rossoni, Rodrigo B.</t>
  </si>
  <si>
    <t>Roupinha, Luiz</t>
  </si>
  <si>
    <t>Rübensam, Gabriel</t>
  </si>
  <si>
    <t>Rubio Arias, Jose Jonathan</t>
  </si>
  <si>
    <t>Olívio Figueiredo Terra Rucher, Cassius Olívio Figueiredo Terr</t>
  </si>
  <si>
    <t>Rudnitzki, Isaac D.</t>
  </si>
  <si>
    <t>Rueda, C. J.</t>
  </si>
  <si>
    <t>Rueda Cordero, Julio Alberto</t>
  </si>
  <si>
    <t>Ruggeri, Felipe</t>
  </si>
  <si>
    <t>Ruggieri, Cláudio</t>
  </si>
  <si>
    <t>Ruíz, Juan Alberto Chavez</t>
  </si>
  <si>
    <t>Ruiz, Naira Machado Da Silva</t>
  </si>
  <si>
    <t>Ruller, R.</t>
  </si>
  <si>
    <t>Ruschel, Augusto</t>
  </si>
  <si>
    <t>Ruschel, Rodrigo Henrique</t>
  </si>
  <si>
    <t>Russano, Euan</t>
  </si>
  <si>
    <t>Russo, Enio Emanuel Ramos</t>
  </si>
  <si>
    <t>Rylo, E. C.</t>
  </si>
  <si>
    <t>S Vaiss, Viviane</t>
  </si>
  <si>
    <t>Sá, F. G.</t>
  </si>
  <si>
    <t>de Sá, Marília Caroline Cavalcante</t>
  </si>
  <si>
    <t>Saad, Amir Muhammed</t>
  </si>
  <si>
    <t>Saad, Carolina Farias</t>
  </si>
  <si>
    <t>Saavedra, Mariana Machado</t>
  </si>
  <si>
    <t>Sabadini, Edvaldo</t>
  </si>
  <si>
    <t>Sabará, Caio V.L.</t>
  </si>
  <si>
    <t>Sabará, Marco Antônio</t>
  </si>
  <si>
    <t>Sacek, Victor</t>
  </si>
  <si>
    <t>Sachetto-Martins, Gilberto</t>
  </si>
  <si>
    <t>Sacramento, Isaac Santos</t>
  </si>
  <si>
    <t>Sacramento, Rodrigo L.</t>
  </si>
  <si>
    <t>Sacramento, Rebeca N.</t>
  </si>
  <si>
    <t>Sad, Cristina Maria Dos Santos</t>
  </si>
  <si>
    <t>Sadok, D. H.</t>
  </si>
  <si>
    <t>Sagrilo, Luís Volnei Sudati</t>
  </si>
  <si>
    <t>Saidler, Luila Abib</t>
  </si>
  <si>
    <t>Saint'Pierre, Tatiana Dillenburg</t>
  </si>
  <si>
    <t>Sakagami, Yoshiaki</t>
  </si>
  <si>
    <t>Sakalem, Soraya N.</t>
  </si>
  <si>
    <t>Sako, Alysson V.F.</t>
  </si>
  <si>
    <t>Salazar, J. D.</t>
  </si>
  <si>
    <t>R Salazar-Banda, Giancarlo Richard</t>
  </si>
  <si>
    <t>Saldanha, Bruno Leite Ramires</t>
  </si>
  <si>
    <t>Saldanha, Pedro Luiz Cruz</t>
  </si>
  <si>
    <t>Saldanha-Corrêa, Flávia Marisa Prado</t>
  </si>
  <si>
    <t>Sales, D. C.</t>
  </si>
  <si>
    <t>Sales Junior, Joel Sena</t>
  </si>
  <si>
    <t>Sales, Julio Cesar Soares</t>
  </si>
  <si>
    <t>Sales, Maurício Martines M.</t>
  </si>
  <si>
    <t>Sales, R.</t>
  </si>
  <si>
    <t>Sales, Vinicius Ferreira</t>
  </si>
  <si>
    <t>Salgado, Ricardo Menezes</t>
  </si>
  <si>
    <t>Salles, Rafael</t>
  </si>
  <si>
    <t>Sallorenzo, Ilana Azevedo</t>
  </si>
  <si>
    <t>Sambrano, Júlio Ricardo</t>
  </si>
  <si>
    <t>Samel, A. O.M.</t>
  </si>
  <si>
    <t>Sampa, Naloan Coutinho</t>
  </si>
  <si>
    <t>Sampaio, Augusto Marcio</t>
  </si>
  <si>
    <t>Sampaio, Claudio Mueller P.</t>
  </si>
  <si>
    <t>Sampaio, Eduardo Martins</t>
  </si>
  <si>
    <t>Sampaio, M. A.</t>
  </si>
  <si>
    <t>Sampaio, Naiara Mariana Fiori Monteiro</t>
  </si>
  <si>
    <t>Aguiar da Silva San Gil, Rosane Aguiar Da Silva</t>
  </si>
  <si>
    <t>Sanches, Ieda Del’Arco Del Arco</t>
  </si>
  <si>
    <t>Sanches-Neto, Flávio Olímpio</t>
  </si>
  <si>
    <t>Sanchetta, Alexandre Cruz S.</t>
  </si>
  <si>
    <t>Sanchez, Bruna Larissa Sandy</t>
  </si>
  <si>
    <t>Sanchez, Evelyn Aparecida Mecenero</t>
  </si>
  <si>
    <t>Sancho, G. V.</t>
  </si>
  <si>
    <t>Sandoval, Gustavo A.B.</t>
  </si>
  <si>
    <t>Sanei, Manouchehr</t>
  </si>
  <si>
    <t>Sansevero, Jerônimo Boelsums Barreto</t>
  </si>
  <si>
    <t>Sant Anna, Hermes R.</t>
  </si>
  <si>
    <t>Sant’Ana, Antonio C.</t>
  </si>
  <si>
    <t>Sant'Anna, Lucy Gomes</t>
  </si>
  <si>
    <t>Santa Catharina, Amanda</t>
  </si>
  <si>
    <t>Santana, Ana</t>
  </si>
  <si>
    <t>Santana, Ana Luiza Beltrao</t>
  </si>
  <si>
    <t>Santana, César Costapinto Costapinto</t>
  </si>
  <si>
    <t>de Santana, Flávio Lemos D.</t>
  </si>
  <si>
    <t>Santana, Gabriel L.</t>
  </si>
  <si>
    <t>Santana, João Mateus M.</t>
  </si>
  <si>
    <t>Santana, Leonardo Gomes</t>
  </si>
  <si>
    <t>Santana, Luciano M.</t>
  </si>
  <si>
    <t>Santana, Marcelo Patricio</t>
  </si>
  <si>
    <t>Silva-Santana, Marcos Cleison</t>
  </si>
  <si>
    <t>Santana, Mateus</t>
  </si>
  <si>
    <t>Santana, Mateus Ferreira</t>
  </si>
  <si>
    <t>Sant'Ana, Rony O.</t>
  </si>
  <si>
    <t>Santanaa, Leonardo</t>
  </si>
  <si>
    <t>Sant'Anna, Geraldo Lippel</t>
  </si>
  <si>
    <t>Sant'Anna, Sidnei João Siqueira</t>
  </si>
  <si>
    <t>Santarosa, Ana Cláudia Aoki</t>
  </si>
  <si>
    <t>Santelli, R. E.</t>
  </si>
  <si>
    <t>Santiago, Edson R.</t>
  </si>
  <si>
    <t>Santiago, Rafaelle Gomes</t>
  </si>
  <si>
    <t>Santiago, Renato Carlos Vieira</t>
  </si>
  <si>
    <t>Santoro, Érika P.</t>
  </si>
  <si>
    <t>Santos-Cardoso, Mariana</t>
  </si>
  <si>
    <t>Santos de Freitas, Carla</t>
  </si>
  <si>
    <t>Maranhão, Maria Da Saudade Araújo Santos</t>
  </si>
  <si>
    <t>Santos Soares, Igor Alex</t>
  </si>
  <si>
    <t>Santos, A. L.C.</t>
  </si>
  <si>
    <t>Santos, Adriele Jéssica Do Carmo</t>
  </si>
  <si>
    <t>Santos, Aldo Ramos</t>
  </si>
  <si>
    <t>Santos, Alessandra Da Silva Dos</t>
  </si>
  <si>
    <t>Santos, Alex Álisson Bandeira</t>
  </si>
  <si>
    <t>Santos, Alexandre Ferreira</t>
  </si>
  <si>
    <t>Santos, Anderson Costa Dos</t>
  </si>
  <si>
    <t>Santos, Ariane Gaspar</t>
  </si>
  <si>
    <t>Santos, B. B.</t>
  </si>
  <si>
    <t>Santos, Bernardo Augusto Farah</t>
  </si>
  <si>
    <t>Santos, Bruno C.P.</t>
  </si>
  <si>
    <t>Santos, Caio C.P.</t>
  </si>
  <si>
    <t>Santos, Carla De F.</t>
  </si>
  <si>
    <t>Santos, Célio Dias</t>
  </si>
  <si>
    <t>Santos, Claudio Filipi Gonçalvesdos</t>
  </si>
  <si>
    <t>Santos, Damázio Daniel De Lima</t>
  </si>
  <si>
    <t>da Silva Santos, Daniel Felipe</t>
  </si>
  <si>
    <t>Santos, Denisson</t>
  </si>
  <si>
    <t>Dos Santos, Eduardo Nunes</t>
  </si>
  <si>
    <t>Santos, E. A.</t>
  </si>
  <si>
    <t>Santos, F. G.</t>
  </si>
  <si>
    <t>Santos, Flávio Alves</t>
  </si>
  <si>
    <t>Santos, Francine Ddos</t>
  </si>
  <si>
    <t>Santos, Giovanna F.</t>
  </si>
  <si>
    <t>Santos, Henrique Fragoso</t>
  </si>
  <si>
    <t>Santos, Helenice L.R.</t>
  </si>
  <si>
    <t>Santos, Hélisson N.</t>
  </si>
  <si>
    <t>Santos, Heloá</t>
  </si>
  <si>
    <t>Santos, Higor Barbosa</t>
  </si>
  <si>
    <t>Santos, Isaac P.</t>
  </si>
  <si>
    <t>Santos, Iara Gadioli</t>
  </si>
  <si>
    <t>Santos, Josué Carinhanha Caldas</t>
  </si>
  <si>
    <t>Santos, Juliana Maia Carvalho Dos</t>
  </si>
  <si>
    <t>Santos, Joaõ Paulo Lima</t>
  </si>
  <si>
    <t>Santos, Jandyson Machado</t>
  </si>
  <si>
    <t>Santos, Jefferson</t>
  </si>
  <si>
    <t>Dos Santos, Joaquim Rocha</t>
  </si>
  <si>
    <t>Santos, Joaquim</t>
  </si>
  <si>
    <t>Santos, José Arthur Oliveira</t>
  </si>
  <si>
    <t>Santos, Josenilda Carlos Dos</t>
  </si>
  <si>
    <t>Santos, Kátilla Monique Costa</t>
  </si>
  <si>
    <t>Silva Santos, Klebson Silva</t>
  </si>
  <si>
    <t>Santos, Luiz Fernando Trindade</t>
  </si>
  <si>
    <t>Santos, Lizandro S.</t>
  </si>
  <si>
    <t>Santos, Layla P.</t>
  </si>
  <si>
    <t>Santos, Luan C.</t>
  </si>
  <si>
    <t>Santos, Luis F.</t>
  </si>
  <si>
    <t>Santos, Luz Amparo Palacio</t>
  </si>
  <si>
    <t>Santos, Moisés Dantas Dos</t>
  </si>
  <si>
    <t>Santos, Marcelly Cristina Da Silva</t>
  </si>
  <si>
    <t>Santos, Marcio G.L.N.</t>
  </si>
  <si>
    <t>Santos, Márcio R.Sdos</t>
  </si>
  <si>
    <t>Santos, Marco Antonio Cetale</t>
  </si>
  <si>
    <t>Santos, Maria F.P.</t>
  </si>
  <si>
    <t>Santos, Mônica C.</t>
  </si>
  <si>
    <t>Brandão Costa Santos, Nara</t>
  </si>
  <si>
    <t>Santos, Nikolas Lacerda</t>
  </si>
  <si>
    <t>Santos, Paulo Henrique Dias Dos</t>
  </si>
  <si>
    <t>Santos, R. É.P.D.</t>
  </si>
  <si>
    <t>Santos, Rafael Fernandes Vieira Correi</t>
  </si>
  <si>
    <t>Santos, R. M.</t>
  </si>
  <si>
    <t>Santos, Roberto Ventura</t>
  </si>
  <si>
    <t>Santos, Stephane S.M.</t>
  </si>
  <si>
    <t>Santos, Tiago</t>
  </si>
  <si>
    <t>Santos, Thiago Pereira Dos</t>
  </si>
  <si>
    <t>Santos, Túlio Ligneul</t>
  </si>
  <si>
    <t>Santos, Vanessa Gonçalves Dos</t>
  </si>
  <si>
    <t>Santos, Victor Hugo Jacks Mendes dos</t>
  </si>
  <si>
    <t>Santos, Viviane Piccin Dos</t>
  </si>
  <si>
    <t>de Menezes Santos, Wadson</t>
  </si>
  <si>
    <t>Santos, Wanessa D.L.</t>
  </si>
  <si>
    <t>Saporetti, Camila Martins</t>
  </si>
  <si>
    <t>Saraiva, Samuel Vitor</t>
  </si>
  <si>
    <t>Sardinha, Roosevelt De Lima</t>
  </si>
  <si>
    <t>Sarmento, Hugo</t>
  </si>
  <si>
    <t>Sarthour, R. S.</t>
  </si>
  <si>
    <t>Sartoratto, Adilson</t>
  </si>
  <si>
    <t>Sartori, Marcelo</t>
  </si>
  <si>
    <t>Sartori, Rafael</t>
  </si>
  <si>
    <t>Sarzosa, Diego F.B.</t>
  </si>
  <si>
    <t>Sasaki, Dalton Kei</t>
  </si>
  <si>
    <t>Sato, Hédison Kiuity</t>
  </si>
  <si>
    <t>Sausen, Tanise Luisa</t>
  </si>
  <si>
    <t>Savian, Jairo Francisco</t>
  </si>
  <si>
    <t>Lopes, Emília Savioli</t>
  </si>
  <si>
    <t>Savioli Lopes, Melina</t>
  </si>
  <si>
    <t>Savioli, Rafael G.</t>
  </si>
  <si>
    <t>Sawakuchi, André Oliveira</t>
  </si>
  <si>
    <t>Sbrissa, Gesiane Fraga</t>
  </si>
  <si>
    <t>Scafutto, Rebecca Del Papa Moreira</t>
  </si>
  <si>
    <t>Scalco, Leonardo Fernandes</t>
  </si>
  <si>
    <t>Schardong, Guilherme G.</t>
  </si>
  <si>
    <t>Scheid, Adriano</t>
  </si>
  <si>
    <t>Scheid, Cláudia Míriam</t>
  </si>
  <si>
    <t>Schenk, Cristian Valenti</t>
  </si>
  <si>
    <t>Scherer, A.</t>
  </si>
  <si>
    <t>Schettino, Miguel Ângelo</t>
  </si>
  <si>
    <t>Schiozer, D. J.</t>
  </si>
  <si>
    <t>Schirmer, Luiz José</t>
  </si>
  <si>
    <t>Schleder, A. M.</t>
  </si>
  <si>
    <t>Schleicher, Jörg</t>
  </si>
  <si>
    <t>Schmidt, Eduardo Morgado</t>
  </si>
  <si>
    <t>Schmitt, Caroline Carriel</t>
  </si>
  <si>
    <t>Schmitt, Renata S.</t>
  </si>
  <si>
    <t>Schmitt, Renata Silva</t>
  </si>
  <si>
    <t>Schnaid, Fernando</t>
  </si>
  <si>
    <t>Schneider, Gabi</t>
  </si>
  <si>
    <t>Schneider, Jaderson Kleveston</t>
  </si>
  <si>
    <t>Schneider, José F.</t>
  </si>
  <si>
    <t>Schneider, Marcio Roberto</t>
  </si>
  <si>
    <t>Schneider, Mariana</t>
  </si>
  <si>
    <t>Schneider, Tárique Hernandez</t>
  </si>
  <si>
    <t>Schnitman, Leizer</t>
  </si>
  <si>
    <t>Schoenfelder, Tatiana</t>
  </si>
  <si>
    <t>Schopp, Florian</t>
  </si>
  <si>
    <t>Schueler, Tamara A.</t>
  </si>
  <si>
    <t>Schultz, Cesar L.</t>
  </si>
  <si>
    <t>Schussler, Brenda S.</t>
  </si>
  <si>
    <t>Schuster, Silvio Lisboa</t>
  </si>
  <si>
    <t>Schütz, Marta Kerber</t>
  </si>
  <si>
    <t>Schwab, Marina Barbieri</t>
  </si>
  <si>
    <t>Schwanke, Anderson Joel</t>
  </si>
  <si>
    <t>Schwartz, William Robson</t>
  </si>
  <si>
    <t>Schwedersky, Mateus Barancelli</t>
  </si>
  <si>
    <t>Scofield, Arthur De Lemos</t>
  </si>
  <si>
    <t>Scolimoski, Emmanuell</t>
  </si>
  <si>
    <t>Secchi, A. R.</t>
  </si>
  <si>
    <t>Seferin, Marcus</t>
  </si>
  <si>
    <t>Segtovich, Iuri Soter Viana</t>
  </si>
  <si>
    <t>Seimetz Chagas, Rennan Danilo</t>
  </si>
  <si>
    <t>Seldin, Lucy</t>
  </si>
  <si>
    <t>A Guelli Ulson de Souza, Selene M.</t>
  </si>
  <si>
    <t>Guelli U de Souza, Selene M.A.</t>
  </si>
  <si>
    <t>Seman, Laio Oriel</t>
  </si>
  <si>
    <t>Sena Balreira, David</t>
  </si>
  <si>
    <t>Sena, Jessica</t>
  </si>
  <si>
    <t>Sene, A. F.</t>
  </si>
  <si>
    <t>Senger, Caroline M.</t>
  </si>
  <si>
    <t>Seoane, José Carlos Sícoli</t>
  </si>
  <si>
    <t>Serenário, Maria Eduarda Dias</t>
  </si>
  <si>
    <t>Sermoud, Vítor De Morais</t>
  </si>
  <si>
    <t>Serpa, Fabiane Santos</t>
  </si>
  <si>
    <t>Serpejante, Caroline Garcia</t>
  </si>
  <si>
    <t>Serrano, Pedro</t>
  </si>
  <si>
    <t>Gonçalves, Flávio Alessandro Serrão</t>
  </si>
  <si>
    <t>Sérvulo, Eliana Flávia Camporese</t>
  </si>
  <si>
    <t>Seufitelli, Gabriel V.S.</t>
  </si>
  <si>
    <t>Sgobbi, Lívia Florio</t>
  </si>
  <si>
    <t>Shadman, Milad</t>
  </si>
  <si>
    <t>Shauer, Nathan</t>
  </si>
  <si>
    <t>Shecaira, Farid S.</t>
  </si>
  <si>
    <t>Shigihara, Miltom</t>
  </si>
  <si>
    <t>Shimizu, Flavio Makoto</t>
  </si>
  <si>
    <t>Sial, Alcídes Nóbrega</t>
  </si>
  <si>
    <t>Sichel, Susanna Eleonora</t>
  </si>
  <si>
    <t>Siciliano, Bruno</t>
  </si>
  <si>
    <t>Siebert, Diogo Nardelli</t>
  </si>
  <si>
    <t>Sierra-García, Isabel Natalia</t>
  </si>
  <si>
    <t>Signori, Camila Negrão</t>
  </si>
  <si>
    <t>Siguemura, Angelo</t>
  </si>
  <si>
    <t>Silva Born, L. R.</t>
  </si>
  <si>
    <t>Silva Rocha, Ariadne Mayra</t>
  </si>
  <si>
    <t>Silva Rodrigues Alves, Gustavo Augusto Casco</t>
  </si>
  <si>
    <t>Silva, A. C.A.</t>
  </si>
  <si>
    <t>Silva, A. H.M.F.T.</t>
  </si>
  <si>
    <t>Silva, Adriana dos Anjos</t>
  </si>
  <si>
    <t>Silva, Agesinaldo M.</t>
  </si>
  <si>
    <t>Silva, Alécio Julio</t>
  </si>
  <si>
    <t>Silva, Amanda C.E.</t>
  </si>
  <si>
    <t>de Carvalho Gonzaga e Silva, Ana Beatriz</t>
  </si>
  <si>
    <t>Silva, Andrenilton F.</t>
  </si>
  <si>
    <t>Silva, Anselmo Luis</t>
  </si>
  <si>
    <t>Silva, Antonio Henrique Monteiro Da F</t>
  </si>
  <si>
    <t>Silva, Arthur S.</t>
  </si>
  <si>
    <t>Silva, B. H.</t>
  </si>
  <si>
    <t>Silva, B. S.</t>
  </si>
  <si>
    <t>Silva, Bruna Nádia N.</t>
  </si>
  <si>
    <t>Silva, Bruno Cordeiro</t>
  </si>
  <si>
    <t>Silva, Bruno S.</t>
  </si>
  <si>
    <t>da Silva, Bruno Jensen Virginio</t>
  </si>
  <si>
    <t>Silva, Carlos E.T.</t>
  </si>
  <si>
    <t>Silva, C. G.</t>
  </si>
  <si>
    <t>da Silva, Camila Fernanda</t>
  </si>
  <si>
    <t>Silva, Carla Michele Frota Da</t>
  </si>
  <si>
    <t>Silva, Carlos Alexandre Moreira Da</t>
  </si>
  <si>
    <t>Silva, Carlos Eduardo P.</t>
  </si>
  <si>
    <t>Silva, Claudio Mudadu</t>
  </si>
  <si>
    <t>Silva, Cleiton Carvalho</t>
  </si>
  <si>
    <t>Silva, Cleverson Guizan</t>
  </si>
  <si>
    <t>da Silva, Cynthia Cânedo</t>
  </si>
  <si>
    <t>Silva, Danielle C.C.</t>
  </si>
  <si>
    <t>Silva, Daniel Nobre Nunes</t>
  </si>
  <si>
    <t>Silva, Dannielle J.</t>
  </si>
  <si>
    <t>Silva, Denise P.</t>
  </si>
  <si>
    <t>Silva, Elaine C.O.</t>
  </si>
  <si>
    <t>Silva, Elaine Cristina</t>
  </si>
  <si>
    <t>Silva, Elaine F.</t>
  </si>
  <si>
    <t>Silva, Fabio A.A.</t>
  </si>
  <si>
    <t>Silva, Franciane T.</t>
  </si>
  <si>
    <t>Silva, F. V.</t>
  </si>
  <si>
    <t>Silva, Frederico Braz</t>
  </si>
  <si>
    <t>Silva, G. B.C.</t>
  </si>
  <si>
    <t>Silva, G. V.</t>
  </si>
  <si>
    <t>Silva, Gabriel Caetano G.Rda</t>
  </si>
  <si>
    <t>Silva, Gabriela M.</t>
  </si>
  <si>
    <t>da Silva Júnior, Gerson Cardoso</t>
  </si>
  <si>
    <t>Goulart da Silva, Glaura Goulart</t>
  </si>
  <si>
    <t>Silva, Guilherme M A</t>
  </si>
  <si>
    <t>Silva, Gustavo B.</t>
  </si>
  <si>
    <t>Silva, Heleno B.</t>
  </si>
  <si>
    <t>Silva, I. V.L.</t>
  </si>
  <si>
    <t>Silva, Iara Samara De Alcântara</t>
  </si>
  <si>
    <t>Silva, Iêda L.M.</t>
  </si>
  <si>
    <t>Silva, Isabela A.F.</t>
  </si>
  <si>
    <t>Gonzalez Silva, Jean</t>
  </si>
  <si>
    <t>Silva, Jahel Motta Da</t>
  </si>
  <si>
    <t>Silva, Jessee Azevedo Severo</t>
  </si>
  <si>
    <t>Azevedo Silva, Jessee Severo A.</t>
  </si>
  <si>
    <t>Silva, Jessica D.Da</t>
  </si>
  <si>
    <t>Silva, Joab Trajano</t>
  </si>
  <si>
    <t>Silva, Joana M.P.F.</t>
  </si>
  <si>
    <t>Silva, José Waldemar Da</t>
  </si>
  <si>
    <t>da Silva, Josivan Pedro</t>
  </si>
  <si>
    <t>Silva, Juan R.B.F.</t>
  </si>
  <si>
    <t>Silva, Júlio Márcio Silveira E.</t>
  </si>
  <si>
    <t>Silva, Laís De Oliveira</t>
  </si>
  <si>
    <t>Silva, Lidya Cardozo Da</t>
  </si>
  <si>
    <t>Silva, Lívia Carneiro Fidelis</t>
  </si>
  <si>
    <t>Silva, Luciano Henrique Peixoto Da</t>
  </si>
  <si>
    <t>Silva, Luis Carlos Da</t>
  </si>
  <si>
    <t>Silva, Luis Adriano Carvalho</t>
  </si>
  <si>
    <t>Silva, Luiz Fernando Lopes R.</t>
  </si>
  <si>
    <t>Silva, Luiz Guilherme Do Eirado</t>
  </si>
  <si>
    <t>Silva, M. E.</t>
  </si>
  <si>
    <t>Silva, Marcinei S.Da</t>
  </si>
  <si>
    <t>Silva, Marco Antônio Leandro Da</t>
  </si>
  <si>
    <t>Silva, Marcus Vde M.</t>
  </si>
  <si>
    <t>Silva, Maria Carolina Neves</t>
  </si>
  <si>
    <t>Silva, Mariana N.</t>
  </si>
  <si>
    <t>Silva, Mateus Souza</t>
  </si>
  <si>
    <t>Silva, Matheus O.</t>
  </si>
  <si>
    <t>Silva, Mathaus F</t>
  </si>
  <si>
    <t>Silva, Mayara Antunes Da Trindade</t>
  </si>
  <si>
    <t>Silva, Mirelly</t>
  </si>
  <si>
    <t>da Silva, Natalia Pillar</t>
  </si>
  <si>
    <t>Silva, Olavo M.</t>
  </si>
  <si>
    <t>Silva, Orildo L.</t>
  </si>
  <si>
    <t>Silva, Pamela</t>
  </si>
  <si>
    <t>Silva, Patrícia M.</t>
  </si>
  <si>
    <t>Silva, Paulo Roque Martins</t>
  </si>
  <si>
    <t>Silva, Priscila R.</t>
  </si>
  <si>
    <t>Silva, Renato Ferreira</t>
  </si>
  <si>
    <t>Silva, R. O.</t>
  </si>
  <si>
    <t>da Silva, Romeu Ricardo</t>
  </si>
  <si>
    <t>Silva, Rafael Gomes Nunes</t>
  </si>
  <si>
    <t>Silva, Rafael Oliveira</t>
  </si>
  <si>
    <t>Silva, Rafaella S.</t>
  </si>
  <si>
    <t>Silva, Raiff</t>
  </si>
  <si>
    <t>Silva, Raquel V.S.</t>
  </si>
  <si>
    <t>Silva, Renzo C.</t>
  </si>
  <si>
    <t>Silva, Rita C.C.</t>
  </si>
  <si>
    <t>Silva, Rômulo M.</t>
  </si>
  <si>
    <t>Silva, Ronaldo C.</t>
  </si>
  <si>
    <t>Silva, Samantha R.C.</t>
  </si>
  <si>
    <t>Magalhaes Silva, Sidelmo Magalhães Da</t>
  </si>
  <si>
    <t>Silva, Sidinei Kleber Da</t>
  </si>
  <si>
    <t>Silva, Sílvio C.</t>
  </si>
  <si>
    <t>Silva, Tâmara Almeida E.</t>
  </si>
  <si>
    <t>Silva, T. V.</t>
  </si>
  <si>
    <t>Silva, Tales Fernando Da</t>
  </si>
  <si>
    <t>Silva, Thales H.</t>
  </si>
  <si>
    <t>Silva, Thauane S.L.</t>
  </si>
  <si>
    <t>Silva, Thiago Barbosa Da</t>
  </si>
  <si>
    <t>Silva, Thiago C.</t>
  </si>
  <si>
    <t>Silva, Thiago Lima</t>
  </si>
  <si>
    <t>Silva, Thuener</t>
  </si>
  <si>
    <t>Silva, Tiago De O.</t>
  </si>
  <si>
    <t>Silva, V. G.</t>
  </si>
  <si>
    <t>Silva, Vanilson Fragoso</t>
  </si>
  <si>
    <t>Silva, Vitor Manoel A.</t>
  </si>
  <si>
    <t>Silva, Wenisten Dantas</t>
  </si>
  <si>
    <t>Silva-Neto, Habdias A.</t>
  </si>
  <si>
    <t>SilvaNeto, S. F.</t>
  </si>
  <si>
    <t>Silveira Leal, José Eduardo</t>
  </si>
  <si>
    <t>Silveira, Ana Julia</t>
  </si>
  <si>
    <t>Silveira, Bruno Marco De Oliveira</t>
  </si>
  <si>
    <t>Silveira, Eduardo Setton S.</t>
  </si>
  <si>
    <t>Silveira, Erika Batista</t>
  </si>
  <si>
    <t>Silveira, Filipe</t>
  </si>
  <si>
    <t>Silveira, I. M.</t>
  </si>
  <si>
    <t>Silveira, Luiz Gonzaga</t>
  </si>
  <si>
    <t>Silveira, Na´dya Pesce Da</t>
  </si>
  <si>
    <t>Silveira, Paulo M.</t>
  </si>
  <si>
    <t>Silveira, Rosa Maria Sales Da</t>
  </si>
  <si>
    <t>Simão, Marina Leivas</t>
  </si>
  <si>
    <t>Simao, Renata A.</t>
  </si>
  <si>
    <t>Simão, Taiz L.Lopes</t>
  </si>
  <si>
    <t>Simas, R. C.</t>
  </si>
  <si>
    <t>Simões, Grazieli</t>
  </si>
  <si>
    <t>Simoes, Heliasio Augusto</t>
  </si>
  <si>
    <t>Simões, Matheus Silva</t>
  </si>
  <si>
    <t>Simões, Thiago A.</t>
  </si>
  <si>
    <t>Simon, Maurício Bulhões</t>
  </si>
  <si>
    <t>Simoncelli, Ana P.P.</t>
  </si>
  <si>
    <t>Simoni, Leonardo</t>
  </si>
  <si>
    <t>Sìmos, Alexandre Nicolaos</t>
  </si>
  <si>
    <t>Simundi, Carolina L.</t>
  </si>
  <si>
    <t>Santos, Italo A.L.</t>
  </si>
  <si>
    <t>Sinnecker, Joäo Paulo</t>
  </si>
  <si>
    <t>Siqueira de Miranda, Tiago</t>
  </si>
  <si>
    <t>Siqueira, J. E.</t>
  </si>
  <si>
    <t>Siqueira, Fábio Levy</t>
  </si>
  <si>
    <t>Siqueira, Jonathas De Paula</t>
  </si>
  <si>
    <t>Siqueira, José Ricardo</t>
  </si>
  <si>
    <t>Siqueira, Paulo R.</t>
  </si>
  <si>
    <t>Siqueira, Rafael Magalhães</t>
  </si>
  <si>
    <t>Siqueira, Renato Do Nascimento</t>
  </si>
  <si>
    <t>Siqueira, Virgínia M.</t>
  </si>
  <si>
    <t>Sirelli, Lys</t>
  </si>
  <si>
    <t>Sirino, Thiago</t>
  </si>
  <si>
    <t>Sirqueira, Carla Aparecida Gonçalves</t>
  </si>
  <si>
    <t>Slongo, Juliano Scholz</t>
  </si>
  <si>
    <t>Soares Aires, Alysson</t>
  </si>
  <si>
    <t>Soares-Filho, William</t>
  </si>
  <si>
    <t>Soares Júnior, Luiz C.S.</t>
  </si>
  <si>
    <t>Soares, Ana Paula</t>
  </si>
  <si>
    <t>Soares, Amílcar Oliveira</t>
  </si>
  <si>
    <t>Soares, Anderson Ricardo Webler</t>
  </si>
  <si>
    <t>Soares, Antonio Cláudio</t>
  </si>
  <si>
    <t>Soares, Bluma Guenther</t>
  </si>
  <si>
    <t>Soares, Carla Vieira</t>
  </si>
  <si>
    <t>Soares, D.</t>
  </si>
  <si>
    <t>Soares, Edson José</t>
  </si>
  <si>
    <t>Soares, Emílio Alberto Amaral</t>
  </si>
  <si>
    <t>Soares, Iane De Araujo</t>
  </si>
  <si>
    <t>Soares, José Eduardo Pereira</t>
  </si>
  <si>
    <t>Soares, Jimmy</t>
  </si>
  <si>
    <t>Soares, Jorge Barbosa</t>
  </si>
  <si>
    <t>Soares, Juliana Beatriz Carvalho De Ol</t>
  </si>
  <si>
    <t>Soares, Larissa M.B.</t>
  </si>
  <si>
    <t>Soares, Lorena L.O.</t>
  </si>
  <si>
    <t>Soares, Luciano Pereira</t>
  </si>
  <si>
    <t>Soares, Mário Luiz Gomes</t>
  </si>
  <si>
    <t>Soares, Matheus Bortolanza</t>
  </si>
  <si>
    <t>Soares, Paulo César</t>
  </si>
  <si>
    <t>Soares, R. P.</t>
  </si>
  <si>
    <t>Soares, Rafael M.</t>
  </si>
  <si>
    <t>Soares, Ricardo Reis</t>
  </si>
  <si>
    <t>Soares, Sérgio Aurélio Ferreira</t>
  </si>
  <si>
    <t>Soares, Ubiraci Manoel</t>
  </si>
  <si>
    <t>Soares, Valéria Ferreira</t>
  </si>
  <si>
    <t>Fuentes, Andrea S.c.</t>
  </si>
  <si>
    <t>Sobiesiak, Júlia S.</t>
  </si>
  <si>
    <t>Sobrinho, E. S.Paranhos</t>
  </si>
  <si>
    <t>Sodre, Daniel B.</t>
  </si>
  <si>
    <t>Somavilla, Ezequiel A.</t>
  </si>
  <si>
    <t>Sondermann, Carina Nogueira</t>
  </si>
  <si>
    <t>Sória, Manoel Henrique Alba</t>
  </si>
  <si>
    <t>Sotelo, Guilherme Gonçalves</t>
  </si>
  <si>
    <t>Sousa Cardoso, Juliene Aljahara</t>
  </si>
  <si>
    <t>Sousa e Silva, Simone C.</t>
  </si>
  <si>
    <t>Sousa Junior, Gustavo R.</t>
  </si>
  <si>
    <t>Sousa, Ana Maria F.</t>
  </si>
  <si>
    <t>Sousa, Fernando J.M.</t>
  </si>
  <si>
    <t>Sousa, Gustavo José</t>
  </si>
  <si>
    <t>Sousa, Joab Sampaio</t>
  </si>
  <si>
    <t>Sousa, José Renato Mendes De</t>
  </si>
  <si>
    <t>Sousa, Kyssia K.C.</t>
  </si>
  <si>
    <t>Sousa, Lucas Ribeiro De</t>
  </si>
  <si>
    <t>Sousa, Maria Osvalneide Lucena</t>
  </si>
  <si>
    <t>Sousa, Sanderson Tarciso Pereira De</t>
  </si>
  <si>
    <t>Sousa, Sílvia</t>
  </si>
  <si>
    <t>Sousa, Sílvia H.M.</t>
  </si>
  <si>
    <t>Souza, Anderson De Medeiros</t>
  </si>
  <si>
    <t>Souza, Alexandre M.</t>
  </si>
  <si>
    <t>Souza, Alexandre Ade</t>
  </si>
  <si>
    <t>Souza, Ana Beatriz Torres E.</t>
  </si>
  <si>
    <t>Souza, Ana Paula F.</t>
  </si>
  <si>
    <t>Souza, André Calloni</t>
  </si>
  <si>
    <t>Souza, André M.</t>
  </si>
  <si>
    <t>Souza, Andrey O.</t>
  </si>
  <si>
    <t>Souza, Bismarck Gomes</t>
  </si>
  <si>
    <t>Souza, Breno G.B.</t>
  </si>
  <si>
    <t>Souza-Chaves, Bianca M.</t>
  </si>
  <si>
    <t>Souza, Bruno Santos</t>
  </si>
  <si>
    <t>Souza, Douglas F.</t>
  </si>
  <si>
    <t>Souza, Eugênio Furtado De</t>
  </si>
  <si>
    <t>Souza, Franklyn Macedo De</t>
  </si>
  <si>
    <t>Souza, Gabriela G.P.</t>
  </si>
  <si>
    <t>Souza, J. L.</t>
  </si>
  <si>
    <t>Souza, Jose Fabricio L.</t>
  </si>
  <si>
    <t>Souza, José Renato M.</t>
  </si>
  <si>
    <t>Souza, L. S.</t>
  </si>
  <si>
    <t>Souza, Lindamara Maria</t>
  </si>
  <si>
    <t>Carvalho Souza, Lucas</t>
  </si>
  <si>
    <t>Souza, Luciara C.</t>
  </si>
  <si>
    <t>Souza, Marcelo Igor Lourenço De</t>
  </si>
  <si>
    <t>Souza, Marcio Nele</t>
  </si>
  <si>
    <t>de Souza, Maria Eugênia Silva</t>
  </si>
  <si>
    <t>Souza, Mariana M.V.M.</t>
  </si>
  <si>
    <t>Souza, Mauro Lisboa</t>
  </si>
  <si>
    <t>Souza, Michael Ferreira</t>
  </si>
  <si>
    <t>Souza, N. L.A.</t>
  </si>
  <si>
    <t>Souza, Paulo A.</t>
  </si>
  <si>
    <t>Souza, R. A.</t>
  </si>
  <si>
    <t>Souza, Rhuãn Costa</t>
  </si>
  <si>
    <t>Souza, Rubens Caio</t>
  </si>
  <si>
    <t>Souza, Sara Marques</t>
  </si>
  <si>
    <t>Assenheimer, Troner</t>
  </si>
  <si>
    <t>Souza, Tarcizo Cruz C.De</t>
  </si>
  <si>
    <t>de Souza, Tiago Marcolino</t>
  </si>
  <si>
    <t>Souza, Victor H.P.</t>
  </si>
  <si>
    <t>Souza, Victor Rafael</t>
  </si>
  <si>
    <t>Souza, Vítor E.Silva</t>
  </si>
  <si>
    <t>Souza, Vitor H.R.</t>
  </si>
  <si>
    <t>Souza, W. A.</t>
  </si>
  <si>
    <t>Souza, Wallace C.</t>
  </si>
  <si>
    <t>Sérgio de Souza, Zorano</t>
  </si>
  <si>
    <t>Souza-Lima, Wagner</t>
  </si>
  <si>
    <t>Souza-Neto, Pedro Walfir Martins E.</t>
  </si>
  <si>
    <t>Souza-Rêgo, Juliana J․ F․</t>
  </si>
  <si>
    <t>Spagnolo, Rodrigo Alves</t>
  </si>
  <si>
    <t>Sparano, João Vicente</t>
  </si>
  <si>
    <t>Specht, Luciano Pivoto</t>
  </si>
  <si>
    <t>Sphaier, Leandro Alcoforado</t>
  </si>
  <si>
    <t>Sphaier, Sergio Hamilton</t>
  </si>
  <si>
    <t>Jung Spier, Thomás</t>
  </si>
  <si>
    <t>Spina, Deris Eduardo</t>
  </si>
  <si>
    <t>Spinelli, Luciana Dos Santos</t>
  </si>
  <si>
    <t>Spoladore, I. P.B.</t>
  </si>
  <si>
    <t>Srivastava, Narendra Kumar</t>
  </si>
  <si>
    <t>Stafanato, Juliano Bahiense</t>
  </si>
  <si>
    <t>Stahnke, Carina</t>
  </si>
  <si>
    <t>Stanzani, Amélia De Lorena</t>
  </si>
  <si>
    <t>Stape, Philip</t>
  </si>
  <si>
    <t>Stassen, Hubert Karl</t>
  </si>
  <si>
    <t>Staub, Diego</t>
  </si>
  <si>
    <t>Stavale, Fernando</t>
  </si>
  <si>
    <t>Stebel, Sergio Leandro</t>
  </si>
  <si>
    <t>Steffens, Lindaura Maria</t>
  </si>
  <si>
    <t>Steiger, A. K.</t>
  </si>
  <si>
    <t>Stein, Marcela</t>
  </si>
  <si>
    <t>Stel, Henrique</t>
  </si>
  <si>
    <t>Stelzer, Karen T.</t>
  </si>
  <si>
    <t>Stemmer, Marcelo Ricardo</t>
  </si>
  <si>
    <t>Stepanha, Amanda Sofia De Guimarães E.</t>
  </si>
  <si>
    <t>Sthel, A. S.O.</t>
  </si>
  <si>
    <t>Stieler, Rafael</t>
  </si>
  <si>
    <t>Streitenberger, Simone Carneiro</t>
  </si>
  <si>
    <t>Strey, Caroline B.</t>
  </si>
  <si>
    <t>Strohaecker, Telmo Roberto</t>
  </si>
  <si>
    <t>Strohschoen, Oscar</t>
  </si>
  <si>
    <t>Stuckenbruck, Sidney</t>
  </si>
  <si>
    <t>Stumpf, Felipe Tempel</t>
  </si>
  <si>
    <t>Su, Jian</t>
  </si>
  <si>
    <t>Suarez, Manuel A.</t>
  </si>
  <si>
    <t>Suárez, Paulo Anselmo Ziani</t>
  </si>
  <si>
    <t>Sudati Sagrilo, Luis Volnei</t>
  </si>
  <si>
    <t>Sumida, Paulo Yukio Gomes</t>
  </si>
  <si>
    <t>Calderón Supelano, Reinaldo</t>
  </si>
  <si>
    <t>Sussulini, A.</t>
  </si>
  <si>
    <t>Suzuki, Marinasatika Satika</t>
  </si>
  <si>
    <t>Szklo, Alexandre Salem</t>
  </si>
  <si>
    <t>T Nogueira, Camila</t>
  </si>
  <si>
    <t>Tadeu Dos Reis, Antonio</t>
  </si>
  <si>
    <t>Tagliari, Mariana Dos Reis</t>
  </si>
  <si>
    <t>Taira, Daniel P.</t>
  </si>
  <si>
    <t>Takehara, Lucy</t>
  </si>
  <si>
    <t>Takeshita, Elaine Vosniak</t>
  </si>
  <si>
    <t>Takimoto, Rogério Yugo Yugo</t>
  </si>
  <si>
    <t>Takiya, C. S.</t>
  </si>
  <si>
    <t>Talamini, Edson</t>
  </si>
  <si>
    <t>Talavera, Alvaro Lopez</t>
  </si>
  <si>
    <t>Tamasi, Rodrigo Menas</t>
  </si>
  <si>
    <t>Tanabi, Naser</t>
  </si>
  <si>
    <t>Tanajura, Clemente Augusto Souza</t>
  </si>
  <si>
    <t>Taniguchi, Satie</t>
  </si>
  <si>
    <t>Tannuri, E. A.</t>
  </si>
  <si>
    <t>Tanobe, Valcineide Oliveira De Andrade</t>
  </si>
  <si>
    <t>Taranto, Glauco N.</t>
  </si>
  <si>
    <t>Tarazona, Samuel Felipe Mollepaza</t>
  </si>
  <si>
    <t>Tascheck, Bruna Larissa</t>
  </si>
  <si>
    <t>Tavares, Fernanda A.</t>
  </si>
  <si>
    <t>Tavares, F. W.</t>
  </si>
  <si>
    <t>Tavares, Henrique Leal</t>
  </si>
  <si>
    <t>Tavares, Lucas Giusti</t>
  </si>
  <si>
    <t>Tavares, Roberto F.</t>
  </si>
  <si>
    <t>Tavares, Sergio Souto Maior</t>
  </si>
  <si>
    <t>Tavares, Sergio R.</t>
  </si>
  <si>
    <t>Taveira, Igor Pureza</t>
  </si>
  <si>
    <t>Tavora Coelho da Costa Rachid, Caio</t>
  </si>
  <si>
    <t>Teixeira-Pinto, Luiz A.L.</t>
  </si>
  <si>
    <t>Teixeira, A. C.M.</t>
  </si>
  <si>
    <t>Teixeira, Alexandre Mendonça</t>
  </si>
  <si>
    <t>Teixeira, Bianca Rodrigues</t>
  </si>
  <si>
    <t>Teixeira, Bruno Otávio Soares</t>
  </si>
  <si>
    <t>Teixeira, Carlos Antonio S.</t>
  </si>
  <si>
    <t>Teixeira, Carlos Alberto</t>
  </si>
  <si>
    <t>Teixeira, Danielle Altomari</t>
  </si>
  <si>
    <t>Teixeira, Heloisa Maria Fontenelle</t>
  </si>
  <si>
    <t>Teixeira, Kathlem M.</t>
  </si>
  <si>
    <t>Teixeira, Leandro R.</t>
  </si>
  <si>
    <t>Teixeira, M. S.</t>
  </si>
  <si>
    <t>Teixeira, Marco Antonio Simoes</t>
  </si>
  <si>
    <t>Teixeira, Pedro Henrique Santos</t>
  </si>
  <si>
    <t>Teixeira, Washington Luiz Evangelista</t>
  </si>
  <si>
    <t>Teixeira, Wilson</t>
  </si>
  <si>
    <t>Teles, Danilo Ribeiro De Sá</t>
  </si>
  <si>
    <t>Telles, J. C.F.</t>
  </si>
  <si>
    <t>Temochko, Bruna</t>
  </si>
  <si>
    <t>Tenorio, Joyce Kelly Franca</t>
  </si>
  <si>
    <t>Tenorio, M. S.C.</t>
  </si>
  <si>
    <t>Teófilo, Fábio Anderson Fonteles</t>
  </si>
  <si>
    <t>Terada, Maysa</t>
  </si>
  <si>
    <t>Teramoto, Elias Hideo</t>
  </si>
  <si>
    <t>Salamoni Terra, Gerson José</t>
  </si>
  <si>
    <t>Terra, Luciana A.</t>
  </si>
  <si>
    <t>de Vargas Terres, Vinícius</t>
  </si>
  <si>
    <t>Tessari, Rodolfo Krul</t>
  </si>
  <si>
    <t>Tessarolo, Nathalia S.</t>
  </si>
  <si>
    <t>Texeira, Caroline C.</t>
  </si>
  <si>
    <t>Teylo, Luan</t>
  </si>
  <si>
    <t>Thiago Sacramento Aragão, Francisco</t>
  </si>
  <si>
    <t>Thomas Hendges, Letiane</t>
  </si>
  <si>
    <t>Thompson, Roney L.</t>
  </si>
  <si>
    <t>Tibana, Sérgio</t>
  </si>
  <si>
    <t>Tinôco, Daniel</t>
  </si>
  <si>
    <t>Tirolli, Marcelo Nogueira</t>
  </si>
  <si>
    <t>Tiuman, Erich T.</t>
  </si>
  <si>
    <t>Tobias, Thaís C.</t>
  </si>
  <si>
    <t>Tocantins, Max William</t>
  </si>
  <si>
    <t>Todeschini, Jakeline K.P.</t>
  </si>
  <si>
    <t>Tognetti, Eduardo S.</t>
  </si>
  <si>
    <t>Tognoli, Francisco Manoel Wohnrath</t>
  </si>
  <si>
    <t>Toldo, E. E.</t>
  </si>
  <si>
    <t>Toldo Júnior, Elírio Ernestino</t>
  </si>
  <si>
    <t>Toledo Filho, R. D.</t>
  </si>
  <si>
    <t>Toledo Viviani, Juliano Cesar</t>
  </si>
  <si>
    <t>Toledo, F. A.L.</t>
  </si>
  <si>
    <t>Toledo, Paulo H.M.</t>
  </si>
  <si>
    <t>Tomaz, Danilo</t>
  </si>
  <si>
    <t>Tomazella, Vera Lúcia Damasceno</t>
  </si>
  <si>
    <t>Tomé, Maria Emília Travassos Rios</t>
  </si>
  <si>
    <t>Tommasini, Rodrigo Batista</t>
  </si>
  <si>
    <t>Toni, Fernando Geremias</t>
  </si>
  <si>
    <t>Tonietto, Gisele Birman</t>
  </si>
  <si>
    <t>Tonietto, Leandro</t>
  </si>
  <si>
    <t>Toniolo, Fábio Souza</t>
  </si>
  <si>
    <t>Tonoli, Celisa Caldana Costa</t>
  </si>
  <si>
    <t>Topan, João Gabriel De Oliveira</t>
  </si>
  <si>
    <t>Torci, Douglas Estevam</t>
  </si>
  <si>
    <t>Torquato e Silva, Samuel De A.</t>
  </si>
  <si>
    <t>Torres Zuniga, Waldy J.</t>
  </si>
  <si>
    <t>G. Torres, Alexandre Guedes</t>
  </si>
  <si>
    <t>Torres, Antônio Eurico Belo</t>
  </si>
  <si>
    <t>Torres, Clarisse L.</t>
  </si>
  <si>
    <t>Torres, Fernando Araripe Gonçalves</t>
  </si>
  <si>
    <t>Torres, Juliana V.S.</t>
  </si>
  <si>
    <t>Torres, Larissa F.</t>
  </si>
  <si>
    <t>Torres, Pedro Ignácio</t>
  </si>
  <si>
    <t>Torres, Sarah Barrón</t>
  </si>
  <si>
    <t>Zegarra Torres, Victor Daniel</t>
  </si>
  <si>
    <t>Tose, Lílian Valadares</t>
  </si>
  <si>
    <t>Toste, Raquel</t>
  </si>
  <si>
    <t>Tostes, Danielle M.</t>
  </si>
  <si>
    <t>Tostes, Marcello</t>
  </si>
  <si>
    <t>Tovar, Laura Plazas</t>
  </si>
  <si>
    <t>Towesend, Vinícius Jesus</t>
  </si>
  <si>
    <t>Toyama, Danyelle</t>
  </si>
  <si>
    <t>Tozzi, Fabrício C.</t>
  </si>
  <si>
    <t>Travalloni, Leonardo</t>
  </si>
  <si>
    <t>Trentin, Franciele Agnesa</t>
  </si>
  <si>
    <t>Trierweiler, Jorge Otávio</t>
  </si>
  <si>
    <t>Trigo, Flávio Celso</t>
  </si>
  <si>
    <t>Trindade Prado, Alan Cabral</t>
  </si>
  <si>
    <t>Trindade, Daniel R.</t>
  </si>
  <si>
    <t>Trindade, Fernanda J.</t>
  </si>
  <si>
    <t>Trindade, Luiz Antonio F.</t>
  </si>
  <si>
    <t>Trindade, Matheus Porto</t>
  </si>
  <si>
    <t>Trindade, Ricardo Ivan Ferreira</t>
  </si>
  <si>
    <t>Trindade, Suelen Gauna</t>
  </si>
  <si>
    <t>Trindade, Vicente Braz</t>
  </si>
  <si>
    <t>Trindade, Yan</t>
  </si>
  <si>
    <t>Trotte-Duhà, Janice R.</t>
  </si>
  <si>
    <t>Trouw, Rudolph Allard Johannes</t>
  </si>
  <si>
    <t>Troyman, Antonio Carlos Ramos</t>
  </si>
  <si>
    <t>Tschiptschin, Andre Paulo</t>
  </si>
  <si>
    <t>Tschoeke, Diogo</t>
  </si>
  <si>
    <t>Tsuzuki, Marcos De Sales Guerra</t>
  </si>
  <si>
    <t>Tueros, Juan Alberto Rojas</t>
  </si>
  <si>
    <t>Tungo, Edna De Jesus Francisco</t>
  </si>
  <si>
    <t>Tuozzo, Diego Martin</t>
  </si>
  <si>
    <t>Tupinambá, M.</t>
  </si>
  <si>
    <t>Tura, Pedro Marone</t>
  </si>
  <si>
    <t>Turci, Cássia Curan</t>
  </si>
  <si>
    <t>Turra, Alexander</t>
  </si>
  <si>
    <t>Turra, Bruno Boito</t>
  </si>
  <si>
    <t>Ueda, Edson Kenji</t>
  </si>
  <si>
    <t>Uhlein, Alexandre</t>
  </si>
  <si>
    <t>Uhlein, Gabriel Jube</t>
  </si>
  <si>
    <t>Uliana, João Henrique</t>
  </si>
  <si>
    <t>Ulsen, Carina</t>
  </si>
  <si>
    <t>Ulson de Souza, A. A.</t>
  </si>
  <si>
    <t>Uribe, J. D.V.</t>
  </si>
  <si>
    <t>Uribe, J. V.</t>
  </si>
  <si>
    <t>Urquiaga, Segundo Sacramento</t>
  </si>
  <si>
    <t>Urquieta-González, Ernesto Antonio</t>
  </si>
  <si>
    <t>Utz, Laura R.P.</t>
  </si>
  <si>
    <t>Utzig, J.</t>
  </si>
  <si>
    <t>Vaillant, Alyson Gomes</t>
  </si>
  <si>
    <t>Vaiss, Viviane Da Silva</t>
  </si>
  <si>
    <t>Vaitsman, Delmo Santiago</t>
  </si>
  <si>
    <t>Valadares Tose, Lilian</t>
  </si>
  <si>
    <t>Valadares, L. A.B.</t>
  </si>
  <si>
    <t>Valarini, Guilherme A.</t>
  </si>
  <si>
    <t>Valdez, Fernanda Pedone</t>
  </si>
  <si>
    <t>Vale, Daniella L.</t>
  </si>
  <si>
    <t>Valem, Lucas Pascotti</t>
  </si>
  <si>
    <t>Valença, J. P.V.</t>
  </si>
  <si>
    <t>Valenciano, Alejandro A.</t>
  </si>
  <si>
    <t>Valente Roque, Jussara</t>
  </si>
  <si>
    <t>Valente, Sérgio De Castro</t>
  </si>
  <si>
    <t>Valente, Valente Castro</t>
  </si>
  <si>
    <t>Valentín, Manuel Blanco</t>
  </si>
  <si>
    <t>Valéria, M. Oliveira</t>
  </si>
  <si>
    <t>Valeriano, Cláudio De Morisson</t>
  </si>
  <si>
    <t>Valério, Renato Rocha</t>
  </si>
  <si>
    <t>Valladão, Davi Michel</t>
  </si>
  <si>
    <t>Valle Machado, Wilson Thadeu</t>
  </si>
  <si>
    <t>Valus, Maria Gorete</t>
  </si>
  <si>
    <t>van der Geest, Charlie</t>
  </si>
  <si>
    <t>Vanini, Gabriela</t>
  </si>
  <si>
    <t>Vanni, Gabriel</t>
  </si>
  <si>
    <t>Várady, C.</t>
  </si>
  <si>
    <t>Vardaro, Eduardo</t>
  </si>
  <si>
    <t>Varejão, Fĺavio Miguel</t>
  </si>
  <si>
    <t>Varejão, Igor Mattos Dos Santos</t>
  </si>
  <si>
    <t>Vareto, Rafael Henrique</t>
  </si>
  <si>
    <t>Vargas Júnior, Eurípedes Do Amaral</t>
  </si>
  <si>
    <t>Vargas, Brenda A.</t>
  </si>
  <si>
    <t>Vargas, Carlos Alberto Lauro</t>
  </si>
  <si>
    <t>Suarez Vargas, Danny</t>
  </si>
  <si>
    <t>Vargas, Euripedes A.</t>
  </si>
  <si>
    <t>Vargas, Eurípedes Amaral</t>
  </si>
  <si>
    <t>Vargas, Gabriel G.</t>
  </si>
  <si>
    <t>Vargas, Jacson G.</t>
  </si>
  <si>
    <t>de Vargas, Mateus Rodrigues</t>
  </si>
  <si>
    <t>Vargas, Thaís</t>
  </si>
  <si>
    <t>Varges, Priscilla R.</t>
  </si>
  <si>
    <t>Vasconcellos, Eduardo Charles</t>
  </si>
  <si>
    <t>Vasconcelos, Adna G.P.</t>
  </si>
  <si>
    <t>Vasconcelos, Adriano O.</t>
  </si>
  <si>
    <t>Vasconcelos, Aline Nascimento</t>
  </si>
  <si>
    <t>Vasconcelos, Daniela Cordeiro Leite</t>
  </si>
  <si>
    <t>Vasconcelos, David L.</t>
  </si>
  <si>
    <t>Vasconcelos, Géssica Adriana</t>
  </si>
  <si>
    <t>Vasconcelos, Juliana R.</t>
  </si>
  <si>
    <t>Savasini, Kamilla V.</t>
  </si>
  <si>
    <t>Vasconcelos, Wander Luiz</t>
  </si>
  <si>
    <t>Vasques, Ricardo Reves</t>
  </si>
  <si>
    <t>Vasques, Roberta Bastos</t>
  </si>
  <si>
    <t>Vásquez, José Daniel Hernández</t>
  </si>
  <si>
    <t>Vaz de Campos, Maria Cecília</t>
  </si>
  <si>
    <t>Vaz, Alexandre Servulo Lima</t>
  </si>
  <si>
    <t>Vaz, I. C.</t>
  </si>
  <si>
    <t>Vaz Pinto, Luiz A.</t>
  </si>
  <si>
    <t>Vaz, Murilo Augusto</t>
  </si>
  <si>
    <t>Vaz, Marcelo Gomes Marçal Vieira</t>
  </si>
  <si>
    <t>Vaz, Marlon</t>
  </si>
  <si>
    <t>Vaz-De-Melo, Pedro Olmo Stancioli</t>
  </si>
  <si>
    <t>Vedovotto, J. M.</t>
  </si>
  <si>
    <t>Vega, Márcia Peixoto Peixoto</t>
  </si>
  <si>
    <t>Veiga, Hallan William</t>
  </si>
  <si>
    <t>Veiga, Helena Maria Borja</t>
  </si>
  <si>
    <t>Velilla, J. D.U.</t>
  </si>
  <si>
    <t>Vellasco, Marley Maria Bernardes Rebuzzi</t>
  </si>
  <si>
    <t>Vellila, J. D.U.</t>
  </si>
  <si>
    <t>Velloso, Raquel Quadros</t>
  </si>
  <si>
    <t>Veloso, C.</t>
  </si>
  <si>
    <t>Veloso, Cláudia De Oliveira</t>
  </si>
  <si>
    <t>Veloso, Valéria Gomes</t>
  </si>
  <si>
    <t>Venâncio, Fabrício</t>
  </si>
  <si>
    <t>Venancio, Igor M.</t>
  </si>
  <si>
    <t>Vendramini, Thiago Henrique Annibale</t>
  </si>
  <si>
    <t>Ventura, Arthur C.P.G.</t>
  </si>
  <si>
    <t>Ventura, L. B.</t>
  </si>
  <si>
    <t>Ventura, Vítor Figueirôa</t>
  </si>
  <si>
    <t>Venturelli, Beatriz Conte</t>
  </si>
  <si>
    <t>Venturelli, Felipe C.V.</t>
  </si>
  <si>
    <t>Venturi, D. N.</t>
  </si>
  <si>
    <t>Venturini, Osvaldo Jose</t>
  </si>
  <si>
    <t>Verbicario, João V.T.</t>
  </si>
  <si>
    <t>Vergel, Jose L.G.</t>
  </si>
  <si>
    <t>Verissimo, G. L.</t>
  </si>
  <si>
    <t>VERMELHO, A. B.</t>
  </si>
  <si>
    <t>Veronez, M. R.</t>
  </si>
  <si>
    <t>Veruz, Edilson Gabriel</t>
  </si>
  <si>
    <t>Vettorazzo, Carolina M.</t>
  </si>
  <si>
    <t>Viana, Carine</t>
  </si>
  <si>
    <t>Viana, Douglas Gomes</t>
  </si>
  <si>
    <t>Viana, Francisco Henrique F.</t>
  </si>
  <si>
    <t>Viana, Graco A.C.M.</t>
  </si>
  <si>
    <t>Viana, Marcelo Machado</t>
  </si>
  <si>
    <t>Vianna, A. S.</t>
  </si>
  <si>
    <t>Vianna, Stéphany G.T.</t>
  </si>
  <si>
    <t>Vicente, Beatriz M.</t>
  </si>
  <si>
    <t>Vicente, Maristela A.</t>
  </si>
  <si>
    <t>Vicente, Thaisa Marques</t>
  </si>
  <si>
    <t>Vicentin, Flávio Cesar</t>
  </si>
  <si>
    <t>Vicentini, Renato</t>
  </si>
  <si>
    <t>Victorio, Wendy Z.</t>
  </si>
  <si>
    <t>Vidal Cunha Santa Rosa Soares, Filipe</t>
  </si>
  <si>
    <t>Vidal, Alexandre Campane</t>
  </si>
  <si>
    <t>Vidal, Alyne Duarte</t>
  </si>
  <si>
    <t>Vidal, Paula Harethusa Pereira Costa</t>
  </si>
  <si>
    <t>Vidal, Reginaldo Scariot</t>
  </si>
  <si>
    <t>Vidaurre, Renato Moreira</t>
  </si>
  <si>
    <t>Videiro, Paulo Maurício</t>
  </si>
  <si>
    <t>Vidigal, Pedro Marcus Pereira</t>
  </si>
  <si>
    <t>Vidilli, Andre Luiz</t>
  </si>
  <si>
    <t>Vidoto, Amanda P.</t>
  </si>
  <si>
    <t>Vidoto, Edson Luiz Géa</t>
  </si>
  <si>
    <t>Viêgas, Carolina Vieira</t>
  </si>
  <si>
    <t>Viegas, J. I.</t>
  </si>
  <si>
    <t>Vieira do Nascimento e Silva, Matheus H.</t>
  </si>
  <si>
    <t>Vieira Neto, José Luiz</t>
  </si>
  <si>
    <t>Vieira, Adyson K.S.</t>
  </si>
  <si>
    <t>Vieira, Danilo Garbazza</t>
  </si>
  <si>
    <t>Vieira, Frederico Ribeiro Beifort</t>
  </si>
  <si>
    <t>Vieira, Italo Rennan Sousa</t>
  </si>
  <si>
    <t>Vieira, Kaio Henrique Masse</t>
  </si>
  <si>
    <t>Vieira, Lucieth Cruz</t>
  </si>
  <si>
    <t>Vieira, Luis Carlos Silveira</t>
  </si>
  <si>
    <t>Vieira, Michel M.F.</t>
  </si>
  <si>
    <t>Vieira, Michele O.</t>
  </si>
  <si>
    <t>Vieira, Priscilla S.C.</t>
  </si>
  <si>
    <t>Vieira, Renata</t>
  </si>
  <si>
    <t>Vieira, Ronaldo Domingues</t>
  </si>
  <si>
    <t>Vieira, Roniérik Pioli</t>
  </si>
  <si>
    <t>Vieira, T. M.A.</t>
  </si>
  <si>
    <t>Vieira, Thales Miranda De Almeida</t>
  </si>
  <si>
    <t>Vieira, Thiago Lima</t>
  </si>
  <si>
    <t>Viggiano, Raphael Neves De Freitas</t>
  </si>
  <si>
    <t>Vilalta, Guillermo</t>
  </si>
  <si>
    <t>Vilarrasa-García, Enrique</t>
  </si>
  <si>
    <t>Vilela, Caren Leite Spindola</t>
  </si>
  <si>
    <t>Vilela, Claudia Gutterres</t>
  </si>
  <si>
    <t>Vilela, Jefferson José</t>
  </si>
  <si>
    <t>Vilela, Vitor</t>
  </si>
  <si>
    <t>Vileti, Vinícius L.</t>
  </si>
  <si>
    <t>Villalobos, Cristian Enrique Munoz</t>
  </si>
  <si>
    <t>Villamizar, Hugo</t>
  </si>
  <si>
    <t>Villar, Millena Martins</t>
  </si>
  <si>
    <t>Villar, S. B.</t>
  </si>
  <si>
    <t>D'Amato Villardi, Hugo Gomes D’Amato</t>
  </si>
  <si>
    <t>Villares, Pedro R.</t>
  </si>
  <si>
    <t>Villas, Leandro Aparecido</t>
  </si>
  <si>
    <t>Villegas-Martín, Jorge</t>
  </si>
  <si>
    <t>Villela, Helena Dias Muller</t>
  </si>
  <si>
    <t>Villela, Mariana Fernandes Dos Santos</t>
  </si>
  <si>
    <t>Villetti, Marcos Antônio</t>
  </si>
  <si>
    <t>Vinaches, Paloma</t>
  </si>
  <si>
    <t>Vincentelli, María Gabriela Castillo</t>
  </si>
  <si>
    <t>Vinicius Aparecido Gomes de Li, M.</t>
  </si>
  <si>
    <t>Vinson, Christina Cleo</t>
  </si>
  <si>
    <t>Vinter, Daniel P.</t>
  </si>
  <si>
    <t>Violante-Carvalho, Nelson</t>
  </si>
  <si>
    <t>Visconte, Leila Léa Yuan</t>
  </si>
  <si>
    <t>Vitale, Guilherme</t>
  </si>
  <si>
    <t>Viterbo, José</t>
  </si>
  <si>
    <t>Vogel, Suelen Do Nascimento</t>
  </si>
  <si>
    <t>Vólaro, Vanessa</t>
  </si>
  <si>
    <t>Vollú, Renata Estebanez</t>
  </si>
  <si>
    <t>Volpi, Eduardo</t>
  </si>
  <si>
    <t>Vomlel, Danilo</t>
  </si>
  <si>
    <t>Wagener, Angela De Luca Rebello</t>
  </si>
  <si>
    <t>Wahnfried, I. Daniel</t>
  </si>
  <si>
    <t>Waichel, Breno Leitão</t>
  </si>
  <si>
    <t>Walde, Detlef Hans Gert</t>
  </si>
  <si>
    <t>Wallauer, Frederico Alberto</t>
  </si>
  <si>
    <t>Wambersie, Olivier Edward Marie Agnes</t>
  </si>
  <si>
    <t>Wanderley Neto, Alcides De Oliveira</t>
  </si>
  <si>
    <t>Wanderley Tavares, Frederico</t>
  </si>
  <si>
    <t>Wanderley, Juan B.V.</t>
  </si>
  <si>
    <t>Warren, Lucas Veríssimo</t>
  </si>
  <si>
    <t>Waters, Linda G.</t>
  </si>
  <si>
    <t>Weber, Guilherme Heim</t>
  </si>
  <si>
    <t>Wedekamper, Facundo Javier</t>
  </si>
  <si>
    <t>Wei, Rongzhi</t>
  </si>
  <si>
    <t>Weinschütz, Luiz Carlos</t>
  </si>
  <si>
    <t>Weise, J.</t>
  </si>
  <si>
    <t>Wentz, André Viegas</t>
  </si>
  <si>
    <t>Weppo, Branda Eloá</t>
  </si>
  <si>
    <t>Werneck, Arthur</t>
  </si>
  <si>
    <t>Werneck, M. M.</t>
  </si>
  <si>
    <t>Weschenfelder, Aline</t>
  </si>
  <si>
    <t>Wiggers, Vinicyus Rodolfo</t>
  </si>
  <si>
    <t>Wildner, Fabiano D.</t>
  </si>
  <si>
    <t>Willemann, Daniel Pedro</t>
  </si>
  <si>
    <t>Williams, Thomas Christopher Rhys</t>
  </si>
  <si>
    <t>Willmersdorf, Ramiro Brito</t>
  </si>
  <si>
    <t>Wilson, Rebecca R.Y.O.V.</t>
  </si>
  <si>
    <t>Wilwerth, Maurício Wolf</t>
  </si>
  <si>
    <t>Wohlers, Diego</t>
  </si>
  <si>
    <t>Wohnrath, Francisco Manoel</t>
  </si>
  <si>
    <t>Maciel, Maria Regina Wolf</t>
  </si>
  <si>
    <t>Wolf, Fabiano Gilberto</t>
  </si>
  <si>
    <t>Wormsbecker, Bruna T.</t>
  </si>
  <si>
    <t>Wurzler, Gleicielle Tozzi</t>
  </si>
  <si>
    <t>Xaud, Marco F.S.</t>
  </si>
  <si>
    <t>Xavier, Fabio C.</t>
  </si>
  <si>
    <t>Xavier, Matheus Pinto</t>
  </si>
  <si>
    <t>Xavier, Roberto Perez</t>
  </si>
  <si>
    <t>Xexeo, Geraldo Bonorino</t>
  </si>
  <si>
    <t>Yamamoto, Carlos Itsuo</t>
  </si>
  <si>
    <t>Yamashita, André Shigueo</t>
  </si>
  <si>
    <t>Yamashita, Cintia</t>
  </si>
  <si>
    <t>Yamashita, Denise Sato</t>
  </si>
  <si>
    <t>Yanagihara, Jurandir I.</t>
  </si>
  <si>
    <t>Ocaris, Enrique Ronald Yapuchura</t>
  </si>
  <si>
    <t>Yassuda, Irineu S.</t>
  </si>
  <si>
    <t>Yépez Silva-Santisteban, Bernardo O.</t>
  </si>
  <si>
    <t>Yokoyama, Elder</t>
  </si>
  <si>
    <t>Yokoyama, Lidia</t>
  </si>
  <si>
    <t>Young, André Ferreira</t>
  </si>
  <si>
    <t>Yviquel, Hervé</t>
  </si>
  <si>
    <t>Zabot, Alexandre Miers</t>
  </si>
  <si>
    <t>Zalmon, Ilana Rosental</t>
  </si>
  <si>
    <t>Zamberlan, Priscilla M.</t>
  </si>
  <si>
    <t>Zampieri, Davila</t>
  </si>
  <si>
    <t>Zanatta, Alexandre Scussel</t>
  </si>
  <si>
    <t>Zancanella, Antonio Carlos Barbosa</t>
  </si>
  <si>
    <t>Zanelato, Luana N.</t>
  </si>
  <si>
    <t>Zanelatto, Gabriel Carreiro</t>
  </si>
  <si>
    <t>Zanni, João</t>
  </si>
  <si>
    <t>Zanotta, Daniel Capella</t>
  </si>
  <si>
    <t>Zanphorlin, Letícia Maria</t>
  </si>
  <si>
    <t>Zanzi, Mateus S.</t>
  </si>
  <si>
    <t>Zegarra, Victor D.</t>
  </si>
  <si>
    <t>Zeitoum, Najlah</t>
  </si>
  <si>
    <t>Zeni, Gustavo</t>
  </si>
  <si>
    <t>Zepon, Guilherme</t>
  </si>
  <si>
    <t>Zerilli, Andrea E.</t>
  </si>
  <si>
    <t>Zielinski, João Pedro Tauscheck</t>
  </si>
  <si>
    <t>Ziemniczak, Aline</t>
  </si>
  <si>
    <t>Zimmer, Henrique</t>
  </si>
  <si>
    <t>Zink, Rafael D.</t>
  </si>
  <si>
    <t>Zola, Andréia Soares</t>
  </si>
  <si>
    <t>Zonetti, Priscila Costa</t>
  </si>
  <si>
    <t>Zonta, Everaldo Everaldo</t>
  </si>
  <si>
    <t>Zortea, MacIel</t>
  </si>
  <si>
    <t>Zotin, Fátima Maria Zanon</t>
  </si>
  <si>
    <t>Zouain, Néstor</t>
  </si>
  <si>
    <t>Do Rosário Zucchi, Maria</t>
  </si>
  <si>
    <t>Zucolotto, Valtencir</t>
  </si>
  <si>
    <t>Zuglian, Giovanno F.</t>
  </si>
  <si>
    <t>Briceño-Zuluaga, Francisco Javier</t>
  </si>
  <si>
    <t>Zuniga, Nelson Ricardo Coelho Flores</t>
  </si>
  <si>
    <t>Zuniga, Waldy Jair Torres</t>
  </si>
  <si>
    <t>Nome do autor</t>
  </si>
  <si>
    <t>Id do autor</t>
  </si>
  <si>
    <t>afiliação</t>
  </si>
  <si>
    <t>Produção Científica (2015-2024)</t>
  </si>
  <si>
    <t>Número de citações</t>
  </si>
  <si>
    <t>Citações por publicação</t>
  </si>
  <si>
    <t>Indice H</t>
  </si>
  <si>
    <t>Impacto das citações ponderado por discipina</t>
  </si>
  <si>
    <t>Publicações nas revistas Top 1%</t>
  </si>
  <si>
    <t>Publicações nas revistas Top 5%</t>
  </si>
  <si>
    <t>Publicações nas revistas Top 10%</t>
  </si>
  <si>
    <t>Publicações nas revistas Top 25%</t>
  </si>
  <si>
    <t>Publicações nas revistas Top 50%</t>
  </si>
  <si>
    <t>Publicações nas revistas Top 75%</t>
  </si>
  <si>
    <t>Artigos entre os 1% mais citados</t>
  </si>
  <si>
    <t>Artigos entre os 5% mais citados</t>
  </si>
  <si>
    <t>Artigos entre os 10% mais citados</t>
  </si>
  <si>
    <t>Artigos entre os 25% mais citados</t>
  </si>
  <si>
    <t>Scholarly Output (2015- 2024)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</si>
</sst>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eedelsevier-my.sharepoint.com/personal/gusmaofe_science_regn_net/Documents/A&amp;G%20Clients/Brasil/FGV/Pure%20(Projeto%20IPEA)/Sele&#231;&#227;o%20dos%20pesquisadores/Co%20autors%20Petrobras/Co%20autors%20Petrobras_author%20metrics_5k.xlsx" TargetMode="External"/><Relationship Id="rId1" Type="http://schemas.openxmlformats.org/officeDocument/2006/relationships/externalLinkPath" Target="Co%20autors%20Petrobras_author%20metrics_5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uthors"/>
      <sheetName val="Affiliations"/>
    </sheetNames>
    <sheetDataSet>
      <sheetData sheetId="0"/>
      <sheetData sheetId="1">
        <row r="2">
          <cell r="J2">
            <v>58678925400</v>
          </cell>
          <cell r="K2" t="str">
            <v>Universidade Tecnológica Federal do Paraná</v>
          </cell>
        </row>
        <row r="3">
          <cell r="J3">
            <v>55538620900</v>
          </cell>
          <cell r="K3" t="str">
            <v>Pontifical Catholic University of Rio de Janeiro</v>
          </cell>
        </row>
        <row r="4">
          <cell r="J4">
            <v>8390964300</v>
          </cell>
          <cell r="K4" t="str">
            <v>Universidade Federal do Rio Grande do Sul</v>
          </cell>
        </row>
        <row r="5">
          <cell r="J5">
            <v>55629905000</v>
          </cell>
          <cell r="K5" t="str">
            <v>Universidade de São Paulo</v>
          </cell>
        </row>
        <row r="6">
          <cell r="J6">
            <v>58578654200</v>
          </cell>
          <cell r="K6" t="str">
            <v>Universidade Federal Fluminense</v>
          </cell>
        </row>
        <row r="7">
          <cell r="J7">
            <v>58640717300</v>
          </cell>
          <cell r="K7" t="str">
            <v>Universidade Estadual do Norte Fluminense</v>
          </cell>
        </row>
        <row r="8">
          <cell r="J8">
            <v>57162660100</v>
          </cell>
          <cell r="K8" t="str">
            <v>Pontifical Catholic University of Rio de Janeiro (+1 more)</v>
          </cell>
        </row>
        <row r="9">
          <cell r="J9">
            <v>57217434837</v>
          </cell>
          <cell r="K9" t="str">
            <v>Universidade de São Paulo</v>
          </cell>
        </row>
        <row r="10">
          <cell r="J10">
            <v>60086431600</v>
          </cell>
          <cell r="K10" t="str">
            <v>Universidade de São Paulo</v>
          </cell>
        </row>
        <row r="11">
          <cell r="J11">
            <v>6701742697</v>
          </cell>
          <cell r="K11" t="str">
            <v>Federal University of Rio de Janeiro</v>
          </cell>
        </row>
        <row r="12">
          <cell r="J12">
            <v>37008902800</v>
          </cell>
          <cell r="K12" t="str">
            <v>Universidade Federal da Bahia (+1 more)</v>
          </cell>
        </row>
        <row r="13">
          <cell r="J13">
            <v>57219871152</v>
          </cell>
          <cell r="K13" t="str">
            <v>Universidade Federal da Bahia</v>
          </cell>
        </row>
        <row r="14">
          <cell r="J14">
            <v>60151770800</v>
          </cell>
          <cell r="K14" t="str">
            <v>Pontifical Catholic University of Rio de Janeiro</v>
          </cell>
        </row>
        <row r="15">
          <cell r="J15">
            <v>57273591100</v>
          </cell>
          <cell r="K15" t="str">
            <v>Pontifical Catholic University of Rio de Janeiro</v>
          </cell>
        </row>
        <row r="16">
          <cell r="J16">
            <v>17434137200</v>
          </cell>
          <cell r="K16" t="str">
            <v>Pontifical Catholic University of Rio de Janeiro</v>
          </cell>
        </row>
        <row r="17">
          <cell r="J17">
            <v>36156079500</v>
          </cell>
          <cell r="K17" t="str">
            <v>Universidade Federal Fluminense</v>
          </cell>
        </row>
        <row r="18">
          <cell r="J18">
            <v>56811721000</v>
          </cell>
          <cell r="K18" t="str">
            <v>Universidade de São Paulo</v>
          </cell>
        </row>
        <row r="19">
          <cell r="J19">
            <v>7003389119</v>
          </cell>
          <cell r="K19" t="str">
            <v>Instituto Nacional de Metrologia, Qualidade e Tecnologia</v>
          </cell>
        </row>
        <row r="20">
          <cell r="J20">
            <v>56340722900</v>
          </cell>
          <cell r="K20" t="str">
            <v>Universidade Federal da Bahia</v>
          </cell>
        </row>
        <row r="21">
          <cell r="J21">
            <v>54947348400</v>
          </cell>
          <cell r="K21" t="str">
            <v>Universidade Federal de Campina Grande</v>
          </cell>
        </row>
        <row r="22">
          <cell r="J22">
            <v>57220721507</v>
          </cell>
          <cell r="K22" t="str">
            <v>Halliburton</v>
          </cell>
        </row>
        <row r="23">
          <cell r="J23">
            <v>7006409312</v>
          </cell>
          <cell r="K23" t="str">
            <v>Universidade de São Paulo</v>
          </cell>
        </row>
        <row r="24">
          <cell r="J24">
            <v>56896121500</v>
          </cell>
          <cell r="K24" t="str">
            <v>Universidade Federal de Santa Maria</v>
          </cell>
        </row>
        <row r="25">
          <cell r="J25">
            <v>56786052400</v>
          </cell>
          <cell r="K25" t="str">
            <v>Universidade de Brasília (+3 more)</v>
          </cell>
        </row>
        <row r="26">
          <cell r="J26">
            <v>7005436405</v>
          </cell>
          <cell r="K26" t="str">
            <v>Federal University of Rio de Janeiro</v>
          </cell>
        </row>
        <row r="27">
          <cell r="J27">
            <v>36008310900</v>
          </cell>
          <cell r="K27" t="str">
            <v>Universidade Estadual Paulista “Júlio de Mesquita Filho” (+1 more)</v>
          </cell>
        </row>
        <row r="28">
          <cell r="J28">
            <v>7006773288</v>
          </cell>
          <cell r="K28" t="str">
            <v>Universidade Federal de Pernambuco</v>
          </cell>
        </row>
        <row r="29">
          <cell r="J29">
            <v>56665322100</v>
          </cell>
          <cell r="K29" t="str">
            <v>Universidade Federal de Pernambuco</v>
          </cell>
        </row>
        <row r="30">
          <cell r="J30">
            <v>57388740500</v>
          </cell>
          <cell r="K30" t="str">
            <v>Universidade Federal do Ceará</v>
          </cell>
        </row>
        <row r="31">
          <cell r="J31">
            <v>59455044100</v>
          </cell>
          <cell r="K31" t="str">
            <v>Federal University of Rio de Janeiro</v>
          </cell>
        </row>
        <row r="32">
          <cell r="J32">
            <v>56437368900</v>
          </cell>
          <cell r="K32" t="str">
            <v>Federal University of Rio de Janeiro</v>
          </cell>
        </row>
        <row r="33">
          <cell r="J33">
            <v>25823669100</v>
          </cell>
          <cell r="K33" t="str">
            <v>Federal University of Rio de Janeiro</v>
          </cell>
        </row>
        <row r="34">
          <cell r="J34">
            <v>60026942000</v>
          </cell>
          <cell r="K34" t="str">
            <v>Pontifical Catholic University of Rio de Janeiro</v>
          </cell>
        </row>
        <row r="35">
          <cell r="J35">
            <v>57219143287</v>
          </cell>
          <cell r="K35" t="str">
            <v>Stratum Reservoir Brazil (+2 more)</v>
          </cell>
        </row>
        <row r="36">
          <cell r="J36">
            <v>7005475778</v>
          </cell>
          <cell r="K36" t="str">
            <v>Universidade Federal de Minas Gerais</v>
          </cell>
        </row>
        <row r="37">
          <cell r="J37">
            <v>56139383900</v>
          </cell>
          <cell r="K37" t="str">
            <v>Federal University of Rio de Janeiro</v>
          </cell>
        </row>
        <row r="38">
          <cell r="J38">
            <v>56644637300</v>
          </cell>
          <cell r="K38" t="str">
            <v>Universidade Federal Fluminense (+1 more)</v>
          </cell>
        </row>
        <row r="39">
          <cell r="J39">
            <v>57210914749</v>
          </cell>
          <cell r="K39" t="str">
            <v>X-Reality GeoInformatics Lab Unisinos University (+1 more)</v>
          </cell>
        </row>
        <row r="40">
          <cell r="J40">
            <v>57193906029</v>
          </cell>
          <cell r="K40" t="str">
            <v>Federal University of Rio de Janeiro</v>
          </cell>
        </row>
        <row r="41">
          <cell r="J41">
            <v>57210218710</v>
          </cell>
          <cell r="K41" t="str">
            <v>Universidade de Caxias do Sul</v>
          </cell>
        </row>
        <row r="42">
          <cell r="J42">
            <v>56231300800</v>
          </cell>
          <cell r="K42" t="str">
            <v>Universidade Federal de Viçosa</v>
          </cell>
        </row>
        <row r="43">
          <cell r="J43">
            <v>59391414200</v>
          </cell>
          <cell r="K43" t="str">
            <v>University of Campinas</v>
          </cell>
        </row>
        <row r="44">
          <cell r="J44">
            <v>55665419400</v>
          </cell>
          <cell r="K44" t="str">
            <v>Federal University of Santa Catarina</v>
          </cell>
        </row>
        <row r="45">
          <cell r="J45">
            <v>16554111900</v>
          </cell>
          <cell r="K45" t="str">
            <v>Federal University of Rio de Janeiro</v>
          </cell>
        </row>
        <row r="46">
          <cell r="J46">
            <v>7005030382</v>
          </cell>
          <cell r="K46" t="str">
            <v>Universidade Federal Fluminense (+1 more)</v>
          </cell>
        </row>
        <row r="47">
          <cell r="J47">
            <v>8433432000</v>
          </cell>
          <cell r="K47" t="str">
            <v>Centro Nacional de Pesquisa em Energia e Materiais</v>
          </cell>
        </row>
        <row r="48">
          <cell r="J48">
            <v>56498650800</v>
          </cell>
          <cell r="K48" t="str">
            <v>FEI University Center (+1 more)</v>
          </cell>
        </row>
        <row r="49">
          <cell r="J49">
            <v>36727155100</v>
          </cell>
          <cell r="K49" t="str">
            <v>Pontifical Catholic University of Rio de Janeiro</v>
          </cell>
        </row>
        <row r="50">
          <cell r="J50">
            <v>54989568600</v>
          </cell>
          <cell r="K50" t="str">
            <v>Instituto Nacional de Tecnologia</v>
          </cell>
        </row>
        <row r="51">
          <cell r="J51">
            <v>34869043500</v>
          </cell>
          <cell r="K51" t="str">
            <v>Centro Brasileiro de Pesquisas Físicas</v>
          </cell>
        </row>
        <row r="52">
          <cell r="J52">
            <v>57821124800</v>
          </cell>
          <cell r="K52" t="str">
            <v>Federal University of Rio de Janeiro</v>
          </cell>
        </row>
        <row r="53">
          <cell r="J53">
            <v>57201858469</v>
          </cell>
          <cell r="K53" t="str">
            <v>DEMa</v>
          </cell>
        </row>
        <row r="54">
          <cell r="J54">
            <v>57673838200</v>
          </cell>
          <cell r="K54" t="str">
            <v>Universidade Federal do Ceará</v>
          </cell>
        </row>
        <row r="55">
          <cell r="J55">
            <v>56225559600</v>
          </cell>
          <cell r="K55" t="str">
            <v>Federal University of Rio de Janeiro</v>
          </cell>
        </row>
        <row r="56">
          <cell r="J56">
            <v>57203410155</v>
          </cell>
          <cell r="K56" t="str">
            <v>Instituto de Pesquisa s Tecnológicas do Estado de São Paulo</v>
          </cell>
        </row>
        <row r="57">
          <cell r="J57">
            <v>6506726531</v>
          </cell>
          <cell r="K57" t="str">
            <v>Instituto de Pesquisas Tecnologicas</v>
          </cell>
        </row>
        <row r="58">
          <cell r="J58">
            <v>57214130669</v>
          </cell>
          <cell r="K58" t="str">
            <v>Universidade de São Paulo</v>
          </cell>
        </row>
        <row r="59">
          <cell r="J59">
            <v>57211876682</v>
          </cell>
          <cell r="K59" t="str">
            <v>Universidade Federal de Pernambuco</v>
          </cell>
        </row>
        <row r="60">
          <cell r="J60">
            <v>59234804800</v>
          </cell>
          <cell r="K60" t="str">
            <v>Universidade Federal do Ceará</v>
          </cell>
        </row>
        <row r="61">
          <cell r="J61">
            <v>36015107400</v>
          </cell>
          <cell r="K61" t="str">
            <v>Universidade de São Paulo</v>
          </cell>
        </row>
        <row r="62">
          <cell r="J62">
            <v>57192112584</v>
          </cell>
          <cell r="K62" t="str">
            <v>Universidade Federal de Santa Maria</v>
          </cell>
        </row>
        <row r="63">
          <cell r="J63">
            <v>57209478306</v>
          </cell>
          <cell r="K63" t="str">
            <v>Pontifical Catholic University of Rio de Janeiro</v>
          </cell>
        </row>
        <row r="64">
          <cell r="J64">
            <v>57201118781</v>
          </cell>
          <cell r="K64" t="str">
            <v>Federal University of Rio de Janeiro</v>
          </cell>
        </row>
        <row r="65">
          <cell r="J65">
            <v>42760922500</v>
          </cell>
          <cell r="K65" t="str">
            <v>Federal University of Rio de Janeiro</v>
          </cell>
        </row>
        <row r="66">
          <cell r="J66">
            <v>57989998500</v>
          </cell>
          <cell r="K66" t="str">
            <v>Federal University of Rio de Janeiro</v>
          </cell>
        </row>
        <row r="67">
          <cell r="J67">
            <v>56306432200</v>
          </cell>
          <cell r="K67" t="str">
            <v>Universidade Federal de Minas Gerais</v>
          </cell>
        </row>
        <row r="68">
          <cell r="J68">
            <v>6603229118</v>
          </cell>
          <cell r="K68" t="str">
            <v>Universidade Federal de Ouro Preto</v>
          </cell>
        </row>
        <row r="69">
          <cell r="J69">
            <v>56305130200</v>
          </cell>
          <cell r="K69" t="str">
            <v>Universidade Federal de Minas Gerais</v>
          </cell>
        </row>
        <row r="70">
          <cell r="J70">
            <v>58677024200</v>
          </cell>
          <cell r="K70" t="str">
            <v>Universidade Federal do Rio Grande do Sul</v>
          </cell>
        </row>
        <row r="71">
          <cell r="J71">
            <v>57188999959</v>
          </cell>
          <cell r="K71" t="str">
            <v>Federal University of Rio de Janeiro</v>
          </cell>
        </row>
        <row r="72">
          <cell r="J72">
            <v>52863114900</v>
          </cell>
          <cell r="K72" t="str">
            <v>Federal University of Rio de Janeiro (+1 more)</v>
          </cell>
        </row>
        <row r="73">
          <cell r="J73">
            <v>56222595900</v>
          </cell>
          <cell r="K73" t="str">
            <v>Universidade Federal do Espírito Santo</v>
          </cell>
        </row>
        <row r="74">
          <cell r="J74">
            <v>57216737905</v>
          </cell>
          <cell r="K74" t="str">
            <v>Federal University of Rio de Janeiro</v>
          </cell>
        </row>
        <row r="75">
          <cell r="J75">
            <v>58310881300</v>
          </cell>
          <cell r="K75" t="str">
            <v>Universidade Federal de Santa Maria</v>
          </cell>
        </row>
        <row r="76">
          <cell r="J76">
            <v>57323462900</v>
          </cell>
          <cell r="K76" t="str">
            <v>Universidade Tecnológica Federal do Paraná</v>
          </cell>
        </row>
        <row r="77">
          <cell r="J77">
            <v>57217105228</v>
          </cell>
          <cell r="K77" t="str">
            <v>Serviço Nacional de Aprendizagem Industrial</v>
          </cell>
        </row>
        <row r="78">
          <cell r="J78">
            <v>34874624400</v>
          </cell>
          <cell r="K78" t="str">
            <v>Universidade Federal de Juiz de Fora</v>
          </cell>
        </row>
        <row r="79">
          <cell r="J79">
            <v>59868774000</v>
          </cell>
          <cell r="K79" t="str">
            <v>Universidade Federal de Juiz de Fora</v>
          </cell>
        </row>
        <row r="80">
          <cell r="J80">
            <v>57197693936</v>
          </cell>
          <cell r="K80" t="str">
            <v>Serviço Nacional de Aprendizagem Industrial</v>
          </cell>
        </row>
        <row r="81">
          <cell r="J81">
            <v>60104418100</v>
          </cell>
          <cell r="K81" t="str">
            <v>Universidade Federal de Campina Grande</v>
          </cell>
        </row>
        <row r="82">
          <cell r="J82">
            <v>59733937100</v>
          </cell>
          <cell r="K82" t="str">
            <v>Universidade Federal de Itajubá</v>
          </cell>
        </row>
        <row r="83">
          <cell r="J83">
            <v>7006030946</v>
          </cell>
          <cell r="K83" t="str">
            <v>UFRRJ (+1 more)</v>
          </cell>
        </row>
        <row r="84">
          <cell r="J84">
            <v>16033242300</v>
          </cell>
          <cell r="K84" t="str">
            <v>Pontifical Catholic University of Rio de Janeiro</v>
          </cell>
        </row>
        <row r="85">
          <cell r="J85">
            <v>23569428200</v>
          </cell>
          <cell r="K85" t="str">
            <v>Universidade do Estado do Rio de Janeiro</v>
          </cell>
        </row>
        <row r="86">
          <cell r="J86">
            <v>57220955486</v>
          </cell>
          <cell r="K86" t="str">
            <v>Pontifical Catholic University of Rio de Janeiro</v>
          </cell>
        </row>
        <row r="87">
          <cell r="J87">
            <v>56374522400</v>
          </cell>
          <cell r="K87" t="str">
            <v>Universidade Federal do Espírito Santo</v>
          </cell>
        </row>
        <row r="88">
          <cell r="J88">
            <v>57267943700</v>
          </cell>
          <cell r="K88" t="str">
            <v>Universidade Federal de Uberlândia</v>
          </cell>
        </row>
        <row r="89">
          <cell r="J89">
            <v>58995964200</v>
          </cell>
          <cell r="K89" t="str">
            <v>Federal University of Rio de Janeiro</v>
          </cell>
        </row>
        <row r="90">
          <cell r="J90">
            <v>60104286300</v>
          </cell>
          <cell r="K90" t="str">
            <v>Universidade Federal de Campina Grande</v>
          </cell>
        </row>
        <row r="91">
          <cell r="J91">
            <v>59234074600</v>
          </cell>
          <cell r="K91" t="str">
            <v>Federal University of Pará</v>
          </cell>
        </row>
        <row r="92">
          <cell r="J92">
            <v>56637893800</v>
          </cell>
          <cell r="K92" t="str">
            <v>Universidade de São Paulo</v>
          </cell>
        </row>
        <row r="93">
          <cell r="J93">
            <v>57214748344</v>
          </cell>
          <cell r="K93" t="str">
            <v>Universidade de São Paulo</v>
          </cell>
        </row>
        <row r="94">
          <cell r="J94">
            <v>57573799800</v>
          </cell>
          <cell r="K94" t="str">
            <v>Universidade Federal Fluminense (+1 more)</v>
          </cell>
        </row>
        <row r="95">
          <cell r="J95">
            <v>59568782100</v>
          </cell>
          <cell r="K95" t="str">
            <v>LNDC-COPPE-UFRJ</v>
          </cell>
        </row>
        <row r="96">
          <cell r="J96">
            <v>57203010640</v>
          </cell>
          <cell r="K96" t="str">
            <v>Federal University of Rio de Janeiro</v>
          </cell>
        </row>
        <row r="97">
          <cell r="J97">
            <v>56715206500</v>
          </cell>
          <cell r="K97" t="str">
            <v>Universidade Federal do Espírito Santo</v>
          </cell>
        </row>
        <row r="98">
          <cell r="J98">
            <v>57191525125</v>
          </cell>
          <cell r="K98" t="str">
            <v>Instituto de Química</v>
          </cell>
        </row>
        <row r="99">
          <cell r="J99">
            <v>56633086300</v>
          </cell>
          <cell r="K99" t="str">
            <v>Instituto Nacional de Pesquisas Espaciais</v>
          </cell>
        </row>
        <row r="100">
          <cell r="J100">
            <v>57219158641</v>
          </cell>
          <cell r="K100" t="str">
            <v>Universidade Federal de Pernambuco</v>
          </cell>
        </row>
        <row r="101">
          <cell r="J101">
            <v>55456955000</v>
          </cell>
          <cell r="K101" t="str">
            <v>Universidade Federal Rural do Rio de Janeiro</v>
          </cell>
        </row>
        <row r="102">
          <cell r="J102">
            <v>56026767900</v>
          </cell>
          <cell r="K102" t="str">
            <v>Petróleo Brasileiro S.A. (+1 more)</v>
          </cell>
        </row>
        <row r="103">
          <cell r="J103">
            <v>47760978700</v>
          </cell>
          <cell r="K103" t="str">
            <v>Institute of Marine Studies Admiral Paulo Moreira (IEAPM)</v>
          </cell>
        </row>
        <row r="104">
          <cell r="J104">
            <v>56025933200</v>
          </cell>
          <cell r="K104" t="str">
            <v>Oceanographic Modeling and Observation Network (REMO) (+2 more)</v>
          </cell>
        </row>
        <row r="105">
          <cell r="J105">
            <v>37100946700</v>
          </cell>
          <cell r="K105" t="str">
            <v>Universidade Federal do Rio Grande do Sul</v>
          </cell>
        </row>
        <row r="106">
          <cell r="J106">
            <v>57204395620</v>
          </cell>
          <cell r="K106" t="str">
            <v>University of Campinas</v>
          </cell>
        </row>
        <row r="107">
          <cell r="J107">
            <v>35236200000</v>
          </cell>
          <cell r="K107" t="str">
            <v>Universidade Federal de Pernambuco</v>
          </cell>
        </row>
        <row r="108">
          <cell r="J108">
            <v>55198976900</v>
          </cell>
          <cell r="K108" t="str">
            <v>University of Campinas (+1 more)</v>
          </cell>
        </row>
        <row r="109">
          <cell r="J109">
            <v>6507782404</v>
          </cell>
          <cell r="K109" t="str">
            <v>Universidade Federal do Rio Grande do Norte</v>
          </cell>
        </row>
        <row r="110">
          <cell r="J110">
            <v>57686751900</v>
          </cell>
          <cell r="K110" t="str">
            <v>DEMa</v>
          </cell>
        </row>
        <row r="111">
          <cell r="J111">
            <v>59251055100</v>
          </cell>
          <cell r="K111" t="str">
            <v>Universidade Federal de Minas Gerais</v>
          </cell>
        </row>
        <row r="112">
          <cell r="J112">
            <v>56549505700</v>
          </cell>
          <cell r="K112" t="str">
            <v>Universidade Federal de Minas Gerais</v>
          </cell>
        </row>
        <row r="113">
          <cell r="J113">
            <v>57195502745</v>
          </cell>
          <cell r="K113" t="str">
            <v>Federal University of Rio de Janeiro</v>
          </cell>
        </row>
        <row r="114">
          <cell r="J114">
            <v>7004069511</v>
          </cell>
          <cell r="K114" t="str">
            <v>Empresa Brasileira de Pesquisa Agropecuária</v>
          </cell>
        </row>
        <row r="115">
          <cell r="J115">
            <v>57219120961</v>
          </cell>
          <cell r="K115" t="str">
            <v>Federal University of Rio de Janeiro</v>
          </cell>
        </row>
        <row r="116">
          <cell r="J116">
            <v>52763223200</v>
          </cell>
          <cell r="K116" t="str">
            <v>Fundação Gorceix (+1 more)</v>
          </cell>
        </row>
        <row r="117">
          <cell r="J117">
            <v>37003555800</v>
          </cell>
          <cell r="K117" t="str">
            <v>Universidade de São Paulo</v>
          </cell>
        </row>
        <row r="118">
          <cell r="J118">
            <v>57200607631</v>
          </cell>
          <cell r="K118" t="str">
            <v>Vizlab - X-Reality and GeoInformatics Lab (+1 more)</v>
          </cell>
        </row>
        <row r="119">
          <cell r="J119">
            <v>57201420469</v>
          </cell>
          <cell r="K119" t="str">
            <v>Federal University of Santa Catarina</v>
          </cell>
        </row>
        <row r="120">
          <cell r="J120">
            <v>57220454494</v>
          </cell>
          <cell r="K120" t="str">
            <v>Universidade Federal Rural do Rio de Janeiro</v>
          </cell>
        </row>
        <row r="121">
          <cell r="J121">
            <v>7102351338</v>
          </cell>
          <cell r="K121" t="str">
            <v>Universidade Federal de Campina Grande (+1 more)</v>
          </cell>
        </row>
        <row r="122">
          <cell r="J122">
            <v>7102351288</v>
          </cell>
          <cell r="K122" t="str">
            <v>Federal University of Rio de Janeiro</v>
          </cell>
        </row>
        <row r="123">
          <cell r="J123">
            <v>55910360100</v>
          </cell>
          <cell r="K123" t="str">
            <v>University of Campinas</v>
          </cell>
        </row>
        <row r="124">
          <cell r="J124">
            <v>58736875100</v>
          </cell>
          <cell r="K124" t="str">
            <v>Universidade Federal de Juiz de Fora</v>
          </cell>
        </row>
        <row r="125">
          <cell r="J125">
            <v>57224585303</v>
          </cell>
          <cell r="K125" t="str">
            <v>Universidade Federal Fluminense</v>
          </cell>
        </row>
        <row r="126">
          <cell r="J126">
            <v>59172592800</v>
          </cell>
          <cell r="K126" t="str">
            <v>Federal University of Rio de Janeiro</v>
          </cell>
        </row>
        <row r="127">
          <cell r="J127">
            <v>7202824534</v>
          </cell>
          <cell r="K127" t="str">
            <v>Universidade de São Paulo</v>
          </cell>
        </row>
        <row r="128">
          <cell r="J128">
            <v>57205887745</v>
          </cell>
          <cell r="K128" t="str">
            <v>Universidade Federal de Mato Grosso do Sul (+1 more)</v>
          </cell>
        </row>
        <row r="129">
          <cell r="J129">
            <v>57984122700</v>
          </cell>
          <cell r="K129" t="str">
            <v>Universidade Federal de Minas Gerais</v>
          </cell>
        </row>
        <row r="130">
          <cell r="J130">
            <v>11338962300</v>
          </cell>
          <cell r="K130" t="str">
            <v>University of Campinas</v>
          </cell>
        </row>
        <row r="131">
          <cell r="J131">
            <v>57204692496</v>
          </cell>
          <cell r="K131" t="str">
            <v>Universidade Federal Rural do Rio de Janeiro</v>
          </cell>
        </row>
        <row r="132">
          <cell r="J132">
            <v>57948722100</v>
          </cell>
          <cell r="K132" t="str">
            <v>Núcleo de Estudo em Sistemas Coloidais (NUESC) / Instituto de Tecnologia e Pesquisa (ITP)</v>
          </cell>
        </row>
        <row r="133">
          <cell r="J133">
            <v>7005729923</v>
          </cell>
          <cell r="K133" t="str">
            <v>Universidade Federal Fluminense (+1 more)</v>
          </cell>
        </row>
        <row r="134">
          <cell r="J134">
            <v>57224724721</v>
          </cell>
          <cell r="K134" t="str">
            <v>Universidade Federal de Minas Gerais</v>
          </cell>
        </row>
        <row r="135">
          <cell r="J135">
            <v>57219133298</v>
          </cell>
          <cell r="K135" t="str">
            <v>Pontifical Catholic University of Rio de Janeiro</v>
          </cell>
        </row>
        <row r="136">
          <cell r="J136">
            <v>59028938700</v>
          </cell>
          <cell r="K136" t="str">
            <v>Universidade Federal Fluminense</v>
          </cell>
        </row>
        <row r="137">
          <cell r="J137">
            <v>55348113000</v>
          </cell>
          <cell r="K137" t="str">
            <v>Universidade Tecnológica Federal do Paraná</v>
          </cell>
        </row>
        <row r="138">
          <cell r="J138">
            <v>59917768100</v>
          </cell>
          <cell r="K138" t="str">
            <v>Universidade Federal do Ceará</v>
          </cell>
        </row>
        <row r="139">
          <cell r="J139">
            <v>55508085800</v>
          </cell>
          <cell r="K139" t="str">
            <v>Federal University of Rio de Janeiro</v>
          </cell>
        </row>
        <row r="140">
          <cell r="J140">
            <v>6603491747</v>
          </cell>
          <cell r="K140" t="str">
            <v>Federal University of Rio de Janeiro</v>
          </cell>
        </row>
        <row r="141">
          <cell r="J141">
            <v>7005838352</v>
          </cell>
          <cell r="K141" t="str">
            <v>Federal University of Rio de Janeiro</v>
          </cell>
        </row>
        <row r="142">
          <cell r="J142">
            <v>6603411792</v>
          </cell>
          <cell r="K142" t="str">
            <v>Federal University of Rio de Janeiro</v>
          </cell>
        </row>
        <row r="143">
          <cell r="J143">
            <v>57196390674</v>
          </cell>
          <cell r="K143" t="str">
            <v>Universidade Tiradentes</v>
          </cell>
        </row>
        <row r="144">
          <cell r="J144">
            <v>57211444393</v>
          </cell>
          <cell r="K144" t="str">
            <v>Federal University of Rio de Janeiro</v>
          </cell>
        </row>
        <row r="145">
          <cell r="J145">
            <v>55538901900</v>
          </cell>
          <cell r="K145" t="str">
            <v>Universidade Federal de Minas Gerais (+2 more)</v>
          </cell>
        </row>
        <row r="146">
          <cell r="J146">
            <v>7006641501</v>
          </cell>
          <cell r="K146" t="str">
            <v>Universidade do Estado do Rio de Janeiro</v>
          </cell>
        </row>
        <row r="147">
          <cell r="J147">
            <v>24402429800</v>
          </cell>
          <cell r="K147" t="str">
            <v>Universidade Federal de Minas Gerais</v>
          </cell>
        </row>
        <row r="148">
          <cell r="J148">
            <v>56504798100</v>
          </cell>
          <cell r="K148" t="str">
            <v>Universidade Tiradentes</v>
          </cell>
        </row>
        <row r="149">
          <cell r="J149">
            <v>7006483145</v>
          </cell>
          <cell r="K149" t="str">
            <v>Federal University of Rio de Janeiro</v>
          </cell>
        </row>
        <row r="150">
          <cell r="J150">
            <v>56389384800</v>
          </cell>
          <cell r="K150" t="str">
            <v>Universidade Federal do Rio Grande do Sul (+1 more)</v>
          </cell>
        </row>
        <row r="151">
          <cell r="J151">
            <v>55690518300</v>
          </cell>
          <cell r="K151" t="str">
            <v>MAN Latin America</v>
          </cell>
        </row>
        <row r="152">
          <cell r="J152">
            <v>7005438724</v>
          </cell>
          <cell r="K152" t="str">
            <v>Universidade Estadual Paulista “Júlio de Mesquita Filho”</v>
          </cell>
        </row>
        <row r="153">
          <cell r="J153">
            <v>57216459437</v>
          </cell>
          <cell r="K153" t="str">
            <v>Universidade Federal do Rio Grande do Sul</v>
          </cell>
        </row>
        <row r="154">
          <cell r="J154">
            <v>55362149200</v>
          </cell>
          <cell r="K154" t="str">
            <v>Federal University of Santa Catarina</v>
          </cell>
        </row>
        <row r="155">
          <cell r="J155">
            <v>7003433777</v>
          </cell>
          <cell r="K155" t="str">
            <v>DEMa</v>
          </cell>
        </row>
        <row r="156">
          <cell r="J156">
            <v>57226786033</v>
          </cell>
          <cell r="K156" t="str">
            <v>Federal University of Rio de Janeiro</v>
          </cell>
        </row>
        <row r="157">
          <cell r="J157">
            <v>57212048603</v>
          </cell>
          <cell r="K157" t="str">
            <v>Universidade de São Paulo</v>
          </cell>
        </row>
        <row r="158">
          <cell r="J158">
            <v>57412750300</v>
          </cell>
          <cell r="K158" t="str">
            <v>Universidade Federal de Minas Gerais</v>
          </cell>
        </row>
        <row r="159">
          <cell r="J159">
            <v>24778077700</v>
          </cell>
          <cell r="K159" t="str">
            <v>Universidade Federal Fluminense (+1 more)</v>
          </cell>
        </row>
        <row r="160">
          <cell r="J160">
            <v>58034293600</v>
          </cell>
          <cell r="K160" t="str">
            <v>Universidade de São Paulo</v>
          </cell>
        </row>
        <row r="161">
          <cell r="J161">
            <v>7003311692</v>
          </cell>
          <cell r="K161" t="str">
            <v>Universidade Federal de Campina Grande</v>
          </cell>
        </row>
        <row r="162">
          <cell r="J162">
            <v>57230112200</v>
          </cell>
          <cell r="K162" t="str">
            <v>Universidade Federal de Itajubá</v>
          </cell>
        </row>
        <row r="163">
          <cell r="J163">
            <v>56202218700</v>
          </cell>
          <cell r="K163" t="str">
            <v>SENAI</v>
          </cell>
        </row>
        <row r="164">
          <cell r="J164">
            <v>57189696223</v>
          </cell>
          <cell r="K164" t="str">
            <v>Universidade do Estado da Bahia</v>
          </cell>
        </row>
        <row r="165">
          <cell r="J165">
            <v>59492820700</v>
          </cell>
          <cell r="K165" t="str">
            <v>Universidade Federal do Rio Grande do Sul (+1 more)</v>
          </cell>
        </row>
        <row r="166">
          <cell r="J166">
            <v>56162991800</v>
          </cell>
          <cell r="K166" t="str">
            <v>Federal University of Santa Catarina</v>
          </cell>
        </row>
        <row r="167">
          <cell r="J167">
            <v>57218291430</v>
          </cell>
          <cell r="K167" t="str">
            <v>Universidade Federal do Rio Grande do Norte</v>
          </cell>
        </row>
        <row r="168">
          <cell r="J168">
            <v>37010327600</v>
          </cell>
          <cell r="K168" t="str">
            <v>Universidade Federal do Rio Grande do Sul</v>
          </cell>
        </row>
        <row r="169">
          <cell r="J169">
            <v>57224588698</v>
          </cell>
          <cell r="K169" t="str">
            <v>Federal University of Rio de Janeiro</v>
          </cell>
        </row>
        <row r="170">
          <cell r="J170">
            <v>7003458138</v>
          </cell>
          <cell r="K170" t="str">
            <v>Universidade Federal de Juiz de Fora</v>
          </cell>
        </row>
        <row r="171">
          <cell r="J171">
            <v>57201096437</v>
          </cell>
          <cell r="K171" t="str">
            <v>Federal University of Rio de Janeiro</v>
          </cell>
        </row>
        <row r="172">
          <cell r="J172">
            <v>59998617800</v>
          </cell>
          <cell r="K172" t="str">
            <v>Universidade Federal do Ceará</v>
          </cell>
        </row>
        <row r="173">
          <cell r="J173">
            <v>57206522745</v>
          </cell>
          <cell r="K173" t="str">
            <v>Universidade Federal do ABC</v>
          </cell>
        </row>
        <row r="174">
          <cell r="J174">
            <v>58785722800</v>
          </cell>
          <cell r="K174" t="str">
            <v>Universidade Federal Fluminense</v>
          </cell>
        </row>
        <row r="175">
          <cell r="J175">
            <v>34978280600</v>
          </cell>
          <cell r="K175" t="str">
            <v>Universidade de São Paulo</v>
          </cell>
        </row>
        <row r="176">
          <cell r="J176">
            <v>57193092953</v>
          </cell>
          <cell r="K176" t="str">
            <v>Universidade do Estado do Rio de Janeiro (+1 more)</v>
          </cell>
        </row>
        <row r="177">
          <cell r="J177">
            <v>13105574500</v>
          </cell>
          <cell r="K177" t="str">
            <v>Universidade de São Paulo</v>
          </cell>
        </row>
        <row r="178">
          <cell r="J178">
            <v>35319586400</v>
          </cell>
          <cell r="K178" t="str">
            <v>University of Campinas</v>
          </cell>
        </row>
        <row r="179">
          <cell r="J179">
            <v>57875582400</v>
          </cell>
          <cell r="K179" t="str">
            <v>Universidade Federal do Rio Grande do Sul</v>
          </cell>
        </row>
        <row r="180">
          <cell r="J180">
            <v>59963219100</v>
          </cell>
          <cell r="K180" t="str">
            <v>DEMa</v>
          </cell>
        </row>
        <row r="181">
          <cell r="J181">
            <v>58453583500</v>
          </cell>
          <cell r="K181" t="str">
            <v>Universidade Federal de Campina Grande</v>
          </cell>
        </row>
        <row r="182">
          <cell r="J182">
            <v>57220044485</v>
          </cell>
          <cell r="K182" t="str">
            <v>Universidade Federal Fluminense</v>
          </cell>
        </row>
        <row r="183">
          <cell r="J183">
            <v>7006754774</v>
          </cell>
          <cell r="K183" t="str">
            <v>Universidade Federal Fluminense</v>
          </cell>
        </row>
        <row r="184">
          <cell r="J184">
            <v>6603138240</v>
          </cell>
          <cell r="K184" t="str">
            <v>Universidade do Estado do Rio de Janeiro (+2 more)</v>
          </cell>
        </row>
        <row r="185">
          <cell r="J185">
            <v>57193115050</v>
          </cell>
          <cell r="K185" t="str">
            <v>Universidade Federal de Santa Maria</v>
          </cell>
        </row>
        <row r="186">
          <cell r="J186">
            <v>35271059700</v>
          </cell>
          <cell r="K186" t="str">
            <v>Universidade Federal de Santa Maria (+2 more)</v>
          </cell>
        </row>
        <row r="187">
          <cell r="J187">
            <v>55241820600</v>
          </cell>
          <cell r="K187" t="str">
            <v>Universidade de Brasília</v>
          </cell>
        </row>
        <row r="188">
          <cell r="J188">
            <v>57220075148</v>
          </cell>
          <cell r="K188" t="str">
            <v>Federal University of Santa Catarina</v>
          </cell>
        </row>
        <row r="189">
          <cell r="J189">
            <v>23488150000</v>
          </cell>
          <cell r="K189" t="str">
            <v>University of State Rio de Janeiro (+2 more)</v>
          </cell>
        </row>
        <row r="190">
          <cell r="J190">
            <v>57200935943</v>
          </cell>
          <cell r="K190" t="str">
            <v>Universidade Federal de Juiz de Fora</v>
          </cell>
        </row>
        <row r="191">
          <cell r="J191">
            <v>35762701300</v>
          </cell>
          <cell r="K191" t="str">
            <v>Universidade Federal do Espírito Santo</v>
          </cell>
        </row>
        <row r="192">
          <cell r="J192">
            <v>56463616100</v>
          </cell>
          <cell r="K192" t="str">
            <v>Universidade Tecnológica Federal do Paraná</v>
          </cell>
        </row>
        <row r="193">
          <cell r="J193">
            <v>56017021800</v>
          </cell>
          <cell r="K193" t="str">
            <v>Universidade Federal do Rio Grande do Sul</v>
          </cell>
        </row>
        <row r="194">
          <cell r="J194">
            <v>48960966200</v>
          </cell>
          <cell r="K194" t="str">
            <v>Independent consultor</v>
          </cell>
        </row>
        <row r="195">
          <cell r="J195">
            <v>7102039521</v>
          </cell>
          <cell r="K195" t="str">
            <v>Universidade de São Paulo</v>
          </cell>
        </row>
        <row r="196">
          <cell r="J196">
            <v>57470913600</v>
          </cell>
          <cell r="K196" t="str">
            <v>University of Campinas</v>
          </cell>
        </row>
        <row r="197">
          <cell r="J197">
            <v>56901128200</v>
          </cell>
          <cell r="K197" t="str">
            <v>Universidade Federal do Rio Grande do Sul</v>
          </cell>
        </row>
        <row r="198">
          <cell r="J198">
            <v>7102658832</v>
          </cell>
          <cell r="K198" t="str">
            <v>National Institute of Technology (INT) (+2 more)</v>
          </cell>
        </row>
        <row r="199">
          <cell r="J199">
            <v>56075083100</v>
          </cell>
          <cell r="K199" t="str">
            <v>Science and Technology of Espírito Santo (+4 more)</v>
          </cell>
        </row>
        <row r="200">
          <cell r="J200">
            <v>6701555098</v>
          </cell>
          <cell r="K200" t="str">
            <v>Instituto de Química (+1 more)</v>
          </cell>
        </row>
        <row r="201">
          <cell r="J201">
            <v>57650969900</v>
          </cell>
          <cell r="K201" t="str">
            <v>Federal University of Rio de Janeiro</v>
          </cell>
        </row>
        <row r="202">
          <cell r="J202">
            <v>59539697200</v>
          </cell>
          <cell r="K202" t="str">
            <v>Transbet Transporte e Logística</v>
          </cell>
        </row>
        <row r="203">
          <cell r="J203">
            <v>56137085600</v>
          </cell>
          <cell r="K203" t="str">
            <v>Programa de Pós Graduação Em Engenharia e Tecnologia Dos Materiais (PGETEMA) (+3 more)</v>
          </cell>
        </row>
        <row r="204">
          <cell r="J204">
            <v>35118604300</v>
          </cell>
          <cell r="K204" t="str">
            <v>Federal University of Rio de Janeiro</v>
          </cell>
        </row>
        <row r="205">
          <cell r="J205">
            <v>15762171500</v>
          </cell>
          <cell r="K205" t="str">
            <v>Universidade Estadual Paulista “Júlio de Mesquita Filho” (+1 more)</v>
          </cell>
        </row>
        <row r="206">
          <cell r="J206">
            <v>7004122716</v>
          </cell>
          <cell r="K206" t="str">
            <v>Federal University of Rio de Janeiro</v>
          </cell>
        </row>
        <row r="207">
          <cell r="J207">
            <v>57191053334</v>
          </cell>
          <cell r="K207" t="str">
            <v>Pontifical Catholic University of Rio de Janeiro</v>
          </cell>
        </row>
        <row r="208">
          <cell r="J208">
            <v>35749529200</v>
          </cell>
          <cell r="K208" t="str">
            <v>Federal University of Santa Catarina</v>
          </cell>
        </row>
        <row r="209">
          <cell r="J209">
            <v>59158078200</v>
          </cell>
          <cell r="K209" t="str">
            <v>Universidade Federal de Pernambuco</v>
          </cell>
        </row>
        <row r="210">
          <cell r="J210">
            <v>7202092301</v>
          </cell>
          <cell r="K210" t="str">
            <v>Universidade de São Paulo</v>
          </cell>
        </row>
        <row r="211">
          <cell r="J211">
            <v>58453583400</v>
          </cell>
          <cell r="K211" t="str">
            <v>Universidade Federal de Campina Grande</v>
          </cell>
        </row>
        <row r="212">
          <cell r="J212">
            <v>15764305100</v>
          </cell>
          <cell r="K212" t="str">
            <v>Universidade Federal de Campina Grande</v>
          </cell>
        </row>
        <row r="213">
          <cell r="J213">
            <v>57210639563</v>
          </cell>
          <cell r="K213" t="str">
            <v>Universidade Federal de Pernambuco</v>
          </cell>
        </row>
        <row r="214">
          <cell r="J214">
            <v>35361701100</v>
          </cell>
          <cell r="K214" t="str">
            <v>University of Campinas (+1 more)</v>
          </cell>
        </row>
        <row r="215">
          <cell r="J215">
            <v>56990747100</v>
          </cell>
          <cell r="K215" t="str">
            <v>Pontifical Catholic University of Rio de Janeiro</v>
          </cell>
        </row>
        <row r="216">
          <cell r="J216">
            <v>58677227900</v>
          </cell>
          <cell r="K216" t="str">
            <v>Universidade Federal Fluminense</v>
          </cell>
        </row>
        <row r="217">
          <cell r="J217">
            <v>26642415000</v>
          </cell>
          <cell r="K217" t="str">
            <v>Votorantim S.A.</v>
          </cell>
        </row>
        <row r="218">
          <cell r="J218">
            <v>59823839700</v>
          </cell>
          <cell r="K218" t="str">
            <v>Universidade Federal de Campina Grande</v>
          </cell>
        </row>
        <row r="219">
          <cell r="J219">
            <v>57822487200</v>
          </cell>
          <cell r="K219" t="str">
            <v>Pontifical Catholic University of Rio de Janeiro</v>
          </cell>
        </row>
        <row r="220">
          <cell r="J220">
            <v>59536466100</v>
          </cell>
          <cell r="K220" t="str">
            <v>Pontifical Catholic University of Rio de Janeiro</v>
          </cell>
        </row>
        <row r="221">
          <cell r="J221">
            <v>7006020996</v>
          </cell>
          <cell r="K221" t="str">
            <v>University of Campinas</v>
          </cell>
        </row>
        <row r="222">
          <cell r="J222">
            <v>57213699936</v>
          </cell>
          <cell r="K222" t="str">
            <v>Federal University of Pará</v>
          </cell>
        </row>
        <row r="223">
          <cell r="J223">
            <v>35202976600</v>
          </cell>
          <cell r="K223" t="str">
            <v>University of Campinas (+1 more)</v>
          </cell>
        </row>
        <row r="224">
          <cell r="J224">
            <v>57204708948</v>
          </cell>
          <cell r="K224" t="str">
            <v>Pontifical Catholic University of Rio de Janeiro</v>
          </cell>
        </row>
        <row r="225">
          <cell r="J225">
            <v>57214939869</v>
          </cell>
          <cell r="K225" t="str">
            <v>Universidade Federal de Alagoas (+1 more)</v>
          </cell>
        </row>
        <row r="226">
          <cell r="J226">
            <v>57208871938</v>
          </cell>
          <cell r="K226" t="str">
            <v>Universidade Federal do Rio Grande do Norte</v>
          </cell>
        </row>
        <row r="227">
          <cell r="J227">
            <v>35747876200</v>
          </cell>
          <cell r="K227" t="str">
            <v>Federal University of Rio de Janeiro</v>
          </cell>
        </row>
        <row r="228">
          <cell r="J228">
            <v>57208153366</v>
          </cell>
          <cell r="K228" t="str">
            <v>Universidade Federal de Viçosa</v>
          </cell>
        </row>
        <row r="229">
          <cell r="J229">
            <v>58672578100</v>
          </cell>
          <cell r="K229" t="str">
            <v>Federal University of Rio de Janeiro</v>
          </cell>
        </row>
        <row r="230">
          <cell r="J230">
            <v>60112608700</v>
          </cell>
          <cell r="K230" t="str">
            <v>Vizlab - X-Reality and GeoInformatics Lab</v>
          </cell>
        </row>
        <row r="231">
          <cell r="J231">
            <v>57222987758</v>
          </cell>
          <cell r="K231" t="str">
            <v>Unisinos University</v>
          </cell>
        </row>
        <row r="232">
          <cell r="J232">
            <v>25721618800</v>
          </cell>
          <cell r="K232" t="str">
            <v>Universidade do Estado do Rio de Janeiro</v>
          </cell>
        </row>
        <row r="233">
          <cell r="J233">
            <v>35586027200</v>
          </cell>
          <cell r="K233" t="str">
            <v>Federal University of Rio de Janeiro</v>
          </cell>
        </row>
        <row r="234">
          <cell r="J234">
            <v>57203576562</v>
          </cell>
          <cell r="K234" t="str">
            <v>Universidade Federal do Rio Grande do Norte</v>
          </cell>
        </row>
        <row r="235">
          <cell r="J235">
            <v>8579318400</v>
          </cell>
          <cell r="K235" t="str">
            <v>Universidade Federal da Bahia</v>
          </cell>
        </row>
        <row r="236">
          <cell r="J236">
            <v>8967238700</v>
          </cell>
          <cell r="K236" t="str">
            <v>Universidade Federal de Viçosa</v>
          </cell>
        </row>
        <row r="237">
          <cell r="J237">
            <v>8717015300</v>
          </cell>
          <cell r="K237" t="str">
            <v>Universidade Federal do Ceará</v>
          </cell>
        </row>
        <row r="238">
          <cell r="J238">
            <v>6701852488</v>
          </cell>
          <cell r="K238" t="str">
            <v>Federal University of Rio de Janeiro</v>
          </cell>
        </row>
        <row r="239">
          <cell r="J239">
            <v>57045841100</v>
          </cell>
          <cell r="K239" t="str">
            <v>Universidade Federal de Pernambuco</v>
          </cell>
        </row>
        <row r="240">
          <cell r="J240">
            <v>57197876473</v>
          </cell>
          <cell r="K240" t="str">
            <v>Federal University of Rio de Janeiro</v>
          </cell>
        </row>
        <row r="241">
          <cell r="J241">
            <v>57195965146</v>
          </cell>
          <cell r="K241" t="str">
            <v>Federal University of Santa Catarina</v>
          </cell>
        </row>
        <row r="242">
          <cell r="J242">
            <v>18036912200</v>
          </cell>
          <cell r="K242" t="str">
            <v>Instituto Nacional de Metrologia, Qualidade e Tecnologia</v>
          </cell>
        </row>
        <row r="243">
          <cell r="J243">
            <v>6603397081</v>
          </cell>
          <cell r="K243" t="str">
            <v>Universidade de São Paulo</v>
          </cell>
        </row>
        <row r="244">
          <cell r="J244">
            <v>56369428600</v>
          </cell>
          <cell r="K244" t="str">
            <v>Laboratório Nacional de Luz Síncrotron (LNLS)</v>
          </cell>
        </row>
        <row r="245">
          <cell r="J245">
            <v>7005455741</v>
          </cell>
          <cell r="K245" t="str">
            <v>Centro de Desenvolvimento da Tecnologia Nuclear</v>
          </cell>
        </row>
        <row r="246">
          <cell r="J246">
            <v>57195632128</v>
          </cell>
          <cell r="K246" t="str">
            <v>Federal University of Rio de Janeiro</v>
          </cell>
        </row>
        <row r="247">
          <cell r="J247">
            <v>8987205600</v>
          </cell>
          <cell r="K247" t="str">
            <v>Federal University of Rio de Janeiro</v>
          </cell>
        </row>
        <row r="248">
          <cell r="J248">
            <v>57194766532</v>
          </cell>
          <cell r="K248" t="str">
            <v>Laboratory of Nondestructive Testing (+1 more)</v>
          </cell>
        </row>
        <row r="249">
          <cell r="J249">
            <v>6506165744</v>
          </cell>
          <cell r="K249" t="str">
            <v>Universidade Federal de Uberlândia</v>
          </cell>
        </row>
        <row r="250">
          <cell r="J250">
            <v>58628777800</v>
          </cell>
          <cell r="K250" t="str">
            <v>Universidade de São Paulo</v>
          </cell>
        </row>
        <row r="251">
          <cell r="J251">
            <v>57196116554</v>
          </cell>
          <cell r="K251" t="str">
            <v>Universidade Federal do Rio Grande do Sul</v>
          </cell>
        </row>
        <row r="252">
          <cell r="J252">
            <v>55562041800</v>
          </cell>
          <cell r="K252" t="str">
            <v>Universidade do Estado do Rio de Janeiro (+1 more)</v>
          </cell>
        </row>
        <row r="253">
          <cell r="J253">
            <v>56811720900</v>
          </cell>
          <cell r="K253" t="str">
            <v>Federal University of Rio de Janeiro (+1 more)</v>
          </cell>
        </row>
        <row r="254">
          <cell r="J254">
            <v>57210642013</v>
          </cell>
          <cell r="K254" t="str">
            <v>Universidade de São Paulo</v>
          </cell>
        </row>
        <row r="255">
          <cell r="J255">
            <v>34869173800</v>
          </cell>
          <cell r="K255" t="str">
            <v>Federal University of Santa Catarina</v>
          </cell>
        </row>
        <row r="256">
          <cell r="J256">
            <v>55542613200</v>
          </cell>
          <cell r="K256" t="str">
            <v>University of Campinas</v>
          </cell>
        </row>
        <row r="257">
          <cell r="J257">
            <v>8064318200</v>
          </cell>
          <cell r="K257" t="str">
            <v>Universidade Federal de Uberlândia</v>
          </cell>
        </row>
        <row r="258">
          <cell r="J258">
            <v>56018140800</v>
          </cell>
          <cell r="K258" t="str">
            <v>Tenaris Pipeline Technology (+4 more)</v>
          </cell>
        </row>
        <row r="259">
          <cell r="J259">
            <v>7006297634</v>
          </cell>
          <cell r="K259" t="str">
            <v>Universidade Federal de Goiás (+4 more)</v>
          </cell>
        </row>
        <row r="260">
          <cell r="J260">
            <v>7005225121</v>
          </cell>
          <cell r="K260" t="str">
            <v>Federal University of Rio de Janeiro</v>
          </cell>
        </row>
        <row r="261">
          <cell r="J261">
            <v>56732915900</v>
          </cell>
          <cell r="K261" t="str">
            <v>Universidade Federal Rural do Rio de Janeiro</v>
          </cell>
        </row>
        <row r="262">
          <cell r="J262">
            <v>57191501270</v>
          </cell>
          <cell r="K262" t="str">
            <v>Universidade Federal de Pernambuco</v>
          </cell>
        </row>
        <row r="263">
          <cell r="J263">
            <v>57215103591</v>
          </cell>
          <cell r="K263" t="str">
            <v>Universidade Estadual Paulista “Júlio de Mesquita Filho”</v>
          </cell>
        </row>
        <row r="264">
          <cell r="J264">
            <v>6505949953</v>
          </cell>
          <cell r="K264" t="str">
            <v>Universidade de Brasília (+1 more)</v>
          </cell>
        </row>
        <row r="265">
          <cell r="J265">
            <v>56454067300</v>
          </cell>
          <cell r="K265" t="str">
            <v>Jaume I University (+1 more)</v>
          </cell>
        </row>
        <row r="266">
          <cell r="J266">
            <v>16030669600</v>
          </cell>
          <cell r="K266" t="str">
            <v>Federal University of Rio de Janeiro</v>
          </cell>
        </row>
        <row r="267">
          <cell r="J267">
            <v>57699564800</v>
          </cell>
          <cell r="K267" t="str">
            <v>Federal University of Rio de Janeiro</v>
          </cell>
        </row>
        <row r="268">
          <cell r="J268">
            <v>37041364900</v>
          </cell>
          <cell r="K268" t="str">
            <v>University of Campinas (+1 more)</v>
          </cell>
        </row>
        <row r="269">
          <cell r="J269">
            <v>6507619874</v>
          </cell>
          <cell r="K269" t="str">
            <v>Universidade Federal de Uberlândia</v>
          </cell>
        </row>
        <row r="270">
          <cell r="J270">
            <v>56982996200</v>
          </cell>
          <cell r="K270" t="str">
            <v>Universidade de São Paulo (+1 more)</v>
          </cell>
        </row>
        <row r="271">
          <cell r="J271">
            <v>57462346400</v>
          </cell>
          <cell r="K271" t="str">
            <v>Pontifical Catholic University of Rio de Janeiro</v>
          </cell>
        </row>
        <row r="272">
          <cell r="J272">
            <v>11439250900</v>
          </cell>
          <cell r="K272" t="str">
            <v>University of Campinas (+1 more)</v>
          </cell>
        </row>
        <row r="273">
          <cell r="J273">
            <v>6701602737</v>
          </cell>
          <cell r="K273" t="str">
            <v>Pontifical Catholic University of Rio de Janeiro</v>
          </cell>
        </row>
        <row r="274">
          <cell r="J274">
            <v>56662839300</v>
          </cell>
          <cell r="K274" t="str">
            <v>UNISINOS (+1 more)</v>
          </cell>
        </row>
        <row r="275">
          <cell r="J275">
            <v>56439862700</v>
          </cell>
          <cell r="K275" t="str">
            <v>Universidade Federal Fluminense</v>
          </cell>
        </row>
        <row r="276">
          <cell r="J276">
            <v>25824714500</v>
          </cell>
          <cell r="K276" t="str">
            <v>Fundação Oswaldo Cruz</v>
          </cell>
        </row>
        <row r="277">
          <cell r="J277">
            <v>7004905361</v>
          </cell>
          <cell r="K277" t="str">
            <v>University of Campinas</v>
          </cell>
        </row>
        <row r="278">
          <cell r="J278">
            <v>58411914300</v>
          </cell>
          <cell r="K278" t="str">
            <v>Universidade Federal Fluminense</v>
          </cell>
        </row>
        <row r="279">
          <cell r="J279">
            <v>6602789451</v>
          </cell>
          <cell r="K279" t="str">
            <v>Instituto do Carste/Carste Ciência e Meio Ambiente (+1 more)</v>
          </cell>
        </row>
        <row r="280">
          <cell r="J280">
            <v>57201668440</v>
          </cell>
          <cell r="K280" t="str">
            <v>Federal University of Pará</v>
          </cell>
        </row>
        <row r="281">
          <cell r="J281">
            <v>56018090100</v>
          </cell>
          <cell r="K281" t="str">
            <v>Federal University of Rio de Janeiro</v>
          </cell>
        </row>
        <row r="282">
          <cell r="J282">
            <v>36796895200</v>
          </cell>
          <cell r="K282" t="str">
            <v>Federal University of Rio de Janeiro</v>
          </cell>
        </row>
        <row r="283">
          <cell r="J283">
            <v>12769728100</v>
          </cell>
          <cell r="K283" t="str">
            <v>Federal University of Rio de Janeiro</v>
          </cell>
        </row>
        <row r="284">
          <cell r="J284">
            <v>36945137300</v>
          </cell>
          <cell r="K284" t="str">
            <v>University of Campinas (+2 more)</v>
          </cell>
        </row>
        <row r="285">
          <cell r="J285">
            <v>59454803100</v>
          </cell>
          <cell r="K285" t="str">
            <v>Federal University of Rio de Janeiro</v>
          </cell>
        </row>
        <row r="286">
          <cell r="J286">
            <v>57205367868</v>
          </cell>
          <cell r="K286" t="str">
            <v>Federal University of Rio de Janeiro</v>
          </cell>
        </row>
        <row r="287">
          <cell r="J287">
            <v>23481163500</v>
          </cell>
          <cell r="K287" t="str">
            <v>Universidade Federal do Rio Grande do Sul</v>
          </cell>
        </row>
        <row r="288">
          <cell r="J288">
            <v>59673414900</v>
          </cell>
          <cell r="K288" t="str">
            <v>Vizlab - X-Reality and GeoInformatics Lab</v>
          </cell>
        </row>
        <row r="289">
          <cell r="J289">
            <v>6603038396</v>
          </cell>
          <cell r="K289" t="str">
            <v>Universidade Federal Fluminense</v>
          </cell>
        </row>
        <row r="290">
          <cell r="J290">
            <v>57205468694</v>
          </cell>
          <cell r="K290" t="str">
            <v>Universidade de São Paulo</v>
          </cell>
        </row>
        <row r="291">
          <cell r="J291">
            <v>36619410600</v>
          </cell>
          <cell r="K291" t="str">
            <v>Universidade Federal da Bahia</v>
          </cell>
        </row>
        <row r="292">
          <cell r="J292">
            <v>57219128946</v>
          </cell>
          <cell r="K292" t="str">
            <v>Universidade de São Paulo (+1 more)</v>
          </cell>
        </row>
        <row r="293">
          <cell r="J293">
            <v>7005832618</v>
          </cell>
          <cell r="K293" t="str">
            <v>Universidade Federal do Ceará</v>
          </cell>
        </row>
        <row r="294">
          <cell r="J294">
            <v>57207566326</v>
          </cell>
          <cell r="K294" t="str">
            <v>Federal University of Rio de Janeiro</v>
          </cell>
        </row>
        <row r="295">
          <cell r="J295">
            <v>7005832653</v>
          </cell>
          <cell r="K295" t="str">
            <v>Federal University of Rio de Janeiro</v>
          </cell>
        </row>
        <row r="296">
          <cell r="J296">
            <v>56594659700</v>
          </cell>
          <cell r="K296" t="str">
            <v>Universidade de São Paulo (+1 more)</v>
          </cell>
        </row>
        <row r="297">
          <cell r="J297">
            <v>12804452400</v>
          </cell>
          <cell r="K297" t="str">
            <v>Pontifical Catholic University of Rio de Janeiro</v>
          </cell>
        </row>
        <row r="298">
          <cell r="J298">
            <v>57219564062</v>
          </cell>
          <cell r="K298" t="str">
            <v>Pontifical Catholic University of Rio de Janeiro</v>
          </cell>
        </row>
        <row r="299">
          <cell r="J299">
            <v>57119078200</v>
          </cell>
          <cell r="K299" t="str">
            <v>Universidade Federal de Pernambuco</v>
          </cell>
        </row>
        <row r="300">
          <cell r="J300">
            <v>58706374200</v>
          </cell>
          <cell r="K300" t="str">
            <v>Universidade Federal do Ceará</v>
          </cell>
        </row>
        <row r="301">
          <cell r="J301">
            <v>57215010765</v>
          </cell>
          <cell r="K301" t="str">
            <v>Universidade Federal de Minas Gerais</v>
          </cell>
        </row>
        <row r="302">
          <cell r="J302">
            <v>59130490400</v>
          </cell>
          <cell r="K302" t="str">
            <v>Universidade Federal de Minas Gerais</v>
          </cell>
        </row>
        <row r="303">
          <cell r="J303">
            <v>7003705716</v>
          </cell>
          <cell r="K303" t="str">
            <v>Universidade de São Paulo</v>
          </cell>
        </row>
        <row r="304">
          <cell r="J304">
            <v>56131595200</v>
          </cell>
          <cell r="K304" t="str">
            <v>Universidade Federal do Ceará (+1 more)</v>
          </cell>
        </row>
        <row r="305">
          <cell r="J305">
            <v>56262678600</v>
          </cell>
          <cell r="K305" t="str">
            <v>Universidade de São Paulo</v>
          </cell>
        </row>
        <row r="306">
          <cell r="J306">
            <v>57896381500</v>
          </cell>
          <cell r="K306" t="str">
            <v>Universidade de São Paulo</v>
          </cell>
        </row>
        <row r="307">
          <cell r="J307">
            <v>57217596544</v>
          </cell>
          <cell r="K307" t="str">
            <v>Vizlab - X-Reality and GeoInformatics Lab</v>
          </cell>
        </row>
        <row r="308">
          <cell r="J308">
            <v>57216785388</v>
          </cell>
          <cell r="K308" t="str">
            <v>Universidade Federal de Santa Maria</v>
          </cell>
        </row>
        <row r="309">
          <cell r="J309">
            <v>56455326500</v>
          </cell>
          <cell r="K309" t="str">
            <v>Federal University of Rio de Janeiro</v>
          </cell>
        </row>
        <row r="310">
          <cell r="J310">
            <v>37039430400</v>
          </cell>
          <cell r="K310" t="str">
            <v>Vizlab - X-Reality and GeoInformatics Lab (+1 more)</v>
          </cell>
        </row>
        <row r="311">
          <cell r="J311">
            <v>57696130700</v>
          </cell>
          <cell r="K311" t="str">
            <v>Universidade do Estado do Rio de Janeiro</v>
          </cell>
        </row>
        <row r="312">
          <cell r="J312">
            <v>57214331821</v>
          </cell>
          <cell r="K312" t="str">
            <v>Universidade Federal do Rio Grande do Norte (+1 more)</v>
          </cell>
        </row>
        <row r="313">
          <cell r="J313">
            <v>55818512300</v>
          </cell>
          <cell r="K313" t="str">
            <v>TRANSPETRO</v>
          </cell>
        </row>
        <row r="314">
          <cell r="J314">
            <v>56398549700</v>
          </cell>
          <cell r="K314" t="str">
            <v>Universidade Federal do Paraná (+1 more)</v>
          </cell>
        </row>
        <row r="315">
          <cell r="J315">
            <v>57197761314</v>
          </cell>
          <cell r="K315" t="str">
            <v>Universidade do Estado do Rio de Janeiro</v>
          </cell>
        </row>
        <row r="316">
          <cell r="J316">
            <v>54894482500</v>
          </cell>
          <cell r="K316" t="str">
            <v>Universidade Federal Fluminense (+2 more)</v>
          </cell>
        </row>
        <row r="317">
          <cell r="J317">
            <v>59006987500</v>
          </cell>
          <cell r="K317" t="str">
            <v>Federal University of Rio de Janeiro</v>
          </cell>
        </row>
        <row r="318">
          <cell r="J318">
            <v>23090027600</v>
          </cell>
          <cell r="K318" t="str">
            <v>Universidade Federal do Rio Grande do Norte (+1 more)</v>
          </cell>
        </row>
        <row r="319">
          <cell r="J319">
            <v>57432898600</v>
          </cell>
          <cell r="K319" t="str">
            <v>Pontifical Catholic University of Rio de Janeiro</v>
          </cell>
        </row>
        <row r="320">
          <cell r="J320">
            <v>35608798100</v>
          </cell>
          <cell r="K320" t="str">
            <v>Universidade Estadual Paulista “Júlio de Mesquita Filho”</v>
          </cell>
        </row>
        <row r="321">
          <cell r="J321">
            <v>38561042700</v>
          </cell>
          <cell r="K321" t="str">
            <v>Universidade de Caxias do Sul</v>
          </cell>
        </row>
        <row r="322">
          <cell r="J322">
            <v>8408554300</v>
          </cell>
          <cell r="K322" t="str">
            <v>Pontifícia Universidade Católica do Rio Grande do Sul</v>
          </cell>
        </row>
        <row r="323">
          <cell r="J323">
            <v>16174439400</v>
          </cell>
          <cell r="K323" t="str">
            <v>Universidade Federal de Itajubá</v>
          </cell>
        </row>
        <row r="324">
          <cell r="J324">
            <v>57191774255</v>
          </cell>
          <cell r="K324" t="str">
            <v>Empresa Brasileira de Pesquisa Agropecuária</v>
          </cell>
        </row>
        <row r="325">
          <cell r="J325">
            <v>6602858270</v>
          </cell>
          <cell r="K325" t="str">
            <v>Universidade de São Paulo (+1 more)</v>
          </cell>
        </row>
        <row r="326">
          <cell r="J326">
            <v>56363142400</v>
          </cell>
          <cell r="K326" t="str">
            <v>Universidade Federal do Rio Grande do Sul (+1 more)</v>
          </cell>
        </row>
        <row r="327">
          <cell r="J327">
            <v>57200824184</v>
          </cell>
          <cell r="K327" t="str">
            <v>DEMa</v>
          </cell>
        </row>
        <row r="328">
          <cell r="J328">
            <v>59199730800</v>
          </cell>
          <cell r="K328" t="str">
            <v>Pontifical Catholic University of Rio de Janeiro</v>
          </cell>
        </row>
        <row r="329">
          <cell r="J329">
            <v>55838171200</v>
          </cell>
          <cell r="K329" t="str">
            <v>LNDC-COPPE-UFRJ (+1 more)</v>
          </cell>
        </row>
        <row r="330">
          <cell r="J330">
            <v>57203024419</v>
          </cell>
          <cell r="K330" t="str">
            <v>Centro Federal de Educação Tecnológica Celso Suckow da Fonseca (CEFET-RJ)</v>
          </cell>
        </row>
        <row r="331">
          <cell r="J331">
            <v>6601985149</v>
          </cell>
          <cell r="K331" t="str">
            <v>University of Campinas</v>
          </cell>
        </row>
        <row r="332">
          <cell r="J332">
            <v>60027146200</v>
          </cell>
          <cell r="K332" t="str">
            <v>Federal University of Rio de Janeiro</v>
          </cell>
        </row>
        <row r="333">
          <cell r="J333">
            <v>57444279400</v>
          </cell>
          <cell r="K333" t="str">
            <v>Universidade Federal do Espírito Santo</v>
          </cell>
        </row>
        <row r="334">
          <cell r="J334">
            <v>55927984200</v>
          </cell>
          <cell r="K334" t="str">
            <v>Universidade de Brasília (+1 more)</v>
          </cell>
        </row>
        <row r="335">
          <cell r="J335">
            <v>45661023000</v>
          </cell>
          <cell r="K335" t="str">
            <v>Agilent Technologies</v>
          </cell>
        </row>
        <row r="336">
          <cell r="J336">
            <v>22033749100</v>
          </cell>
          <cell r="K336" t="str">
            <v>Instituto Federal de Educação, Ciência e Tecnologia do Rio de Janeiro (+1 more)</v>
          </cell>
        </row>
        <row r="337">
          <cell r="J337">
            <v>55427980400</v>
          </cell>
          <cell r="K337" t="str">
            <v>University of Coimbra (+1 more)</v>
          </cell>
        </row>
        <row r="338">
          <cell r="J338">
            <v>35767427700</v>
          </cell>
          <cell r="K338" t="str">
            <v>Federal University of Rio de Janeiro</v>
          </cell>
        </row>
        <row r="339">
          <cell r="J339">
            <v>60094442000</v>
          </cell>
          <cell r="K339" t="str">
            <v>Universidade Federal de Mato Grosso</v>
          </cell>
        </row>
        <row r="340">
          <cell r="J340">
            <v>58221633100</v>
          </cell>
          <cell r="K340" t="str">
            <v>Federal University of Rio de Janeiro</v>
          </cell>
        </row>
        <row r="341">
          <cell r="J341">
            <v>57206374344</v>
          </cell>
          <cell r="K341" t="str">
            <v>Pontifical Catholic University of Rio de Janeiro</v>
          </cell>
        </row>
        <row r="342">
          <cell r="J342">
            <v>7103244759</v>
          </cell>
          <cell r="K342" t="str">
            <v>Universidade Federal Fluminense (+1 more)</v>
          </cell>
        </row>
        <row r="343">
          <cell r="J343">
            <v>59377849900</v>
          </cell>
          <cell r="K343" t="str">
            <v>University of Campinas</v>
          </cell>
        </row>
        <row r="344">
          <cell r="J344">
            <v>25959877700</v>
          </cell>
          <cell r="K344" t="str">
            <v>Universidade Federal de Lavras</v>
          </cell>
        </row>
        <row r="345">
          <cell r="J345">
            <v>56437324700</v>
          </cell>
          <cell r="K345" t="str">
            <v>Universidade Federal de Pernambuco</v>
          </cell>
        </row>
        <row r="346">
          <cell r="J346">
            <v>57196442367</v>
          </cell>
          <cell r="K346" t="str">
            <v>Federal University of Rio de Janeiro</v>
          </cell>
        </row>
        <row r="347">
          <cell r="J347">
            <v>7005800505</v>
          </cell>
          <cell r="K347" t="str">
            <v>Universidade Federal Fluminense (+1 more)</v>
          </cell>
        </row>
        <row r="348">
          <cell r="J348">
            <v>59910397000</v>
          </cell>
          <cell r="K348" t="str">
            <v>Universidade Federal de Pernambuco</v>
          </cell>
        </row>
        <row r="349">
          <cell r="J349">
            <v>57219564129</v>
          </cell>
          <cell r="K349" t="str">
            <v>Universidade Federal de Juiz de Fora</v>
          </cell>
        </row>
        <row r="350">
          <cell r="J350">
            <v>7202435173</v>
          </cell>
          <cell r="K350" t="str">
            <v>Federal University of Santa Catarina (+1 more)</v>
          </cell>
        </row>
        <row r="351">
          <cell r="J351">
            <v>57550621400</v>
          </cell>
          <cell r="K351" t="str">
            <v>FBTS</v>
          </cell>
        </row>
        <row r="352">
          <cell r="J352">
            <v>57220953701</v>
          </cell>
          <cell r="K352" t="str">
            <v>Universidade Federal de Pernambuco</v>
          </cell>
        </row>
        <row r="353">
          <cell r="J353">
            <v>36174972100</v>
          </cell>
          <cell r="K353" t="str">
            <v>Federal University of Rio de Janeiro</v>
          </cell>
        </row>
        <row r="354">
          <cell r="J354">
            <v>8213198500</v>
          </cell>
          <cell r="K354" t="str">
            <v>Universidade Federal do Espírito Santo (+1 more)</v>
          </cell>
        </row>
        <row r="355">
          <cell r="J355">
            <v>55270664500</v>
          </cell>
          <cell r="K355" t="str">
            <v>Instituto SENAI de Inovação em Engenharia de Superfícies</v>
          </cell>
        </row>
        <row r="356">
          <cell r="J356">
            <v>58783794400</v>
          </cell>
          <cell r="K356" t="str">
            <v>Instituto SENAI de Inovação em Engenharia de Superfícies – Centro de Inovação e Tecnologia CIT SENAI</v>
          </cell>
        </row>
        <row r="357">
          <cell r="J357">
            <v>57572649700</v>
          </cell>
          <cell r="K357" t="str">
            <v>Pontifical Catholic University of Rio de Janeiro</v>
          </cell>
        </row>
        <row r="358">
          <cell r="J358">
            <v>25924767200</v>
          </cell>
          <cell r="K358" t="str">
            <v>Universidade de Brasília</v>
          </cell>
        </row>
        <row r="359">
          <cell r="J359">
            <v>57201742037</v>
          </cell>
          <cell r="K359" t="str">
            <v>DEMa</v>
          </cell>
        </row>
        <row r="360">
          <cell r="J360">
            <v>57224010055</v>
          </cell>
          <cell r="K360" t="str">
            <v>Universidade Federal de Pernambuco</v>
          </cell>
        </row>
        <row r="361">
          <cell r="J361">
            <v>7005050704</v>
          </cell>
          <cell r="K361" t="str">
            <v>Pontifical Catholic University of Rio de Janeiro</v>
          </cell>
        </row>
        <row r="362">
          <cell r="J362">
            <v>15135113400</v>
          </cell>
          <cell r="K362" t="str">
            <v>Observatório Nacional (+2 more)</v>
          </cell>
        </row>
        <row r="363">
          <cell r="J363">
            <v>57197485668</v>
          </cell>
          <cell r="K363" t="str">
            <v>Universidade Federal de Uberlândia</v>
          </cell>
        </row>
        <row r="364">
          <cell r="J364">
            <v>57191204618</v>
          </cell>
          <cell r="K364" t="str">
            <v>Universidade de São Paulo</v>
          </cell>
        </row>
        <row r="365">
          <cell r="J365">
            <v>58125959800</v>
          </cell>
          <cell r="K365" t="str">
            <v>Universidade Federal de Alagoas</v>
          </cell>
        </row>
        <row r="366">
          <cell r="J366">
            <v>15051500400</v>
          </cell>
          <cell r="K366" t="str">
            <v>Universidade Federal de Alagoas</v>
          </cell>
        </row>
        <row r="367">
          <cell r="J367">
            <v>57214990180</v>
          </cell>
          <cell r="K367" t="str">
            <v>UniversidadeFederal de Alagoas (+1 more)</v>
          </cell>
        </row>
        <row r="368">
          <cell r="J368">
            <v>57716870000</v>
          </cell>
          <cell r="K368" t="str">
            <v>Federal University of Rio de Janeiro</v>
          </cell>
        </row>
        <row r="369">
          <cell r="J369">
            <v>56236211500</v>
          </cell>
          <cell r="K369" t="str">
            <v>Universidade Tecnológica Federal do Paraná</v>
          </cell>
        </row>
        <row r="370">
          <cell r="J370">
            <v>36805538300</v>
          </cell>
          <cell r="K370" t="str">
            <v>Universidade Federal de Itajubá</v>
          </cell>
        </row>
        <row r="371">
          <cell r="J371">
            <v>56781421100</v>
          </cell>
          <cell r="K371" t="str">
            <v>Universidade Federal do Espírito Santo</v>
          </cell>
        </row>
        <row r="372">
          <cell r="J372">
            <v>57226688288</v>
          </cell>
          <cell r="K372" t="str">
            <v>Federal University of Santa Catarina</v>
          </cell>
        </row>
        <row r="373">
          <cell r="J373">
            <v>7003977836</v>
          </cell>
          <cell r="K373" t="str">
            <v>Federal University of Rio de Janeiro</v>
          </cell>
        </row>
        <row r="374">
          <cell r="J374">
            <v>57195054437</v>
          </cell>
          <cell r="K374" t="str">
            <v>Universidade Federal de Santa Maria</v>
          </cell>
        </row>
        <row r="375">
          <cell r="J375">
            <v>7004906590</v>
          </cell>
          <cell r="K375" t="str">
            <v>Universidade Federal do Rio Grande do Sul</v>
          </cell>
        </row>
        <row r="376">
          <cell r="J376">
            <v>59391077200</v>
          </cell>
          <cell r="K376" t="str">
            <v>Pontifícia Universidade Católica do Rio Grande do Sul</v>
          </cell>
        </row>
        <row r="377">
          <cell r="J377">
            <v>57211513631</v>
          </cell>
          <cell r="K377" t="str">
            <v>Federal University of Rio de Janeiro</v>
          </cell>
        </row>
        <row r="378">
          <cell r="J378">
            <v>57219315555</v>
          </cell>
          <cell r="K378" t="str">
            <v>Universidade de São Paulo</v>
          </cell>
        </row>
        <row r="379">
          <cell r="J379">
            <v>54894173400</v>
          </cell>
          <cell r="K379" t="str">
            <v>Instituto de Pesquisas da Marinha</v>
          </cell>
        </row>
        <row r="380">
          <cell r="J380">
            <v>51260911300</v>
          </cell>
          <cell r="K380" t="str">
            <v>Pontifical Catholic University of Rio de Janeiro</v>
          </cell>
        </row>
        <row r="381">
          <cell r="J381">
            <v>7007109176</v>
          </cell>
          <cell r="K381" t="str">
            <v>Universidade Federal de Pernambuco</v>
          </cell>
        </row>
        <row r="382">
          <cell r="J382">
            <v>8701025300</v>
          </cell>
          <cell r="K382" t="str">
            <v>Federal University of Rio de Janeiro</v>
          </cell>
        </row>
        <row r="383">
          <cell r="J383">
            <v>8391484100</v>
          </cell>
          <cell r="K383" t="str">
            <v>Pontifical Catholic University of Rio de Janeiro</v>
          </cell>
        </row>
        <row r="384">
          <cell r="J384">
            <v>56592101000</v>
          </cell>
          <cell r="K384" t="str">
            <v>Pontifical Catholic University of Rio de Janeiro (+1 more)</v>
          </cell>
        </row>
        <row r="385">
          <cell r="J385">
            <v>59934967500</v>
          </cell>
          <cell r="K385" t="str">
            <v>Universidade Federal de Minas Gerais</v>
          </cell>
        </row>
        <row r="386">
          <cell r="J386">
            <v>7005430688</v>
          </cell>
          <cell r="K386" t="str">
            <v>Universidade Federal do Ceará</v>
          </cell>
        </row>
        <row r="387">
          <cell r="J387">
            <v>24780245100</v>
          </cell>
          <cell r="K387" t="str">
            <v>Universidade Federal do Rio Grande do Sul</v>
          </cell>
        </row>
        <row r="388">
          <cell r="J388">
            <v>57193904621</v>
          </cell>
          <cell r="K388" t="str">
            <v>Instituto Nacional de Tecnologia</v>
          </cell>
        </row>
        <row r="389">
          <cell r="J389">
            <v>59944839200</v>
          </cell>
          <cell r="K389" t="str">
            <v>Pontifical Catholic University of Rio de Janeiro</v>
          </cell>
        </row>
        <row r="390">
          <cell r="J390">
            <v>56529039900</v>
          </cell>
          <cell r="K390" t="str">
            <v>PGS</v>
          </cell>
        </row>
        <row r="391">
          <cell r="J391">
            <v>57190382012</v>
          </cell>
          <cell r="K391" t="str">
            <v>Universidade Federal do Espírito Santo (+2 more)</v>
          </cell>
        </row>
        <row r="392">
          <cell r="J392">
            <v>57604378100</v>
          </cell>
          <cell r="K392" t="str">
            <v>Universidade Tecnológica Federal do Paraná</v>
          </cell>
        </row>
        <row r="393">
          <cell r="J393">
            <v>34874432800</v>
          </cell>
          <cell r="K393" t="str">
            <v>Universidade Federal de Minas Gerais (+1 more)</v>
          </cell>
        </row>
        <row r="394">
          <cell r="J394">
            <v>57792934100</v>
          </cell>
          <cell r="K394" t="str">
            <v>Universidade de São Paulo</v>
          </cell>
        </row>
        <row r="395">
          <cell r="J395">
            <v>22633774400</v>
          </cell>
          <cell r="K395" t="str">
            <v>Universidade Federal de Campina Grande</v>
          </cell>
        </row>
        <row r="396">
          <cell r="J396">
            <v>57218205921</v>
          </cell>
          <cell r="K396" t="str">
            <v>Universidade Federal de Campina Grande</v>
          </cell>
        </row>
        <row r="397">
          <cell r="J397">
            <v>7006055191</v>
          </cell>
          <cell r="K397" t="str">
            <v>Universidade Federal de Campina Grande</v>
          </cell>
        </row>
        <row r="398">
          <cell r="J398">
            <v>55620973100</v>
          </cell>
          <cell r="K398" t="str">
            <v>Universidade Federal do Ceará</v>
          </cell>
        </row>
        <row r="399">
          <cell r="J399">
            <v>26428003500</v>
          </cell>
          <cell r="K399" t="str">
            <v>Federal University of Rio de Janeiro</v>
          </cell>
        </row>
        <row r="400">
          <cell r="J400">
            <v>59229427500</v>
          </cell>
          <cell r="K400" t="str">
            <v>Universidade Tecnológica Federal do Paraná</v>
          </cell>
        </row>
        <row r="401">
          <cell r="J401">
            <v>57209656264</v>
          </cell>
          <cell r="K401" t="str">
            <v>Universidade Estadual do Norte Fluminense</v>
          </cell>
        </row>
        <row r="402">
          <cell r="J402">
            <v>7004043612</v>
          </cell>
          <cell r="K402" t="str">
            <v>Federal University of Rio de Janeiro</v>
          </cell>
        </row>
        <row r="403">
          <cell r="J403">
            <v>57195218025</v>
          </cell>
          <cell r="K403" t="str">
            <v>Laboratório Nacional de Computação Científica (LNCC-MCT) (+1 more)</v>
          </cell>
        </row>
        <row r="404">
          <cell r="J404">
            <v>57203413102</v>
          </cell>
          <cell r="K404" t="str">
            <v>Halliburton</v>
          </cell>
        </row>
        <row r="405">
          <cell r="J405">
            <v>6604028880</v>
          </cell>
          <cell r="K405" t="str">
            <v>Universidade Federal de Uberlândia</v>
          </cell>
        </row>
        <row r="406">
          <cell r="J406">
            <v>57200730805</v>
          </cell>
          <cell r="K406" t="str">
            <v>Universidade de São Paulo</v>
          </cell>
        </row>
        <row r="407">
          <cell r="J407">
            <v>57211510173</v>
          </cell>
          <cell r="K407" t="str">
            <v>Federal University of Rio de Janeiro</v>
          </cell>
        </row>
        <row r="408">
          <cell r="J408">
            <v>24461103000</v>
          </cell>
          <cell r="K408" t="str">
            <v>Federal University of Santa Catarina</v>
          </cell>
        </row>
        <row r="409">
          <cell r="J409">
            <v>6602668732</v>
          </cell>
          <cell r="K409" t="str">
            <v>Universidade de São Paulo</v>
          </cell>
        </row>
        <row r="410">
          <cell r="J410">
            <v>56104812200</v>
          </cell>
          <cell r="K410" t="str">
            <v>Universidade Federal do Espírito Santo</v>
          </cell>
        </row>
        <row r="411">
          <cell r="J411">
            <v>57191338337</v>
          </cell>
          <cell r="K411" t="str">
            <v>Repsol Sinopec Brasil</v>
          </cell>
        </row>
        <row r="412">
          <cell r="J412">
            <v>56507037600</v>
          </cell>
          <cell r="K412" t="str">
            <v>Universidade Federal do Rio Grande do Sul</v>
          </cell>
        </row>
        <row r="413">
          <cell r="J413">
            <v>57734264600</v>
          </cell>
          <cell r="K413" t="str">
            <v>Telos Soluções Ambientais</v>
          </cell>
        </row>
        <row r="414">
          <cell r="J414">
            <v>37051747600</v>
          </cell>
          <cell r="K414" t="str">
            <v>Federal University of Rio de Janeiro</v>
          </cell>
        </row>
        <row r="415">
          <cell r="J415">
            <v>57203407950</v>
          </cell>
          <cell r="K415" t="str">
            <v>Universidade Federal do Rio Grande do Sul</v>
          </cell>
        </row>
        <row r="416">
          <cell r="J416">
            <v>16318814300</v>
          </cell>
          <cell r="K416" t="str">
            <v>Universidade Federal do Espírito Santo</v>
          </cell>
        </row>
        <row r="417">
          <cell r="J417">
            <v>56541232500</v>
          </cell>
          <cell r="K417" t="str">
            <v>Federal University of Rio de Janeiro</v>
          </cell>
        </row>
        <row r="418">
          <cell r="J418">
            <v>57190960657</v>
          </cell>
          <cell r="K418" t="str">
            <v>Universidade Federal do Ceará</v>
          </cell>
        </row>
        <row r="419">
          <cell r="J419">
            <v>57197397261</v>
          </cell>
          <cell r="K419" t="str">
            <v>TRANSPETRO</v>
          </cell>
        </row>
        <row r="420">
          <cell r="J420">
            <v>57204052305</v>
          </cell>
          <cell r="K420" t="str">
            <v>Universidade Federal do Ceará</v>
          </cell>
        </row>
        <row r="421">
          <cell r="J421">
            <v>57192421953</v>
          </cell>
          <cell r="K421" t="str">
            <v>Pontifical Catholic University of Rio de Janeiro</v>
          </cell>
        </row>
        <row r="422">
          <cell r="J422">
            <v>55220668900</v>
          </cell>
          <cell r="K422" t="str">
            <v>Federal University of Rio de Janeiro</v>
          </cell>
        </row>
        <row r="423">
          <cell r="J423">
            <v>57207107925</v>
          </cell>
          <cell r="K423" t="str">
            <v>Pontifical Catholic University of Rio de Janeiro</v>
          </cell>
        </row>
        <row r="424">
          <cell r="J424">
            <v>56566193900</v>
          </cell>
          <cell r="K424" t="str">
            <v>Universidade Federal Rural do Rio de Janeiro</v>
          </cell>
        </row>
        <row r="425">
          <cell r="J425">
            <v>15844805000</v>
          </cell>
          <cell r="K425" t="str">
            <v>Universidade Federal da Paraíba</v>
          </cell>
        </row>
        <row r="426">
          <cell r="J426">
            <v>57220028019</v>
          </cell>
          <cell r="K426" t="str">
            <v>Pontifical Catholic University of Rio de Janeiro</v>
          </cell>
        </row>
        <row r="427">
          <cell r="J427">
            <v>57222810747</v>
          </cell>
          <cell r="K427" t="str">
            <v>Universidade Federal do Rio Grande do Norte</v>
          </cell>
        </row>
        <row r="428">
          <cell r="J428">
            <v>25928330400</v>
          </cell>
          <cell r="K428" t="str">
            <v>Instituto Federal de Educação, Ciência e Tecnologia de Santa Catarina (+1 more)</v>
          </cell>
        </row>
        <row r="429">
          <cell r="J429">
            <v>57204940301</v>
          </cell>
          <cell r="K429" t="str">
            <v>LAMEMO - Modelling Methods in Engineering and Geophysics Laboratory (+1 more)</v>
          </cell>
        </row>
        <row r="430">
          <cell r="J430">
            <v>6507352230</v>
          </cell>
          <cell r="K430" t="str">
            <v>Universidade Federal do Paraná</v>
          </cell>
        </row>
        <row r="431">
          <cell r="J431">
            <v>57217584963</v>
          </cell>
          <cell r="K431" t="str">
            <v>Universidade Federal do Rio Grande do Sul</v>
          </cell>
        </row>
        <row r="432">
          <cell r="J432">
            <v>7006114147</v>
          </cell>
          <cell r="K432" t="str">
            <v>Universidade Federal do Rio Grande do Sul</v>
          </cell>
        </row>
        <row r="433">
          <cell r="J433">
            <v>59198723300</v>
          </cell>
          <cell r="K433" t="str">
            <v>Instituto de Pesquisas da Marinha</v>
          </cell>
        </row>
        <row r="434">
          <cell r="J434">
            <v>55895339400</v>
          </cell>
          <cell r="K434" t="str">
            <v>Universidade de Caxias do Sul</v>
          </cell>
        </row>
        <row r="435">
          <cell r="J435">
            <v>6701348599</v>
          </cell>
          <cell r="K435" t="str">
            <v>Serviço Nacional de Aprendizagem Industrial</v>
          </cell>
        </row>
        <row r="436">
          <cell r="J436">
            <v>35089962500</v>
          </cell>
          <cell r="K436" t="str">
            <v>Universidade de São Paulo</v>
          </cell>
        </row>
        <row r="437">
          <cell r="J437">
            <v>57210601087</v>
          </cell>
          <cell r="K437" t="str">
            <v>Federal University of Santa Catarina</v>
          </cell>
        </row>
        <row r="438">
          <cell r="J438">
            <v>7202306446</v>
          </cell>
          <cell r="K438" t="str">
            <v>Federal University of Santa Catarina</v>
          </cell>
        </row>
        <row r="439">
          <cell r="J439">
            <v>55680225100</v>
          </cell>
          <cell r="K439" t="str">
            <v>Universidade Federal do Rio Grande do Sul</v>
          </cell>
        </row>
        <row r="440">
          <cell r="J440">
            <v>57192679199</v>
          </cell>
          <cell r="K440" t="str">
            <v>Université de Poitiers (+4 more)</v>
          </cell>
        </row>
        <row r="441">
          <cell r="J441">
            <v>55859965300</v>
          </cell>
          <cell r="K441" t="str">
            <v>Universidade Federal Fluminense</v>
          </cell>
        </row>
        <row r="442">
          <cell r="J442">
            <v>8311595000</v>
          </cell>
          <cell r="K442" t="str">
            <v>GeoSpatial Petroleum (+2 more)</v>
          </cell>
        </row>
        <row r="443">
          <cell r="J443">
            <v>6603322561</v>
          </cell>
          <cell r="K443" t="str">
            <v>Universidade Federal Fluminense (+1 more)</v>
          </cell>
        </row>
        <row r="444">
          <cell r="J444">
            <v>36994478600</v>
          </cell>
          <cell r="K444" t="str">
            <v>University of Campinas</v>
          </cell>
        </row>
        <row r="445">
          <cell r="J445">
            <v>7005348057</v>
          </cell>
          <cell r="K445" t="str">
            <v>Universidade de São Paulo</v>
          </cell>
        </row>
        <row r="446">
          <cell r="J446">
            <v>55513331800</v>
          </cell>
          <cell r="K446" t="str">
            <v>Engineering Simulation and Scientific Software (ESSS) (+1 more)</v>
          </cell>
        </row>
        <row r="447">
          <cell r="J447">
            <v>56681194000</v>
          </cell>
          <cell r="K447" t="str">
            <v>Universidade Estadual de Goiás</v>
          </cell>
        </row>
        <row r="448">
          <cell r="J448">
            <v>58862151400</v>
          </cell>
          <cell r="K448" t="str">
            <v>Federal University of Rio de Janeiro</v>
          </cell>
        </row>
        <row r="449">
          <cell r="J449">
            <v>51260964900</v>
          </cell>
          <cell r="K449" t="str">
            <v>Universidade Federal Fluminense (+2 more)</v>
          </cell>
        </row>
        <row r="450">
          <cell r="J450">
            <v>57219266175</v>
          </cell>
          <cell r="K450" t="str">
            <v>Universidade Federal de Sergipe</v>
          </cell>
        </row>
        <row r="451">
          <cell r="J451">
            <v>50461061200</v>
          </cell>
          <cell r="K451" t="str">
            <v>Federal University of Santa Catarina (+1 more)</v>
          </cell>
        </row>
        <row r="452">
          <cell r="J452">
            <v>56818903200</v>
          </cell>
          <cell r="K452" t="str">
            <v>Universidade de São Paulo</v>
          </cell>
        </row>
        <row r="453">
          <cell r="J453">
            <v>7003578300</v>
          </cell>
          <cell r="K453" t="str">
            <v>Universidade Federal do Rio Grande do Sul</v>
          </cell>
        </row>
        <row r="454">
          <cell r="J454">
            <v>57678828000</v>
          </cell>
          <cell r="K454" t="str">
            <v>Grupo de Estudos de Mamíferos Aquáticos Do RS (GEMARS)</v>
          </cell>
        </row>
        <row r="455">
          <cell r="J455">
            <v>60106470500</v>
          </cell>
          <cell r="K455" t="str">
            <v>Universidade Federal do Ceará</v>
          </cell>
        </row>
        <row r="456">
          <cell r="J456">
            <v>54384884900</v>
          </cell>
          <cell r="K456" t="str">
            <v>Universidade Federal Fluminense</v>
          </cell>
        </row>
        <row r="457">
          <cell r="J457">
            <v>7801357126</v>
          </cell>
          <cell r="K457" t="str">
            <v>Vizlab - X-Reality and GeoInformatics Lab (+1 more)</v>
          </cell>
        </row>
        <row r="458">
          <cell r="J458">
            <v>56137080000</v>
          </cell>
          <cell r="K458" t="str">
            <v>Programa de Pós Graduação Em Engenharia e Tecnologia Dos Materiais (PGETEMA) (+2 more)</v>
          </cell>
        </row>
        <row r="459">
          <cell r="J459">
            <v>57210315357</v>
          </cell>
          <cell r="K459" t="str">
            <v>Ergostech Renewable Energy Solutions</v>
          </cell>
        </row>
        <row r="460">
          <cell r="J460">
            <v>59391919900</v>
          </cell>
          <cell r="K460" t="str">
            <v>Pontifícia Universidade Católica do Rio Grande do Sul</v>
          </cell>
        </row>
        <row r="461">
          <cell r="J461">
            <v>57214777366</v>
          </cell>
          <cell r="K461" t="str">
            <v>Federal University of Rio de Janeiro</v>
          </cell>
        </row>
        <row r="462">
          <cell r="J462">
            <v>6603052433</v>
          </cell>
          <cell r="K462" t="str">
            <v>Universidade Federal Fluminense</v>
          </cell>
        </row>
        <row r="463">
          <cell r="J463">
            <v>57279495400</v>
          </cell>
          <cell r="K463" t="str">
            <v>Universidade de Brasília</v>
          </cell>
        </row>
        <row r="464">
          <cell r="J464">
            <v>15845100200</v>
          </cell>
          <cell r="K464" t="str">
            <v>Universidade Federal Fluminense</v>
          </cell>
        </row>
        <row r="465">
          <cell r="J465">
            <v>57208176607</v>
          </cell>
          <cell r="K465" t="str">
            <v>Universidade de São Paulo</v>
          </cell>
        </row>
        <row r="466">
          <cell r="J466">
            <v>57193672602</v>
          </cell>
          <cell r="K466" t="str">
            <v>Universidade de São Paulo</v>
          </cell>
        </row>
        <row r="467">
          <cell r="J467">
            <v>35770268100</v>
          </cell>
          <cell r="K467" t="str">
            <v>Universidade Federal de Uberlândia</v>
          </cell>
        </row>
        <row r="468">
          <cell r="J468">
            <v>14831183400</v>
          </cell>
          <cell r="K468" t="str">
            <v>Universidade Federal Fluminense</v>
          </cell>
        </row>
        <row r="469">
          <cell r="J469">
            <v>6507662081</v>
          </cell>
          <cell r="K469" t="str">
            <v>SCT/CETEM (+2 more)</v>
          </cell>
        </row>
        <row r="470">
          <cell r="J470">
            <v>56538656300</v>
          </cell>
          <cell r="K470" t="str">
            <v>Universidade Federal do Rio Grande do Sul</v>
          </cell>
        </row>
        <row r="471">
          <cell r="J471">
            <v>36915095500</v>
          </cell>
          <cell r="K471" t="str">
            <v>Universidade Federal do Rio Grande do Sul (+3 more)</v>
          </cell>
        </row>
        <row r="472">
          <cell r="J472">
            <v>55977513200</v>
          </cell>
          <cell r="K472" t="str">
            <v>Universidade Federal de Pernambuco</v>
          </cell>
        </row>
        <row r="473">
          <cell r="J473">
            <v>57218616514</v>
          </cell>
          <cell r="K473" t="str">
            <v>Universidade Federal do Rio Grande do Norte</v>
          </cell>
        </row>
        <row r="474">
          <cell r="J474">
            <v>55348696600</v>
          </cell>
          <cell r="K474" t="str">
            <v>Universidade de São Paulo</v>
          </cell>
        </row>
        <row r="475">
          <cell r="J475">
            <v>55178635100</v>
          </cell>
          <cell r="K475" t="str">
            <v>TECNENGE (+1 more)</v>
          </cell>
        </row>
        <row r="476">
          <cell r="J476">
            <v>23026963200</v>
          </cell>
          <cell r="K476" t="str">
            <v>Universidade do Estado de Santa Catarina</v>
          </cell>
        </row>
        <row r="477">
          <cell r="J477">
            <v>56960017500</v>
          </cell>
          <cell r="K477" t="str">
            <v>Universidade Federal de Viçosa</v>
          </cell>
        </row>
        <row r="478">
          <cell r="J478">
            <v>7004527155</v>
          </cell>
          <cell r="K478" t="str">
            <v>Universidade Federal do Rio Grande do Norte (+3 more)</v>
          </cell>
        </row>
        <row r="479">
          <cell r="J479">
            <v>59205014800</v>
          </cell>
          <cell r="K479" t="str">
            <v>Pontifical Catholic University of Rio de Janeiro</v>
          </cell>
        </row>
        <row r="480">
          <cell r="J480">
            <v>57195286432</v>
          </cell>
          <cell r="K480" t="str">
            <v>Universidade Federal do Espírito Santo (+1 more)</v>
          </cell>
        </row>
        <row r="481">
          <cell r="J481">
            <v>36676859100</v>
          </cell>
          <cell r="K481" t="str">
            <v>DEMa</v>
          </cell>
        </row>
        <row r="482">
          <cell r="J482">
            <v>59252267100</v>
          </cell>
          <cell r="K482" t="str">
            <v>SAIPEM</v>
          </cell>
        </row>
        <row r="483">
          <cell r="J483">
            <v>55550695600</v>
          </cell>
          <cell r="K483" t="str">
            <v>University of Campinas</v>
          </cell>
        </row>
        <row r="484">
          <cell r="J484">
            <v>7004711891</v>
          </cell>
          <cell r="K484" t="str">
            <v>Universidade de São Paulo</v>
          </cell>
        </row>
        <row r="485">
          <cell r="J485">
            <v>6602096513</v>
          </cell>
          <cell r="K485" t="str">
            <v>Universidade Federal Fluminense</v>
          </cell>
        </row>
        <row r="486">
          <cell r="J486">
            <v>56320524500</v>
          </cell>
          <cell r="K486" t="str">
            <v>University of Miami (+2 more)</v>
          </cell>
        </row>
        <row r="487">
          <cell r="J487">
            <v>58677024100</v>
          </cell>
          <cell r="K487" t="str">
            <v>Universidade Federal de Alagoas</v>
          </cell>
        </row>
        <row r="488">
          <cell r="J488">
            <v>57212514111</v>
          </cell>
          <cell r="K488" t="str">
            <v>Universidade Federal Fluminense</v>
          </cell>
        </row>
        <row r="489">
          <cell r="J489">
            <v>57212266880</v>
          </cell>
          <cell r="K489" t="str">
            <v>Universidade Federal Fluminense (+1 more)</v>
          </cell>
        </row>
        <row r="490">
          <cell r="J490">
            <v>7003593395</v>
          </cell>
          <cell r="K490" t="str">
            <v>Petróleo Brasileiro S.A. (+1 more)</v>
          </cell>
        </row>
        <row r="491">
          <cell r="J491">
            <v>57386861400</v>
          </cell>
          <cell r="K491" t="str">
            <v>Universidade de São Paulo</v>
          </cell>
        </row>
        <row r="492">
          <cell r="J492">
            <v>37021285800</v>
          </cell>
          <cell r="K492" t="str">
            <v>Universidade Federal do Rio Grande do Sul</v>
          </cell>
        </row>
        <row r="493">
          <cell r="J493">
            <v>57212482358</v>
          </cell>
          <cell r="K493" t="str">
            <v>Federal University of Rio de Janeiro</v>
          </cell>
        </row>
        <row r="494">
          <cell r="J494">
            <v>57205195208</v>
          </cell>
          <cell r="K494" t="str">
            <v>Pontifical Catholic University of Rio de Janeiro</v>
          </cell>
        </row>
        <row r="495">
          <cell r="J495">
            <v>56144514500</v>
          </cell>
          <cell r="K495" t="str">
            <v>Universidade do Estado do Rio de Janeiro</v>
          </cell>
        </row>
        <row r="496">
          <cell r="J496">
            <v>26643795900</v>
          </cell>
          <cell r="K496" t="str">
            <v>Universidade Federal de Santa Maria</v>
          </cell>
        </row>
        <row r="497">
          <cell r="J497">
            <v>6603405960</v>
          </cell>
          <cell r="K497" t="str">
            <v>Empresa Brasileira de Pesquisa Agropecuária</v>
          </cell>
        </row>
        <row r="498">
          <cell r="J498">
            <v>57219515606</v>
          </cell>
          <cell r="K498" t="str">
            <v>DEMa</v>
          </cell>
        </row>
        <row r="499">
          <cell r="J499">
            <v>7004573992</v>
          </cell>
          <cell r="K499" t="str">
            <v>Universidade Federal de Sergipe</v>
          </cell>
        </row>
        <row r="500">
          <cell r="J500">
            <v>58635823200</v>
          </cell>
          <cell r="K500" t="str">
            <v>Federal University of Rio de Janeiro</v>
          </cell>
        </row>
        <row r="501">
          <cell r="J501">
            <v>58117102600</v>
          </cell>
          <cell r="K501" t="str">
            <v>State University of Norte Fluminense Darcy Ribeiro (UENF)</v>
          </cell>
        </row>
        <row r="502">
          <cell r="J502">
            <v>57201431044</v>
          </cell>
          <cell r="K502" t="str">
            <v>Vallourec Soluções Tubulares do Brasil (+1 more)</v>
          </cell>
        </row>
        <row r="503">
          <cell r="J503">
            <v>57019965500</v>
          </cell>
          <cell r="K503" t="str">
            <v>Universidade Federal Fluminense</v>
          </cell>
        </row>
        <row r="504">
          <cell r="J504">
            <v>59911403400</v>
          </cell>
          <cell r="K504" t="str">
            <v>University Federal of Goiás</v>
          </cell>
        </row>
        <row r="505">
          <cell r="J505">
            <v>56464171900</v>
          </cell>
          <cell r="K505" t="str">
            <v>Universidade de São Paulo</v>
          </cell>
        </row>
        <row r="506">
          <cell r="J506">
            <v>57104603900</v>
          </cell>
          <cell r="K506" t="str">
            <v>Federal University of Rio de Janeiro</v>
          </cell>
        </row>
        <row r="507">
          <cell r="J507">
            <v>58193060600</v>
          </cell>
          <cell r="K507" t="str">
            <v>Instituto de Pesquisas da Marinha</v>
          </cell>
        </row>
        <row r="508">
          <cell r="J508">
            <v>6506079602</v>
          </cell>
          <cell r="K508" t="str">
            <v>Federal University of Rio de Janeiro</v>
          </cell>
        </row>
        <row r="509">
          <cell r="J509">
            <v>57204455123</v>
          </cell>
          <cell r="K509" t="str">
            <v>Universidade Federal de Santa Maria (+1 more)</v>
          </cell>
        </row>
        <row r="510">
          <cell r="J510">
            <v>6603411110</v>
          </cell>
          <cell r="K510" t="str">
            <v>Universidade Federal Fluminense</v>
          </cell>
        </row>
        <row r="511">
          <cell r="J511">
            <v>57213193861</v>
          </cell>
          <cell r="K511" t="str">
            <v>Vizlab - X-Reality and GeoInformatics Lab</v>
          </cell>
        </row>
        <row r="512">
          <cell r="J512">
            <v>57210913165</v>
          </cell>
          <cell r="K512" t="str">
            <v>Vizlab - X-Reality and GeoInformatics Lab</v>
          </cell>
        </row>
        <row r="513">
          <cell r="J513">
            <v>35274386900</v>
          </cell>
          <cell r="K513" t="str">
            <v>Universidade de São Paulo</v>
          </cell>
        </row>
        <row r="514">
          <cell r="J514">
            <v>7003737445</v>
          </cell>
          <cell r="K514" t="str">
            <v>Pontifícia Universidade Católica do Rio Grande do Sul</v>
          </cell>
        </row>
        <row r="515">
          <cell r="J515">
            <v>57220023700</v>
          </cell>
          <cell r="K515" t="str">
            <v>Pontifical Catholic University of Rio de Janeiro</v>
          </cell>
        </row>
        <row r="516">
          <cell r="J516">
            <v>7004008950</v>
          </cell>
          <cell r="K516" t="str">
            <v>Universidade Federal de Santa Maria</v>
          </cell>
        </row>
        <row r="517">
          <cell r="J517">
            <v>7003313441</v>
          </cell>
          <cell r="K517" t="str">
            <v>DEMa</v>
          </cell>
        </row>
        <row r="518">
          <cell r="J518">
            <v>7007008614</v>
          </cell>
          <cell r="K518" t="str">
            <v>Federal University of Santa Catarina</v>
          </cell>
        </row>
        <row r="519">
          <cell r="J519">
            <v>57193015456</v>
          </cell>
          <cell r="K519" t="str">
            <v>Petróleo Brasileiro S.A. (+3 more)</v>
          </cell>
        </row>
        <row r="520">
          <cell r="J520">
            <v>55312445900</v>
          </cell>
          <cell r="K520" t="str">
            <v>Vizlab - X-Reality and GeoInformatics Lab</v>
          </cell>
        </row>
        <row r="521">
          <cell r="J521">
            <v>7003420478</v>
          </cell>
          <cell r="K521" t="str">
            <v>Universidade de São Paulo</v>
          </cell>
        </row>
        <row r="522">
          <cell r="J522">
            <v>17033793100</v>
          </cell>
          <cell r="K522" t="str">
            <v>Pontifícia Universidade Católica do Rio Grande do Sul</v>
          </cell>
        </row>
        <row r="523">
          <cell r="J523">
            <v>57842829100</v>
          </cell>
          <cell r="K523" t="str">
            <v>Universidade Federal do Espírito Santo</v>
          </cell>
        </row>
        <row r="524">
          <cell r="J524">
            <v>57217154962</v>
          </cell>
          <cell r="K524" t="str">
            <v>University of Campinas</v>
          </cell>
        </row>
        <row r="525">
          <cell r="J525">
            <v>11739290800</v>
          </cell>
          <cell r="K525" t="str">
            <v>Universidade Federal do Rio Grande do Sul (+1 more)</v>
          </cell>
        </row>
        <row r="526">
          <cell r="J526">
            <v>36631576000</v>
          </cell>
          <cell r="K526" t="str">
            <v>Universidade Federal do Espírito Santo (+1 more)</v>
          </cell>
        </row>
        <row r="527">
          <cell r="J527">
            <v>22233425400</v>
          </cell>
          <cell r="K527" t="str">
            <v>Universidade Federal Fluminense</v>
          </cell>
        </row>
        <row r="528">
          <cell r="J528">
            <v>57194166674</v>
          </cell>
          <cell r="K528" t="str">
            <v>UFSC and LTrace (+5 more)</v>
          </cell>
        </row>
        <row r="529">
          <cell r="J529">
            <v>56581651700</v>
          </cell>
          <cell r="K529" t="str">
            <v>Vizlab - X-Reality and GeoInformatics Lab</v>
          </cell>
        </row>
        <row r="530">
          <cell r="J530">
            <v>56610212300</v>
          </cell>
          <cell r="K530" t="str">
            <v>Universidade Federal Rural do Rio de Janeiro (+2 more)</v>
          </cell>
        </row>
        <row r="531">
          <cell r="J531">
            <v>16246602500</v>
          </cell>
          <cell r="K531" t="str">
            <v>Federal University of Santa Catarina</v>
          </cell>
        </row>
        <row r="532">
          <cell r="J532">
            <v>35820907700</v>
          </cell>
          <cell r="K532" t="str">
            <v>Federal University of Rio de Janeiro</v>
          </cell>
        </row>
        <row r="533">
          <cell r="J533">
            <v>57223081640</v>
          </cell>
          <cell r="K533" t="str">
            <v>SENAI Innovation Institute for Manufacturing Systems and Laser Processing</v>
          </cell>
        </row>
        <row r="534">
          <cell r="J534">
            <v>7005756539</v>
          </cell>
          <cell r="K534" t="str">
            <v>Federal University of Santa Catarina</v>
          </cell>
        </row>
        <row r="535">
          <cell r="J535">
            <v>18433395400</v>
          </cell>
          <cell r="K535" t="str">
            <v>Universidade Tiradentes (+4 more)</v>
          </cell>
        </row>
        <row r="536">
          <cell r="J536">
            <v>7004499681</v>
          </cell>
          <cell r="K536" t="str">
            <v>Universidade Federal Fluminense (+1 more)</v>
          </cell>
        </row>
        <row r="537">
          <cell r="J537">
            <v>56184611600</v>
          </cell>
          <cell r="K537" t="str">
            <v>Pontifícia Universidade Católica do Rio Grande do Sul (+1 more)</v>
          </cell>
        </row>
        <row r="538">
          <cell r="J538">
            <v>57209772054</v>
          </cell>
          <cell r="K538" t="str">
            <v>Pontifícia Universidade Católica do Rio Grande do Sul</v>
          </cell>
        </row>
        <row r="539">
          <cell r="J539">
            <v>57226716378</v>
          </cell>
          <cell r="K539" t="str">
            <v>Laboratório Nacional de Luz Síncrotron (LNLS)</v>
          </cell>
        </row>
        <row r="540">
          <cell r="J540">
            <v>56425304400</v>
          </cell>
          <cell r="K540" t="str">
            <v>Universidade Federal do Rio Grande do Sul (+1 more)</v>
          </cell>
        </row>
        <row r="541">
          <cell r="J541">
            <v>57209338215</v>
          </cell>
          <cell r="K541" t="str">
            <v>Universidade Federal Rural do Rio de Janeiro</v>
          </cell>
        </row>
        <row r="542">
          <cell r="J542">
            <v>58001313100</v>
          </cell>
          <cell r="K542" t="str">
            <v>Universidade de São Paulo</v>
          </cell>
        </row>
        <row r="543">
          <cell r="J543">
            <v>55880814000</v>
          </cell>
          <cell r="K543" t="str">
            <v>Federal University of Rio de Janeiro (+1 more)</v>
          </cell>
        </row>
        <row r="544">
          <cell r="J544">
            <v>57218502398</v>
          </cell>
          <cell r="K544" t="str">
            <v>Universidade Federal do Espírito Santo</v>
          </cell>
        </row>
        <row r="545">
          <cell r="J545">
            <v>7006909594</v>
          </cell>
          <cell r="K545" t="str">
            <v>Federal University of Rio de Janeiro</v>
          </cell>
        </row>
        <row r="546">
          <cell r="J546">
            <v>8299640100</v>
          </cell>
          <cell r="K546" t="str">
            <v>University of Campinas</v>
          </cell>
        </row>
        <row r="547">
          <cell r="J547">
            <v>6506700273</v>
          </cell>
          <cell r="K547" t="str">
            <v>Universidade de São Paulo</v>
          </cell>
        </row>
        <row r="548">
          <cell r="J548">
            <v>57205511264</v>
          </cell>
          <cell r="K548" t="str">
            <v>Federal University of Rio de Janeiro</v>
          </cell>
        </row>
        <row r="549">
          <cell r="J549">
            <v>57209450179</v>
          </cell>
          <cell r="K549" t="str">
            <v>Universidade Federal do Paraná (+1 more)</v>
          </cell>
        </row>
        <row r="550">
          <cell r="J550">
            <v>55376168500</v>
          </cell>
          <cell r="K550" t="str">
            <v>Universidade Federal do Rio Grande do Sul (+1 more)</v>
          </cell>
        </row>
        <row r="551">
          <cell r="J551">
            <v>55397261900</v>
          </cell>
          <cell r="K551" t="str">
            <v>Pontifical Catholic University of Rio de Janeiro (+1 more)</v>
          </cell>
        </row>
        <row r="552">
          <cell r="J552">
            <v>23979602900</v>
          </cell>
          <cell r="K552" t="str">
            <v>Universidade de São Paulo</v>
          </cell>
        </row>
        <row r="553">
          <cell r="J553">
            <v>55765657500</v>
          </cell>
          <cell r="K553" t="str">
            <v>Ergostech Renewable Energy Solutions</v>
          </cell>
        </row>
        <row r="554">
          <cell r="J554">
            <v>7003678450</v>
          </cell>
          <cell r="K554" t="str">
            <v>DEMa</v>
          </cell>
        </row>
        <row r="555">
          <cell r="J555">
            <v>36082295700</v>
          </cell>
          <cell r="K555" t="str">
            <v>Universidade Federal de Pernambuco</v>
          </cell>
        </row>
        <row r="556">
          <cell r="J556">
            <v>56290981100</v>
          </cell>
          <cell r="K556" t="str">
            <v>Universidade do Estado do Rio de Janeiro (+1 more)</v>
          </cell>
        </row>
        <row r="557">
          <cell r="J557">
            <v>59454870900</v>
          </cell>
          <cell r="K557" t="str">
            <v>Universidade Federal do Rio Grande do Sul (+1 more)</v>
          </cell>
        </row>
        <row r="558">
          <cell r="J558">
            <v>19640038700</v>
          </cell>
          <cell r="K558" t="str">
            <v>Universidade Federal Do Estado Do Rio de Janeiro (Unirio)</v>
          </cell>
        </row>
        <row r="559">
          <cell r="J559">
            <v>7102475875</v>
          </cell>
          <cell r="K559" t="str">
            <v>Pontifical Catholic University of Rio de Janeiro (+2 more)</v>
          </cell>
        </row>
        <row r="560">
          <cell r="J560">
            <v>7005141621</v>
          </cell>
          <cell r="K560" t="str">
            <v>Pontifical Catholic University of Rio de Janeiro (+1 more)</v>
          </cell>
        </row>
        <row r="561">
          <cell r="J561">
            <v>58000759200</v>
          </cell>
          <cell r="K561" t="str">
            <v>Universidade Federal Rural do Rio de Janeiro (+1 more)</v>
          </cell>
        </row>
        <row r="562">
          <cell r="J562">
            <v>57216781938</v>
          </cell>
          <cell r="K562" t="str">
            <v>Pontifical Catholic University of Rio de Janeiro (+1 more)</v>
          </cell>
        </row>
        <row r="563">
          <cell r="J563">
            <v>57202905125</v>
          </cell>
          <cell r="K563" t="str">
            <v>Federal University of Rio de Janeiro</v>
          </cell>
        </row>
        <row r="564">
          <cell r="J564">
            <v>57217628152</v>
          </cell>
          <cell r="K564" t="str">
            <v>Federal University of Rio de Janeiro</v>
          </cell>
        </row>
        <row r="565">
          <cell r="J565">
            <v>57221964092</v>
          </cell>
          <cell r="K565" t="str">
            <v>Universidade Estadual de Maringá</v>
          </cell>
        </row>
        <row r="566">
          <cell r="J566">
            <v>59715658000</v>
          </cell>
          <cell r="K566" t="str">
            <v>Parque Tecnológico</v>
          </cell>
        </row>
        <row r="567">
          <cell r="J567">
            <v>57211435385</v>
          </cell>
          <cell r="K567" t="str">
            <v>Pontifícia Universidade Católica do Rio Grande do Sul</v>
          </cell>
        </row>
        <row r="568">
          <cell r="J568">
            <v>55210068400</v>
          </cell>
          <cell r="K568" t="str">
            <v>Universidade Federal do Rio Grande do Norte</v>
          </cell>
        </row>
        <row r="569">
          <cell r="J569">
            <v>7006096573</v>
          </cell>
          <cell r="K569" t="str">
            <v>Pontifical Catholic University of Rio de Janeiro (+2 more)</v>
          </cell>
        </row>
        <row r="570">
          <cell r="J570">
            <v>57195462043</v>
          </cell>
          <cell r="K570" t="str">
            <v>Federal University of Rio de Janeiro</v>
          </cell>
        </row>
        <row r="571">
          <cell r="J571">
            <v>6603271532</v>
          </cell>
          <cell r="K571" t="str">
            <v>Universidade Federal de Santa Maria</v>
          </cell>
        </row>
        <row r="572">
          <cell r="J572">
            <v>58479453900</v>
          </cell>
          <cell r="K572" t="str">
            <v>Pontifical Catholic University of Rio de Janeiro</v>
          </cell>
        </row>
        <row r="573">
          <cell r="J573">
            <v>57878430500</v>
          </cell>
          <cell r="K573" t="str">
            <v>Pontifical Catholic University of Rio de Janeiro</v>
          </cell>
        </row>
        <row r="574">
          <cell r="J574">
            <v>57195858023</v>
          </cell>
          <cell r="K574" t="str">
            <v>Universidade Federal do Ceará</v>
          </cell>
        </row>
        <row r="575">
          <cell r="J575">
            <v>58995963900</v>
          </cell>
          <cell r="K575" t="str">
            <v>Federal University of Rio de Janeiro</v>
          </cell>
        </row>
        <row r="576">
          <cell r="J576">
            <v>57220803849</v>
          </cell>
          <cell r="K576" t="str">
            <v>Pontifical Catholic University of Rio de Janeiro</v>
          </cell>
        </row>
        <row r="577">
          <cell r="J577">
            <v>59548044900</v>
          </cell>
          <cell r="K577" t="str">
            <v>Universidade Federal de Pernambuco</v>
          </cell>
        </row>
        <row r="578">
          <cell r="J578">
            <v>35762849900</v>
          </cell>
          <cell r="K578" t="str">
            <v>Universidade Federal do Espírito Santo (+1 more)</v>
          </cell>
        </row>
        <row r="579">
          <cell r="J579">
            <v>57279479300</v>
          </cell>
          <cell r="K579" t="str">
            <v>Universidade Federal Fluminense</v>
          </cell>
        </row>
        <row r="580">
          <cell r="J580">
            <v>57462839200</v>
          </cell>
          <cell r="K580" t="str">
            <v>Pontifical Catholic University of Rio de Janeiro</v>
          </cell>
        </row>
        <row r="581">
          <cell r="J581">
            <v>6701590219</v>
          </cell>
          <cell r="K581" t="str">
            <v>Universidade de São Paulo</v>
          </cell>
        </row>
        <row r="582">
          <cell r="J582">
            <v>6603408884</v>
          </cell>
          <cell r="K582" t="str">
            <v>Universidade de São Paulo</v>
          </cell>
        </row>
        <row r="583">
          <cell r="J583">
            <v>58678068200</v>
          </cell>
          <cell r="K583" t="str">
            <v>SENAI Innovation Institute of Green Chemistry</v>
          </cell>
        </row>
        <row r="584">
          <cell r="J584">
            <v>56118906700</v>
          </cell>
          <cell r="K584" t="str">
            <v>Universidade Federal Fluminense</v>
          </cell>
        </row>
        <row r="585">
          <cell r="J585">
            <v>36809084800</v>
          </cell>
          <cell r="K585" t="str">
            <v>Universidade Tecnológica Federal do Paraná</v>
          </cell>
        </row>
        <row r="586">
          <cell r="J586">
            <v>7004153805</v>
          </cell>
          <cell r="K586" t="str">
            <v>Universidade Federal do Rio Grande do Sul</v>
          </cell>
        </row>
        <row r="587">
          <cell r="J587">
            <v>59205811200</v>
          </cell>
          <cell r="K587" t="str">
            <v>Federal University of Rio de Janeiro</v>
          </cell>
        </row>
        <row r="588">
          <cell r="J588">
            <v>8665015900</v>
          </cell>
          <cell r="K588" t="str">
            <v>Federal University of Rio de Janeiro</v>
          </cell>
        </row>
        <row r="589">
          <cell r="J589">
            <v>56928231100</v>
          </cell>
          <cell r="K589" t="str">
            <v>DEMa</v>
          </cell>
        </row>
        <row r="590">
          <cell r="J590">
            <v>58654253800</v>
          </cell>
          <cell r="K590" t="str">
            <v>Observatório Nacional</v>
          </cell>
        </row>
        <row r="591">
          <cell r="J591">
            <v>57224224477</v>
          </cell>
          <cell r="K591" t="str">
            <v>Universidade de São Paulo</v>
          </cell>
        </row>
        <row r="592">
          <cell r="J592">
            <v>56770199800</v>
          </cell>
          <cell r="K592" t="str">
            <v>Federal University of Rio de Janeiro</v>
          </cell>
        </row>
        <row r="593">
          <cell r="J593">
            <v>57196392041</v>
          </cell>
          <cell r="K593" t="str">
            <v>Universidade de São Paulo</v>
          </cell>
        </row>
        <row r="594">
          <cell r="J594">
            <v>57224006273</v>
          </cell>
          <cell r="K594" t="str">
            <v>Federal University of Rio de Janeiro</v>
          </cell>
        </row>
        <row r="595">
          <cell r="J595">
            <v>57196448737</v>
          </cell>
          <cell r="K595" t="str">
            <v>Federal University of Rio de Janeiro</v>
          </cell>
        </row>
        <row r="596">
          <cell r="J596">
            <v>56069754700</v>
          </cell>
          <cell r="K596" t="str">
            <v>Federal University of Rio de Janeiro</v>
          </cell>
        </row>
        <row r="597">
          <cell r="J597">
            <v>8777611000</v>
          </cell>
          <cell r="K597" t="str">
            <v>Universidade Federal Fluminense</v>
          </cell>
        </row>
        <row r="598">
          <cell r="J598">
            <v>56362632200</v>
          </cell>
          <cell r="K598" t="str">
            <v>Universidade Federal do Rio Grande do Sul (+1 more)</v>
          </cell>
        </row>
        <row r="599">
          <cell r="J599">
            <v>57217783147</v>
          </cell>
          <cell r="K599" t="str">
            <v>Universidade Federal de Santa Maria</v>
          </cell>
        </row>
        <row r="600">
          <cell r="J600">
            <v>57197711912</v>
          </cell>
          <cell r="K600" t="str">
            <v>Federal University of Santa Catarina</v>
          </cell>
        </row>
        <row r="601">
          <cell r="J601">
            <v>56518079700</v>
          </cell>
          <cell r="K601" t="str">
            <v>Universidade do Estado do Rio de Janeiro (+1 more)</v>
          </cell>
        </row>
        <row r="602">
          <cell r="J602">
            <v>56048202300</v>
          </cell>
          <cell r="K602" t="str">
            <v>University of Campinas</v>
          </cell>
        </row>
        <row r="603">
          <cell r="J603">
            <v>57219091149</v>
          </cell>
          <cell r="K603" t="str">
            <v>Vizlab - X-Reality and GeoInformatics Lab (+1 more)</v>
          </cell>
        </row>
        <row r="604">
          <cell r="J604">
            <v>57209714655</v>
          </cell>
          <cell r="K604" t="str">
            <v>Universidade Federal de Minas Gerais</v>
          </cell>
        </row>
        <row r="605">
          <cell r="J605">
            <v>57219555973</v>
          </cell>
          <cell r="K605" t="str">
            <v>Federal University of Santa Catarina</v>
          </cell>
        </row>
        <row r="606">
          <cell r="J606">
            <v>18041784200</v>
          </cell>
          <cell r="K606" t="str">
            <v>Universidade Estadual Paulista “Júlio de Mesquita Filho”</v>
          </cell>
        </row>
        <row r="607">
          <cell r="J607">
            <v>57193665990</v>
          </cell>
          <cell r="K607" t="str">
            <v>Federal University of Rio de Janeiro</v>
          </cell>
        </row>
        <row r="608">
          <cell r="J608">
            <v>57673209500</v>
          </cell>
          <cell r="K608" t="str">
            <v>Universidade Federal do Paraná</v>
          </cell>
        </row>
        <row r="609">
          <cell r="J609">
            <v>60151872000</v>
          </cell>
          <cell r="K609" t="str">
            <v>Pontifical Catholic University of Rio de Janeiro</v>
          </cell>
        </row>
        <row r="610">
          <cell r="J610">
            <v>57212265266</v>
          </cell>
          <cell r="K610" t="str">
            <v>Federal University of Pará</v>
          </cell>
        </row>
        <row r="611">
          <cell r="J611">
            <v>59573051600</v>
          </cell>
          <cell r="K611" t="str">
            <v>Federal University of Pará</v>
          </cell>
        </row>
        <row r="612">
          <cell r="J612">
            <v>37046797100</v>
          </cell>
          <cell r="K612" t="str">
            <v>Universidade Federal do Rio Grande do Sul</v>
          </cell>
        </row>
        <row r="613">
          <cell r="J613">
            <v>6602379054</v>
          </cell>
          <cell r="K613" t="str">
            <v>Universidade Federal do ABC</v>
          </cell>
        </row>
        <row r="614">
          <cell r="J614">
            <v>7006109327</v>
          </cell>
          <cell r="K614" t="str">
            <v>Universidade Federal de Goiás</v>
          </cell>
        </row>
        <row r="615">
          <cell r="J615">
            <v>57222027711</v>
          </cell>
          <cell r="K615" t="str">
            <v>Universidade Federal de Santa Maria</v>
          </cell>
        </row>
        <row r="616">
          <cell r="J616">
            <v>49963015100</v>
          </cell>
          <cell r="K616" t="str">
            <v>Universidade Federal do Rio Grande do Sul</v>
          </cell>
        </row>
        <row r="617">
          <cell r="J617">
            <v>57195509203</v>
          </cell>
          <cell r="K617" t="str">
            <v>Universidade Federal de Santa Maria</v>
          </cell>
        </row>
        <row r="618">
          <cell r="J618">
            <v>57205318575</v>
          </cell>
          <cell r="K618" t="str">
            <v>Universidade Federal de Pernambuco</v>
          </cell>
        </row>
        <row r="619">
          <cell r="J619">
            <v>59188089800</v>
          </cell>
          <cell r="K619" t="str">
            <v>Universidade Federal do Rio Grande do Sul</v>
          </cell>
        </row>
        <row r="620">
          <cell r="J620">
            <v>57205768241</v>
          </cell>
          <cell r="K620" t="str">
            <v>Vizlab - X-Reality and GeoInformatics Lab</v>
          </cell>
        </row>
        <row r="621">
          <cell r="J621">
            <v>7102246665</v>
          </cell>
          <cell r="K621" t="str">
            <v>Pontifical Catholic University of Rio de Janeiro</v>
          </cell>
        </row>
        <row r="622">
          <cell r="J622">
            <v>55219946400</v>
          </cell>
          <cell r="K622" t="str">
            <v>Universidade do Estado do Rio de Janeiro</v>
          </cell>
        </row>
        <row r="623">
          <cell r="J623">
            <v>57189727453</v>
          </cell>
          <cell r="K623" t="str">
            <v>Vizlab - X-Reality and GeoInformatics Lab (+1 more)</v>
          </cell>
        </row>
        <row r="624">
          <cell r="J624">
            <v>57423729800</v>
          </cell>
          <cell r="K624" t="str">
            <v>Universidade Tecnológica Federal do Paraná</v>
          </cell>
        </row>
        <row r="625">
          <cell r="J625">
            <v>57191994848</v>
          </cell>
          <cell r="K625" t="str">
            <v>Federal University of Rio de Janeiro</v>
          </cell>
        </row>
        <row r="626">
          <cell r="J626">
            <v>60084404000</v>
          </cell>
          <cell r="K626" t="str">
            <v>Federal University of Rio de Janeiro</v>
          </cell>
        </row>
        <row r="627">
          <cell r="J627">
            <v>58184905400</v>
          </cell>
          <cell r="K627" t="str">
            <v>Universidade Estadual Paulista “Júlio de Mesquita Filho”</v>
          </cell>
        </row>
        <row r="628">
          <cell r="J628">
            <v>55315382900</v>
          </cell>
          <cell r="K628" t="str">
            <v>Centro Federal de Educação Tecnológica Celso Suckow da Fonseca (CEFET-RJ)</v>
          </cell>
        </row>
        <row r="629">
          <cell r="J629">
            <v>55671613100</v>
          </cell>
          <cell r="K629" t="str">
            <v>Universidade Federal de Santa Maria</v>
          </cell>
        </row>
        <row r="630">
          <cell r="J630">
            <v>57188829183</v>
          </cell>
          <cell r="K630" t="str">
            <v>Universidade Federal de São João del-Rei</v>
          </cell>
        </row>
        <row r="631">
          <cell r="J631">
            <v>57197973208</v>
          </cell>
          <cell r="K631" t="str">
            <v>Universidade Estadual do Norte Fluminense</v>
          </cell>
        </row>
        <row r="632">
          <cell r="J632">
            <v>57214183574</v>
          </cell>
          <cell r="K632" t="str">
            <v>University of Campinas</v>
          </cell>
        </row>
        <row r="633">
          <cell r="J633">
            <v>35111013800</v>
          </cell>
          <cell r="K633" t="str">
            <v>Federal University of Rio de Janeiro</v>
          </cell>
        </row>
        <row r="634">
          <cell r="J634">
            <v>8872131800</v>
          </cell>
          <cell r="K634" t="str">
            <v>Petróleo Brasileiro S.A. (+2 more)</v>
          </cell>
        </row>
        <row r="635">
          <cell r="J635">
            <v>57190879336</v>
          </cell>
          <cell r="K635" t="str">
            <v>Universidade Federal de Santa Maria</v>
          </cell>
        </row>
        <row r="636">
          <cell r="J636">
            <v>6602250793</v>
          </cell>
          <cell r="K636" t="str">
            <v>Universidade de São Paulo (+1 more)</v>
          </cell>
        </row>
        <row r="637">
          <cell r="J637">
            <v>57196191611</v>
          </cell>
          <cell r="K637" t="str">
            <v>University of Campinas</v>
          </cell>
        </row>
        <row r="638">
          <cell r="J638">
            <v>57210968741</v>
          </cell>
          <cell r="K638" t="str">
            <v>Universidade Federal Fluminense (+1 more)</v>
          </cell>
        </row>
        <row r="639">
          <cell r="J639">
            <v>30667535000</v>
          </cell>
          <cell r="K639" t="str">
            <v>Universidade Federal Fluminense (+2 more)</v>
          </cell>
        </row>
        <row r="640">
          <cell r="J640">
            <v>59361690200</v>
          </cell>
          <cell r="K640" t="str">
            <v>Universidade Tecnológica Federal do Paraná</v>
          </cell>
        </row>
        <row r="641">
          <cell r="J641">
            <v>23984376200</v>
          </cell>
          <cell r="K641" t="str">
            <v>Universidade Federal de Santa Maria</v>
          </cell>
        </row>
        <row r="642">
          <cell r="J642">
            <v>56716292500</v>
          </cell>
          <cell r="K642" t="str">
            <v>Federal University of Rio de Janeiro</v>
          </cell>
        </row>
        <row r="643">
          <cell r="J643">
            <v>55195353900</v>
          </cell>
          <cell r="K643" t="str">
            <v>Federal University of Santa Catarina</v>
          </cell>
        </row>
        <row r="644">
          <cell r="J644">
            <v>56993916000</v>
          </cell>
          <cell r="K644" t="str">
            <v>Universidade Federal do Rio Grande do Sul</v>
          </cell>
        </row>
        <row r="645">
          <cell r="J645">
            <v>56993878900</v>
          </cell>
          <cell r="K645" t="str">
            <v>Universidade Federal do Rio Grande do Sul</v>
          </cell>
        </row>
        <row r="646">
          <cell r="J646">
            <v>15922006300</v>
          </cell>
          <cell r="K646" t="str">
            <v>Pontifical Catholic University of Rio de Janeiro</v>
          </cell>
        </row>
        <row r="647">
          <cell r="J647">
            <v>57204589444</v>
          </cell>
          <cell r="K647" t="str">
            <v>Federal University of Rio de Janeiro</v>
          </cell>
        </row>
        <row r="648">
          <cell r="J648">
            <v>56319500100</v>
          </cell>
          <cell r="K648" t="str">
            <v>Federal University of the Acre</v>
          </cell>
        </row>
        <row r="649">
          <cell r="J649">
            <v>57201418202</v>
          </cell>
          <cell r="K649" t="str">
            <v>Universidade Federal do Rio Grande do Sul</v>
          </cell>
        </row>
        <row r="650">
          <cell r="J650">
            <v>57194940636</v>
          </cell>
          <cell r="K650" t="str">
            <v>Universidade Federal de Pernambuco</v>
          </cell>
        </row>
        <row r="651">
          <cell r="J651">
            <v>57201425718</v>
          </cell>
          <cell r="K651" t="str">
            <v>TRANSPETRO</v>
          </cell>
        </row>
        <row r="652">
          <cell r="J652">
            <v>16199548300</v>
          </cell>
          <cell r="K652" t="str">
            <v>Instituto Nacional de Metrologia, Qualidade e Tecnologia</v>
          </cell>
        </row>
        <row r="653">
          <cell r="J653">
            <v>58845483800</v>
          </cell>
          <cell r="K653" t="str">
            <v>Consalt- Consultoria Mineral Ltda</v>
          </cell>
        </row>
        <row r="654">
          <cell r="J654">
            <v>57212314332</v>
          </cell>
          <cell r="K654" t="str">
            <v>University of State of Santa Catarina (UDESC)</v>
          </cell>
        </row>
        <row r="655">
          <cell r="J655">
            <v>6504059493</v>
          </cell>
          <cell r="K655" t="str">
            <v>DEMa</v>
          </cell>
        </row>
        <row r="656">
          <cell r="J656">
            <v>58682277800</v>
          </cell>
          <cell r="K656" t="str">
            <v>Universidade de São Paulo</v>
          </cell>
        </row>
        <row r="657">
          <cell r="J657">
            <v>55316903700</v>
          </cell>
          <cell r="K657" t="str">
            <v>Federal University of Rio de Janeiro</v>
          </cell>
        </row>
        <row r="658">
          <cell r="J658">
            <v>35799452200</v>
          </cell>
          <cell r="K658" t="str">
            <v>Vizlab - X-Reality and GeoInformatics Lab</v>
          </cell>
        </row>
        <row r="659">
          <cell r="J659">
            <v>57224222999</v>
          </cell>
          <cell r="K659" t="str">
            <v>Universidade Federal Fluminense (+1 more)</v>
          </cell>
        </row>
        <row r="660">
          <cell r="J660">
            <v>23093038600</v>
          </cell>
          <cell r="K660" t="str">
            <v>SINTEF do Brasil (+2 more)</v>
          </cell>
        </row>
        <row r="661">
          <cell r="J661">
            <v>35785163100</v>
          </cell>
          <cell r="K661" t="str">
            <v>Instituto Nacional de Metrologia, Qualidade e Tecnologia</v>
          </cell>
        </row>
        <row r="662">
          <cell r="J662">
            <v>57196043686</v>
          </cell>
          <cell r="K662" t="str">
            <v>Universidade de Brasília</v>
          </cell>
        </row>
        <row r="663">
          <cell r="J663">
            <v>57219657080</v>
          </cell>
          <cell r="K663" t="str">
            <v>Federal University of Rio de Janeiro</v>
          </cell>
        </row>
        <row r="664">
          <cell r="J664">
            <v>56242191200</v>
          </cell>
          <cell r="K664" t="str">
            <v>Universidade Federal Rural do Rio de Janeiro</v>
          </cell>
        </row>
        <row r="665">
          <cell r="J665">
            <v>6602126509</v>
          </cell>
          <cell r="K665" t="str">
            <v>Brazilian Navy (IEAPM)</v>
          </cell>
        </row>
        <row r="666">
          <cell r="J666">
            <v>55942376400</v>
          </cell>
          <cell r="K666" t="str">
            <v>Universidade Federal Rural do Rio de Janeiro (+3 more)</v>
          </cell>
        </row>
        <row r="667">
          <cell r="J667">
            <v>6506677034</v>
          </cell>
          <cell r="K667" t="str">
            <v>Centro Nacional de Pesquisa em Energia e Materiais</v>
          </cell>
        </row>
        <row r="668">
          <cell r="J668">
            <v>58314372800</v>
          </cell>
          <cell r="K668" t="str">
            <v>Universidade Federal do Rio Grande do Norte</v>
          </cell>
        </row>
        <row r="669">
          <cell r="J669">
            <v>60151650000</v>
          </cell>
          <cell r="K669" t="str">
            <v>Pontifical Catholic University of Rio de Janeiro</v>
          </cell>
        </row>
        <row r="670">
          <cell r="J670">
            <v>53983573700</v>
          </cell>
          <cell r="K670" t="str">
            <v>Universidade Federal de Minas Gerais (+3 more)</v>
          </cell>
        </row>
        <row r="671">
          <cell r="J671">
            <v>55228464600</v>
          </cell>
          <cell r="K671" t="str">
            <v>Laboratório Nacional Agropecuário (LANAGRO)</v>
          </cell>
        </row>
        <row r="672">
          <cell r="J672">
            <v>7003646663</v>
          </cell>
          <cell r="K672" t="str">
            <v>Universidade Federal do Espírito Santo</v>
          </cell>
        </row>
        <row r="673">
          <cell r="J673">
            <v>57274459500</v>
          </cell>
          <cell r="K673" t="str">
            <v>Universidade Federal de Itajubá</v>
          </cell>
        </row>
        <row r="674">
          <cell r="J674">
            <v>58954633100</v>
          </cell>
          <cell r="K674" t="str">
            <v>University of Campinas</v>
          </cell>
        </row>
        <row r="675">
          <cell r="J675">
            <v>55902270900</v>
          </cell>
          <cell r="K675" t="str">
            <v>Pontifical Catholic University of Rio de Janeiro</v>
          </cell>
        </row>
        <row r="676">
          <cell r="J676">
            <v>6505950372</v>
          </cell>
          <cell r="K676" t="str">
            <v>Natural Gas and Biofuels</v>
          </cell>
        </row>
        <row r="677">
          <cell r="J677">
            <v>56764224400</v>
          </cell>
          <cell r="K677" t="str">
            <v>Universidade Federal do Rio Grande do Norte</v>
          </cell>
        </row>
        <row r="678">
          <cell r="J678">
            <v>7102727167</v>
          </cell>
          <cell r="K678" t="str">
            <v>Universidade Federal de Minas Gerais</v>
          </cell>
        </row>
        <row r="679">
          <cell r="J679">
            <v>6701605185</v>
          </cell>
          <cell r="K679" t="str">
            <v>Universidade Federal do Rio Grande do Sul</v>
          </cell>
        </row>
        <row r="680">
          <cell r="J680">
            <v>9739246100</v>
          </cell>
          <cell r="K680" t="str">
            <v>Universidade de São Paulo</v>
          </cell>
        </row>
        <row r="681">
          <cell r="J681">
            <v>57193760718</v>
          </cell>
          <cell r="K681" t="str">
            <v>Pontifical Catholic University of Rio de Janeiro</v>
          </cell>
        </row>
        <row r="682">
          <cell r="J682">
            <v>31168189300</v>
          </cell>
          <cell r="K682" t="str">
            <v>OPTIMATECH Ltd.a. (+3 more)</v>
          </cell>
        </row>
        <row r="683">
          <cell r="J683">
            <v>58562510800</v>
          </cell>
          <cell r="K683" t="str">
            <v>Universidade Federal do Rio Grande do Norte</v>
          </cell>
        </row>
        <row r="684">
          <cell r="J684">
            <v>59242071200</v>
          </cell>
          <cell r="K684" t="str">
            <v>Pontifical Catholic University of Rio de Janeiro</v>
          </cell>
        </row>
        <row r="685">
          <cell r="J685">
            <v>57508638100</v>
          </cell>
          <cell r="K685" t="str">
            <v>Universidade do Estado do Rio de Janeiro (+1 more)</v>
          </cell>
        </row>
        <row r="686">
          <cell r="J686">
            <v>36766838000</v>
          </cell>
          <cell r="K686" t="str">
            <v>Instituto Federal de Educação, Ciência e Tecnologia de Santa Catarina</v>
          </cell>
        </row>
        <row r="687">
          <cell r="J687">
            <v>57672932400</v>
          </cell>
          <cell r="K687" t="str">
            <v>Universidade Federal do Paraná</v>
          </cell>
        </row>
        <row r="688">
          <cell r="J688">
            <v>58628027100</v>
          </cell>
          <cell r="K688" t="str">
            <v>Universidade do Estado do Rio de Janeiro (+1 more)</v>
          </cell>
        </row>
        <row r="689">
          <cell r="J689">
            <v>57201683473</v>
          </cell>
          <cell r="K689" t="str">
            <v>Université Gustave Eiffel (+1 more)</v>
          </cell>
        </row>
        <row r="690">
          <cell r="J690">
            <v>36105176500</v>
          </cell>
          <cell r="K690" t="str">
            <v>Federal University of Santa Catarina</v>
          </cell>
        </row>
        <row r="691">
          <cell r="J691">
            <v>55218136600</v>
          </cell>
          <cell r="K691" t="str">
            <v>Federal University of Rio de Janeiro</v>
          </cell>
        </row>
        <row r="692">
          <cell r="J692">
            <v>59975204500</v>
          </cell>
          <cell r="K692" t="str">
            <v>DEMa</v>
          </cell>
        </row>
        <row r="693">
          <cell r="J693">
            <v>56185269600</v>
          </cell>
          <cell r="K693" t="str">
            <v>Ergostech Renewable Energy Solutions</v>
          </cell>
        </row>
        <row r="694">
          <cell r="J694">
            <v>57190002936</v>
          </cell>
          <cell r="K694" t="str">
            <v>Universidade Federal de Mato Grosso</v>
          </cell>
        </row>
        <row r="695">
          <cell r="J695">
            <v>6602901666</v>
          </cell>
          <cell r="K695" t="str">
            <v>Universidade Federal de Minas Gerais</v>
          </cell>
        </row>
        <row r="696">
          <cell r="J696">
            <v>35570358200</v>
          </cell>
          <cell r="K696" t="str">
            <v>Federal University of Rio de Janeiro</v>
          </cell>
        </row>
        <row r="697">
          <cell r="J697">
            <v>57193677043</v>
          </cell>
          <cell r="K697" t="str">
            <v>Universidade do Estado do Rio de Janeiro (+1 more)</v>
          </cell>
        </row>
        <row r="698">
          <cell r="J698">
            <v>55921136200</v>
          </cell>
          <cell r="K698" t="str">
            <v>Federal University of Santa Catarina</v>
          </cell>
        </row>
        <row r="699">
          <cell r="J699">
            <v>59247663600</v>
          </cell>
          <cell r="K699" t="str">
            <v>Federal University of Rio de Janeiro</v>
          </cell>
        </row>
        <row r="700">
          <cell r="J700">
            <v>57219238736</v>
          </cell>
          <cell r="K700" t="str">
            <v>University of Campinas</v>
          </cell>
        </row>
        <row r="701">
          <cell r="J701">
            <v>57385944300</v>
          </cell>
          <cell r="K701" t="str">
            <v>Universidade Federal de Minas Gerais</v>
          </cell>
        </row>
        <row r="702">
          <cell r="J702">
            <v>16315182000</v>
          </cell>
          <cell r="K702" t="str">
            <v>Federal University of Rio de Janeiro</v>
          </cell>
        </row>
        <row r="703">
          <cell r="J703">
            <v>57202995543</v>
          </cell>
          <cell r="K703" t="str">
            <v>Federal University of Rio de Janeiro</v>
          </cell>
        </row>
        <row r="704">
          <cell r="J704">
            <v>57407846800</v>
          </cell>
          <cell r="K704" t="str">
            <v>Pontifical Catholic University of Rio de Janeiro</v>
          </cell>
        </row>
        <row r="705">
          <cell r="J705">
            <v>57210973265</v>
          </cell>
          <cell r="K705" t="str">
            <v>Federal University of Rio de Janeiro</v>
          </cell>
        </row>
        <row r="706">
          <cell r="J706">
            <v>57222631122</v>
          </cell>
          <cell r="K706" t="str">
            <v>Federal University of Rio de Janeiro</v>
          </cell>
        </row>
        <row r="707">
          <cell r="J707">
            <v>58143622900</v>
          </cell>
          <cell r="K707" t="str">
            <v>Universidade Federal de Ouro Preto</v>
          </cell>
        </row>
        <row r="708">
          <cell r="J708">
            <v>57917254600</v>
          </cell>
          <cell r="K708" t="str">
            <v>Universidade Federal de Goiás</v>
          </cell>
        </row>
        <row r="709">
          <cell r="J709">
            <v>59569344300</v>
          </cell>
          <cell r="K709" t="str">
            <v>Universidade Federal do Rio Grande do Norte</v>
          </cell>
        </row>
        <row r="710">
          <cell r="J710">
            <v>57559750100</v>
          </cell>
          <cell r="K710" t="str">
            <v>Universidade Federal de Pernambuco</v>
          </cell>
        </row>
        <row r="711">
          <cell r="J711">
            <v>57192072722</v>
          </cell>
          <cell r="K711" t="str">
            <v>Federal University of Santa Catarina</v>
          </cell>
        </row>
        <row r="712">
          <cell r="J712">
            <v>57203409025</v>
          </cell>
          <cell r="K712" t="str">
            <v>Pontifical Catholic University of Rio de Janeiro (+2 more)</v>
          </cell>
        </row>
        <row r="713">
          <cell r="J713">
            <v>26321361200</v>
          </cell>
          <cell r="K713" t="str">
            <v>Federal University of Santa Catarina</v>
          </cell>
        </row>
        <row r="714">
          <cell r="J714">
            <v>56764416200</v>
          </cell>
          <cell r="K714" t="str">
            <v>Universidade de São Paulo</v>
          </cell>
        </row>
        <row r="715">
          <cell r="J715">
            <v>57207814815</v>
          </cell>
          <cell r="K715" t="str">
            <v>Federal University of Rio de Janeiro</v>
          </cell>
        </row>
        <row r="716">
          <cell r="J716">
            <v>57209317117</v>
          </cell>
          <cell r="K716" t="str">
            <v>Federal University of Rio de Janeiro</v>
          </cell>
        </row>
        <row r="717">
          <cell r="J717">
            <v>41261201300</v>
          </cell>
          <cell r="K717" t="str">
            <v>Federal University of Rio de Janeiro</v>
          </cell>
        </row>
        <row r="718">
          <cell r="J718">
            <v>57205237538</v>
          </cell>
          <cell r="K718" t="str">
            <v>Observatório Nacional</v>
          </cell>
        </row>
        <row r="719">
          <cell r="J719">
            <v>60026108300</v>
          </cell>
          <cell r="K719" t="str">
            <v>Pontifical Catholic University of Rio de Janeiro</v>
          </cell>
        </row>
        <row r="720">
          <cell r="J720">
            <v>59364174500</v>
          </cell>
          <cell r="K720" t="str">
            <v>Universidade Federal de Minas Gerais</v>
          </cell>
        </row>
        <row r="721">
          <cell r="J721">
            <v>57191892427</v>
          </cell>
          <cell r="K721" t="str">
            <v>Instituto Nacional de Tecnologia</v>
          </cell>
        </row>
        <row r="722">
          <cell r="J722">
            <v>57191538490</v>
          </cell>
          <cell r="K722" t="str">
            <v>Universidade Federal do Rio Grande do Sul</v>
          </cell>
        </row>
        <row r="723">
          <cell r="J723">
            <v>57205630152</v>
          </cell>
          <cell r="K723" t="str">
            <v>Universidade do Estado do Rio de Janeiro</v>
          </cell>
        </row>
        <row r="724">
          <cell r="J724">
            <v>60089121800</v>
          </cell>
          <cell r="K724" t="str">
            <v>Universidade de São Paulo</v>
          </cell>
        </row>
        <row r="725">
          <cell r="J725">
            <v>8696518400</v>
          </cell>
          <cell r="K725" t="str">
            <v>Federal University of Rio de Janeiro</v>
          </cell>
        </row>
        <row r="726">
          <cell r="J726">
            <v>54794879800</v>
          </cell>
          <cell r="K726" t="str">
            <v>Federal University of Rio de Janeiro</v>
          </cell>
        </row>
        <row r="727">
          <cell r="J727">
            <v>58660582700</v>
          </cell>
          <cell r="K727" t="str">
            <v>Federal University of Rio de Janeiro</v>
          </cell>
        </row>
        <row r="728">
          <cell r="J728">
            <v>57338181500</v>
          </cell>
          <cell r="K728" t="str">
            <v>Universidade Federal Fluminense</v>
          </cell>
        </row>
        <row r="729">
          <cell r="J729">
            <v>6701704815</v>
          </cell>
          <cell r="K729" t="str">
            <v>Universidade Tiradentes (+4 more)</v>
          </cell>
        </row>
        <row r="730">
          <cell r="J730">
            <v>60006689300</v>
          </cell>
          <cell r="K730" t="str">
            <v>Universidade de São Paulo (+1 more)</v>
          </cell>
        </row>
        <row r="731">
          <cell r="J731">
            <v>55905050200</v>
          </cell>
          <cell r="K731" t="str">
            <v>Universidade Federal do Rio Grande do Sul</v>
          </cell>
        </row>
        <row r="732">
          <cell r="J732">
            <v>23088487900</v>
          </cell>
          <cell r="K732" t="str">
            <v>Federal University of Santa Catarina</v>
          </cell>
        </row>
        <row r="733">
          <cell r="J733">
            <v>57203183626</v>
          </cell>
          <cell r="K733" t="str">
            <v>Federal University of Rio de Janeiro</v>
          </cell>
        </row>
        <row r="734">
          <cell r="J734">
            <v>57218365372</v>
          </cell>
          <cell r="K734" t="str">
            <v>Fluminense Federal Institute - IFF</v>
          </cell>
        </row>
        <row r="735">
          <cell r="J735">
            <v>57192958390</v>
          </cell>
          <cell r="K735" t="str">
            <v>University of Campinas (+1 more)</v>
          </cell>
        </row>
        <row r="736">
          <cell r="J736">
            <v>57720039300</v>
          </cell>
          <cell r="K736" t="str">
            <v>Universidade de São Paulo</v>
          </cell>
        </row>
        <row r="737">
          <cell r="J737">
            <v>58040224400</v>
          </cell>
          <cell r="K737" t="str">
            <v>University of Campinas</v>
          </cell>
        </row>
        <row r="738">
          <cell r="J738">
            <v>57217547174</v>
          </cell>
          <cell r="K738" t="str">
            <v>Laboratório Nacional de Computação Científica</v>
          </cell>
        </row>
        <row r="739">
          <cell r="J739">
            <v>57812419200</v>
          </cell>
          <cell r="K739" t="str">
            <v>Federal University of Rio de Janeiro</v>
          </cell>
        </row>
        <row r="740">
          <cell r="J740">
            <v>7005777434</v>
          </cell>
          <cell r="K740" t="str">
            <v>Sa ̃o Carlos Federal University (+1 more)</v>
          </cell>
        </row>
        <row r="741">
          <cell r="J741">
            <v>55960762000</v>
          </cell>
          <cell r="K741" t="str">
            <v>Pontifical Catholic University of Rio de Janeiro</v>
          </cell>
        </row>
        <row r="742">
          <cell r="J742">
            <v>58157443100</v>
          </cell>
          <cell r="K742" t="str">
            <v>Universidade Estadual do Norte Fluminense</v>
          </cell>
        </row>
        <row r="743">
          <cell r="J743">
            <v>55902801700</v>
          </cell>
          <cell r="K743" t="str">
            <v>Universidade Federal do Rio Grande do Sul</v>
          </cell>
        </row>
        <row r="744">
          <cell r="J744">
            <v>57189386583</v>
          </cell>
          <cell r="K744" t="str">
            <v>Universidade Federal do Ceará</v>
          </cell>
        </row>
        <row r="745">
          <cell r="J745">
            <v>57203919753</v>
          </cell>
          <cell r="K745" t="str">
            <v>Instituto de Pesquisas Tecnologicas</v>
          </cell>
        </row>
        <row r="746">
          <cell r="J746">
            <v>59030338500</v>
          </cell>
          <cell r="K746" t="str">
            <v>Vizlab - X-Reality and GeoInformatics Lab</v>
          </cell>
        </row>
        <row r="747">
          <cell r="J747">
            <v>56117320900</v>
          </cell>
          <cell r="K747" t="str">
            <v>Vizlab - X-Reality and GeoInformatics Lab (+1 more)</v>
          </cell>
        </row>
        <row r="748">
          <cell r="J748">
            <v>55843456600</v>
          </cell>
          <cell r="K748" t="str">
            <v>Universidade Federal de Minas Gerais</v>
          </cell>
        </row>
        <row r="749">
          <cell r="J749">
            <v>57203163697</v>
          </cell>
          <cell r="K749" t="str">
            <v>Federal University of Rio de Janeiro</v>
          </cell>
        </row>
        <row r="750">
          <cell r="J750">
            <v>57193087272</v>
          </cell>
          <cell r="K750" t="str">
            <v>Universidade Federal Fluminense</v>
          </cell>
        </row>
        <row r="751">
          <cell r="J751">
            <v>57223862253</v>
          </cell>
          <cell r="K751" t="str">
            <v>Federal University of Rio de Janeiro</v>
          </cell>
        </row>
        <row r="752">
          <cell r="J752">
            <v>58550313600</v>
          </cell>
          <cell r="K752" t="str">
            <v>Universidade Federal do Rio Grande do Sul</v>
          </cell>
        </row>
        <row r="753">
          <cell r="J753">
            <v>57208088588</v>
          </cell>
          <cell r="K753" t="str">
            <v>Universidade Federal de Goiás</v>
          </cell>
        </row>
        <row r="754">
          <cell r="J754">
            <v>58574876300</v>
          </cell>
          <cell r="K754" t="str">
            <v>Universidade Tecnológica Federal do Paraná</v>
          </cell>
        </row>
        <row r="755">
          <cell r="J755">
            <v>7006254140</v>
          </cell>
          <cell r="K755" t="str">
            <v>Universidade Federal de Santa Maria</v>
          </cell>
        </row>
        <row r="756">
          <cell r="J756">
            <v>57195512331</v>
          </cell>
          <cell r="K756" t="str">
            <v>Universidade Federal de Santa Maria</v>
          </cell>
        </row>
        <row r="757">
          <cell r="J757">
            <v>22733389900</v>
          </cell>
          <cell r="K757" t="str">
            <v>Universidade Federal do Rio Grande do Sul</v>
          </cell>
        </row>
        <row r="758">
          <cell r="J758">
            <v>57224478241</v>
          </cell>
          <cell r="K758" t="str">
            <v>Federal University of Rio de Janeiro</v>
          </cell>
        </row>
        <row r="759">
          <cell r="J759">
            <v>57203133478</v>
          </cell>
          <cell r="K759" t="str">
            <v>Federal University of Rio de Janeiro</v>
          </cell>
        </row>
        <row r="760">
          <cell r="J760">
            <v>25025619100</v>
          </cell>
          <cell r="K760" t="str">
            <v>Federal University of Rio de Janeiro</v>
          </cell>
        </row>
        <row r="761">
          <cell r="J761">
            <v>58995248300</v>
          </cell>
          <cell r="K761" t="str">
            <v>Universidade Federal do Ceará</v>
          </cell>
        </row>
        <row r="762">
          <cell r="J762">
            <v>59300230900</v>
          </cell>
          <cell r="K762" t="str">
            <v>Federal University of Rio de Janeiro</v>
          </cell>
        </row>
        <row r="763">
          <cell r="J763">
            <v>57195200645</v>
          </cell>
          <cell r="K763" t="str">
            <v>Universidade Federal da Bahia</v>
          </cell>
        </row>
        <row r="764">
          <cell r="J764">
            <v>35575989700</v>
          </cell>
          <cell r="K764" t="str">
            <v>Universidade de São Paulo</v>
          </cell>
        </row>
        <row r="765">
          <cell r="J765">
            <v>57196664331</v>
          </cell>
          <cell r="K765" t="str">
            <v>SINTEF (+4 more)</v>
          </cell>
        </row>
        <row r="766">
          <cell r="J766">
            <v>7005054860</v>
          </cell>
          <cell r="K766" t="str">
            <v>Centro de Tecnologia Mineral</v>
          </cell>
        </row>
        <row r="767">
          <cell r="J767">
            <v>57200216312</v>
          </cell>
          <cell r="K767" t="str">
            <v>Federal University of Rio de Janeiro</v>
          </cell>
        </row>
        <row r="768">
          <cell r="J768">
            <v>56680805100</v>
          </cell>
          <cell r="K768" t="str">
            <v>Universidade Federal do Rio Grande do Norte</v>
          </cell>
        </row>
        <row r="769">
          <cell r="J769">
            <v>57192113115</v>
          </cell>
          <cell r="K769" t="str">
            <v>Petróleo Brasileiro S.A. (+2 more)</v>
          </cell>
        </row>
        <row r="770">
          <cell r="J770">
            <v>57221519803</v>
          </cell>
          <cell r="K770" t="str">
            <v>University of Campinas</v>
          </cell>
        </row>
        <row r="771">
          <cell r="J771">
            <v>57361122100</v>
          </cell>
          <cell r="K771" t="str">
            <v>Pontifical Catholic University of Rio de Janeiro</v>
          </cell>
        </row>
        <row r="772">
          <cell r="J772">
            <v>57209451579</v>
          </cell>
          <cell r="K772" t="str">
            <v>Universidade Federal do Paraná</v>
          </cell>
        </row>
        <row r="773">
          <cell r="J773">
            <v>57200108468</v>
          </cell>
          <cell r="K773" t="str">
            <v>Federal University of Rio de Janeiro</v>
          </cell>
        </row>
        <row r="774">
          <cell r="J774">
            <v>15841636400</v>
          </cell>
          <cell r="K774" t="str">
            <v>Universidade Federal Fluminense</v>
          </cell>
        </row>
        <row r="775">
          <cell r="J775">
            <v>59692914500</v>
          </cell>
          <cell r="K775" t="str">
            <v>Pontifical Catholic University of Rio de Janeiro</v>
          </cell>
        </row>
        <row r="776">
          <cell r="J776">
            <v>57204005130</v>
          </cell>
          <cell r="K776" t="str">
            <v>Universidade Federal Fluminense</v>
          </cell>
        </row>
        <row r="777">
          <cell r="J777">
            <v>57195404168</v>
          </cell>
          <cell r="K777" t="str">
            <v>Instituto Nacional de Tecnologia</v>
          </cell>
        </row>
        <row r="778">
          <cell r="J778">
            <v>7103378986</v>
          </cell>
          <cell r="K778" t="str">
            <v>Universidade de São Paulo</v>
          </cell>
        </row>
        <row r="779">
          <cell r="J779">
            <v>58165958400</v>
          </cell>
          <cell r="K779" t="str">
            <v>Engineering Simulation and Scientific Software (+1 more)</v>
          </cell>
        </row>
        <row r="780">
          <cell r="J780">
            <v>57201268506</v>
          </cell>
          <cell r="K780" t="str">
            <v>Pontifical Catholic University of Rio de Janeiro</v>
          </cell>
        </row>
        <row r="781">
          <cell r="J781">
            <v>56769341600</v>
          </cell>
          <cell r="K781" t="str">
            <v>Universidade de São Paulo (+1 more)</v>
          </cell>
        </row>
        <row r="782">
          <cell r="J782">
            <v>59167619700</v>
          </cell>
          <cell r="K782" t="str">
            <v>Federal University of Rio de Janeiro</v>
          </cell>
        </row>
        <row r="783">
          <cell r="J783">
            <v>56011320900</v>
          </cell>
          <cell r="K783" t="str">
            <v>Nuclear Engineering Institute Rio de Janeiro (+1 more)</v>
          </cell>
        </row>
        <row r="784">
          <cell r="J784">
            <v>60099706100</v>
          </cell>
          <cell r="K784" t="str">
            <v>Universidade de Estadual de Rio de Janeiro</v>
          </cell>
        </row>
        <row r="785">
          <cell r="J785">
            <v>8410021500</v>
          </cell>
          <cell r="K785" t="str">
            <v>Universidade Federal de Itajubá</v>
          </cell>
        </row>
        <row r="786">
          <cell r="J786">
            <v>59226270700</v>
          </cell>
          <cell r="K786" t="str">
            <v>Federal University of Rio de Janeiro</v>
          </cell>
        </row>
        <row r="787">
          <cell r="J787">
            <v>57189846150</v>
          </cell>
          <cell r="K787" t="str">
            <v>Universidade Federal de Pernambuco</v>
          </cell>
        </row>
        <row r="788">
          <cell r="J788">
            <v>57200886724</v>
          </cell>
          <cell r="K788" t="str">
            <v>Universidade Federal do Espírito Santo</v>
          </cell>
        </row>
        <row r="789">
          <cell r="J789">
            <v>7103030493</v>
          </cell>
          <cell r="K789" t="str">
            <v>Federal University of Rio de Janeiro</v>
          </cell>
        </row>
        <row r="790">
          <cell r="J790">
            <v>36794567000</v>
          </cell>
          <cell r="K790" t="str">
            <v>Federal University of Rio de Janeiro</v>
          </cell>
        </row>
        <row r="791">
          <cell r="J791">
            <v>56548303600</v>
          </cell>
          <cell r="K791" t="str">
            <v>Centro Federal de Educação Tecnológica Celso Suckow da Fonseca (CEFET-RJ)</v>
          </cell>
        </row>
        <row r="792">
          <cell r="J792">
            <v>60123760500</v>
          </cell>
          <cell r="K792" t="str">
            <v>Science and Technology of Espírito Santo</v>
          </cell>
        </row>
        <row r="793">
          <cell r="J793">
            <v>23396260500</v>
          </cell>
          <cell r="K793" t="str">
            <v>Pontifical Catholic University of Rio de Janeiro (+1 more)</v>
          </cell>
        </row>
        <row r="794">
          <cell r="J794">
            <v>57224795319</v>
          </cell>
          <cell r="K794" t="str">
            <v>Universidade Federal de Pernambuco</v>
          </cell>
        </row>
        <row r="795">
          <cell r="J795">
            <v>56915370000</v>
          </cell>
          <cell r="K795" t="str">
            <v>Federal University of Rio de Janeiro</v>
          </cell>
        </row>
        <row r="796">
          <cell r="J796">
            <v>57189842426</v>
          </cell>
          <cell r="K796" t="str">
            <v>Federal University of Rio de Janeiro</v>
          </cell>
        </row>
        <row r="797">
          <cell r="J797">
            <v>9333156000</v>
          </cell>
          <cell r="K797" t="str">
            <v>University of Coimbra (+1 more)</v>
          </cell>
        </row>
        <row r="798">
          <cell r="J798">
            <v>57699564900</v>
          </cell>
          <cell r="K798" t="str">
            <v>Federal University of Rio de Janeiro</v>
          </cell>
        </row>
        <row r="799">
          <cell r="J799">
            <v>57210136366</v>
          </cell>
          <cell r="K799" t="str">
            <v>Universidade Federal de Viçosa</v>
          </cell>
        </row>
        <row r="800">
          <cell r="J800">
            <v>23491456500</v>
          </cell>
          <cell r="K800" t="str">
            <v>Universidade Federal de Santa Maria</v>
          </cell>
        </row>
        <row r="801">
          <cell r="J801">
            <v>25959901100</v>
          </cell>
          <cell r="K801" t="str">
            <v>Universidade do Estado do Rio de Janeiro</v>
          </cell>
        </row>
        <row r="802">
          <cell r="J802">
            <v>59681491000</v>
          </cell>
          <cell r="K802" t="str">
            <v>Federal University of Rio de Janeiro</v>
          </cell>
        </row>
        <row r="803">
          <cell r="J803">
            <v>57223117673</v>
          </cell>
          <cell r="K803" t="str">
            <v>Pontifical Catholic University of Rio de Janeiro (+1 more)</v>
          </cell>
        </row>
        <row r="804">
          <cell r="J804">
            <v>10139894700</v>
          </cell>
          <cell r="K804" t="str">
            <v>Universidade do Estado do Rio de Janeiro</v>
          </cell>
        </row>
        <row r="805">
          <cell r="J805">
            <v>57202264113</v>
          </cell>
          <cell r="K805" t="str">
            <v>Universidade de São Paulo</v>
          </cell>
        </row>
        <row r="806">
          <cell r="J806">
            <v>35179007100</v>
          </cell>
          <cell r="K806" t="str">
            <v>LAMEMO - Modelling Methods in Engineering and Geophysics Laboratory</v>
          </cell>
        </row>
        <row r="807">
          <cell r="J807">
            <v>56328496200</v>
          </cell>
          <cell r="K807" t="str">
            <v>Pontifical Catholic University of Rio de Janeiro</v>
          </cell>
        </row>
        <row r="808">
          <cell r="J808">
            <v>57204914888</v>
          </cell>
          <cell r="K808" t="str">
            <v>Instituto SENAI de Inovação em Engenharia de Superfícies</v>
          </cell>
        </row>
        <row r="809">
          <cell r="J809">
            <v>57223656943</v>
          </cell>
          <cell r="K809" t="str">
            <v>Serviço Nacional de Aprendizagem Industrial</v>
          </cell>
        </row>
        <row r="810">
          <cell r="J810">
            <v>57190611058</v>
          </cell>
          <cell r="K810" t="str">
            <v>Universidade Federal de Goiás (+1 more)</v>
          </cell>
        </row>
        <row r="811">
          <cell r="J811">
            <v>56363209500</v>
          </cell>
          <cell r="K811" t="str">
            <v>Université de Lille (+2 more)</v>
          </cell>
        </row>
        <row r="812">
          <cell r="J812">
            <v>57190954190</v>
          </cell>
          <cell r="K812" t="str">
            <v>Universidade de São Paulo</v>
          </cell>
        </row>
        <row r="813">
          <cell r="J813">
            <v>57903774900</v>
          </cell>
          <cell r="K813" t="str">
            <v>Federal University of Rio de Janeiro</v>
          </cell>
        </row>
        <row r="814">
          <cell r="J814">
            <v>56414996900</v>
          </cell>
          <cell r="K814" t="str">
            <v>Universidade de São Paulo (+1 more)</v>
          </cell>
        </row>
        <row r="815">
          <cell r="J815">
            <v>56019398400</v>
          </cell>
          <cell r="K815" t="str">
            <v>Federal University of Rio de Janeiro</v>
          </cell>
        </row>
        <row r="816">
          <cell r="J816">
            <v>7102125708</v>
          </cell>
          <cell r="K816" t="str">
            <v>Pontifical Catholic University of Rio de Janeiro</v>
          </cell>
        </row>
        <row r="817">
          <cell r="J817">
            <v>6603296009</v>
          </cell>
          <cell r="K817" t="str">
            <v>Federal University of Rio de Janeiro</v>
          </cell>
        </row>
        <row r="818">
          <cell r="J818">
            <v>6602812614</v>
          </cell>
          <cell r="K818" t="str">
            <v>Universidade Estadual de Ponta Grossa</v>
          </cell>
        </row>
        <row r="819">
          <cell r="J819">
            <v>25924136700</v>
          </cell>
          <cell r="K819" t="str">
            <v>Federal University of Rio de Janeiro</v>
          </cell>
        </row>
        <row r="820">
          <cell r="J820">
            <v>57215416351</v>
          </cell>
          <cell r="K820" t="str">
            <v>Pontifical Catholic University of Rio de Janeiro</v>
          </cell>
        </row>
        <row r="821">
          <cell r="J821">
            <v>24474332800</v>
          </cell>
          <cell r="K821" t="str">
            <v>Universidade Federal do Ceará</v>
          </cell>
        </row>
        <row r="822">
          <cell r="J822">
            <v>57219903858</v>
          </cell>
          <cell r="K822" t="str">
            <v>University of Campinas (+1 more)</v>
          </cell>
        </row>
        <row r="823">
          <cell r="J823">
            <v>57125961900</v>
          </cell>
          <cell r="K823" t="str">
            <v>Federal University of Rio de Janeiro</v>
          </cell>
        </row>
        <row r="824">
          <cell r="J824">
            <v>57206670518</v>
          </cell>
          <cell r="K824" t="str">
            <v>Federal University of Rio de Janeiro</v>
          </cell>
        </row>
        <row r="825">
          <cell r="J825">
            <v>59756923200</v>
          </cell>
          <cell r="K825" t="str">
            <v>Pontifical Catholic University of Rio de Janeiro (+1 more)</v>
          </cell>
        </row>
        <row r="826">
          <cell r="J826">
            <v>57393565700</v>
          </cell>
          <cell r="K826" t="str">
            <v>Federal University of Rio de Janeiro</v>
          </cell>
        </row>
        <row r="827">
          <cell r="J827">
            <v>57190492288</v>
          </cell>
          <cell r="K827" t="str">
            <v>Universidade Federal Fluminense</v>
          </cell>
        </row>
        <row r="828">
          <cell r="J828">
            <v>57204899964</v>
          </cell>
          <cell r="K828" t="str">
            <v>Federal University of Rio de Janeiro</v>
          </cell>
        </row>
        <row r="829">
          <cell r="J829">
            <v>55827691700</v>
          </cell>
          <cell r="K829" t="str">
            <v>Pontifical Catholic University of Rio de Janeiro</v>
          </cell>
        </row>
        <row r="830">
          <cell r="J830">
            <v>56940174800</v>
          </cell>
          <cell r="K830" t="str">
            <v>University of Campinas</v>
          </cell>
        </row>
        <row r="831">
          <cell r="J831">
            <v>57200270007</v>
          </cell>
          <cell r="K831" t="str">
            <v>Pontifical Catholic University of Rio de Janeiro</v>
          </cell>
        </row>
        <row r="832">
          <cell r="J832">
            <v>58600819700</v>
          </cell>
          <cell r="K832" t="str">
            <v>Federal University of Rio de Janeiro</v>
          </cell>
        </row>
        <row r="833">
          <cell r="J833">
            <v>57221108565</v>
          </cell>
          <cell r="K833" t="str">
            <v>Instituto Nacional de Tecnologia</v>
          </cell>
        </row>
        <row r="834">
          <cell r="J834">
            <v>57223030239</v>
          </cell>
          <cell r="K834" t="str">
            <v>Universidade Federal de Uberlândia</v>
          </cell>
        </row>
        <row r="835">
          <cell r="J835">
            <v>55788057200</v>
          </cell>
          <cell r="K835" t="str">
            <v>University of Campinas</v>
          </cell>
        </row>
        <row r="836">
          <cell r="J836">
            <v>59984357800</v>
          </cell>
          <cell r="K836" t="str">
            <v>University of Campinas</v>
          </cell>
        </row>
        <row r="837">
          <cell r="J837">
            <v>58854879300</v>
          </cell>
          <cell r="K837" t="str">
            <v>PUC-Rio</v>
          </cell>
        </row>
        <row r="838">
          <cell r="J838">
            <v>57207244037</v>
          </cell>
          <cell r="K838" t="str">
            <v>Instituto Federal de Educação, Ciência e Tecnologia do Rio de Janeiro (+1 more)</v>
          </cell>
        </row>
        <row r="839">
          <cell r="J839">
            <v>57194421123</v>
          </cell>
          <cell r="K839" t="str">
            <v>Universidade Federal de Minas Gerais</v>
          </cell>
        </row>
        <row r="840">
          <cell r="J840">
            <v>55953449200</v>
          </cell>
          <cell r="K840" t="str">
            <v>Universidade Federal de Minas Gerais</v>
          </cell>
        </row>
        <row r="841">
          <cell r="J841">
            <v>57207793557</v>
          </cell>
          <cell r="K841" t="str">
            <v>Universidade Federal de Santa Maria</v>
          </cell>
        </row>
        <row r="842">
          <cell r="J842">
            <v>8579188700</v>
          </cell>
          <cell r="K842" t="str">
            <v>Federal University of Rio de Janeiro</v>
          </cell>
        </row>
        <row r="843">
          <cell r="J843">
            <v>58178734400</v>
          </cell>
          <cell r="K843" t="str">
            <v>Universidade Federal da Bahia</v>
          </cell>
        </row>
        <row r="844">
          <cell r="J844">
            <v>58576772000</v>
          </cell>
          <cell r="K844" t="str">
            <v>Universidade Federal Fluminense</v>
          </cell>
        </row>
        <row r="845">
          <cell r="J845">
            <v>8516327500</v>
          </cell>
          <cell r="K845" t="str">
            <v>Federal University of Rio de Janeiro</v>
          </cell>
        </row>
        <row r="846">
          <cell r="J846">
            <v>58855069300</v>
          </cell>
          <cell r="K846" t="str">
            <v>PUC-Rio</v>
          </cell>
        </row>
        <row r="847">
          <cell r="J847">
            <v>37036988300</v>
          </cell>
          <cell r="K847" t="str">
            <v>Universidade de São Paulo (+1 more)</v>
          </cell>
        </row>
        <row r="848">
          <cell r="J848">
            <v>57673760100</v>
          </cell>
          <cell r="K848" t="str">
            <v>Universidade Federal do Paraná</v>
          </cell>
        </row>
        <row r="849">
          <cell r="J849">
            <v>58282378400</v>
          </cell>
          <cell r="K849" t="str">
            <v>Universidade Federal de Uberlândia</v>
          </cell>
        </row>
        <row r="850">
          <cell r="J850">
            <v>56518269000</v>
          </cell>
          <cell r="K850" t="str">
            <v>Federal University of Santa Catarina</v>
          </cell>
        </row>
        <row r="851">
          <cell r="J851">
            <v>59348714300</v>
          </cell>
          <cell r="K851" t="str">
            <v>Vizlab - X-Reality and GeoInformatics Lab</v>
          </cell>
        </row>
        <row r="852">
          <cell r="J852">
            <v>57819337000</v>
          </cell>
          <cell r="K852" t="str">
            <v>University of Campinas</v>
          </cell>
        </row>
        <row r="853">
          <cell r="J853">
            <v>55696990700</v>
          </cell>
          <cell r="K853" t="str">
            <v>Federal University of Santa Catarina</v>
          </cell>
        </row>
        <row r="854">
          <cell r="J854">
            <v>56418603700</v>
          </cell>
          <cell r="K854" t="str">
            <v>University of Campinas (+2 more)</v>
          </cell>
        </row>
        <row r="855">
          <cell r="J855">
            <v>25627154100</v>
          </cell>
          <cell r="K855" t="str">
            <v>Federal Institute of Education</v>
          </cell>
        </row>
        <row r="856">
          <cell r="J856">
            <v>9942366600</v>
          </cell>
          <cell r="K856" t="str">
            <v>Pontifical Catholic University of Rio de Janeiro</v>
          </cell>
        </row>
        <row r="857">
          <cell r="J857">
            <v>57218312032</v>
          </cell>
          <cell r="K857" t="str">
            <v>Universidade Federal de Pernambuco</v>
          </cell>
        </row>
        <row r="858">
          <cell r="J858">
            <v>57248596400</v>
          </cell>
          <cell r="K858" t="str">
            <v>Universidade Federal do Rio Grande do Sul</v>
          </cell>
        </row>
        <row r="859">
          <cell r="J859">
            <v>57266832300</v>
          </cell>
          <cell r="K859" t="str">
            <v>Universidade Federal do Rio Grande do Norte</v>
          </cell>
        </row>
        <row r="860">
          <cell r="J860">
            <v>36697601700</v>
          </cell>
          <cell r="K860" t="str">
            <v>Instituto Nacional de Tecnologia</v>
          </cell>
        </row>
        <row r="861">
          <cell r="J861">
            <v>57200260561</v>
          </cell>
          <cell r="K861" t="str">
            <v>Federal University of Rio de Janeiro</v>
          </cell>
        </row>
        <row r="862">
          <cell r="J862">
            <v>37058490100</v>
          </cell>
          <cell r="K862" t="str">
            <v>Universidade Federal do Rio Grande do Sul</v>
          </cell>
        </row>
        <row r="863">
          <cell r="J863">
            <v>57202514299</v>
          </cell>
          <cell r="K863" t="str">
            <v>University of Campinas</v>
          </cell>
        </row>
        <row r="864">
          <cell r="J864">
            <v>36503429100</v>
          </cell>
          <cell r="K864" t="str">
            <v>Vizlab - X-Reality and GeoInformatics Lab (+1 more)</v>
          </cell>
        </row>
        <row r="865">
          <cell r="J865">
            <v>57194794557</v>
          </cell>
          <cell r="K865" t="str">
            <v>Universidade Federal da Bahia</v>
          </cell>
        </row>
        <row r="866">
          <cell r="J866">
            <v>6602386285</v>
          </cell>
          <cell r="K866" t="str">
            <v>Universidade Federal da Bahia (+1 more)</v>
          </cell>
        </row>
        <row r="867">
          <cell r="J867">
            <v>37076728800</v>
          </cell>
          <cell r="K867" t="str">
            <v>Universidade Federal do Paraná</v>
          </cell>
        </row>
        <row r="868">
          <cell r="J868">
            <v>56021498500</v>
          </cell>
          <cell r="K868" t="str">
            <v>Universidade Federal de Pernambuco</v>
          </cell>
        </row>
        <row r="869">
          <cell r="J869">
            <v>55839669400</v>
          </cell>
          <cell r="K869" t="str">
            <v>Universidade Federal Fluminense (+3 more)</v>
          </cell>
        </row>
        <row r="870">
          <cell r="J870">
            <v>15025819300</v>
          </cell>
          <cell r="K870" t="str">
            <v>Yerevan State University (+3 more)</v>
          </cell>
        </row>
        <row r="871">
          <cell r="J871">
            <v>57223015233</v>
          </cell>
          <cell r="K871" t="str">
            <v>Federal University of Rio de Janeiro</v>
          </cell>
        </row>
        <row r="872">
          <cell r="J872">
            <v>58927970000</v>
          </cell>
          <cell r="K872" t="str">
            <v>Pontifical Catholic University of Rio de Janeiro</v>
          </cell>
        </row>
        <row r="873">
          <cell r="J873">
            <v>57126409600</v>
          </cell>
          <cell r="K873" t="str">
            <v>Instituto Nacional de Pesquisas Espaciais</v>
          </cell>
        </row>
        <row r="874">
          <cell r="J874">
            <v>16027859600</v>
          </cell>
          <cell r="K874" t="str">
            <v>Universidade Federal de Juiz de Fora (+2 more)</v>
          </cell>
        </row>
        <row r="875">
          <cell r="J875">
            <v>49060979200</v>
          </cell>
          <cell r="K875" t="str">
            <v>Fundação Gorceix (+2 more)</v>
          </cell>
        </row>
        <row r="876">
          <cell r="J876">
            <v>57866931900</v>
          </cell>
          <cell r="K876" t="str">
            <v>Federal University of Rio de Janeiro</v>
          </cell>
        </row>
        <row r="877">
          <cell r="J877">
            <v>57214345692</v>
          </cell>
          <cell r="K877" t="str">
            <v>Universidade Estadual Paulista “Júlio de Mesquita Filho” (+1 more)</v>
          </cell>
        </row>
        <row r="878">
          <cell r="J878">
            <v>56518209600</v>
          </cell>
          <cell r="K878" t="str">
            <v>Universidade Estadual Paulista “Júlio de Mesquita Filho”</v>
          </cell>
        </row>
        <row r="879">
          <cell r="J879">
            <v>35885277300</v>
          </cell>
          <cell r="K879" t="str">
            <v>Federal University of Rio de Janeiro</v>
          </cell>
        </row>
        <row r="880">
          <cell r="J880">
            <v>57221947697</v>
          </cell>
          <cell r="K880" t="str">
            <v>SENAI Innovation Institute for Manufacturing Systems and Laser Processing</v>
          </cell>
        </row>
        <row r="881">
          <cell r="J881">
            <v>57192211982</v>
          </cell>
          <cell r="K881" t="str">
            <v>University of Campinas</v>
          </cell>
        </row>
        <row r="882">
          <cell r="J882">
            <v>25821721800</v>
          </cell>
          <cell r="K882" t="str">
            <v>Universidade Federal de Goiás</v>
          </cell>
        </row>
        <row r="883">
          <cell r="J883">
            <v>22233809000</v>
          </cell>
          <cell r="K883" t="str">
            <v>Federal University of Santa Catarina</v>
          </cell>
        </row>
        <row r="884">
          <cell r="J884">
            <v>57200255455</v>
          </cell>
          <cell r="K884" t="str">
            <v>Federal University of Rio de Janeiro</v>
          </cell>
        </row>
        <row r="885">
          <cell r="J885">
            <v>57612849500</v>
          </cell>
          <cell r="K885" t="str">
            <v>Federal University of Rio de Janeiro</v>
          </cell>
        </row>
        <row r="886">
          <cell r="J886">
            <v>57210258154</v>
          </cell>
          <cell r="K886" t="str">
            <v>Instituto de Pesquisas Tecnologicas</v>
          </cell>
        </row>
        <row r="887">
          <cell r="J887">
            <v>59787876000</v>
          </cell>
          <cell r="K887" t="str">
            <v>University of Campinas</v>
          </cell>
        </row>
        <row r="888">
          <cell r="J888">
            <v>57215344289</v>
          </cell>
          <cell r="K888" t="str">
            <v>Pontifical Catholic University of Rio de Janeiro</v>
          </cell>
        </row>
        <row r="889">
          <cell r="J889">
            <v>6601970871</v>
          </cell>
          <cell r="K889" t="str">
            <v>Vizlab - X-Reality and GeoInformatics Lab (+3 more)</v>
          </cell>
        </row>
        <row r="890">
          <cell r="J890">
            <v>6508145194</v>
          </cell>
          <cell r="K890" t="str">
            <v>PGS</v>
          </cell>
        </row>
        <row r="891">
          <cell r="J891">
            <v>57203636129</v>
          </cell>
          <cell r="K891" t="str">
            <v>Centro Brasileiro de Pesquisas Físicas</v>
          </cell>
        </row>
        <row r="892">
          <cell r="J892">
            <v>59251799700</v>
          </cell>
          <cell r="K892" t="str">
            <v>Federal University of Santa Catarina</v>
          </cell>
        </row>
        <row r="893">
          <cell r="J893">
            <v>57546765400</v>
          </cell>
          <cell r="K893" t="str">
            <v>Universidade Tecnológica Federal do Paraná</v>
          </cell>
        </row>
        <row r="894">
          <cell r="J894">
            <v>6601905641</v>
          </cell>
          <cell r="K894" t="str">
            <v>Universidade Federal do Rio Grande do Norte (+1 more)</v>
          </cell>
        </row>
        <row r="895">
          <cell r="J895">
            <v>36052540300</v>
          </cell>
          <cell r="K895" t="str">
            <v>Universidade Federal do Espírito Santo</v>
          </cell>
        </row>
        <row r="896">
          <cell r="J896">
            <v>59420170800</v>
          </cell>
          <cell r="K896" t="str">
            <v>Universidade de São Paulo</v>
          </cell>
        </row>
        <row r="897">
          <cell r="J897">
            <v>37103714100</v>
          </cell>
          <cell r="K897" t="str">
            <v>University of Cádiz (+3 more)</v>
          </cell>
        </row>
        <row r="898">
          <cell r="J898">
            <v>57470240600</v>
          </cell>
          <cell r="K898" t="str">
            <v>University of Campinas</v>
          </cell>
        </row>
        <row r="899">
          <cell r="J899">
            <v>57202641595</v>
          </cell>
          <cell r="K899" t="str">
            <v>Pontifical Catholic University of Rio de Janeiro</v>
          </cell>
        </row>
        <row r="900">
          <cell r="J900">
            <v>56017332700</v>
          </cell>
          <cell r="K900" t="str">
            <v>Federal University of Rio de Janeiro</v>
          </cell>
        </row>
        <row r="901">
          <cell r="J901">
            <v>56418590500</v>
          </cell>
          <cell r="K901" t="str">
            <v>Federal University of Rio de Janeiro</v>
          </cell>
        </row>
        <row r="902">
          <cell r="J902">
            <v>57209196963</v>
          </cell>
          <cell r="K902" t="str">
            <v>Universidade de São Paulo</v>
          </cell>
        </row>
        <row r="903">
          <cell r="J903">
            <v>6506100492</v>
          </cell>
          <cell r="K903" t="str">
            <v>Laboratório Nacional de Computação Científica</v>
          </cell>
        </row>
        <row r="904">
          <cell r="J904">
            <v>24483220200</v>
          </cell>
          <cell r="K904" t="str">
            <v>Universidade Federal do Espírito Santo</v>
          </cell>
        </row>
        <row r="905">
          <cell r="J905">
            <v>57219923376</v>
          </cell>
          <cell r="K905" t="str">
            <v>Universidade Federal do Rio Grande do Sul</v>
          </cell>
        </row>
        <row r="906">
          <cell r="J906">
            <v>57371381300</v>
          </cell>
          <cell r="K906" t="str">
            <v>Universidade Federal de Uberlândia</v>
          </cell>
        </row>
        <row r="907">
          <cell r="J907">
            <v>56467993200</v>
          </cell>
          <cell r="K907" t="str">
            <v>Universidade Federal de Santa Maria</v>
          </cell>
        </row>
        <row r="908">
          <cell r="J908">
            <v>58514417200</v>
          </cell>
          <cell r="K908" t="str">
            <v>SIMWORX</v>
          </cell>
        </row>
        <row r="909">
          <cell r="J909">
            <v>56043937100</v>
          </cell>
          <cell r="K909" t="str">
            <v>Federal University of Rio de Janeiro</v>
          </cell>
        </row>
        <row r="910">
          <cell r="J910">
            <v>57207797826</v>
          </cell>
          <cell r="K910" t="str">
            <v>Federal University of Rio de Janeiro</v>
          </cell>
        </row>
        <row r="911">
          <cell r="J911">
            <v>36569981800</v>
          </cell>
          <cell r="K911" t="str">
            <v>Universidade Federal de Pelotas</v>
          </cell>
        </row>
        <row r="912">
          <cell r="J912">
            <v>49060947700</v>
          </cell>
          <cell r="K912" t="str">
            <v>Universidade de São Paulo (+1 more)</v>
          </cell>
        </row>
        <row r="913">
          <cell r="J913">
            <v>36625029600</v>
          </cell>
          <cell r="K913" t="str">
            <v>Universidade Federal Rural do Rio de Janeiro (+1 more)</v>
          </cell>
        </row>
        <row r="914">
          <cell r="J914">
            <v>57073517200</v>
          </cell>
          <cell r="K914" t="str">
            <v>Universidade Federal do Espírito Santo</v>
          </cell>
        </row>
        <row r="915">
          <cell r="J915">
            <v>6507119941</v>
          </cell>
          <cell r="K915" t="str">
            <v>Universidade Federal da Bahia (+2 more)</v>
          </cell>
        </row>
        <row r="916">
          <cell r="J916">
            <v>57199570128</v>
          </cell>
          <cell r="K916" t="str">
            <v>Federal University of Rio de Janeiro</v>
          </cell>
        </row>
        <row r="917">
          <cell r="J917">
            <v>11540315000</v>
          </cell>
          <cell r="K917" t="str">
            <v>Universidade Federal do Piauí</v>
          </cell>
        </row>
        <row r="918">
          <cell r="J918">
            <v>36730097800</v>
          </cell>
          <cell r="K918" t="str">
            <v>Universidade Federal do Rio Grande do Sul</v>
          </cell>
        </row>
        <row r="919">
          <cell r="J919">
            <v>57200340152</v>
          </cell>
          <cell r="K919" t="str">
            <v>Serviço Nacional de Aprendizagem Industrial</v>
          </cell>
        </row>
        <row r="920">
          <cell r="J920">
            <v>26425023000</v>
          </cell>
          <cell r="K920" t="str">
            <v>Federal University of Santa Catarina</v>
          </cell>
        </row>
        <row r="921">
          <cell r="J921">
            <v>55921256000</v>
          </cell>
          <cell r="K921" t="str">
            <v>Universidade Federal de Santa Maria</v>
          </cell>
        </row>
        <row r="922">
          <cell r="J922">
            <v>57209853846</v>
          </cell>
          <cell r="K922" t="str">
            <v>Federal University of Rio de Janeiro</v>
          </cell>
        </row>
        <row r="923">
          <cell r="J923">
            <v>56094305400</v>
          </cell>
          <cell r="K923" t="str">
            <v>Intelie</v>
          </cell>
        </row>
        <row r="924">
          <cell r="J924">
            <v>57205283546</v>
          </cell>
          <cell r="K924" t="str">
            <v>Universidade Estadual Paulista “Júlio de Mesquita Filho”</v>
          </cell>
        </row>
        <row r="925">
          <cell r="J925">
            <v>36061592100</v>
          </cell>
          <cell r="K925" t="str">
            <v>Simeros Technologies (+1 more)</v>
          </cell>
        </row>
        <row r="926">
          <cell r="J926">
            <v>24450364400</v>
          </cell>
          <cell r="K926" t="str">
            <v>Universidade Federal Fluminense</v>
          </cell>
        </row>
        <row r="927">
          <cell r="J927">
            <v>57191204978</v>
          </cell>
          <cell r="K927" t="str">
            <v>Pontifícia Universidade Católica do Rio Grande do Sul</v>
          </cell>
        </row>
        <row r="928">
          <cell r="J928">
            <v>6504307714</v>
          </cell>
          <cell r="K928" t="str">
            <v>Universidade Federal de Itajubá</v>
          </cell>
        </row>
        <row r="929">
          <cell r="J929">
            <v>57705578000</v>
          </cell>
          <cell r="K929" t="str">
            <v>Universidade Federal de São João del-Rei</v>
          </cell>
        </row>
        <row r="930">
          <cell r="J930">
            <v>57219547804</v>
          </cell>
          <cell r="K930" t="str">
            <v>Federal University of Rio de Janeiro</v>
          </cell>
        </row>
        <row r="931">
          <cell r="J931">
            <v>57988218700</v>
          </cell>
          <cell r="K931" t="str">
            <v>TotalEnergies E&amp;P do Brasil Ltda</v>
          </cell>
        </row>
        <row r="932">
          <cell r="J932">
            <v>57193568214</v>
          </cell>
          <cell r="K932" t="str">
            <v>Universidade Federal do Rio Grande do Sul</v>
          </cell>
        </row>
        <row r="933">
          <cell r="J933">
            <v>59833162000</v>
          </cell>
          <cell r="K933" t="str">
            <v>Federal University of Santa Catarina</v>
          </cell>
        </row>
        <row r="934">
          <cell r="J934">
            <v>57947670500</v>
          </cell>
          <cell r="K934" t="str">
            <v>Pontifical Catholic University of Rio de Janeiro</v>
          </cell>
        </row>
        <row r="935">
          <cell r="J935">
            <v>57843929600</v>
          </cell>
          <cell r="K935" t="str">
            <v>Universidade Federal do Espírito Santo</v>
          </cell>
        </row>
        <row r="936">
          <cell r="J936">
            <v>59500326700</v>
          </cell>
          <cell r="K936" t="str">
            <v>Federal University of Rio de Janeiro</v>
          </cell>
        </row>
        <row r="937">
          <cell r="J937">
            <v>57541503100</v>
          </cell>
          <cell r="K937" t="str">
            <v>Tecgraf Institute/ PUC-Rio (+1 more)</v>
          </cell>
        </row>
        <row r="938">
          <cell r="J938">
            <v>36636866300</v>
          </cell>
          <cell r="K938" t="str">
            <v>Universidade Federal do Ceará</v>
          </cell>
        </row>
        <row r="939">
          <cell r="J939">
            <v>57208489421</v>
          </cell>
          <cell r="K939" t="str">
            <v>Centro Brasileiro de Pesquisas Físicas</v>
          </cell>
        </row>
        <row r="940">
          <cell r="J940">
            <v>7101666928</v>
          </cell>
          <cell r="K940" t="str">
            <v>Federal University of Rio de Janeiro</v>
          </cell>
        </row>
        <row r="941">
          <cell r="J941">
            <v>56270840900</v>
          </cell>
          <cell r="K941" t="str">
            <v>Federal University of Rio de Janeiro</v>
          </cell>
        </row>
        <row r="942">
          <cell r="J942">
            <v>59235177800</v>
          </cell>
          <cell r="K942" t="str">
            <v>Universidade Federal do Ceará</v>
          </cell>
        </row>
        <row r="943">
          <cell r="J943">
            <v>57222665692</v>
          </cell>
          <cell r="K943" t="str">
            <v>Universidade Federal de Itajubá</v>
          </cell>
        </row>
        <row r="944">
          <cell r="J944">
            <v>57210862883</v>
          </cell>
          <cell r="K944" t="str">
            <v>Universidade Federal do Rio Grande</v>
          </cell>
        </row>
        <row r="945">
          <cell r="J945">
            <v>57219146979</v>
          </cell>
          <cell r="K945" t="str">
            <v>Laboratório Nacional de Computação Científica (LNCC-MCT)</v>
          </cell>
        </row>
        <row r="946">
          <cell r="J946">
            <v>58199321900</v>
          </cell>
          <cell r="K946" t="str">
            <v>WIKKI Brasil LTDA</v>
          </cell>
        </row>
        <row r="947">
          <cell r="J947">
            <v>7004070221</v>
          </cell>
          <cell r="K947" t="str">
            <v>Instituto Militar de Engenharia (+1 more)</v>
          </cell>
        </row>
        <row r="948">
          <cell r="J948">
            <v>57206468714</v>
          </cell>
          <cell r="K948" t="str">
            <v>Federal University of Rio de Janeiro</v>
          </cell>
        </row>
        <row r="949">
          <cell r="J949">
            <v>56385377100</v>
          </cell>
          <cell r="K949" t="str">
            <v>Universidade Federal Fluminense</v>
          </cell>
        </row>
        <row r="950">
          <cell r="J950">
            <v>8675907400</v>
          </cell>
          <cell r="K950" t="str">
            <v>Universidade Federal de Goiás (+3 more)</v>
          </cell>
        </row>
        <row r="951">
          <cell r="J951">
            <v>22033698600</v>
          </cell>
          <cell r="K951" t="str">
            <v>University of Campinas (+1 more)</v>
          </cell>
        </row>
        <row r="952">
          <cell r="J952">
            <v>6701460323</v>
          </cell>
          <cell r="K952" t="str">
            <v>Universidade Federal Fluminense</v>
          </cell>
        </row>
        <row r="953">
          <cell r="J953">
            <v>57209263043</v>
          </cell>
          <cell r="K953" t="str">
            <v>Pontifical Catholic University of Rio de Janeiro</v>
          </cell>
        </row>
        <row r="954">
          <cell r="J954">
            <v>57209688877</v>
          </cell>
          <cell r="K954" t="str">
            <v>Universidade Federal de Juiz de Fora (+1 more)</v>
          </cell>
        </row>
        <row r="955">
          <cell r="J955">
            <v>45560988400</v>
          </cell>
          <cell r="K955" t="str">
            <v>Pontifícia Universidade Católica do Rio Grande do Sul</v>
          </cell>
        </row>
        <row r="956">
          <cell r="J956">
            <v>56517863700</v>
          </cell>
          <cell r="K956" t="str">
            <v>Pontifícia Universidade Católica do Rio Grande do Sul</v>
          </cell>
        </row>
        <row r="957">
          <cell r="J957">
            <v>56518187200</v>
          </cell>
          <cell r="K957" t="str">
            <v>Universidade do Estado do Rio de Janeiro</v>
          </cell>
        </row>
        <row r="958">
          <cell r="J958">
            <v>55485515700</v>
          </cell>
          <cell r="K958" t="str">
            <v>Universidade Tecnológica Federal do Paraná</v>
          </cell>
        </row>
        <row r="959">
          <cell r="J959">
            <v>56423226700</v>
          </cell>
          <cell r="K959" t="str">
            <v>Federal University of Rio de Janeiro</v>
          </cell>
        </row>
        <row r="960">
          <cell r="J960">
            <v>35117463600</v>
          </cell>
          <cell r="K960" t="str">
            <v>Universidade Federal Fluminense</v>
          </cell>
        </row>
        <row r="961">
          <cell r="J961">
            <v>15520603700</v>
          </cell>
          <cell r="K961" t="str">
            <v>Universidade de Brasília</v>
          </cell>
        </row>
        <row r="962">
          <cell r="J962">
            <v>60086785600</v>
          </cell>
          <cell r="K962" t="str">
            <v>Universidade de São Paulo</v>
          </cell>
        </row>
        <row r="963">
          <cell r="J963">
            <v>43261084700</v>
          </cell>
          <cell r="K963" t="str">
            <v>Universidade Federal Fluminense</v>
          </cell>
        </row>
        <row r="964">
          <cell r="J964">
            <v>7007149890</v>
          </cell>
          <cell r="K964" t="str">
            <v>Universidade Federal Fluminense</v>
          </cell>
        </row>
        <row r="965">
          <cell r="J965">
            <v>15759048700</v>
          </cell>
          <cell r="K965" t="str">
            <v>Universidade Federal do Rio Grande do Norte</v>
          </cell>
        </row>
        <row r="966">
          <cell r="J966">
            <v>59420778800</v>
          </cell>
          <cell r="K966" t="str">
            <v>Federal University of Rio de Janeiro</v>
          </cell>
        </row>
        <row r="967">
          <cell r="J967">
            <v>57211869500</v>
          </cell>
          <cell r="K967" t="str">
            <v>Instituto de Pesquisas da Marinha</v>
          </cell>
        </row>
        <row r="968">
          <cell r="J968">
            <v>57120078000</v>
          </cell>
          <cell r="K968" t="str">
            <v>University of Campinas</v>
          </cell>
        </row>
        <row r="969">
          <cell r="J969">
            <v>58311473700</v>
          </cell>
          <cell r="K969" t="str">
            <v>Universidade Federal do Rio Grande do Sul</v>
          </cell>
        </row>
        <row r="970">
          <cell r="J970">
            <v>57225366904</v>
          </cell>
          <cell r="K970" t="str">
            <v>Federal University of Rio de Janeiro</v>
          </cell>
        </row>
        <row r="971">
          <cell r="J971">
            <v>57214581782</v>
          </cell>
          <cell r="K971" t="str">
            <v>Instituto de Pesquisas da Marinha</v>
          </cell>
        </row>
        <row r="972">
          <cell r="J972">
            <v>57194560215</v>
          </cell>
          <cell r="K972" t="str">
            <v>Universidade Estadual do Norte Fluminense</v>
          </cell>
        </row>
        <row r="973">
          <cell r="J973">
            <v>59422348600</v>
          </cell>
          <cell r="K973" t="str">
            <v>Federal University of Rio de Janeiro</v>
          </cell>
        </row>
        <row r="974">
          <cell r="J974">
            <v>55212742500</v>
          </cell>
          <cell r="K974" t="str">
            <v>Universidade do Estado do Rio de Janeiro (+2 more)</v>
          </cell>
        </row>
        <row r="975">
          <cell r="J975">
            <v>7102707103</v>
          </cell>
          <cell r="K975" t="str">
            <v>Federal University of Rio de Janeiro</v>
          </cell>
        </row>
        <row r="976">
          <cell r="J976">
            <v>7005072518</v>
          </cell>
          <cell r="K976" t="str">
            <v>Universidade do Estado do Rio de Janeiro</v>
          </cell>
        </row>
        <row r="977">
          <cell r="J977">
            <v>59721194500</v>
          </cell>
          <cell r="K977" t="str">
            <v>Universidade Federal do Rio Grande do Norte (+1 more)</v>
          </cell>
        </row>
        <row r="978">
          <cell r="J978">
            <v>57203964450</v>
          </cell>
          <cell r="K978" t="str">
            <v>PEFOCE (+1 more)</v>
          </cell>
        </row>
        <row r="979">
          <cell r="J979">
            <v>58076658200</v>
          </cell>
          <cell r="K979" t="str">
            <v>Federal University of Rio de Janeiro</v>
          </cell>
        </row>
        <row r="980">
          <cell r="J980">
            <v>57189589779</v>
          </cell>
          <cell r="K980" t="str">
            <v>Universidade Federal de Pernambuco</v>
          </cell>
        </row>
        <row r="981">
          <cell r="J981">
            <v>57207450357</v>
          </cell>
          <cell r="K981" t="str">
            <v>Universidade de São Paulo</v>
          </cell>
        </row>
        <row r="982">
          <cell r="J982">
            <v>56369613800</v>
          </cell>
          <cell r="K982" t="str">
            <v>Universidade Federal de Pernambuco</v>
          </cell>
        </row>
        <row r="983">
          <cell r="J983">
            <v>55746227300</v>
          </cell>
          <cell r="K983" t="str">
            <v>Universidade de Lisboa (+1 more)</v>
          </cell>
        </row>
        <row r="984">
          <cell r="J984">
            <v>14323190200</v>
          </cell>
          <cell r="K984" t="str">
            <v>Pontifical Catholic University of Rio de Janeiro (+2 more)</v>
          </cell>
        </row>
        <row r="985">
          <cell r="J985">
            <v>6603350207</v>
          </cell>
          <cell r="K985" t="str">
            <v>Pontifícia Universidade Católica do Rio Grande do Sul</v>
          </cell>
        </row>
        <row r="986">
          <cell r="J986">
            <v>56405183700</v>
          </cell>
          <cell r="K986" t="str">
            <v>Federal University of Rio de Janeiro</v>
          </cell>
        </row>
        <row r="987">
          <cell r="J987">
            <v>58222444800</v>
          </cell>
          <cell r="K987" t="str">
            <v>Universidade Federal de Minas Gerais</v>
          </cell>
        </row>
        <row r="988">
          <cell r="J988">
            <v>57192083052</v>
          </cell>
          <cell r="K988" t="str">
            <v>Federal University of Rio de Janeiro</v>
          </cell>
        </row>
        <row r="989">
          <cell r="J989">
            <v>57203414768</v>
          </cell>
          <cell r="K989" t="str">
            <v>Universidade Federal do Espírito Santo</v>
          </cell>
        </row>
        <row r="990">
          <cell r="J990">
            <v>57934942900</v>
          </cell>
          <cell r="K990" t="str">
            <v>Universidade Federal do Piauí</v>
          </cell>
        </row>
        <row r="991">
          <cell r="J991">
            <v>58724500400</v>
          </cell>
          <cell r="K991" t="str">
            <v>Serviço Nacional de Aprendizagem Industrial</v>
          </cell>
        </row>
        <row r="992">
          <cell r="J992">
            <v>58497567400</v>
          </cell>
          <cell r="K992" t="str">
            <v>Federal University of Santa Catarina (+1 more)</v>
          </cell>
        </row>
        <row r="993">
          <cell r="J993">
            <v>58390996900</v>
          </cell>
          <cell r="K993" t="str">
            <v>Federal University of Rio de Janeiro</v>
          </cell>
        </row>
        <row r="994">
          <cell r="J994">
            <v>57200685034</v>
          </cell>
          <cell r="K994" t="str">
            <v>Instituto Nacional de Tecnologia</v>
          </cell>
        </row>
        <row r="995">
          <cell r="J995">
            <v>43261113500</v>
          </cell>
          <cell r="K995" t="str">
            <v>Universidade Federal da Bahia</v>
          </cell>
        </row>
        <row r="996">
          <cell r="J996">
            <v>7401876764</v>
          </cell>
          <cell r="K996" t="str">
            <v>Universidade do Estado do Rio de Janeiro (+1 more)</v>
          </cell>
        </row>
        <row r="997">
          <cell r="J997">
            <v>57214625921</v>
          </cell>
          <cell r="K997" t="str">
            <v>Universidade Federal de Campina Grande</v>
          </cell>
        </row>
        <row r="998">
          <cell r="J998">
            <v>15073747800</v>
          </cell>
          <cell r="K998" t="str">
            <v>Universidade de São Paulo</v>
          </cell>
        </row>
        <row r="999">
          <cell r="J999">
            <v>57199984687</v>
          </cell>
          <cell r="K999" t="str">
            <v>Pontifical Catholic University of Rio de Janeiro</v>
          </cell>
        </row>
        <row r="1000">
          <cell r="J1000">
            <v>57194532888</v>
          </cell>
          <cell r="K1000" t="str">
            <v>Universidade Federal do Rio Grande do Norte</v>
          </cell>
        </row>
        <row r="1001">
          <cell r="J1001">
            <v>57221721174</v>
          </cell>
          <cell r="K1001" t="str">
            <v>University of Campinas</v>
          </cell>
        </row>
        <row r="1002">
          <cell r="J1002">
            <v>59404347200</v>
          </cell>
          <cell r="K1002" t="str">
            <v>Instituto Militar de Engenharia</v>
          </cell>
        </row>
        <row r="1003">
          <cell r="J1003">
            <v>57203333972</v>
          </cell>
          <cell r="K1003" t="str">
            <v>Centro Nacional de Pesquisa em Energia e Materiais</v>
          </cell>
        </row>
        <row r="1004">
          <cell r="J1004">
            <v>57208106851</v>
          </cell>
          <cell r="K1004" t="str">
            <v>Universidade Estadual de Santa Cruz</v>
          </cell>
        </row>
        <row r="1005">
          <cell r="J1005">
            <v>57183574500</v>
          </cell>
          <cell r="K1005" t="str">
            <v>Pontifícia Universidade Católica do Rio Grande do Sul</v>
          </cell>
        </row>
        <row r="1006">
          <cell r="J1006">
            <v>57225681147</v>
          </cell>
          <cell r="K1006" t="str">
            <v>Universidade Federal da Bahia (+1 more)</v>
          </cell>
        </row>
        <row r="1007">
          <cell r="J1007">
            <v>57197026502</v>
          </cell>
          <cell r="K1007" t="str">
            <v>Instituto Nacional de Metrologia, Qualidade e Tecnologia</v>
          </cell>
        </row>
        <row r="1008">
          <cell r="J1008">
            <v>57214099457</v>
          </cell>
          <cell r="K1008" t="str">
            <v>Universidade Federal Fluminense</v>
          </cell>
        </row>
        <row r="1009">
          <cell r="J1009">
            <v>34876441100</v>
          </cell>
          <cell r="K1009" t="str">
            <v>Universidade Federal Rural do Rio de Janeiro</v>
          </cell>
        </row>
        <row r="1010">
          <cell r="J1010">
            <v>15072483600</v>
          </cell>
          <cell r="K1010" t="str">
            <v>Federal University of Rio de Janeiro</v>
          </cell>
        </row>
        <row r="1011">
          <cell r="J1011">
            <v>57194407149</v>
          </cell>
          <cell r="K1011" t="str">
            <v>Universidade Federal de Minas Gerais</v>
          </cell>
        </row>
        <row r="1012">
          <cell r="J1012">
            <v>57217682728</v>
          </cell>
          <cell r="K1012" t="str">
            <v>Universidade Federal do Rio Grande do Norte</v>
          </cell>
        </row>
        <row r="1013">
          <cell r="J1013">
            <v>59826934200</v>
          </cell>
          <cell r="K1013" t="str">
            <v>UFPA (+1 more)</v>
          </cell>
        </row>
        <row r="1014">
          <cell r="J1014">
            <v>35612130700</v>
          </cell>
          <cell r="K1014" t="str">
            <v>Universidade Federal do Rio Grande do Sul (+1 more)</v>
          </cell>
        </row>
        <row r="1015">
          <cell r="J1015">
            <v>56937660000</v>
          </cell>
          <cell r="K1015" t="str">
            <v>UFPA (+4 more)</v>
          </cell>
        </row>
        <row r="1016">
          <cell r="J1016">
            <v>57190665819</v>
          </cell>
          <cell r="K1016" t="str">
            <v>Petróleo Brasileiro S.A. (+2 more)</v>
          </cell>
        </row>
        <row r="1017">
          <cell r="J1017">
            <v>16314736800</v>
          </cell>
          <cell r="K1017" t="str">
            <v>Universidade de São Paulo (+1 more)</v>
          </cell>
        </row>
        <row r="1018">
          <cell r="J1018">
            <v>54917025300</v>
          </cell>
          <cell r="K1018" t="str">
            <v>Universidade Estadual Paulista “Júlio de Mesquita Filho”</v>
          </cell>
        </row>
        <row r="1019">
          <cell r="J1019">
            <v>57203885425</v>
          </cell>
          <cell r="K1019" t="str">
            <v>Universidade Federal do Espírito Santo</v>
          </cell>
        </row>
        <row r="1020">
          <cell r="J1020">
            <v>59905434600</v>
          </cell>
          <cell r="K1020" t="str">
            <v>Universidade Federal do Espírito Santo</v>
          </cell>
        </row>
        <row r="1021">
          <cell r="J1021">
            <v>35931835800</v>
          </cell>
          <cell r="K1021" t="str">
            <v>Federal University of Rio de Janeiro</v>
          </cell>
        </row>
        <row r="1022">
          <cell r="J1022">
            <v>55605224300</v>
          </cell>
          <cell r="K1022" t="str">
            <v>Federal University of Rio de Janeiro</v>
          </cell>
        </row>
        <row r="1023">
          <cell r="J1023">
            <v>59234992600</v>
          </cell>
          <cell r="K1023" t="str">
            <v>Universidade Federal do Ceará</v>
          </cell>
        </row>
        <row r="1024">
          <cell r="J1024">
            <v>60086788100</v>
          </cell>
          <cell r="K1024" t="str">
            <v>Federal University of Rio de Janeiro</v>
          </cell>
        </row>
        <row r="1025">
          <cell r="J1025">
            <v>57208199323</v>
          </cell>
          <cell r="K1025" t="str">
            <v>Federal University of Rio de Janeiro</v>
          </cell>
        </row>
        <row r="1026">
          <cell r="J1026">
            <v>19639825200</v>
          </cell>
          <cell r="K1026" t="str">
            <v>Universidade Federal Do Estado Do Rio de Janeiro (Unirio)</v>
          </cell>
        </row>
        <row r="1027">
          <cell r="J1027">
            <v>56841149800</v>
          </cell>
          <cell r="K1027" t="str">
            <v>Pontifical Catholic University of Rio de Janeiro (+4 more)</v>
          </cell>
        </row>
        <row r="1028">
          <cell r="J1028">
            <v>7203063649</v>
          </cell>
          <cell r="K1028" t="str">
            <v>Federal University of Rio de Janeiro</v>
          </cell>
        </row>
        <row r="1029">
          <cell r="J1029">
            <v>57218291776</v>
          </cell>
          <cell r="K1029" t="str">
            <v>Federal University of Rio de Janeiro</v>
          </cell>
        </row>
        <row r="1030">
          <cell r="J1030">
            <v>57212381610</v>
          </cell>
          <cell r="K1030" t="str">
            <v>Federal University of Santa Catarina</v>
          </cell>
        </row>
        <row r="1031">
          <cell r="J1031">
            <v>57202133500</v>
          </cell>
          <cell r="K1031" t="str">
            <v>Federal University of Santa Catarina</v>
          </cell>
        </row>
        <row r="1032">
          <cell r="J1032">
            <v>57225695635</v>
          </cell>
          <cell r="K1032" t="str">
            <v>Universidade Federal de Uberlândia</v>
          </cell>
        </row>
        <row r="1033">
          <cell r="J1033">
            <v>57528312400</v>
          </cell>
          <cell r="K1033" t="str">
            <v>Universidade Federal de Campina Grande</v>
          </cell>
        </row>
        <row r="1034">
          <cell r="J1034">
            <v>57209651844</v>
          </cell>
          <cell r="K1034" t="str">
            <v>Universidade Tiradentes</v>
          </cell>
        </row>
        <row r="1035">
          <cell r="J1035">
            <v>57201429961</v>
          </cell>
          <cell r="K1035" t="str">
            <v>Tecgraf</v>
          </cell>
        </row>
        <row r="1036">
          <cell r="J1036">
            <v>57195680457</v>
          </cell>
          <cell r="K1036" t="str">
            <v>Pontifícia Universidade Católica do Rio Grande do Sul</v>
          </cell>
        </row>
        <row r="1037">
          <cell r="J1037">
            <v>57295919000</v>
          </cell>
          <cell r="K1037" t="str">
            <v>Universidade de São Paulo</v>
          </cell>
        </row>
        <row r="1038">
          <cell r="J1038">
            <v>59454183800</v>
          </cell>
          <cell r="K1038" t="str">
            <v>Flow Assurance Consultant</v>
          </cell>
        </row>
        <row r="1039">
          <cell r="J1039">
            <v>7102909691</v>
          </cell>
          <cell r="K1039" t="str">
            <v>Federal University of Rio de Janeiro</v>
          </cell>
        </row>
        <row r="1040">
          <cell r="J1040">
            <v>57200535221</v>
          </cell>
          <cell r="K1040" t="str">
            <v>Federal University of Rio de Janeiro</v>
          </cell>
        </row>
        <row r="1041">
          <cell r="J1041">
            <v>55837359700</v>
          </cell>
          <cell r="K1041" t="str">
            <v>Instituto Nacional de Tecnologia</v>
          </cell>
        </row>
        <row r="1042">
          <cell r="J1042">
            <v>56585687800</v>
          </cell>
          <cell r="K1042" t="str">
            <v>Universidade Federal de Minas Gerais</v>
          </cell>
        </row>
        <row r="1043">
          <cell r="J1043">
            <v>58316214500</v>
          </cell>
          <cell r="K1043" t="str">
            <v>Universidade de São Paulo (+1 more)</v>
          </cell>
        </row>
        <row r="1044">
          <cell r="J1044">
            <v>15057501700</v>
          </cell>
          <cell r="K1044" t="str">
            <v>Petróleo Brasileiro S.A. (+1 more)</v>
          </cell>
        </row>
        <row r="1045">
          <cell r="J1045">
            <v>57214945752</v>
          </cell>
          <cell r="K1045" t="str">
            <v>Pontifical Catholic University of Rio de Janeiro</v>
          </cell>
        </row>
        <row r="1046">
          <cell r="J1046">
            <v>57189897304</v>
          </cell>
          <cell r="K1046" t="str">
            <v>Universidade Federal Fluminense</v>
          </cell>
        </row>
        <row r="1047">
          <cell r="J1047">
            <v>57225680991</v>
          </cell>
          <cell r="K1047" t="str">
            <v>Centro Federal de Educação Tecnológica Celso Suckow da Fonseca (CEFET-RJ)</v>
          </cell>
        </row>
        <row r="1048">
          <cell r="J1048">
            <v>7201806772</v>
          </cell>
          <cell r="K1048" t="str">
            <v>Institute of Marine Studies Admiral Paulo Moreira (IEAPM)</v>
          </cell>
        </row>
        <row r="1049">
          <cell r="J1049">
            <v>6507615073</v>
          </cell>
          <cell r="K1049" t="str">
            <v>Universidade Federal do ABC</v>
          </cell>
        </row>
        <row r="1050">
          <cell r="J1050">
            <v>57212250577</v>
          </cell>
          <cell r="K1050" t="str">
            <v>Universidade de São Paulo</v>
          </cell>
        </row>
        <row r="1051">
          <cell r="J1051">
            <v>6603955308</v>
          </cell>
          <cell r="K1051" t="str">
            <v>Federal University of Rio de Janeiro</v>
          </cell>
        </row>
        <row r="1052">
          <cell r="J1052">
            <v>57203835224</v>
          </cell>
          <cell r="K1052" t="str">
            <v>Universidade Federal de Goiás</v>
          </cell>
        </row>
        <row r="1053">
          <cell r="J1053">
            <v>57207196880</v>
          </cell>
          <cell r="K1053" t="str">
            <v>Universidade Federal de Viçosa</v>
          </cell>
        </row>
        <row r="1054">
          <cell r="J1054">
            <v>55818831400</v>
          </cell>
          <cell r="K1054" t="str">
            <v>Universidade Tecnológica Federal do Paraná</v>
          </cell>
        </row>
        <row r="1055">
          <cell r="J1055">
            <v>6506073220</v>
          </cell>
          <cell r="K1055" t="str">
            <v>Instituto Nacional de Tecnologia</v>
          </cell>
        </row>
        <row r="1056">
          <cell r="J1056">
            <v>55509191600</v>
          </cell>
          <cell r="K1056" t="str">
            <v>Pontifical Catholic University of Rio de Janeiro</v>
          </cell>
        </row>
        <row r="1057">
          <cell r="J1057">
            <v>57201462871</v>
          </cell>
          <cell r="K1057" t="str">
            <v>Universidade Federal do Espírito Santo</v>
          </cell>
        </row>
        <row r="1058">
          <cell r="J1058">
            <v>7003536916</v>
          </cell>
          <cell r="K1058" t="str">
            <v>Pontifical Catholic University of Rio de Janeiro</v>
          </cell>
        </row>
        <row r="1059">
          <cell r="J1059">
            <v>6507500149</v>
          </cell>
          <cell r="K1059" t="str">
            <v>Instituto Nacional de Pesquisas Espaciais</v>
          </cell>
        </row>
        <row r="1060">
          <cell r="J1060">
            <v>57202790118</v>
          </cell>
          <cell r="K1060" t="str">
            <v>Universidade de São Paulo</v>
          </cell>
        </row>
        <row r="1061">
          <cell r="J1061">
            <v>57194771866</v>
          </cell>
          <cell r="K1061" t="str">
            <v>Universidade Federal de Viçosa</v>
          </cell>
        </row>
        <row r="1062">
          <cell r="J1062">
            <v>57205662905</v>
          </cell>
          <cell r="K1062" t="str">
            <v>Universidade Federal Rural do Rio de Janeiro</v>
          </cell>
        </row>
        <row r="1063">
          <cell r="J1063">
            <v>7004598380</v>
          </cell>
          <cell r="K1063" t="str">
            <v>University of Campinas</v>
          </cell>
        </row>
        <row r="1064">
          <cell r="J1064">
            <v>57190169591</v>
          </cell>
          <cell r="K1064" t="str">
            <v>University of Campinas (+1 more)</v>
          </cell>
        </row>
        <row r="1065">
          <cell r="J1065">
            <v>58096842900</v>
          </cell>
          <cell r="K1065" t="str">
            <v>Federal University of Rio de Janeiro</v>
          </cell>
        </row>
        <row r="1066">
          <cell r="J1066">
            <v>56373784800</v>
          </cell>
          <cell r="K1066" t="str">
            <v>Universidade Federal do Espírito Santo</v>
          </cell>
        </row>
        <row r="1067">
          <cell r="J1067">
            <v>57183722000</v>
          </cell>
          <cell r="K1067" t="str">
            <v>Federal University of Rio de Janeiro</v>
          </cell>
        </row>
        <row r="1068">
          <cell r="J1068">
            <v>7102657903</v>
          </cell>
          <cell r="K1068" t="str">
            <v>University of Campinas</v>
          </cell>
        </row>
        <row r="1069">
          <cell r="J1069">
            <v>6603672033</v>
          </cell>
          <cell r="K1069" t="str">
            <v>University of Campinas (+1 more)</v>
          </cell>
        </row>
        <row r="1070">
          <cell r="J1070">
            <v>57216786449</v>
          </cell>
          <cell r="K1070" t="str">
            <v>Pontifical Catholic University of Rio de Janeiro</v>
          </cell>
        </row>
        <row r="1071">
          <cell r="J1071">
            <v>57212380251</v>
          </cell>
          <cell r="K1071" t="str">
            <v>Federal University of Rio de Janeiro</v>
          </cell>
        </row>
        <row r="1072">
          <cell r="J1072">
            <v>7201362777</v>
          </cell>
          <cell r="K1072" t="str">
            <v>Federal University of Rio de Janeiro</v>
          </cell>
        </row>
        <row r="1073">
          <cell r="J1073">
            <v>57206358077</v>
          </cell>
          <cell r="K1073" t="str">
            <v>Engineering Simulation and Scientific Software</v>
          </cell>
        </row>
        <row r="1074">
          <cell r="J1074">
            <v>59715271000</v>
          </cell>
          <cell r="K1074" t="str">
            <v>Parque Tecnológico</v>
          </cell>
        </row>
        <row r="1075">
          <cell r="J1075">
            <v>58172840100</v>
          </cell>
          <cell r="K1075" t="str">
            <v>Federal University of Rio de Janeiro</v>
          </cell>
        </row>
        <row r="1076">
          <cell r="J1076">
            <v>59397416200</v>
          </cell>
          <cell r="K1076" t="str">
            <v>Universidade de São Paulo</v>
          </cell>
        </row>
        <row r="1077">
          <cell r="J1077">
            <v>56118958000</v>
          </cell>
          <cell r="K1077" t="str">
            <v>Universidade Federal Fluminense</v>
          </cell>
        </row>
        <row r="1078">
          <cell r="J1078">
            <v>57212561474</v>
          </cell>
          <cell r="K1078" t="str">
            <v>Universidade Tecnológica Federal do Paraná</v>
          </cell>
        </row>
        <row r="1079">
          <cell r="J1079">
            <v>55672075500</v>
          </cell>
          <cell r="K1079" t="str">
            <v>Federal University of Rio de Janeiro</v>
          </cell>
        </row>
        <row r="1080">
          <cell r="J1080">
            <v>59213336700</v>
          </cell>
          <cell r="K1080" t="str">
            <v>University of Campinas</v>
          </cell>
        </row>
        <row r="1081">
          <cell r="J1081">
            <v>6504701878</v>
          </cell>
          <cell r="K1081" t="str">
            <v>Universidade de São Paulo</v>
          </cell>
        </row>
        <row r="1082">
          <cell r="J1082">
            <v>6602645276</v>
          </cell>
          <cell r="K1082" t="str">
            <v>Universidade de São Paulo</v>
          </cell>
        </row>
        <row r="1083">
          <cell r="J1083">
            <v>55724033500</v>
          </cell>
          <cell r="K1083" t="str">
            <v>Universidade Federal do Espírito Santo</v>
          </cell>
        </row>
        <row r="1084">
          <cell r="J1084">
            <v>35757432100</v>
          </cell>
          <cell r="K1084" t="str">
            <v>Federal University of Rio de Janeiro</v>
          </cell>
        </row>
        <row r="1085">
          <cell r="J1085">
            <v>7103155690</v>
          </cell>
          <cell r="K1085" t="str">
            <v>Federal University of Rio de Janeiro</v>
          </cell>
        </row>
        <row r="1086">
          <cell r="J1086">
            <v>57207995051</v>
          </cell>
          <cell r="K1086" t="str">
            <v>Federal University of Rio de Janeiro</v>
          </cell>
        </row>
        <row r="1087">
          <cell r="J1087">
            <v>9332650000</v>
          </cell>
          <cell r="K1087" t="str">
            <v>Universidade Federal de Uberlândia</v>
          </cell>
        </row>
        <row r="1088">
          <cell r="J1088">
            <v>57218500068</v>
          </cell>
          <cell r="K1088" t="str">
            <v>Universidade Federal do Espírito Santo</v>
          </cell>
        </row>
        <row r="1089">
          <cell r="J1089">
            <v>57201402187</v>
          </cell>
          <cell r="K1089" t="str">
            <v>CTS SOLDA</v>
          </cell>
        </row>
        <row r="1090">
          <cell r="J1090">
            <v>58645548800</v>
          </cell>
          <cell r="K1090" t="str">
            <v>Universidade de São Paulo</v>
          </cell>
        </row>
        <row r="1091">
          <cell r="J1091">
            <v>7102879500</v>
          </cell>
          <cell r="K1091" t="str">
            <v>University of Campinas</v>
          </cell>
        </row>
        <row r="1092">
          <cell r="J1092">
            <v>23090155000</v>
          </cell>
          <cell r="K1092" t="str">
            <v>Universidade do Estado do Rio de Janeiro</v>
          </cell>
        </row>
        <row r="1093">
          <cell r="J1093">
            <v>56422021400</v>
          </cell>
          <cell r="K1093" t="str">
            <v>Federal University of Santa Catarina</v>
          </cell>
        </row>
        <row r="1094">
          <cell r="J1094">
            <v>57212504068</v>
          </cell>
          <cell r="K1094" t="str">
            <v>Universidade Federal Fluminense</v>
          </cell>
        </row>
        <row r="1095">
          <cell r="J1095">
            <v>55666890300</v>
          </cell>
          <cell r="K1095" t="str">
            <v>Federal University of Santa Catarina</v>
          </cell>
        </row>
        <row r="1096">
          <cell r="J1096">
            <v>35221434500</v>
          </cell>
          <cell r="K1096" t="str">
            <v>Universidade Federal de Juiz de Fora</v>
          </cell>
        </row>
        <row r="1097">
          <cell r="J1097">
            <v>57820389700</v>
          </cell>
          <cell r="K1097" t="str">
            <v>University of Campinas</v>
          </cell>
        </row>
        <row r="1098">
          <cell r="J1098">
            <v>57220921142</v>
          </cell>
          <cell r="K1098" t="str">
            <v>University of Campinas</v>
          </cell>
        </row>
        <row r="1099">
          <cell r="J1099">
            <v>6507973216</v>
          </cell>
          <cell r="K1099" t="str">
            <v>Laboratório Nacional de Computação Científica (LNCC-MCT)</v>
          </cell>
        </row>
        <row r="1100">
          <cell r="J1100">
            <v>57224168522</v>
          </cell>
          <cell r="K1100" t="str">
            <v>Universidade de São Paulo</v>
          </cell>
        </row>
        <row r="1101">
          <cell r="J1101">
            <v>34467505500</v>
          </cell>
          <cell r="K1101" t="str">
            <v>Federal University of Rio de Janeiro</v>
          </cell>
        </row>
        <row r="1102">
          <cell r="J1102">
            <v>57426598800</v>
          </cell>
          <cell r="K1102" t="str">
            <v>Universidade Federal Fluminense</v>
          </cell>
        </row>
        <row r="1103">
          <cell r="J1103">
            <v>57215685977</v>
          </cell>
          <cell r="K1103" t="str">
            <v>Universidade de Caxias do Sul</v>
          </cell>
        </row>
        <row r="1104">
          <cell r="J1104">
            <v>59167118500</v>
          </cell>
          <cell r="K1104" t="str">
            <v>Universidade Federal do Rio Grande do Sul</v>
          </cell>
        </row>
        <row r="1105">
          <cell r="J1105">
            <v>57201688650</v>
          </cell>
          <cell r="K1105" t="str">
            <v>Universidade Federal do Rio Grande do Norte</v>
          </cell>
        </row>
        <row r="1106">
          <cell r="J1106">
            <v>58722577500</v>
          </cell>
          <cell r="K1106" t="str">
            <v>Pontifical Catholic University of Rio de Janeiro</v>
          </cell>
        </row>
        <row r="1107">
          <cell r="J1107">
            <v>36699203600</v>
          </cell>
          <cell r="K1107" t="str">
            <v>Universidade Federal Fluminense</v>
          </cell>
        </row>
        <row r="1108">
          <cell r="J1108">
            <v>57195732631</v>
          </cell>
          <cell r="K1108" t="str">
            <v>Federal University of Rio de Janeiro</v>
          </cell>
        </row>
        <row r="1109">
          <cell r="J1109">
            <v>57216446924</v>
          </cell>
          <cell r="K1109" t="str">
            <v>Universidade do Estado do Rio de Janeiro</v>
          </cell>
        </row>
        <row r="1110">
          <cell r="J1110">
            <v>56580230700</v>
          </cell>
          <cell r="K1110" t="str">
            <v>Universidade Federal Fluminense</v>
          </cell>
        </row>
        <row r="1111">
          <cell r="J1111">
            <v>7201473686</v>
          </cell>
          <cell r="K1111" t="str">
            <v>Federal University of Rio de Janeiro</v>
          </cell>
        </row>
        <row r="1112">
          <cell r="J1112">
            <v>60146062800</v>
          </cell>
          <cell r="K1112" t="str">
            <v>Federal University of Rio de Janeiro</v>
          </cell>
        </row>
        <row r="1113">
          <cell r="J1113">
            <v>57217987126</v>
          </cell>
          <cell r="K1113" t="str">
            <v>Federal University of Rio de Janeiro</v>
          </cell>
        </row>
        <row r="1114">
          <cell r="J1114">
            <v>57200502820</v>
          </cell>
          <cell r="K1114" t="str">
            <v>Universidade Federal de Campina Grande</v>
          </cell>
        </row>
        <row r="1115">
          <cell r="J1115">
            <v>24558641700</v>
          </cell>
          <cell r="K1115" t="str">
            <v>Universidade do Estado do Rio de Janeiro</v>
          </cell>
        </row>
        <row r="1116">
          <cell r="J1116">
            <v>57201400106</v>
          </cell>
          <cell r="K1116" t="str">
            <v>LAMEF/UFRGS</v>
          </cell>
        </row>
        <row r="1117">
          <cell r="J1117">
            <v>57216910812</v>
          </cell>
          <cell r="K1117" t="str">
            <v>Federal University of Rio de Janeiro</v>
          </cell>
        </row>
        <row r="1118">
          <cell r="J1118">
            <v>56236873400</v>
          </cell>
          <cell r="K1118" t="str">
            <v>Federal University of Rio de Janeiro</v>
          </cell>
        </row>
        <row r="1119">
          <cell r="J1119">
            <v>55203511300</v>
          </cell>
          <cell r="K1119" t="str">
            <v>Leopoldo Américo Miguez de Mello (+1 more)</v>
          </cell>
        </row>
        <row r="1120">
          <cell r="J1120">
            <v>57218206912</v>
          </cell>
          <cell r="K1120" t="str">
            <v>Federal University of Rio de Janeiro</v>
          </cell>
        </row>
        <row r="1121">
          <cell r="J1121">
            <v>6506915174</v>
          </cell>
          <cell r="K1121" t="str">
            <v>Pontifical Catholic University of Rio de Janeiro</v>
          </cell>
        </row>
        <row r="1122">
          <cell r="J1122">
            <v>56305992700</v>
          </cell>
          <cell r="K1122" t="str">
            <v>Universidade Federal de Minas Gerais</v>
          </cell>
        </row>
        <row r="1123">
          <cell r="J1123">
            <v>59272284100</v>
          </cell>
          <cell r="K1123" t="str">
            <v>Federal University of Santa Catarina</v>
          </cell>
        </row>
        <row r="1124">
          <cell r="J1124">
            <v>56025962500</v>
          </cell>
          <cell r="K1124" t="str">
            <v>Federal University of Rio de Janeiro</v>
          </cell>
        </row>
        <row r="1125">
          <cell r="J1125">
            <v>59384701200</v>
          </cell>
          <cell r="K1125" t="str">
            <v>Universidade Federal de Campina Grande</v>
          </cell>
        </row>
        <row r="1126">
          <cell r="J1126">
            <v>57219419522</v>
          </cell>
          <cell r="K1126" t="str">
            <v>Federal University of Rio de Janeiro</v>
          </cell>
        </row>
        <row r="1127">
          <cell r="J1127">
            <v>56469627600</v>
          </cell>
          <cell r="K1127" t="str">
            <v>Federal University of Rio de Janeiro</v>
          </cell>
        </row>
        <row r="1128">
          <cell r="J1128">
            <v>58166784600</v>
          </cell>
          <cell r="K1128" t="str">
            <v>Universidade Federal Rural do Rio de Janeiro</v>
          </cell>
        </row>
        <row r="1129">
          <cell r="J1129">
            <v>57208555153</v>
          </cell>
          <cell r="K1129" t="str">
            <v>Universidade Federal Rural do Rio de Janeiro</v>
          </cell>
        </row>
        <row r="1130">
          <cell r="J1130">
            <v>37025740400</v>
          </cell>
          <cell r="K1130" t="str">
            <v>Federal University of Rio de Janeiro</v>
          </cell>
        </row>
        <row r="1131">
          <cell r="J1131">
            <v>57222669441</v>
          </cell>
          <cell r="K1131" t="str">
            <v>Universidade Federal do Espírito Santo</v>
          </cell>
        </row>
        <row r="1132">
          <cell r="J1132">
            <v>59391379400</v>
          </cell>
          <cell r="K1132" t="str">
            <v>Universidade Federal Rural do Rio de Janeiro</v>
          </cell>
        </row>
        <row r="1133">
          <cell r="J1133">
            <v>59508059200</v>
          </cell>
          <cell r="K1133" t="str">
            <v>Federal University of Rio de Janeiro</v>
          </cell>
        </row>
        <row r="1134">
          <cell r="J1134">
            <v>56328167700</v>
          </cell>
          <cell r="K1134" t="str">
            <v>Pontifícia Universidade Católica de Minas Gerais</v>
          </cell>
        </row>
        <row r="1135">
          <cell r="J1135">
            <v>6507202715</v>
          </cell>
          <cell r="K1135" t="str">
            <v>Universidade do Estado do Rio de Janeiro (+1 more)</v>
          </cell>
        </row>
        <row r="1136">
          <cell r="J1136">
            <v>24385202300</v>
          </cell>
          <cell r="K1136" t="str">
            <v>Universidade Federal do Rio Grande do Sul</v>
          </cell>
        </row>
        <row r="1137">
          <cell r="J1137">
            <v>57212086651</v>
          </cell>
          <cell r="K1137" t="str">
            <v>Universidade Federal do Espírito Santo</v>
          </cell>
        </row>
        <row r="1138">
          <cell r="J1138">
            <v>38561211600</v>
          </cell>
          <cell r="K1138" t="str">
            <v>Universidade Federal do Rio Grande do Sul (+1 more)</v>
          </cell>
        </row>
        <row r="1139">
          <cell r="J1139">
            <v>57219116264</v>
          </cell>
          <cell r="K1139" t="str">
            <v>Universidade Federal de Alagoas</v>
          </cell>
        </row>
        <row r="1140">
          <cell r="J1140">
            <v>58117934300</v>
          </cell>
          <cell r="K1140" t="str">
            <v>SENAI</v>
          </cell>
        </row>
        <row r="1141">
          <cell r="J1141">
            <v>57222264176</v>
          </cell>
          <cell r="K1141" t="str">
            <v>Federal University of Rio de Janeiro</v>
          </cell>
        </row>
        <row r="1142">
          <cell r="J1142">
            <v>56778044600</v>
          </cell>
          <cell r="K1142" t="str">
            <v>Universidade Federal Fluminense (+1 more)</v>
          </cell>
        </row>
        <row r="1143">
          <cell r="J1143">
            <v>56425807900</v>
          </cell>
          <cell r="K1143" t="str">
            <v>Universidade Federal do Rio Grande do Sul</v>
          </cell>
        </row>
        <row r="1144">
          <cell r="J1144">
            <v>57191839210</v>
          </cell>
          <cell r="K1144" t="str">
            <v>Universidade Federal de Juiz de Fora</v>
          </cell>
        </row>
        <row r="1145">
          <cell r="J1145">
            <v>35109433500</v>
          </cell>
          <cell r="K1145" t="str">
            <v>Federal University of Santa Catarina</v>
          </cell>
        </row>
        <row r="1146">
          <cell r="J1146">
            <v>8607771600</v>
          </cell>
          <cell r="K1146" t="str">
            <v>Universidade de São Paulo (+1 more)</v>
          </cell>
        </row>
        <row r="1147">
          <cell r="J1147">
            <v>57215675376</v>
          </cell>
          <cell r="K1147" t="str">
            <v>Pontifícia Universidade Católica do Rio Grande do Sul</v>
          </cell>
        </row>
        <row r="1148">
          <cell r="J1148">
            <v>57218865009</v>
          </cell>
          <cell r="K1148" t="str">
            <v>University of Campinas</v>
          </cell>
        </row>
        <row r="1149">
          <cell r="J1149">
            <v>8582079400</v>
          </cell>
          <cell r="K1149" t="str">
            <v>Fundação Oswaldo Cruz</v>
          </cell>
        </row>
        <row r="1150">
          <cell r="J1150">
            <v>58090732900</v>
          </cell>
          <cell r="K1150" t="str">
            <v>Universidade Tiradentes</v>
          </cell>
        </row>
        <row r="1151">
          <cell r="J1151">
            <v>57205614236</v>
          </cell>
          <cell r="K1151" t="str">
            <v>Universidade Federal de Itajubá</v>
          </cell>
        </row>
        <row r="1152">
          <cell r="J1152">
            <v>37361068900</v>
          </cell>
          <cell r="K1152" t="str">
            <v>Pontifical Catholic University of Rio de Janeiro (+1 more)</v>
          </cell>
        </row>
        <row r="1153">
          <cell r="J1153">
            <v>58093046500</v>
          </cell>
          <cell r="K1153" t="str">
            <v>University of Campinas</v>
          </cell>
        </row>
        <row r="1154">
          <cell r="J1154">
            <v>58542151700</v>
          </cell>
          <cell r="K1154" t="str">
            <v>Universidade Federal de Uberlândia</v>
          </cell>
        </row>
        <row r="1155">
          <cell r="J1155">
            <v>56957736800</v>
          </cell>
          <cell r="K1155" t="str">
            <v>University of Campinas (+1 more)</v>
          </cell>
        </row>
        <row r="1156">
          <cell r="J1156">
            <v>58040345600</v>
          </cell>
          <cell r="K1156" t="str">
            <v>Universidade de São Paulo</v>
          </cell>
        </row>
        <row r="1157">
          <cell r="J1157">
            <v>57196050867</v>
          </cell>
          <cell r="K1157" t="str">
            <v>Universidade do Estado do Rio de Janeiro</v>
          </cell>
        </row>
        <row r="1158">
          <cell r="J1158">
            <v>6602159587</v>
          </cell>
          <cell r="K1158" t="str">
            <v>Universidade de São Paulo</v>
          </cell>
        </row>
        <row r="1159">
          <cell r="J1159">
            <v>7003351590</v>
          </cell>
          <cell r="K1159" t="str">
            <v>Universidade de São Paulo</v>
          </cell>
        </row>
        <row r="1160">
          <cell r="J1160">
            <v>23095256500</v>
          </cell>
          <cell r="K1160" t="str">
            <v>University of Campinas (+2 more)</v>
          </cell>
        </row>
        <row r="1161">
          <cell r="J1161">
            <v>57222111689</v>
          </cell>
          <cell r="K1161" t="str">
            <v>Universidade Federal do Ceará</v>
          </cell>
        </row>
        <row r="1162">
          <cell r="J1162">
            <v>57200619260</v>
          </cell>
          <cell r="K1162" t="str">
            <v>Federal University of Rio de Janeiro</v>
          </cell>
        </row>
        <row r="1163">
          <cell r="J1163">
            <v>57219027620</v>
          </cell>
          <cell r="K1163" t="str">
            <v>Secretaria de Infraestrutura e Meio Ambiente do Estado de São Paulo</v>
          </cell>
        </row>
        <row r="1164">
          <cell r="J1164">
            <v>57545831700</v>
          </cell>
          <cell r="K1164" t="str">
            <v>Federal University of Santa Catarina</v>
          </cell>
        </row>
        <row r="1165">
          <cell r="J1165">
            <v>57223129788</v>
          </cell>
          <cell r="K1165" t="str">
            <v>Vizlab - X-Reality and GeoInformatics Lab</v>
          </cell>
        </row>
        <row r="1166">
          <cell r="J1166">
            <v>57092658300</v>
          </cell>
          <cell r="K1166" t="str">
            <v>Universidade Federal Fluminense (+1 more)</v>
          </cell>
        </row>
        <row r="1167">
          <cell r="J1167">
            <v>57214932559</v>
          </cell>
          <cell r="K1167" t="str">
            <v>Universidade Federal de Uberlândia</v>
          </cell>
        </row>
        <row r="1168">
          <cell r="J1168">
            <v>57200132936</v>
          </cell>
          <cell r="K1168" t="str">
            <v>University of Campinas</v>
          </cell>
        </row>
        <row r="1169">
          <cell r="J1169">
            <v>57209279281</v>
          </cell>
          <cell r="K1169" t="str">
            <v>Federal University of Rio de Janeiro</v>
          </cell>
        </row>
        <row r="1170">
          <cell r="J1170">
            <v>57219418074</v>
          </cell>
          <cell r="K1170" t="str">
            <v>Federal University of Rio de Janeiro</v>
          </cell>
        </row>
        <row r="1171">
          <cell r="J1171">
            <v>55395574900</v>
          </cell>
          <cell r="K1171" t="str">
            <v>Pontifical Catholic University of Rio de Janeiro</v>
          </cell>
        </row>
        <row r="1172">
          <cell r="J1172">
            <v>57297170800</v>
          </cell>
          <cell r="K1172" t="str">
            <v>Universidade de São Paulo</v>
          </cell>
        </row>
        <row r="1173">
          <cell r="J1173">
            <v>57221519891</v>
          </cell>
          <cell r="K1173" t="str">
            <v>Federal University of Rio de Janeiro</v>
          </cell>
        </row>
        <row r="1174">
          <cell r="J1174">
            <v>57296216700</v>
          </cell>
          <cell r="K1174" t="str">
            <v>Federal University of Rio de Janeiro</v>
          </cell>
        </row>
        <row r="1175">
          <cell r="J1175">
            <v>23479410400</v>
          </cell>
          <cell r="K1175" t="str">
            <v>Universidade Federal do Ceará</v>
          </cell>
        </row>
        <row r="1176">
          <cell r="J1176">
            <v>57201401132</v>
          </cell>
          <cell r="K1176" t="str">
            <v>IMC Saste</v>
          </cell>
        </row>
        <row r="1177">
          <cell r="J1177">
            <v>60152907600</v>
          </cell>
          <cell r="K1177" t="str">
            <v>Universidade Federal de Goiás</v>
          </cell>
        </row>
        <row r="1178">
          <cell r="J1178">
            <v>57200562071</v>
          </cell>
          <cell r="K1178" t="str">
            <v>Universidade Federal de Goiás</v>
          </cell>
        </row>
        <row r="1179">
          <cell r="J1179">
            <v>57212576097</v>
          </cell>
          <cell r="K1179" t="str">
            <v>Universidade Federal do Ceará</v>
          </cell>
        </row>
        <row r="1180">
          <cell r="J1180">
            <v>57219901470</v>
          </cell>
          <cell r="K1180" t="str">
            <v>Federal University of Rio de Janeiro</v>
          </cell>
        </row>
        <row r="1181">
          <cell r="J1181">
            <v>13805766400</v>
          </cell>
          <cell r="K1181" t="str">
            <v>DEMa</v>
          </cell>
        </row>
        <row r="1182">
          <cell r="J1182">
            <v>60074639200</v>
          </cell>
          <cell r="K1182" t="str">
            <v>Federal University of Rio de Janeiro</v>
          </cell>
        </row>
        <row r="1183">
          <cell r="J1183">
            <v>15727209200</v>
          </cell>
          <cell r="K1183" t="str">
            <v>Universidade do Estado do Rio de Janeiro</v>
          </cell>
        </row>
        <row r="1184">
          <cell r="J1184">
            <v>57216448011</v>
          </cell>
          <cell r="K1184" t="str">
            <v>Federal University of Rio de Janeiro</v>
          </cell>
        </row>
        <row r="1185">
          <cell r="J1185">
            <v>57216736521</v>
          </cell>
          <cell r="K1185" t="str">
            <v>Universidade Federal do Piauí</v>
          </cell>
        </row>
        <row r="1186">
          <cell r="J1186">
            <v>59160605700</v>
          </cell>
          <cell r="K1186" t="str">
            <v>Federal University of Rio de Janeiro</v>
          </cell>
        </row>
        <row r="1187">
          <cell r="J1187">
            <v>59420764300</v>
          </cell>
          <cell r="K1187" t="str">
            <v>Federal University of Rio de Janeiro</v>
          </cell>
        </row>
        <row r="1188">
          <cell r="J1188">
            <v>9332947100</v>
          </cell>
          <cell r="K1188" t="str">
            <v>Federal University of Santa Catarina</v>
          </cell>
        </row>
        <row r="1189">
          <cell r="J1189">
            <v>56236796700</v>
          </cell>
          <cell r="K1189" t="str">
            <v>Federal University of Rio de Janeiro</v>
          </cell>
        </row>
        <row r="1190">
          <cell r="J1190">
            <v>57212080183</v>
          </cell>
          <cell r="K1190" t="str">
            <v>Centro Nacional de Pesquisa em Energia e Materiais</v>
          </cell>
        </row>
        <row r="1191">
          <cell r="J1191">
            <v>7402942472</v>
          </cell>
          <cell r="K1191" t="str">
            <v>Federal University of Santa Catarina (+1 more)</v>
          </cell>
        </row>
        <row r="1192">
          <cell r="J1192">
            <v>7402942694</v>
          </cell>
          <cell r="K1192" t="str">
            <v>Petróleo Brasileiro S.A. (+1 more)</v>
          </cell>
        </row>
        <row r="1193">
          <cell r="J1193">
            <v>57214799332</v>
          </cell>
          <cell r="K1193" t="str">
            <v>Senai-SC (+2 more)</v>
          </cell>
        </row>
        <row r="1194">
          <cell r="J1194">
            <v>35570766200</v>
          </cell>
          <cell r="K1194" t="str">
            <v>Federal University of Rio de Janeiro</v>
          </cell>
        </row>
        <row r="1195">
          <cell r="J1195">
            <v>57203411497</v>
          </cell>
          <cell r="K1195" t="str">
            <v>SimWorx Engineering R and D</v>
          </cell>
        </row>
        <row r="1196">
          <cell r="J1196">
            <v>57884050200</v>
          </cell>
          <cell r="K1196" t="str">
            <v>Instituto SENAI de Inovação em Engenharia de Superfícies</v>
          </cell>
        </row>
        <row r="1197">
          <cell r="J1197">
            <v>59000530200</v>
          </cell>
          <cell r="K1197" t="str">
            <v>VERDE ÁGUA SERVIÇOS DE APOIO LTDA</v>
          </cell>
        </row>
        <row r="1198">
          <cell r="J1198">
            <v>58908630500</v>
          </cell>
          <cell r="K1198" t="str">
            <v>University of Campinas</v>
          </cell>
        </row>
        <row r="1199">
          <cell r="J1199">
            <v>56680664900</v>
          </cell>
          <cell r="K1199" t="str">
            <v>Universidade Federal do Rio Grande do Norte</v>
          </cell>
        </row>
        <row r="1200">
          <cell r="J1200">
            <v>57196582194</v>
          </cell>
          <cell r="K1200" t="str">
            <v>Universidade Federal da Bahia</v>
          </cell>
        </row>
        <row r="1201">
          <cell r="J1201">
            <v>57190289089</v>
          </cell>
          <cell r="K1201" t="str">
            <v>Universidade Veiga de Almeida (+1 more)</v>
          </cell>
        </row>
        <row r="1202">
          <cell r="J1202">
            <v>57202091290</v>
          </cell>
          <cell r="K1202" t="str">
            <v>Universidade Federal de Minas Gerais</v>
          </cell>
        </row>
        <row r="1203">
          <cell r="J1203">
            <v>57879233600</v>
          </cell>
          <cell r="K1203" t="str">
            <v>Universidade Federal do Rio Grande do Sul</v>
          </cell>
        </row>
        <row r="1204">
          <cell r="J1204">
            <v>55917737000</v>
          </cell>
          <cell r="K1204" t="str">
            <v>Universidade Federal do Rio Grande do Sul (+1 more)</v>
          </cell>
        </row>
        <row r="1205">
          <cell r="J1205">
            <v>58660931200</v>
          </cell>
          <cell r="K1205" t="str">
            <v>Federal University of Rio de Janeiro</v>
          </cell>
        </row>
        <row r="1206">
          <cell r="J1206">
            <v>57207733246</v>
          </cell>
          <cell r="K1206" t="str">
            <v>Universidade Federal do Rio Grande do Norte</v>
          </cell>
        </row>
        <row r="1207">
          <cell r="J1207">
            <v>58010476900</v>
          </cell>
          <cell r="K1207" t="str">
            <v>Federal University of Rio de Janeiro</v>
          </cell>
        </row>
        <row r="1208">
          <cell r="J1208">
            <v>7201854943</v>
          </cell>
          <cell r="K1208" t="str">
            <v>Universidade Estadual do Oeste do Paraná</v>
          </cell>
        </row>
        <row r="1209">
          <cell r="J1209">
            <v>7201494926</v>
          </cell>
          <cell r="K1209" t="str">
            <v>Federal University of Rio de Janeiro</v>
          </cell>
        </row>
        <row r="1210">
          <cell r="J1210">
            <v>36463303300</v>
          </cell>
          <cell r="K1210" t="str">
            <v>Universidade Tiradentes</v>
          </cell>
        </row>
        <row r="1211">
          <cell r="J1211">
            <v>57203413394</v>
          </cell>
          <cell r="K1211" t="str">
            <v>Engineering Simulation and Scientific Software (ESSS) (+2 more)</v>
          </cell>
        </row>
        <row r="1212">
          <cell r="J1212">
            <v>57194605892</v>
          </cell>
          <cell r="K1212" t="str">
            <v>Federal University of Santa Catarina</v>
          </cell>
        </row>
        <row r="1213">
          <cell r="J1213">
            <v>57209134048</v>
          </cell>
          <cell r="K1213" t="str">
            <v>Universidade Federal do Rio Grande do Norte</v>
          </cell>
        </row>
        <row r="1214">
          <cell r="J1214">
            <v>57219551336</v>
          </cell>
          <cell r="K1214" t="str">
            <v>Federal University of Rio de Janeiro</v>
          </cell>
        </row>
        <row r="1215">
          <cell r="J1215">
            <v>58345088600</v>
          </cell>
          <cell r="K1215" t="str">
            <v>Universidade Federal do Rio Grande do Sul</v>
          </cell>
        </row>
        <row r="1216">
          <cell r="J1216">
            <v>35814308300</v>
          </cell>
          <cell r="K1216" t="str">
            <v>Federal University of Rio de Janeiro (+1 more)</v>
          </cell>
        </row>
        <row r="1217">
          <cell r="J1217">
            <v>56682563100</v>
          </cell>
          <cell r="K1217" t="str">
            <v>Universidade Federal de Sergipe</v>
          </cell>
        </row>
        <row r="1218">
          <cell r="J1218">
            <v>59130289800</v>
          </cell>
          <cell r="K1218" t="str">
            <v>Universidade do Estado do Rio de Janeiro</v>
          </cell>
        </row>
        <row r="1219">
          <cell r="J1219">
            <v>15021984100</v>
          </cell>
          <cell r="K1219" t="str">
            <v>Universidade Federal Do Estado Do Rio de Janeiro (Unirio)</v>
          </cell>
        </row>
        <row r="1220">
          <cell r="J1220">
            <v>57542532100</v>
          </cell>
          <cell r="K1220" t="str">
            <v>Pontifical Catholic University of Rio de Janeiro</v>
          </cell>
        </row>
        <row r="1221">
          <cell r="J1221">
            <v>57218286932</v>
          </cell>
          <cell r="K1221" t="str">
            <v>University of Campinas (+1 more)</v>
          </cell>
        </row>
        <row r="1222">
          <cell r="J1222">
            <v>59713747300</v>
          </cell>
          <cell r="K1222" t="str">
            <v>Federal University of Rio de Janeiro</v>
          </cell>
        </row>
        <row r="1223">
          <cell r="J1223">
            <v>60029449700</v>
          </cell>
          <cell r="K1223" t="str">
            <v>Universidade Federal de Alagoas</v>
          </cell>
        </row>
        <row r="1224">
          <cell r="J1224">
            <v>57203009185</v>
          </cell>
          <cell r="K1224" t="str">
            <v>Universidade Federal de Campina Grande</v>
          </cell>
        </row>
        <row r="1225">
          <cell r="J1225">
            <v>58126313300</v>
          </cell>
          <cell r="K1225" t="str">
            <v>Halliburton</v>
          </cell>
        </row>
        <row r="1226">
          <cell r="J1226">
            <v>59179411800</v>
          </cell>
          <cell r="K1226" t="str">
            <v>Universidade Federal do Rio Grande do Sul</v>
          </cell>
        </row>
        <row r="1227">
          <cell r="J1227">
            <v>57217159297</v>
          </cell>
          <cell r="K1227" t="str">
            <v>Federal University of Rio de Janeiro</v>
          </cell>
        </row>
        <row r="1228">
          <cell r="J1228">
            <v>57190737012</v>
          </cell>
          <cell r="K1228" t="str">
            <v>University of Campinas</v>
          </cell>
        </row>
        <row r="1229">
          <cell r="J1229">
            <v>7403023528</v>
          </cell>
          <cell r="K1229" t="str">
            <v>Universidade Tecnológica Federal do Paraná</v>
          </cell>
        </row>
        <row r="1230">
          <cell r="J1230">
            <v>57208154117</v>
          </cell>
          <cell r="K1230" t="str">
            <v>Universidade Federal de Viçosa</v>
          </cell>
        </row>
        <row r="1231">
          <cell r="J1231">
            <v>57205363570</v>
          </cell>
          <cell r="K1231" t="str">
            <v>Universidade do Estado do Rio de Janeiro (+1 more)</v>
          </cell>
        </row>
        <row r="1232">
          <cell r="J1232">
            <v>6602618309</v>
          </cell>
          <cell r="K1232" t="str">
            <v>Federal University of Rio de Janeiro</v>
          </cell>
        </row>
        <row r="1233">
          <cell r="J1233">
            <v>6602977166</v>
          </cell>
          <cell r="K1233" t="str">
            <v>University of Campinas</v>
          </cell>
        </row>
        <row r="1234">
          <cell r="J1234">
            <v>57223999247</v>
          </cell>
          <cell r="K1234" t="str">
            <v>Universidade Federal de Uberlândia</v>
          </cell>
        </row>
        <row r="1235">
          <cell r="J1235">
            <v>56533061200</v>
          </cell>
          <cell r="K1235" t="str">
            <v>Universidade de São Paulo</v>
          </cell>
        </row>
        <row r="1236">
          <cell r="J1236">
            <v>56071072900</v>
          </cell>
          <cell r="K1236" t="str">
            <v>Universidade Federal da Bahia</v>
          </cell>
        </row>
        <row r="1237">
          <cell r="J1237">
            <v>57217417395</v>
          </cell>
          <cell r="K1237" t="str">
            <v>Universidade Federal do Ceará</v>
          </cell>
        </row>
        <row r="1238">
          <cell r="J1238">
            <v>57118837300</v>
          </cell>
          <cell r="K1238" t="str">
            <v>Universidade Estadual de Maringá</v>
          </cell>
        </row>
        <row r="1239">
          <cell r="J1239">
            <v>59579754200</v>
          </cell>
          <cell r="K1239" t="str">
            <v>Federal University of Rio de Janeiro</v>
          </cell>
        </row>
        <row r="1240">
          <cell r="J1240">
            <v>58116774000</v>
          </cell>
          <cell r="K1240" t="str">
            <v>Universidade Federal da Bahia</v>
          </cell>
        </row>
        <row r="1241">
          <cell r="J1241">
            <v>59343792300</v>
          </cell>
          <cell r="K1241" t="str">
            <v>Universidade Federal do Espírito Santo</v>
          </cell>
        </row>
        <row r="1242">
          <cell r="J1242">
            <v>57967090500</v>
          </cell>
          <cell r="K1242" t="str">
            <v>Universidade Federal do Rio Grande do Sul</v>
          </cell>
        </row>
        <row r="1243">
          <cell r="J1243">
            <v>6507606204</v>
          </cell>
          <cell r="K1243" t="str">
            <v>Pontifical Catholic University of Rio de Janeiro</v>
          </cell>
        </row>
        <row r="1244">
          <cell r="J1244">
            <v>57209774658</v>
          </cell>
          <cell r="K1244" t="str">
            <v>Universidade de Passo Fundo</v>
          </cell>
        </row>
        <row r="1245">
          <cell r="J1245">
            <v>55798991000</v>
          </cell>
          <cell r="K1245" t="str">
            <v>Universidade Federal Fluminense</v>
          </cell>
        </row>
        <row r="1246">
          <cell r="J1246">
            <v>14830303600</v>
          </cell>
          <cell r="K1246" t="str">
            <v>Universidade Federal do Ceará</v>
          </cell>
        </row>
        <row r="1247">
          <cell r="J1247">
            <v>57191955547</v>
          </cell>
          <cell r="K1247" t="str">
            <v>ATNAS</v>
          </cell>
        </row>
        <row r="1248">
          <cell r="J1248">
            <v>24477159700</v>
          </cell>
          <cell r="K1248" t="str">
            <v>Vizlab - X-Reality and GeoInformatics Lab</v>
          </cell>
        </row>
        <row r="1249">
          <cell r="J1249">
            <v>18633692300</v>
          </cell>
          <cell r="K1249" t="str">
            <v>Universidade Tecnológica Federal do Paraná (+1 more)</v>
          </cell>
        </row>
        <row r="1250">
          <cell r="J1250">
            <v>57072396400</v>
          </cell>
          <cell r="K1250" t="str">
            <v>Universidade Estadual do Norte Fluminense</v>
          </cell>
        </row>
        <row r="1251">
          <cell r="J1251">
            <v>57191055328</v>
          </cell>
          <cell r="K1251" t="str">
            <v>Universidade Federal de São João del-Rei</v>
          </cell>
        </row>
        <row r="1252">
          <cell r="J1252">
            <v>57248596300</v>
          </cell>
          <cell r="K1252" t="str">
            <v>Universidade Federal do Rio Grande do Sul</v>
          </cell>
        </row>
        <row r="1253">
          <cell r="J1253">
            <v>57224055996</v>
          </cell>
          <cell r="K1253" t="str">
            <v>UABJ UFRPE</v>
          </cell>
        </row>
        <row r="1254">
          <cell r="J1254">
            <v>57125367700</v>
          </cell>
          <cell r="K1254" t="str">
            <v>Federal University of Rio de Janeiro</v>
          </cell>
        </row>
        <row r="1255">
          <cell r="J1255">
            <v>59417918400</v>
          </cell>
          <cell r="K1255" t="str">
            <v>Universidade Federal do Rio Grande do Norte</v>
          </cell>
        </row>
        <row r="1256">
          <cell r="J1256">
            <v>58853945700</v>
          </cell>
          <cell r="K1256" t="str">
            <v>Pontifical Catholic University of Rio de Janeiro (+1 more)</v>
          </cell>
        </row>
        <row r="1257">
          <cell r="J1257">
            <v>58676731500</v>
          </cell>
          <cell r="K1257" t="str">
            <v>Universidade Federal do Ceará</v>
          </cell>
        </row>
        <row r="1258">
          <cell r="J1258">
            <v>55479842600</v>
          </cell>
          <cell r="K1258" t="str">
            <v>Federal University of Rio de Janeiro</v>
          </cell>
        </row>
        <row r="1259">
          <cell r="J1259">
            <v>57219725481</v>
          </cell>
          <cell r="K1259" t="str">
            <v>Federal University of Santa Catarina</v>
          </cell>
        </row>
        <row r="1260">
          <cell r="J1260">
            <v>57218442814</v>
          </cell>
          <cell r="K1260" t="str">
            <v>Production Engineering Department</v>
          </cell>
        </row>
        <row r="1261">
          <cell r="J1261">
            <v>36170443400</v>
          </cell>
          <cell r="K1261" t="str">
            <v>Universidade Federal de Uberlândia</v>
          </cell>
        </row>
        <row r="1262">
          <cell r="J1262">
            <v>59533510800</v>
          </cell>
          <cell r="K1262" t="str">
            <v>Universidade Federal Fluminense</v>
          </cell>
        </row>
        <row r="1263">
          <cell r="J1263">
            <v>57271613500</v>
          </cell>
          <cell r="K1263" t="str">
            <v>Universidade Federal de Goiás</v>
          </cell>
        </row>
        <row r="1264">
          <cell r="J1264">
            <v>57203006026</v>
          </cell>
          <cell r="K1264" t="str">
            <v>Universidade Federal de Campina Grande</v>
          </cell>
        </row>
        <row r="1265">
          <cell r="J1265">
            <v>57201430502</v>
          </cell>
          <cell r="K1265" t="str">
            <v>TRANSPETRO</v>
          </cell>
        </row>
        <row r="1266">
          <cell r="J1266">
            <v>58740633100</v>
          </cell>
          <cell r="K1266" t="str">
            <v>Universidade Federal de Alagoas</v>
          </cell>
        </row>
        <row r="1267">
          <cell r="J1267">
            <v>16444375900</v>
          </cell>
          <cell r="K1267" t="str">
            <v>Universidade Federal do Rio Grande do Sul (+1 more)</v>
          </cell>
        </row>
        <row r="1268">
          <cell r="J1268">
            <v>57219155714</v>
          </cell>
          <cell r="K1268" t="str">
            <v>Universidade Federal de Minas Gerais</v>
          </cell>
        </row>
        <row r="1269">
          <cell r="J1269">
            <v>58066915400</v>
          </cell>
          <cell r="K1269" t="str">
            <v>Federal University of Rio de Janeiro</v>
          </cell>
        </row>
        <row r="1270">
          <cell r="J1270">
            <v>55794610300</v>
          </cell>
          <cell r="K1270" t="str">
            <v>Federal University of Rio de Janeiro</v>
          </cell>
        </row>
        <row r="1271">
          <cell r="J1271">
            <v>57226695264</v>
          </cell>
          <cell r="K1271" t="str">
            <v>Universidade Federal de Goiás</v>
          </cell>
        </row>
        <row r="1272">
          <cell r="J1272">
            <v>7102297182</v>
          </cell>
          <cell r="K1272" t="str">
            <v>Serviço Nacional de Aprendizagem Industrial</v>
          </cell>
        </row>
        <row r="1273">
          <cell r="J1273">
            <v>56629349400</v>
          </cell>
          <cell r="K1273" t="str">
            <v>Fundação Oswaldo Cruz (+1 more)</v>
          </cell>
        </row>
        <row r="1274">
          <cell r="J1274">
            <v>57213839177</v>
          </cell>
          <cell r="K1274" t="str">
            <v>Federal University of Rio de Janeiro</v>
          </cell>
        </row>
        <row r="1275">
          <cell r="J1275">
            <v>6508052473</v>
          </cell>
          <cell r="K1275" t="str">
            <v>Universidade Federal de Uberlândia</v>
          </cell>
        </row>
        <row r="1276">
          <cell r="J1276">
            <v>57199500636</v>
          </cell>
          <cell r="K1276" t="str">
            <v>Federal University of Santa Catarina</v>
          </cell>
        </row>
        <row r="1277">
          <cell r="J1277">
            <v>55942335400</v>
          </cell>
          <cell r="K1277" t="str">
            <v>Vizlab - X-Reality and GeoInformatics Lab (+1 more)</v>
          </cell>
        </row>
        <row r="1278">
          <cell r="J1278">
            <v>53879403200</v>
          </cell>
          <cell r="K1278" t="str">
            <v>Universidade Federal de Santa Maria</v>
          </cell>
        </row>
        <row r="1279">
          <cell r="J1279">
            <v>7003857761</v>
          </cell>
          <cell r="K1279" t="str">
            <v>University of São Paulo (+2 more)</v>
          </cell>
        </row>
        <row r="1280">
          <cell r="J1280">
            <v>48360967300</v>
          </cell>
          <cell r="K1280" t="str">
            <v>University of Campinas</v>
          </cell>
        </row>
        <row r="1281">
          <cell r="J1281">
            <v>57218172190</v>
          </cell>
          <cell r="K1281" t="str">
            <v>Federal University of Santa Catarina</v>
          </cell>
        </row>
        <row r="1282">
          <cell r="J1282">
            <v>57218369943</v>
          </cell>
          <cell r="K1282" t="str">
            <v>NIDF (+1 more)</v>
          </cell>
        </row>
        <row r="1283">
          <cell r="J1283">
            <v>55608561100</v>
          </cell>
          <cell r="K1283" t="str">
            <v>Universidade Tecnológica Federal do Paraná</v>
          </cell>
        </row>
        <row r="1284">
          <cell r="J1284">
            <v>56646334100</v>
          </cell>
          <cell r="K1284" t="str">
            <v>Federal University of Rio de Janeiro</v>
          </cell>
        </row>
        <row r="1285">
          <cell r="J1285">
            <v>57193577883</v>
          </cell>
          <cell r="K1285" t="str">
            <v>Universidade Federal de Juiz de Fora</v>
          </cell>
        </row>
        <row r="1286">
          <cell r="J1286">
            <v>36815772600</v>
          </cell>
          <cell r="K1286" t="str">
            <v>Brazilian Navy</v>
          </cell>
        </row>
        <row r="1287">
          <cell r="J1287">
            <v>59158085300</v>
          </cell>
          <cell r="K1287" t="str">
            <v>Federal University of Rio de Janeiro</v>
          </cell>
        </row>
        <row r="1288">
          <cell r="J1288">
            <v>57203929077</v>
          </cell>
          <cell r="K1288" t="str">
            <v>Universidade Federal Rural do Rio de Janeiro</v>
          </cell>
        </row>
        <row r="1289">
          <cell r="J1289">
            <v>57189344776</v>
          </cell>
          <cell r="K1289" t="str">
            <v>Pontifícia Universidade Católica do Rio Grande do Sul (+1 more)</v>
          </cell>
        </row>
        <row r="1290">
          <cell r="J1290">
            <v>55240199400</v>
          </cell>
          <cell r="K1290" t="str">
            <v>Universidade Federal do Espírito Santo</v>
          </cell>
        </row>
        <row r="1291">
          <cell r="J1291">
            <v>57200297805</v>
          </cell>
          <cell r="K1291" t="str">
            <v>Universidade Tecnológica Federal do Paraná</v>
          </cell>
        </row>
        <row r="1292">
          <cell r="J1292">
            <v>7006002969</v>
          </cell>
          <cell r="K1292" t="str">
            <v>Pontifical Catholic University of Rio de Janeiro</v>
          </cell>
        </row>
        <row r="1293">
          <cell r="J1293">
            <v>6507972942</v>
          </cell>
          <cell r="K1293" t="str">
            <v>Federal University of Rio de Janeiro</v>
          </cell>
        </row>
        <row r="1294">
          <cell r="J1294">
            <v>57224106219</v>
          </cell>
          <cell r="K1294" t="str">
            <v>Federal University of Rio de Janeiro</v>
          </cell>
        </row>
        <row r="1295">
          <cell r="J1295">
            <v>46861129100</v>
          </cell>
          <cell r="K1295" t="str">
            <v>Pontifical Catholic University of Rio de Janeiro</v>
          </cell>
        </row>
        <row r="1296">
          <cell r="J1296">
            <v>58758272000</v>
          </cell>
          <cell r="K1296" t="str">
            <v>Federal University of Santa Catarina</v>
          </cell>
        </row>
        <row r="1297">
          <cell r="J1297">
            <v>57193094380</v>
          </cell>
          <cell r="K1297" t="str">
            <v>Federal University of Santa Catarina</v>
          </cell>
        </row>
        <row r="1298">
          <cell r="J1298">
            <v>58527534100</v>
          </cell>
          <cell r="K1298" t="str">
            <v>Núcleo de Estudo em Sistemas Coloidais (NUESC) / Instituto de Tecnologia e Pesquisa (ITP)</v>
          </cell>
        </row>
        <row r="1299">
          <cell r="J1299">
            <v>59510928500</v>
          </cell>
          <cell r="K1299" t="str">
            <v>Universidade Federal Fluminense</v>
          </cell>
        </row>
        <row r="1300">
          <cell r="J1300">
            <v>59158377900</v>
          </cell>
          <cell r="K1300" t="str">
            <v>Pontifical Catholic University of Rio de Janeiro</v>
          </cell>
        </row>
        <row r="1301">
          <cell r="J1301">
            <v>24471469100</v>
          </cell>
          <cell r="K1301" t="str">
            <v>Federal University of Rio de Janeiro</v>
          </cell>
        </row>
        <row r="1302">
          <cell r="J1302">
            <v>6701403039</v>
          </cell>
          <cell r="K1302" t="str">
            <v>Universidade Federal de Uberlândia</v>
          </cell>
        </row>
        <row r="1303">
          <cell r="J1303">
            <v>56646180500</v>
          </cell>
          <cell r="K1303" t="str">
            <v>Universidade Federal de Uberlândia</v>
          </cell>
        </row>
        <row r="1304">
          <cell r="J1304">
            <v>57191414672</v>
          </cell>
          <cell r="K1304" t="str">
            <v>Universidade Federal do Rio Grande do Sul (+1 more)</v>
          </cell>
        </row>
        <row r="1305">
          <cell r="J1305">
            <v>55806764200</v>
          </cell>
          <cell r="K1305" t="str">
            <v>Federal University of Santa Catarina</v>
          </cell>
        </row>
        <row r="1306">
          <cell r="J1306">
            <v>50960937600</v>
          </cell>
          <cell r="K1306" t="str">
            <v>University of Campinas</v>
          </cell>
        </row>
        <row r="1307">
          <cell r="J1307">
            <v>6507369527</v>
          </cell>
          <cell r="K1307" t="str">
            <v>Universidade Federal do Rio Grande do Sul</v>
          </cell>
        </row>
        <row r="1308">
          <cell r="J1308">
            <v>59251055200</v>
          </cell>
          <cell r="K1308" t="str">
            <v>Universidade Federal de Minas Gerais</v>
          </cell>
        </row>
        <row r="1309">
          <cell r="J1309">
            <v>36184995100</v>
          </cell>
          <cell r="K1309" t="str">
            <v>Universidade Federal de Pelotas</v>
          </cell>
        </row>
        <row r="1310">
          <cell r="J1310">
            <v>22939933900</v>
          </cell>
          <cell r="K1310" t="str">
            <v>Grupo de Estudos de Mamíferos Aquáticos Do RS (GEMARS)</v>
          </cell>
        </row>
        <row r="1311">
          <cell r="J1311">
            <v>56094458600</v>
          </cell>
          <cell r="K1311" t="str">
            <v>Engineering Simulation and Scientific Software (+1 more)</v>
          </cell>
        </row>
        <row r="1312">
          <cell r="J1312">
            <v>9240696100</v>
          </cell>
          <cell r="K1312" t="str">
            <v>Federal University of Rio de Janeiro</v>
          </cell>
        </row>
        <row r="1313">
          <cell r="J1313">
            <v>6602184864</v>
          </cell>
          <cell r="K1313" t="str">
            <v>Universidade de Brasília</v>
          </cell>
        </row>
        <row r="1314">
          <cell r="J1314">
            <v>59654151400</v>
          </cell>
          <cell r="K1314" t="str">
            <v>Universidade Federal do Rio Grande do Norte</v>
          </cell>
        </row>
        <row r="1315">
          <cell r="J1315">
            <v>57209368504</v>
          </cell>
          <cell r="K1315" t="str">
            <v>National Department of Transport Infrastructure (+1 more)</v>
          </cell>
        </row>
        <row r="1316">
          <cell r="J1316">
            <v>57211853743</v>
          </cell>
          <cell r="K1316" t="str">
            <v>Universidade de Brasília (+1 more)</v>
          </cell>
        </row>
        <row r="1317">
          <cell r="J1317">
            <v>57197873459</v>
          </cell>
          <cell r="K1317" t="str">
            <v>Universidade Federal do Rio Grande do Norte</v>
          </cell>
        </row>
        <row r="1318">
          <cell r="J1318">
            <v>56024985800</v>
          </cell>
          <cell r="K1318" t="str">
            <v>Federal University of Rio de Janeiro</v>
          </cell>
        </row>
        <row r="1319">
          <cell r="J1319">
            <v>6602758274</v>
          </cell>
          <cell r="K1319" t="str">
            <v>Federal University of Rio de Janeiro</v>
          </cell>
        </row>
        <row r="1320">
          <cell r="J1320">
            <v>6701416835</v>
          </cell>
          <cell r="K1320" t="str">
            <v>Universidade Tiradentes (+4 more)</v>
          </cell>
        </row>
        <row r="1321">
          <cell r="J1321">
            <v>23070246900</v>
          </cell>
          <cell r="K1321" t="str">
            <v>Instituto Nacional de Metrologia, Qualidade e Tecnologia</v>
          </cell>
        </row>
        <row r="1322">
          <cell r="J1322">
            <v>57120189400</v>
          </cell>
          <cell r="K1322" t="str">
            <v>Universidade Federal de Pernambuco</v>
          </cell>
        </row>
        <row r="1323">
          <cell r="J1323">
            <v>25228208100</v>
          </cell>
          <cell r="K1323" t="str">
            <v>Universidade Federal de Goiás</v>
          </cell>
        </row>
        <row r="1324">
          <cell r="J1324">
            <v>36628061800</v>
          </cell>
          <cell r="K1324" t="str">
            <v>Fundação Gorceix (+1 more)</v>
          </cell>
        </row>
        <row r="1325">
          <cell r="J1325">
            <v>57216926282</v>
          </cell>
          <cell r="K1325" t="str">
            <v>Federal University of Rio de Janeiro</v>
          </cell>
        </row>
        <row r="1326">
          <cell r="J1326">
            <v>57491478100</v>
          </cell>
          <cell r="K1326" t="str">
            <v>University of Campinas (+1 more)</v>
          </cell>
        </row>
        <row r="1327">
          <cell r="J1327">
            <v>57662657200</v>
          </cell>
          <cell r="K1327" t="str">
            <v>Universidade de São Paulo</v>
          </cell>
        </row>
        <row r="1328">
          <cell r="J1328">
            <v>57665530200</v>
          </cell>
          <cell r="K1328" t="str">
            <v>Universidade Federal de Goiás</v>
          </cell>
        </row>
        <row r="1329">
          <cell r="J1329">
            <v>57202211209</v>
          </cell>
          <cell r="K1329" t="str">
            <v>Universidade Federal de Goiás</v>
          </cell>
        </row>
        <row r="1330">
          <cell r="J1330">
            <v>57210389065</v>
          </cell>
          <cell r="K1330" t="str">
            <v>Federal University of Rio de Janeiro</v>
          </cell>
        </row>
        <row r="1331">
          <cell r="J1331">
            <v>57222276929</v>
          </cell>
          <cell r="K1331" t="str">
            <v>Federal University of Rio de Janeiro</v>
          </cell>
        </row>
        <row r="1332">
          <cell r="J1332">
            <v>50960926700</v>
          </cell>
          <cell r="K1332" t="str">
            <v>University of Campinas</v>
          </cell>
        </row>
        <row r="1333">
          <cell r="J1333">
            <v>57889105800</v>
          </cell>
          <cell r="K1333" t="str">
            <v>Pontifical Catholic University of Rio de Janeiro</v>
          </cell>
        </row>
        <row r="1334">
          <cell r="J1334">
            <v>57204171216</v>
          </cell>
          <cell r="K1334" t="str">
            <v>Universidade Federal do Rio Grande do Norte</v>
          </cell>
        </row>
        <row r="1335">
          <cell r="J1335">
            <v>6603791835</v>
          </cell>
          <cell r="K1335" t="str">
            <v>University of Campinas</v>
          </cell>
        </row>
        <row r="1336">
          <cell r="J1336">
            <v>36659125300</v>
          </cell>
          <cell r="K1336" t="str">
            <v>Federal University of Santa Catarina</v>
          </cell>
        </row>
        <row r="1337">
          <cell r="J1337">
            <v>58533957700</v>
          </cell>
          <cell r="K1337" t="str">
            <v>University of Campinas</v>
          </cell>
        </row>
        <row r="1338">
          <cell r="J1338">
            <v>57188965318</v>
          </cell>
          <cell r="K1338" t="str">
            <v>Universidade Federal do Rio Grande do Sul</v>
          </cell>
        </row>
        <row r="1339">
          <cell r="J1339">
            <v>55390502900</v>
          </cell>
          <cell r="K1339" t="str">
            <v>State Water and Sewage Company of Rio de Janeiro (+1 more)</v>
          </cell>
        </row>
        <row r="1340">
          <cell r="J1340">
            <v>60123912700</v>
          </cell>
          <cell r="K1340" t="str">
            <v>Universidade Federal do Ceará</v>
          </cell>
        </row>
        <row r="1341">
          <cell r="J1341">
            <v>57223248720</v>
          </cell>
          <cell r="K1341" t="str">
            <v>Universidade Federal da Bahia</v>
          </cell>
        </row>
        <row r="1342">
          <cell r="J1342">
            <v>57211603387</v>
          </cell>
          <cell r="K1342" t="str">
            <v>Federal University of Santa Catarina</v>
          </cell>
        </row>
        <row r="1343">
          <cell r="J1343">
            <v>57222538412</v>
          </cell>
          <cell r="K1343" t="str">
            <v>University of Campinas</v>
          </cell>
        </row>
        <row r="1344">
          <cell r="J1344">
            <v>57215657217</v>
          </cell>
          <cell r="K1344" t="str">
            <v>Universidade Federal de Goiás</v>
          </cell>
        </row>
        <row r="1345">
          <cell r="J1345">
            <v>36878033500</v>
          </cell>
          <cell r="K1345" t="str">
            <v>Instituto de Química (+1 more)</v>
          </cell>
        </row>
        <row r="1346">
          <cell r="J1346">
            <v>36051841300</v>
          </cell>
          <cell r="K1346" t="str">
            <v>Federal University of Rio de Janeiro</v>
          </cell>
        </row>
        <row r="1347">
          <cell r="J1347">
            <v>26664543000</v>
          </cell>
          <cell r="K1347" t="str">
            <v>Centro Brasileiro de Pesquisas Físicas</v>
          </cell>
        </row>
        <row r="1348">
          <cell r="J1348">
            <v>6508379578</v>
          </cell>
          <cell r="K1348" t="str">
            <v>Centro Brasileiro de Pesquisas Físicas</v>
          </cell>
        </row>
        <row r="1349">
          <cell r="J1349">
            <v>56962603300</v>
          </cell>
          <cell r="K1349" t="str">
            <v>Universidade de Fortaleza</v>
          </cell>
        </row>
        <row r="1350">
          <cell r="J1350">
            <v>57191255872</v>
          </cell>
          <cell r="K1350" t="str">
            <v>Universidade Federal Fluminense</v>
          </cell>
        </row>
        <row r="1351">
          <cell r="J1351">
            <v>56152461900</v>
          </cell>
          <cell r="K1351" t="str">
            <v>Universidade Federal Fluminense</v>
          </cell>
        </row>
        <row r="1352">
          <cell r="J1352">
            <v>57195735761</v>
          </cell>
          <cell r="K1352" t="str">
            <v>Federal University of Rio de Janeiro</v>
          </cell>
        </row>
        <row r="1353">
          <cell r="J1353">
            <v>57222039166</v>
          </cell>
          <cell r="K1353" t="str">
            <v>Federal University of Rio de Janeiro</v>
          </cell>
        </row>
        <row r="1354">
          <cell r="J1354">
            <v>59420765600</v>
          </cell>
          <cell r="K1354" t="str">
            <v>Federal University of Rio de Janeiro</v>
          </cell>
        </row>
        <row r="1355">
          <cell r="J1355">
            <v>59458870100</v>
          </cell>
          <cell r="K1355" t="str">
            <v>Federal University of Santa Catarina</v>
          </cell>
        </row>
        <row r="1356">
          <cell r="J1356">
            <v>57195624393</v>
          </cell>
          <cell r="K1356" t="str">
            <v>Pontifical Catholic University of Rio de Janeiro (+1 more)</v>
          </cell>
        </row>
        <row r="1357">
          <cell r="J1357">
            <v>56868332100</v>
          </cell>
          <cell r="K1357" t="str">
            <v>Universidade de São Paulo (+1 more)</v>
          </cell>
        </row>
        <row r="1358">
          <cell r="J1358">
            <v>35208202100</v>
          </cell>
          <cell r="K1358" t="str">
            <v>Centro Nacional de Pesquisa em Energia e Materiais</v>
          </cell>
        </row>
        <row r="1359">
          <cell r="J1359">
            <v>56363255900</v>
          </cell>
          <cell r="K1359" t="str">
            <v>University of Liverpool (+1 more)</v>
          </cell>
        </row>
        <row r="1360">
          <cell r="J1360">
            <v>13807405000</v>
          </cell>
          <cell r="K1360" t="str">
            <v>Empresa Brasileira de Pesquisa Agropecuária</v>
          </cell>
        </row>
        <row r="1361">
          <cell r="J1361">
            <v>57196258998</v>
          </cell>
          <cell r="K1361" t="str">
            <v>Federal University of Rio de Janeiro</v>
          </cell>
        </row>
        <row r="1362">
          <cell r="J1362">
            <v>7005988591</v>
          </cell>
          <cell r="K1362" t="str">
            <v>Federal University of Rio de Janeiro</v>
          </cell>
        </row>
        <row r="1363">
          <cell r="J1363">
            <v>35619136800</v>
          </cell>
          <cell r="K1363" t="str">
            <v>Federal University of Rio de Janeiro</v>
          </cell>
        </row>
        <row r="1364">
          <cell r="J1364">
            <v>25649180500</v>
          </cell>
          <cell r="K1364" t="str">
            <v>Federal University of Rio de Janeiro</v>
          </cell>
        </row>
        <row r="1365">
          <cell r="J1365">
            <v>7004079795</v>
          </cell>
          <cell r="K1365" t="str">
            <v>Instituto de Pesquisas Tecnologicas (+1 more)</v>
          </cell>
        </row>
        <row r="1366">
          <cell r="J1366">
            <v>57200790508</v>
          </cell>
          <cell r="K1366" t="str">
            <v>Federal University of Rio de Janeiro</v>
          </cell>
        </row>
        <row r="1367">
          <cell r="J1367">
            <v>25622281300</v>
          </cell>
          <cell r="K1367" t="str">
            <v>Universidade do Estado da Bahia</v>
          </cell>
        </row>
        <row r="1368">
          <cell r="J1368">
            <v>59420176000</v>
          </cell>
          <cell r="K1368" t="str">
            <v>Centro de Estudos e Sistemas Avançados do Recife</v>
          </cell>
        </row>
        <row r="1369">
          <cell r="J1369">
            <v>23990254300</v>
          </cell>
          <cell r="K1369" t="str">
            <v>Universidade do Vale do Itajaí (+1 more)</v>
          </cell>
        </row>
        <row r="1370">
          <cell r="J1370">
            <v>58577144600</v>
          </cell>
          <cell r="K1370" t="str">
            <v>Laboratório Nacional de Computação Científica</v>
          </cell>
        </row>
        <row r="1371">
          <cell r="J1371">
            <v>55813088000</v>
          </cell>
          <cell r="K1371" t="str">
            <v>Universidade Federal do Espírito Santo</v>
          </cell>
        </row>
        <row r="1372">
          <cell r="J1372">
            <v>56494639900</v>
          </cell>
          <cell r="K1372" t="str">
            <v>Pontifical Catholic University of Rio de Janeiro</v>
          </cell>
        </row>
        <row r="1373">
          <cell r="J1373">
            <v>57218199463</v>
          </cell>
          <cell r="K1373" t="str">
            <v>Federal University of Rio de Janeiro</v>
          </cell>
        </row>
        <row r="1374">
          <cell r="J1374">
            <v>56227293600</v>
          </cell>
          <cell r="K1374" t="str">
            <v>Federal University of Rio de Janeiro</v>
          </cell>
        </row>
        <row r="1375">
          <cell r="J1375">
            <v>57219512648</v>
          </cell>
          <cell r="K1375" t="str">
            <v>Universidade Federal de Pernambuco</v>
          </cell>
        </row>
        <row r="1376">
          <cell r="J1376">
            <v>60124649100</v>
          </cell>
          <cell r="K1376" t="str">
            <v>SENAI</v>
          </cell>
        </row>
        <row r="1377">
          <cell r="J1377">
            <v>58455133600</v>
          </cell>
          <cell r="K1377" t="str">
            <v>Universidade de São Paulo</v>
          </cell>
        </row>
        <row r="1378">
          <cell r="J1378">
            <v>59184319000</v>
          </cell>
          <cell r="K1378" t="str">
            <v>Universidade de São Paulo</v>
          </cell>
        </row>
        <row r="1379">
          <cell r="J1379">
            <v>8834195900</v>
          </cell>
          <cell r="K1379" t="str">
            <v>Universidade Federal do Rio Grande do Norte</v>
          </cell>
        </row>
        <row r="1380">
          <cell r="J1380">
            <v>59391245600</v>
          </cell>
          <cell r="K1380" t="str">
            <v>Pontifícia Universidade Católica do Rio Grande do Sul</v>
          </cell>
        </row>
        <row r="1381">
          <cell r="J1381">
            <v>57204171575</v>
          </cell>
          <cell r="K1381" t="str">
            <v>Universidade Federal do Rio Grande do Norte</v>
          </cell>
        </row>
        <row r="1382">
          <cell r="J1382">
            <v>57226103558</v>
          </cell>
          <cell r="K1382" t="str">
            <v>Instituto Tecnológico da Aeronáutica</v>
          </cell>
        </row>
        <row r="1383">
          <cell r="J1383">
            <v>57656074900</v>
          </cell>
          <cell r="K1383" t="str">
            <v>Federal University of Rio de Janeiro</v>
          </cell>
        </row>
        <row r="1384">
          <cell r="J1384">
            <v>55898795500</v>
          </cell>
          <cell r="K1384" t="str">
            <v>Universidade Federal do Espírito Santo</v>
          </cell>
        </row>
        <row r="1385">
          <cell r="J1385">
            <v>59531299900</v>
          </cell>
          <cell r="K1385" t="str">
            <v>Pontifical Catholic University of Rio de Janeiro (+1 more)</v>
          </cell>
        </row>
        <row r="1386">
          <cell r="J1386">
            <v>57393010000</v>
          </cell>
          <cell r="K1386" t="str">
            <v>Federal University of Rio de Janeiro</v>
          </cell>
        </row>
        <row r="1387">
          <cell r="J1387">
            <v>57886168600</v>
          </cell>
          <cell r="K1387" t="str">
            <v>Pontifical Catholic University of Rio de Janeiro</v>
          </cell>
        </row>
        <row r="1388">
          <cell r="J1388">
            <v>57189582801</v>
          </cell>
          <cell r="K1388" t="str">
            <v>Universidade Federal de Pernambuco</v>
          </cell>
        </row>
        <row r="1389">
          <cell r="J1389">
            <v>57411096300</v>
          </cell>
          <cell r="K1389" t="str">
            <v>Federal University of Rio de Janeiro</v>
          </cell>
        </row>
        <row r="1390">
          <cell r="J1390">
            <v>56582556100</v>
          </cell>
          <cell r="K1390" t="str">
            <v>Universidade Federal de Goiás</v>
          </cell>
        </row>
        <row r="1391">
          <cell r="J1391">
            <v>57344765400</v>
          </cell>
          <cell r="K1391" t="str">
            <v>Pontifical Catholic University of Rio de Janeiro (+1 more)</v>
          </cell>
        </row>
        <row r="1392">
          <cell r="J1392">
            <v>57208132207</v>
          </cell>
          <cell r="K1392" t="str">
            <v>Federal University of Rio de Janeiro</v>
          </cell>
        </row>
        <row r="1393">
          <cell r="J1393">
            <v>15849216200</v>
          </cell>
          <cell r="K1393" t="str">
            <v>Federal University of Pará</v>
          </cell>
        </row>
        <row r="1394">
          <cell r="J1394">
            <v>57212049034</v>
          </cell>
          <cell r="K1394" t="str">
            <v>Universidade Federal do Rio Grande do Sul</v>
          </cell>
        </row>
        <row r="1395">
          <cell r="J1395">
            <v>57201399643</v>
          </cell>
          <cell r="K1395" t="str">
            <v>ACV. TECLINE</v>
          </cell>
        </row>
        <row r="1396">
          <cell r="J1396">
            <v>57219020611</v>
          </cell>
          <cell r="K1396" t="str">
            <v>Universidade Federal de Goiás</v>
          </cell>
        </row>
        <row r="1397">
          <cell r="J1397">
            <v>57924666700</v>
          </cell>
          <cell r="K1397" t="str">
            <v>Universidade Federal de Alagoas (+1 more)</v>
          </cell>
        </row>
        <row r="1398">
          <cell r="J1398">
            <v>36605939000</v>
          </cell>
          <cell r="K1398" t="str">
            <v>Federal University of Rio de Janeiro</v>
          </cell>
        </row>
        <row r="1399">
          <cell r="J1399">
            <v>57339188100</v>
          </cell>
          <cell r="K1399" t="str">
            <v>Universidade Federal Rural do Rio de Janeiro</v>
          </cell>
        </row>
        <row r="1400">
          <cell r="J1400">
            <v>36891026400</v>
          </cell>
          <cell r="K1400" t="str">
            <v>Universidade do Estado do Rio de Janeiro</v>
          </cell>
        </row>
        <row r="1401">
          <cell r="J1401">
            <v>55179037900</v>
          </cell>
          <cell r="K1401" t="str">
            <v>Universidade de São Paulo</v>
          </cell>
        </row>
        <row r="1402">
          <cell r="J1402">
            <v>57192371609</v>
          </cell>
          <cell r="K1402" t="str">
            <v>Pontifical Catholic University of Rio de Janeiro</v>
          </cell>
        </row>
        <row r="1403">
          <cell r="J1403">
            <v>57056524700</v>
          </cell>
          <cell r="K1403" t="str">
            <v>Universidade Santa Cecília</v>
          </cell>
        </row>
        <row r="1404">
          <cell r="J1404">
            <v>57553480800</v>
          </cell>
          <cell r="K1404" t="str">
            <v>Universidade Federal de Pernambuco</v>
          </cell>
        </row>
        <row r="1405">
          <cell r="J1405">
            <v>58421780100</v>
          </cell>
          <cell r="K1405" t="str">
            <v>Federal University of Rio de Janeiro</v>
          </cell>
        </row>
        <row r="1406">
          <cell r="J1406">
            <v>57862896400</v>
          </cell>
          <cell r="K1406" t="str">
            <v>Universidade Tecnológica Federal do Paraná (+2 more)</v>
          </cell>
        </row>
        <row r="1407">
          <cell r="J1407">
            <v>58941451000</v>
          </cell>
          <cell r="K1407" t="str">
            <v>Federal University of Rio de Janeiro</v>
          </cell>
        </row>
        <row r="1408">
          <cell r="J1408">
            <v>56179889300</v>
          </cell>
          <cell r="K1408" t="str">
            <v>Universidade Federal do Espírito Santo</v>
          </cell>
        </row>
        <row r="1409">
          <cell r="J1409">
            <v>57668429100</v>
          </cell>
          <cell r="K1409" t="str">
            <v>Federal University of Rio de Janeiro</v>
          </cell>
        </row>
        <row r="1410">
          <cell r="J1410">
            <v>57742955500</v>
          </cell>
          <cell r="K1410" t="str">
            <v>Universidade Federal do Espírito Santo</v>
          </cell>
        </row>
        <row r="1411">
          <cell r="J1411">
            <v>57214797356</v>
          </cell>
          <cell r="K1411" t="str">
            <v>Universidade Federal do Espírito Santo (+1 more)</v>
          </cell>
        </row>
        <row r="1412">
          <cell r="J1412">
            <v>55078096200</v>
          </cell>
          <cell r="K1412" t="str">
            <v>Federal University of Rio de Janeiro</v>
          </cell>
        </row>
        <row r="1413">
          <cell r="J1413">
            <v>57214164066</v>
          </cell>
          <cell r="K1413" t="str">
            <v>Universidade de São Paulo</v>
          </cell>
        </row>
        <row r="1414">
          <cell r="J1414">
            <v>35588153700</v>
          </cell>
          <cell r="K1414" t="str">
            <v>Pontifical Catholic University of Rio de Janeiro</v>
          </cell>
        </row>
        <row r="1415">
          <cell r="J1415">
            <v>6603036578</v>
          </cell>
          <cell r="K1415" t="str">
            <v>Universidade de São Paulo</v>
          </cell>
        </row>
        <row r="1416">
          <cell r="J1416">
            <v>59673931300</v>
          </cell>
          <cell r="K1416" t="str">
            <v>Universidade Federal do Rio Grande do Sul</v>
          </cell>
        </row>
        <row r="1417">
          <cell r="J1417">
            <v>58311656800</v>
          </cell>
          <cell r="K1417" t="str">
            <v>Federal University of Santa Catarina</v>
          </cell>
        </row>
        <row r="1418">
          <cell r="J1418">
            <v>35101749000</v>
          </cell>
          <cell r="K1418" t="str">
            <v>Pesquisador</v>
          </cell>
        </row>
        <row r="1419">
          <cell r="J1419">
            <v>57209303201</v>
          </cell>
          <cell r="K1419" t="str">
            <v>University of Campinas (+1 more)</v>
          </cell>
        </row>
        <row r="1420">
          <cell r="J1420">
            <v>36106949500</v>
          </cell>
          <cell r="K1420" t="str">
            <v>Federal University of Rio de Janeiro</v>
          </cell>
        </row>
        <row r="1421">
          <cell r="J1421">
            <v>57210256799</v>
          </cell>
          <cell r="K1421" t="str">
            <v>Federal University of Rio de Janeiro</v>
          </cell>
        </row>
        <row r="1422">
          <cell r="J1422">
            <v>57226815393</v>
          </cell>
          <cell r="K1422" t="str">
            <v>Laboratório Nacional de Computação Científica</v>
          </cell>
        </row>
        <row r="1423">
          <cell r="J1423">
            <v>58723928400</v>
          </cell>
          <cell r="K1423" t="str">
            <v>Instituto Federal de Pernambuco</v>
          </cell>
        </row>
        <row r="1424">
          <cell r="J1424">
            <v>15757180700</v>
          </cell>
          <cell r="K1424" t="str">
            <v>Empresa Brasileira de Pesquisa Agropecuária</v>
          </cell>
        </row>
        <row r="1425">
          <cell r="J1425">
            <v>7102895730</v>
          </cell>
          <cell r="K1425" t="str">
            <v>Universidade Estadual de Maringá</v>
          </cell>
        </row>
        <row r="1426">
          <cell r="J1426">
            <v>57194530817</v>
          </cell>
          <cell r="K1426" t="str">
            <v>Centro Federal de Educação Tecnológica Celso Suckow da Fonseca (CEFET-RJ)</v>
          </cell>
        </row>
        <row r="1427">
          <cell r="J1427">
            <v>57254558600</v>
          </cell>
          <cell r="K1427" t="str">
            <v>Federal University of Rio de Janeiro</v>
          </cell>
        </row>
        <row r="1428">
          <cell r="J1428">
            <v>59157864000</v>
          </cell>
          <cell r="K1428" t="str">
            <v>Centro Federal de Educação Tecnológica Celso Suckow da Fonseca (CEFET-RJ) (+1 more)</v>
          </cell>
        </row>
        <row r="1429">
          <cell r="J1429">
            <v>56281813100</v>
          </cell>
          <cell r="K1429" t="str">
            <v>DEMa</v>
          </cell>
        </row>
        <row r="1430">
          <cell r="J1430">
            <v>56087791900</v>
          </cell>
          <cell r="K1430" t="str">
            <v>Universidade Tiradentes</v>
          </cell>
        </row>
        <row r="1431">
          <cell r="J1431">
            <v>57221482505</v>
          </cell>
          <cell r="K1431" t="str">
            <v>Universidade Federal de Goiás</v>
          </cell>
        </row>
        <row r="1432">
          <cell r="J1432">
            <v>58809719200</v>
          </cell>
          <cell r="K1432" t="str">
            <v>Pontifical Catholic University of Rio de Janeiro (+1 more)</v>
          </cell>
        </row>
        <row r="1433">
          <cell r="J1433">
            <v>55919799600</v>
          </cell>
          <cell r="K1433" t="str">
            <v>Universidade de São Paulo</v>
          </cell>
        </row>
        <row r="1434">
          <cell r="J1434">
            <v>55345241600</v>
          </cell>
          <cell r="K1434" t="str">
            <v>Universidade Tiradentes</v>
          </cell>
        </row>
        <row r="1435">
          <cell r="J1435">
            <v>7007165201</v>
          </cell>
          <cell r="K1435" t="str">
            <v>Federal University of Rio de Janeiro</v>
          </cell>
        </row>
        <row r="1436">
          <cell r="J1436">
            <v>57209211559</v>
          </cell>
          <cell r="K1436" t="str">
            <v>Universidade Federal Fluminense</v>
          </cell>
        </row>
        <row r="1437">
          <cell r="J1437">
            <v>57371986500</v>
          </cell>
          <cell r="K1437" t="str">
            <v>Universidade Federal de Uberlândia</v>
          </cell>
        </row>
        <row r="1438">
          <cell r="J1438">
            <v>6701374875</v>
          </cell>
          <cell r="K1438" t="str">
            <v>Universidade Federal de Minas Gerais (+1 more)</v>
          </cell>
        </row>
        <row r="1439">
          <cell r="J1439">
            <v>58413361400</v>
          </cell>
          <cell r="K1439" t="str">
            <v>Universidade Federal do Paraná</v>
          </cell>
        </row>
        <row r="1440">
          <cell r="J1440">
            <v>25929891900</v>
          </cell>
          <cell r="K1440" t="str">
            <v>Universidade Federal do Rio Grande do Norte</v>
          </cell>
        </row>
        <row r="1441">
          <cell r="J1441">
            <v>56879093700</v>
          </cell>
          <cell r="K1441" t="str">
            <v>Universidade de São Paulo</v>
          </cell>
        </row>
        <row r="1442">
          <cell r="J1442">
            <v>57204661776</v>
          </cell>
          <cell r="K1442" t="str">
            <v>Universidade Federal Fluminense</v>
          </cell>
        </row>
        <row r="1443">
          <cell r="J1443">
            <v>6508002729</v>
          </cell>
          <cell r="K1443" t="str">
            <v>Universidade Federal de Itajubá</v>
          </cell>
        </row>
        <row r="1444">
          <cell r="J1444">
            <v>57339093400</v>
          </cell>
          <cell r="K1444" t="str">
            <v>Universidade Federal Rural do Rio de Janeiro</v>
          </cell>
        </row>
        <row r="1445">
          <cell r="J1445">
            <v>56415038700</v>
          </cell>
          <cell r="K1445" t="str">
            <v>Universidade Federal de São João del-Rei</v>
          </cell>
        </row>
        <row r="1446">
          <cell r="J1446">
            <v>57545831600</v>
          </cell>
          <cell r="K1446" t="str">
            <v>Federal University of Santa Catarina</v>
          </cell>
        </row>
        <row r="1447">
          <cell r="J1447">
            <v>57219726250</v>
          </cell>
          <cell r="K1447" t="str">
            <v>Universidade Federal do Ceará</v>
          </cell>
        </row>
        <row r="1448">
          <cell r="J1448">
            <v>36343231400</v>
          </cell>
          <cell r="K1448" t="str">
            <v>Universidade Estadual de Maringá</v>
          </cell>
        </row>
        <row r="1449">
          <cell r="J1449">
            <v>7007059175</v>
          </cell>
          <cell r="K1449" t="str">
            <v>Laboratório Nacional de Computação Científica</v>
          </cell>
        </row>
        <row r="1450">
          <cell r="J1450">
            <v>25721994300</v>
          </cell>
          <cell r="K1450" t="str">
            <v>Universidade Federal de Juiz de Fora</v>
          </cell>
        </row>
        <row r="1451">
          <cell r="J1451">
            <v>55837733200</v>
          </cell>
          <cell r="K1451" t="str">
            <v>Federal University of Rio de Janeiro</v>
          </cell>
        </row>
        <row r="1452">
          <cell r="J1452">
            <v>7006048933</v>
          </cell>
          <cell r="K1452" t="str">
            <v>Universidade Federal de Santa Maria</v>
          </cell>
        </row>
        <row r="1453">
          <cell r="J1453">
            <v>57204000785</v>
          </cell>
          <cell r="K1453" t="str">
            <v>Universidade Federal Rural do Rio de Janeiro</v>
          </cell>
        </row>
        <row r="1454">
          <cell r="J1454">
            <v>57210556623</v>
          </cell>
          <cell r="K1454" t="str">
            <v>Federal University of Rio de Janeiro</v>
          </cell>
        </row>
        <row r="1455">
          <cell r="J1455">
            <v>57191857636</v>
          </cell>
          <cell r="K1455" t="str">
            <v>Universidade Federal de Viçosa</v>
          </cell>
        </row>
        <row r="1456">
          <cell r="J1456">
            <v>57201686821</v>
          </cell>
          <cell r="K1456" t="str">
            <v>Federal University of Rio de Janeiro</v>
          </cell>
        </row>
        <row r="1457">
          <cell r="J1457">
            <v>37107585400</v>
          </cell>
          <cell r="K1457" t="str">
            <v>Universidade do Estado do Rio de Janeiro (+1 more)</v>
          </cell>
        </row>
        <row r="1458">
          <cell r="J1458">
            <v>60125474100</v>
          </cell>
          <cell r="K1458" t="str">
            <v>FIEMG</v>
          </cell>
        </row>
        <row r="1459">
          <cell r="J1459">
            <v>57190790602</v>
          </cell>
          <cell r="K1459" t="str">
            <v>Universidade de São Paulo</v>
          </cell>
        </row>
        <row r="1460">
          <cell r="J1460">
            <v>58819701200</v>
          </cell>
          <cell r="K1460" t="str">
            <v>Federal University of Rio de Janeiro</v>
          </cell>
        </row>
        <row r="1461">
          <cell r="J1461">
            <v>36177268800</v>
          </cell>
          <cell r="K1461" t="str">
            <v>Federal University of Rio de Janeiro</v>
          </cell>
        </row>
        <row r="1462">
          <cell r="J1462">
            <v>57223136919</v>
          </cell>
          <cell r="K1462" t="str">
            <v>Laboratório Nacional de Computação Científica (+1 more)</v>
          </cell>
        </row>
        <row r="1463">
          <cell r="J1463">
            <v>59479501100</v>
          </cell>
          <cell r="K1463" t="str">
            <v>Laboratório Nacional de Computação Científica</v>
          </cell>
        </row>
        <row r="1464">
          <cell r="J1464">
            <v>57455293800</v>
          </cell>
          <cell r="K1464" t="str">
            <v>Universidade Federal de Viçosa</v>
          </cell>
        </row>
        <row r="1465">
          <cell r="J1465">
            <v>56320417900</v>
          </cell>
          <cell r="K1465" t="str">
            <v>Universidade de São Paulo</v>
          </cell>
        </row>
        <row r="1466">
          <cell r="J1466">
            <v>55355112800</v>
          </cell>
          <cell r="K1466" t="str">
            <v>DEMa</v>
          </cell>
        </row>
        <row r="1467">
          <cell r="J1467">
            <v>11340128700</v>
          </cell>
          <cell r="K1467" t="str">
            <v>Universidade Federal do Rio Grande do Norte (+1 more)</v>
          </cell>
        </row>
        <row r="1468">
          <cell r="J1468">
            <v>7006005533</v>
          </cell>
          <cell r="K1468" t="str">
            <v>Universidade Federal do Espírito Santo</v>
          </cell>
        </row>
        <row r="1469">
          <cell r="J1469">
            <v>57504870000</v>
          </cell>
          <cell r="K1469" t="str">
            <v>Centro Federal de Educação Tecnológica Celso Suckow da Fonseca (CEFET-RJ)</v>
          </cell>
        </row>
        <row r="1470">
          <cell r="J1470">
            <v>55096837400</v>
          </cell>
          <cell r="K1470" t="str">
            <v>Universidade Federal Fluminense (+2 more)</v>
          </cell>
        </row>
        <row r="1471">
          <cell r="J1471">
            <v>57188709331</v>
          </cell>
          <cell r="K1471" t="str">
            <v>Universidade Federal Fluminense (+1 more)</v>
          </cell>
        </row>
        <row r="1472">
          <cell r="J1472">
            <v>57006457800</v>
          </cell>
          <cell r="K1472" t="str">
            <v>Federal University of Rio de Janeiro</v>
          </cell>
        </row>
        <row r="1473">
          <cell r="J1473">
            <v>59461009300</v>
          </cell>
          <cell r="K1473" t="str">
            <v>Pontifícia Universidade Católica do Rio Grande do Sul</v>
          </cell>
        </row>
        <row r="1474">
          <cell r="J1474">
            <v>35326504600</v>
          </cell>
          <cell r="K1474" t="str">
            <v>Universidade Tiradentes (+2 more)</v>
          </cell>
        </row>
        <row r="1475">
          <cell r="J1475">
            <v>58195407400</v>
          </cell>
          <cell r="K1475" t="str">
            <v>DEMa</v>
          </cell>
        </row>
        <row r="1476">
          <cell r="J1476">
            <v>60086627400</v>
          </cell>
          <cell r="K1476" t="str">
            <v>Federal University of Rio de Janeiro</v>
          </cell>
        </row>
        <row r="1477">
          <cell r="J1477">
            <v>59204242300</v>
          </cell>
          <cell r="K1477" t="str">
            <v>Pontifical Catholic University of Rio de Janeiro</v>
          </cell>
        </row>
        <row r="1478">
          <cell r="J1478">
            <v>58036196400</v>
          </cell>
          <cell r="K1478" t="str">
            <v>Federal University of Rio de Janeiro</v>
          </cell>
        </row>
        <row r="1479">
          <cell r="J1479">
            <v>59420159400</v>
          </cell>
          <cell r="K1479" t="str">
            <v>Federal University of Rio de Janeiro</v>
          </cell>
        </row>
        <row r="1480">
          <cell r="J1480">
            <v>57673209400</v>
          </cell>
          <cell r="K1480" t="str">
            <v>Universidade Federal do Paraná</v>
          </cell>
        </row>
        <row r="1481">
          <cell r="J1481">
            <v>7101778677</v>
          </cell>
          <cell r="K1481" t="str">
            <v>Universidade Federal Fluminense</v>
          </cell>
        </row>
        <row r="1482">
          <cell r="J1482">
            <v>8542103600</v>
          </cell>
          <cell r="K1482" t="str">
            <v>PUC-Rio</v>
          </cell>
        </row>
        <row r="1483">
          <cell r="J1483">
            <v>56809186700</v>
          </cell>
          <cell r="K1483" t="str">
            <v>Pontifical Catholic University of Rio de Janeiro (+1 more)</v>
          </cell>
        </row>
        <row r="1484">
          <cell r="J1484">
            <v>16646415800</v>
          </cell>
          <cell r="K1484" t="str">
            <v>Pontifical Catholic University of Rio de Janeiro</v>
          </cell>
        </row>
        <row r="1485">
          <cell r="J1485">
            <v>56685751700</v>
          </cell>
          <cell r="K1485" t="str">
            <v>Universidade Federal do Espírito Santo</v>
          </cell>
        </row>
        <row r="1486">
          <cell r="J1486">
            <v>57216613736</v>
          </cell>
          <cell r="K1486" t="str">
            <v>Federal University of Rio de Janeiro</v>
          </cell>
        </row>
        <row r="1487">
          <cell r="J1487">
            <v>56239411800</v>
          </cell>
          <cell r="K1487" t="str">
            <v>UFSC and LTrace (+5 more)</v>
          </cell>
        </row>
        <row r="1488">
          <cell r="J1488">
            <v>36920036100</v>
          </cell>
          <cell r="K1488" t="str">
            <v>Universidade do Estado do Rio de Janeiro</v>
          </cell>
        </row>
        <row r="1489">
          <cell r="J1489">
            <v>58772801600</v>
          </cell>
          <cell r="K1489" t="str">
            <v>Universidade do Estado do Rio de Janeiro</v>
          </cell>
        </row>
        <row r="1490">
          <cell r="J1490">
            <v>7005705953</v>
          </cell>
          <cell r="K1490" t="str">
            <v>Universidade Federal de Ouro Preto</v>
          </cell>
        </row>
        <row r="1491">
          <cell r="J1491">
            <v>57203125887</v>
          </cell>
          <cell r="K1491" t="str">
            <v>Vizlab - X-Reality and GeoInformatics Lab (+1 more)</v>
          </cell>
        </row>
        <row r="1492">
          <cell r="J1492">
            <v>59795205700</v>
          </cell>
          <cell r="K1492" t="str">
            <v>Vizlab - X-Reality and GeoInformatics Lab</v>
          </cell>
        </row>
        <row r="1493">
          <cell r="J1493">
            <v>57204139228</v>
          </cell>
          <cell r="K1493" t="str">
            <v>Federal University of Rio de Janeiro</v>
          </cell>
        </row>
        <row r="1494">
          <cell r="J1494">
            <v>57209302838</v>
          </cell>
          <cell r="K1494" t="str">
            <v>Universidade Estadual Paulista “Júlio de Mesquita Filho”</v>
          </cell>
        </row>
        <row r="1495">
          <cell r="J1495">
            <v>6506316443</v>
          </cell>
          <cell r="K1495" t="str">
            <v>DEMa</v>
          </cell>
        </row>
        <row r="1496">
          <cell r="J1496">
            <v>56905411000</v>
          </cell>
          <cell r="K1496" t="str">
            <v>Federal University of Rio de Janeiro</v>
          </cell>
        </row>
        <row r="1497">
          <cell r="J1497">
            <v>8278386900</v>
          </cell>
          <cell r="K1497" t="str">
            <v>Universidade do Estado do Rio de Janeiro</v>
          </cell>
        </row>
        <row r="1498">
          <cell r="J1498">
            <v>57205507450</v>
          </cell>
          <cell r="K1498" t="str">
            <v>Universidade Federal de Uberlândia</v>
          </cell>
        </row>
        <row r="1499">
          <cell r="J1499">
            <v>15836359000</v>
          </cell>
          <cell r="K1499" t="str">
            <v>Federal University of Santa Catarina</v>
          </cell>
        </row>
        <row r="1500">
          <cell r="J1500">
            <v>36086124900</v>
          </cell>
          <cell r="K1500" t="str">
            <v>Universidade Federal da Bahia</v>
          </cell>
        </row>
        <row r="1501">
          <cell r="J1501">
            <v>37560902100</v>
          </cell>
          <cell r="K1501" t="str">
            <v>Universidade Federal Rural do Rio de Janeiro (+1 more)</v>
          </cell>
        </row>
        <row r="1502">
          <cell r="J1502">
            <v>57414486900</v>
          </cell>
          <cell r="K1502" t="str">
            <v>Pontifical Catholic University of Rio de Janeiro</v>
          </cell>
        </row>
        <row r="1503">
          <cell r="J1503">
            <v>57216289727</v>
          </cell>
          <cell r="K1503" t="str">
            <v>Vizlab - X-Reality and GeoInformatics Lab</v>
          </cell>
        </row>
        <row r="1504">
          <cell r="J1504">
            <v>57205525666</v>
          </cell>
          <cell r="K1504" t="str">
            <v>Federal University of Rio de Janeiro</v>
          </cell>
        </row>
        <row r="1505">
          <cell r="J1505">
            <v>57190863030</v>
          </cell>
          <cell r="K1505" t="str">
            <v>Ergostech Renewable Energy Solutions</v>
          </cell>
        </row>
        <row r="1506">
          <cell r="J1506">
            <v>56884865100</v>
          </cell>
          <cell r="K1506" t="str">
            <v>DEMa</v>
          </cell>
        </row>
        <row r="1507">
          <cell r="J1507">
            <v>60029460300</v>
          </cell>
          <cell r="K1507" t="str">
            <v>Universidade Federal de Alagoas</v>
          </cell>
        </row>
        <row r="1508">
          <cell r="J1508">
            <v>57212494638</v>
          </cell>
          <cell r="K1508" t="str">
            <v>Federal University of Rio de Janeiro</v>
          </cell>
        </row>
        <row r="1509">
          <cell r="J1509">
            <v>9640103400</v>
          </cell>
          <cell r="K1509" t="str">
            <v>Universidade de São Paulo</v>
          </cell>
        </row>
        <row r="1510">
          <cell r="J1510">
            <v>59823734500</v>
          </cell>
          <cell r="K1510" t="str">
            <v>Technology Division of Shell</v>
          </cell>
        </row>
        <row r="1511">
          <cell r="J1511">
            <v>57205628818</v>
          </cell>
          <cell r="K1511" t="str">
            <v>Pontifical Catholic University of Rio de Janeiro</v>
          </cell>
        </row>
        <row r="1512">
          <cell r="J1512">
            <v>6503892297</v>
          </cell>
          <cell r="K1512" t="str">
            <v>Universidade Federal Fluminense</v>
          </cell>
        </row>
        <row r="1513">
          <cell r="J1513">
            <v>7004174827</v>
          </cell>
          <cell r="K1513" t="str">
            <v>Federal University of Rio de Janeiro</v>
          </cell>
        </row>
        <row r="1514">
          <cell r="J1514">
            <v>57190189030</v>
          </cell>
          <cell r="K1514" t="str">
            <v>Universidade Federal de Minas Gerais</v>
          </cell>
        </row>
        <row r="1515">
          <cell r="J1515">
            <v>57220748750</v>
          </cell>
          <cell r="K1515" t="str">
            <v>Instituto Federal de Educação, Ciência e Tecnologia da Bahia</v>
          </cell>
        </row>
        <row r="1516">
          <cell r="J1516">
            <v>57150710800</v>
          </cell>
          <cell r="K1516" t="str">
            <v>DEMa</v>
          </cell>
        </row>
        <row r="1517">
          <cell r="J1517">
            <v>58308394500</v>
          </cell>
          <cell r="K1517" t="str">
            <v>Pontifical Catholic University of Rio de Janeiro (+1 more)</v>
          </cell>
        </row>
        <row r="1518">
          <cell r="J1518">
            <v>36083980000</v>
          </cell>
          <cell r="K1518" t="str">
            <v>Federal University of Rio de Janeiro</v>
          </cell>
        </row>
        <row r="1519">
          <cell r="J1519">
            <v>55215011700</v>
          </cell>
          <cell r="K1519" t="str">
            <v>Universidade Tecnológica Federal do Paraná (+1 more)</v>
          </cell>
        </row>
        <row r="1520">
          <cell r="J1520">
            <v>7004984975</v>
          </cell>
          <cell r="K1520" t="str">
            <v>Instituto Tecnológico da Aeronáutica</v>
          </cell>
        </row>
        <row r="1521">
          <cell r="J1521">
            <v>59151524900</v>
          </cell>
          <cell r="K1521" t="str">
            <v>Pontifical Catholic University of Rio de Janeiro</v>
          </cell>
        </row>
        <row r="1522">
          <cell r="J1522">
            <v>57225917885</v>
          </cell>
          <cell r="K1522" t="str">
            <v>DEMa</v>
          </cell>
        </row>
        <row r="1523">
          <cell r="J1523">
            <v>57200070093</v>
          </cell>
          <cell r="K1523" t="str">
            <v>Pontifical Catholic University of Rio de Janeiro</v>
          </cell>
        </row>
        <row r="1524">
          <cell r="J1524">
            <v>14047980400</v>
          </cell>
          <cell r="K1524" t="str">
            <v>Universidade Federal de Uberlândia</v>
          </cell>
        </row>
        <row r="1525">
          <cell r="J1525">
            <v>24733621100</v>
          </cell>
          <cell r="K1525" t="str">
            <v>CEFET</v>
          </cell>
        </row>
        <row r="1526">
          <cell r="J1526">
            <v>57203505748</v>
          </cell>
          <cell r="K1526" t="str">
            <v>Federal University of Rio de Janeiro</v>
          </cell>
        </row>
        <row r="1527">
          <cell r="J1527">
            <v>57796557300</v>
          </cell>
          <cell r="K1527" t="str">
            <v>Universidade Federal do Rio Grande do Sul</v>
          </cell>
        </row>
        <row r="1528">
          <cell r="J1528">
            <v>6701317271</v>
          </cell>
          <cell r="K1528" t="str">
            <v>Federal University of Rio de Janeiro</v>
          </cell>
        </row>
        <row r="1529">
          <cell r="J1529">
            <v>57218109447</v>
          </cell>
          <cell r="K1529" t="str">
            <v>Universidade do Estado do Rio de Janeiro</v>
          </cell>
        </row>
        <row r="1530">
          <cell r="J1530">
            <v>57210067275</v>
          </cell>
          <cell r="K1530" t="str">
            <v>Universidade Federal do Rio Grande do Norte</v>
          </cell>
        </row>
        <row r="1531">
          <cell r="J1531">
            <v>7005410347</v>
          </cell>
          <cell r="K1531" t="str">
            <v>Universidade Federal do Rio Grande do Sul</v>
          </cell>
        </row>
        <row r="1532">
          <cell r="J1532">
            <v>57199057080</v>
          </cell>
          <cell r="K1532" t="str">
            <v>Federal University of Rio de Janeiro</v>
          </cell>
        </row>
        <row r="1533">
          <cell r="J1533">
            <v>56055065300</v>
          </cell>
          <cell r="K1533" t="str">
            <v>Universidade do Estado do Rio de Janeiro</v>
          </cell>
        </row>
        <row r="1534">
          <cell r="J1534">
            <v>57193929155</v>
          </cell>
          <cell r="K1534" t="str">
            <v>Universidade Federal de Goiás</v>
          </cell>
        </row>
        <row r="1535">
          <cell r="J1535">
            <v>60155221100</v>
          </cell>
          <cell r="K1535" t="str">
            <v>Universidade Federal do Pampa</v>
          </cell>
        </row>
        <row r="1536">
          <cell r="J1536">
            <v>36607604100</v>
          </cell>
          <cell r="K1536" t="str">
            <v>Federal University of Rio de Janeiro</v>
          </cell>
        </row>
        <row r="1537">
          <cell r="J1537">
            <v>59670597100</v>
          </cell>
          <cell r="K1537" t="str">
            <v>Universidade Federal Fluminense</v>
          </cell>
        </row>
        <row r="1538">
          <cell r="J1538">
            <v>7006431755</v>
          </cell>
          <cell r="K1538" t="str">
            <v>Universidade Federal da Bahia</v>
          </cell>
        </row>
        <row r="1539">
          <cell r="J1539">
            <v>6603625917</v>
          </cell>
          <cell r="K1539" t="str">
            <v>Universidade Federal do Piauí</v>
          </cell>
        </row>
        <row r="1540">
          <cell r="J1540">
            <v>57188813366</v>
          </cell>
          <cell r="K1540" t="str">
            <v>Universidade Federal do Rio Grande do Sul</v>
          </cell>
        </row>
        <row r="1541">
          <cell r="J1541">
            <v>6602422097</v>
          </cell>
          <cell r="K1541" t="str">
            <v>Universidade Federal do Ceará</v>
          </cell>
        </row>
        <row r="1542">
          <cell r="J1542">
            <v>57213186866</v>
          </cell>
          <cell r="K1542" t="str">
            <v>Vizlab - X-Reality and GeoInformatics Lab (+1 more)</v>
          </cell>
        </row>
        <row r="1543">
          <cell r="J1543">
            <v>60122969000</v>
          </cell>
          <cell r="K1543" t="str">
            <v>University of Campinas</v>
          </cell>
        </row>
        <row r="1544">
          <cell r="J1544">
            <v>57211589216</v>
          </cell>
          <cell r="K1544" t="str">
            <v>Emerson Automation Solutions</v>
          </cell>
        </row>
        <row r="1545">
          <cell r="J1545">
            <v>57121412000</v>
          </cell>
          <cell r="K1545" t="str">
            <v>Pontifical Catholic University of Rio de Janeiro</v>
          </cell>
        </row>
        <row r="1546">
          <cell r="J1546">
            <v>56971538900</v>
          </cell>
          <cell r="K1546" t="str">
            <v>Tenaris</v>
          </cell>
        </row>
        <row r="1547">
          <cell r="J1547">
            <v>58332759600</v>
          </cell>
          <cell r="K1547" t="str">
            <v>CEFET</v>
          </cell>
        </row>
        <row r="1548">
          <cell r="J1548">
            <v>57209026231</v>
          </cell>
          <cell r="K1548" t="str">
            <v>Universidade Federal de Mato Grosso</v>
          </cell>
        </row>
        <row r="1549">
          <cell r="J1549">
            <v>58654387600</v>
          </cell>
          <cell r="K1549" t="str">
            <v>Observatório Nacional</v>
          </cell>
        </row>
        <row r="1550">
          <cell r="J1550">
            <v>6602883415</v>
          </cell>
          <cell r="K1550" t="str">
            <v>Universidade Federal de Minas Gerais</v>
          </cell>
        </row>
        <row r="1551">
          <cell r="J1551">
            <v>58844204800</v>
          </cell>
          <cell r="K1551" t="str">
            <v>Universidade Federal do Rio Grande do Sul</v>
          </cell>
        </row>
        <row r="1552">
          <cell r="J1552">
            <v>57212031373</v>
          </cell>
          <cell r="K1552" t="str">
            <v>Universidade Federal do Rio Grande do Sul</v>
          </cell>
        </row>
        <row r="1553">
          <cell r="J1553">
            <v>57249520300</v>
          </cell>
          <cell r="K1553" t="str">
            <v>Universidade de São Paulo</v>
          </cell>
        </row>
        <row r="1554">
          <cell r="J1554">
            <v>7201722512</v>
          </cell>
          <cell r="K1554" t="str">
            <v>Universidade de São Paulo</v>
          </cell>
        </row>
        <row r="1555">
          <cell r="J1555">
            <v>15759237300</v>
          </cell>
          <cell r="K1555" t="str">
            <v>and Data Processing (+6 more)</v>
          </cell>
        </row>
        <row r="1556">
          <cell r="J1556">
            <v>24170783300</v>
          </cell>
          <cell r="K1556" t="str">
            <v>Universidade do Estado do Rio de Janeiro</v>
          </cell>
        </row>
        <row r="1557">
          <cell r="J1557">
            <v>55697944600</v>
          </cell>
          <cell r="K1557" t="str">
            <v>Pontifícia Universidade Católica do Rio Grande do Sul</v>
          </cell>
        </row>
        <row r="1558">
          <cell r="J1558">
            <v>57194528038</v>
          </cell>
          <cell r="K1558" t="str">
            <v>Serviço Nacional de Aprendizagem Industrial</v>
          </cell>
        </row>
        <row r="1559">
          <cell r="J1559">
            <v>7006360210</v>
          </cell>
          <cell r="K1559" t="str">
            <v>Federal University of Rio de Janeiro</v>
          </cell>
        </row>
        <row r="1560">
          <cell r="J1560">
            <v>57192278130</v>
          </cell>
          <cell r="K1560" t="str">
            <v>Universidade Federal Fluminense</v>
          </cell>
        </row>
        <row r="1561">
          <cell r="J1561">
            <v>55235365400</v>
          </cell>
          <cell r="K1561" t="str">
            <v>Universidade Federal do Rio Grande do Norte (+1 more)</v>
          </cell>
        </row>
        <row r="1562">
          <cell r="J1562">
            <v>6602138639</v>
          </cell>
          <cell r="K1562" t="str">
            <v>Universidade Tecnológica Federal do Paraná (+1 more)</v>
          </cell>
        </row>
        <row r="1563">
          <cell r="J1563">
            <v>56681824800</v>
          </cell>
          <cell r="K1563" t="str">
            <v>Universidade Federal do Rio Grande do Norte</v>
          </cell>
        </row>
        <row r="1564">
          <cell r="J1564">
            <v>6602483036</v>
          </cell>
          <cell r="K1564" t="str">
            <v>Universidade de São Paulo</v>
          </cell>
        </row>
        <row r="1565">
          <cell r="J1565">
            <v>57214931892</v>
          </cell>
          <cell r="K1565" t="str">
            <v>Serviço Nacional de Aprendizagem Industrial</v>
          </cell>
        </row>
        <row r="1566">
          <cell r="J1566">
            <v>57296274400</v>
          </cell>
          <cell r="K1566" t="str">
            <v>Universidade de São Paulo</v>
          </cell>
        </row>
        <row r="1567">
          <cell r="J1567">
            <v>57223657246</v>
          </cell>
          <cell r="K1567" t="str">
            <v>Repsol Sinopec Brasil</v>
          </cell>
        </row>
        <row r="1568">
          <cell r="J1568">
            <v>57423893800</v>
          </cell>
          <cell r="K1568" t="str">
            <v>Pontifical Catholic University of Rio de Janeiro</v>
          </cell>
        </row>
        <row r="1569">
          <cell r="J1569">
            <v>57296100600</v>
          </cell>
          <cell r="K1569" t="str">
            <v>Universidade de São Paulo</v>
          </cell>
        </row>
        <row r="1570">
          <cell r="J1570">
            <v>57194153508</v>
          </cell>
          <cell r="K1570" t="str">
            <v>Pontifical Catholic University of Rio de Janeiro</v>
          </cell>
        </row>
        <row r="1571">
          <cell r="J1571">
            <v>57697373000</v>
          </cell>
          <cell r="K1571" t="str">
            <v>Universidade Federal do Rio Grande do Norte</v>
          </cell>
        </row>
        <row r="1572">
          <cell r="J1572">
            <v>57196410594</v>
          </cell>
          <cell r="K1572" t="str">
            <v>Federal University of Santa Catarina</v>
          </cell>
        </row>
        <row r="1573">
          <cell r="J1573">
            <v>57196727105</v>
          </cell>
          <cell r="K1573" t="str">
            <v>Federal University of Rio de Janeiro</v>
          </cell>
        </row>
        <row r="1574">
          <cell r="J1574">
            <v>57193015101</v>
          </cell>
          <cell r="K1574" t="str">
            <v>Universidade Federal do Rio Grande do Sul</v>
          </cell>
        </row>
        <row r="1575">
          <cell r="J1575">
            <v>57474100100</v>
          </cell>
          <cell r="K1575" t="str">
            <v>Universidade Federal Fluminense</v>
          </cell>
        </row>
        <row r="1576">
          <cell r="J1576">
            <v>26649399200</v>
          </cell>
          <cell r="K1576" t="str">
            <v>Institute of Marine Studies Admiral Paulo Moreira (IEAPM)</v>
          </cell>
        </row>
        <row r="1577">
          <cell r="J1577">
            <v>57208397074</v>
          </cell>
          <cell r="K1577" t="str">
            <v>Universidade Federal de Pernambuco</v>
          </cell>
        </row>
        <row r="1578">
          <cell r="J1578">
            <v>23392058700</v>
          </cell>
          <cell r="K1578" t="str">
            <v>Universidade Federal do Ceará (+2 more)</v>
          </cell>
        </row>
        <row r="1579">
          <cell r="J1579">
            <v>6603894565</v>
          </cell>
          <cell r="K1579" t="str">
            <v>EcoProtec</v>
          </cell>
        </row>
        <row r="1580">
          <cell r="J1580">
            <v>56369067800</v>
          </cell>
          <cell r="K1580" t="str">
            <v>Universidade Federal de Pernambuco (+1 more)</v>
          </cell>
        </row>
        <row r="1581">
          <cell r="J1581">
            <v>57201197583</v>
          </cell>
          <cell r="K1581" t="str">
            <v>Universidade Federal Rural do Rio de Janeiro</v>
          </cell>
        </row>
        <row r="1582">
          <cell r="J1582">
            <v>7005891224</v>
          </cell>
          <cell r="K1582" t="str">
            <v>Universidade Estadual do Norte Fluminense</v>
          </cell>
        </row>
        <row r="1583">
          <cell r="J1583">
            <v>59895287700</v>
          </cell>
          <cell r="K1583" t="str">
            <v>Universidade Federal de Uberlândia</v>
          </cell>
        </row>
        <row r="1584">
          <cell r="J1584">
            <v>55663174500</v>
          </cell>
          <cell r="K1584" t="str">
            <v>Universidade de Brasília</v>
          </cell>
        </row>
        <row r="1585">
          <cell r="J1585">
            <v>57191035007</v>
          </cell>
          <cell r="K1585" t="str">
            <v>Universidade Federal de Uberlândia</v>
          </cell>
        </row>
        <row r="1586">
          <cell r="J1586">
            <v>55596837000</v>
          </cell>
          <cell r="K1586" t="str">
            <v>Federal University of Rio de Janeiro</v>
          </cell>
        </row>
        <row r="1587">
          <cell r="J1587">
            <v>56359502600</v>
          </cell>
          <cell r="K1587" t="str">
            <v>Universidade de São Paulo (+1 more)</v>
          </cell>
        </row>
        <row r="1588">
          <cell r="J1588">
            <v>58494070100</v>
          </cell>
          <cell r="K1588" t="str">
            <v>Universidade Federal de Minas Gerais</v>
          </cell>
        </row>
        <row r="1589">
          <cell r="J1589">
            <v>55926690700</v>
          </cell>
          <cell r="K1589" t="str">
            <v>Centro Nacional de Pesquisa em Energia e Materiais</v>
          </cell>
        </row>
        <row r="1590">
          <cell r="J1590">
            <v>53986174700</v>
          </cell>
          <cell r="K1590" t="str">
            <v>Universidade Federal do Rio Grande do Norte</v>
          </cell>
        </row>
        <row r="1591">
          <cell r="J1591">
            <v>59741555000</v>
          </cell>
          <cell r="K1591" t="str">
            <v>Universidade de São Paulo</v>
          </cell>
        </row>
        <row r="1592">
          <cell r="J1592">
            <v>59997596700</v>
          </cell>
          <cell r="K1592" t="str">
            <v>Universidade de Fortaleza (+1 more)</v>
          </cell>
        </row>
        <row r="1593">
          <cell r="J1593">
            <v>57201407438</v>
          </cell>
          <cell r="K1593" t="str">
            <v>KONGSBERG</v>
          </cell>
        </row>
        <row r="1594">
          <cell r="J1594">
            <v>15026211800</v>
          </cell>
          <cell r="K1594" t="str">
            <v>Universidade Federal de Goiás</v>
          </cell>
        </row>
        <row r="1595">
          <cell r="J1595">
            <v>24483254700</v>
          </cell>
          <cell r="K1595" t="str">
            <v>Federal University of Rio de Janeiro</v>
          </cell>
        </row>
        <row r="1596">
          <cell r="J1596">
            <v>57831314100</v>
          </cell>
          <cell r="K1596" t="str">
            <v>Universidade de São Paulo</v>
          </cell>
        </row>
        <row r="1597">
          <cell r="J1597">
            <v>59454590400</v>
          </cell>
          <cell r="K1597" t="str">
            <v>Universidade Tecnológica Federal do Paraná</v>
          </cell>
        </row>
        <row r="1598">
          <cell r="J1598">
            <v>37114276200</v>
          </cell>
          <cell r="K1598" t="str">
            <v>Federal University of Rio de Janeiro</v>
          </cell>
        </row>
        <row r="1599">
          <cell r="J1599">
            <v>57191073299</v>
          </cell>
          <cell r="K1599" t="str">
            <v>Universidade Federal de Minas Gerais (+1 more)</v>
          </cell>
        </row>
        <row r="1600">
          <cell r="J1600">
            <v>57215927057</v>
          </cell>
          <cell r="K1600" t="str">
            <v>Federal University of Santa Catarina</v>
          </cell>
        </row>
        <row r="1601">
          <cell r="J1601">
            <v>57207744005</v>
          </cell>
          <cell r="K1601" t="str">
            <v>Universidade Federal do Rio Grande do Sul</v>
          </cell>
        </row>
        <row r="1602">
          <cell r="J1602">
            <v>57295918800</v>
          </cell>
          <cell r="K1602" t="str">
            <v>Universidade de São Paulo</v>
          </cell>
        </row>
        <row r="1603">
          <cell r="J1603">
            <v>59367531600</v>
          </cell>
          <cell r="K1603" t="str">
            <v>Universidade Federal do Espírito Santo</v>
          </cell>
        </row>
        <row r="1604">
          <cell r="J1604">
            <v>57214935536</v>
          </cell>
          <cell r="K1604" t="str">
            <v>Federal University of Rio de Janeiro</v>
          </cell>
        </row>
        <row r="1605">
          <cell r="J1605">
            <v>57200526821</v>
          </cell>
          <cell r="K1605" t="str">
            <v>DEMa</v>
          </cell>
        </row>
        <row r="1606">
          <cell r="J1606">
            <v>56497062800</v>
          </cell>
          <cell r="K1606" t="str">
            <v>Centro Nacional de Pesquisa em Energia e Materiais</v>
          </cell>
        </row>
        <row r="1607">
          <cell r="J1607">
            <v>57209236771</v>
          </cell>
          <cell r="K1607" t="str">
            <v>Universidade de São Paulo (+1 more)</v>
          </cell>
        </row>
        <row r="1608">
          <cell r="J1608">
            <v>55793866500</v>
          </cell>
          <cell r="K1608" t="str">
            <v>Universidade Federal de Viçosa</v>
          </cell>
        </row>
        <row r="1609">
          <cell r="J1609">
            <v>57216911627</v>
          </cell>
          <cell r="K1609" t="str">
            <v>Federal University of Rio de Janeiro</v>
          </cell>
        </row>
        <row r="1610">
          <cell r="J1610">
            <v>36662356400</v>
          </cell>
          <cell r="K1610" t="str">
            <v>Federal University of Rio de Janeiro (+1 more)</v>
          </cell>
        </row>
        <row r="1611">
          <cell r="J1611">
            <v>57190273534</v>
          </cell>
          <cell r="K1611" t="str">
            <v>Universidade Federal Fluminense</v>
          </cell>
        </row>
        <row r="1612">
          <cell r="J1612">
            <v>36661973300</v>
          </cell>
          <cell r="K1612" t="str">
            <v>Federal University of Rio de Janeiro</v>
          </cell>
        </row>
        <row r="1613">
          <cell r="J1613">
            <v>59139726300</v>
          </cell>
          <cell r="K1613" t="str">
            <v>Pontifical Catholic University of Rio de Janeiro</v>
          </cell>
        </row>
        <row r="1614">
          <cell r="J1614">
            <v>34972809000</v>
          </cell>
          <cell r="K1614" t="str">
            <v>Universidade Federal de São Paulo</v>
          </cell>
        </row>
        <row r="1615">
          <cell r="J1615">
            <v>57220077698</v>
          </cell>
          <cell r="K1615" t="str">
            <v>University of Campinas</v>
          </cell>
        </row>
        <row r="1616">
          <cell r="J1616">
            <v>26667570700</v>
          </cell>
          <cell r="K1616" t="str">
            <v>Universidade Tecnológica Federal do Paraná (+1 more)</v>
          </cell>
        </row>
        <row r="1617">
          <cell r="J1617">
            <v>57191745041</v>
          </cell>
          <cell r="K1617" t="str">
            <v>Empresa Brasileira de Pesquisa Agropecuária</v>
          </cell>
        </row>
        <row r="1618">
          <cell r="J1618">
            <v>57199073804</v>
          </cell>
          <cell r="K1618" t="str">
            <v>Petróleo Brasileiro S.A. (+1 more)</v>
          </cell>
        </row>
        <row r="1619">
          <cell r="J1619">
            <v>35242060800</v>
          </cell>
          <cell r="K1619" t="str">
            <v>Universidade Federal Fluminense</v>
          </cell>
        </row>
        <row r="1620">
          <cell r="J1620">
            <v>57222026457</v>
          </cell>
          <cell r="K1620" t="str">
            <v>Universidade Federal da Paraíba</v>
          </cell>
        </row>
        <row r="1621">
          <cell r="J1621">
            <v>36172920300</v>
          </cell>
          <cell r="K1621" t="str">
            <v>Laboratório Nacional de Computação Científica</v>
          </cell>
        </row>
        <row r="1622">
          <cell r="J1622">
            <v>57218199644</v>
          </cell>
          <cell r="K1622" t="str">
            <v>Federal University of Rio de Janeiro</v>
          </cell>
        </row>
        <row r="1623">
          <cell r="J1623">
            <v>57189357853</v>
          </cell>
          <cell r="K1623" t="str">
            <v>Pontifical Catholic University of Rio de Janeiro</v>
          </cell>
        </row>
        <row r="1624">
          <cell r="J1624">
            <v>59420176100</v>
          </cell>
          <cell r="K1624" t="str">
            <v>Centro de Estudos e Sistemas Avançados do Recife</v>
          </cell>
        </row>
        <row r="1625">
          <cell r="J1625">
            <v>57189589039</v>
          </cell>
          <cell r="K1625" t="str">
            <v>Pontifical Catholic University of Rio de Janeiro</v>
          </cell>
        </row>
        <row r="1626">
          <cell r="J1626">
            <v>59388258000</v>
          </cell>
          <cell r="K1626" t="str">
            <v>ESSS</v>
          </cell>
        </row>
        <row r="1627">
          <cell r="J1627">
            <v>57201421456</v>
          </cell>
          <cell r="K1627" t="str">
            <v>Universidade Federal do Rio Grande do Sul</v>
          </cell>
        </row>
        <row r="1628">
          <cell r="J1628">
            <v>58084100600</v>
          </cell>
          <cell r="K1628" t="str">
            <v>Federal University of Rio de Janeiro</v>
          </cell>
        </row>
        <row r="1629">
          <cell r="J1629">
            <v>55843796700</v>
          </cell>
          <cell r="K1629" t="str">
            <v>Universidade Federal Rural do Rio de Janeiro</v>
          </cell>
        </row>
        <row r="1630">
          <cell r="J1630">
            <v>57208893232</v>
          </cell>
          <cell r="K1630" t="str">
            <v>Universidade Federal de Uberlândia</v>
          </cell>
        </row>
        <row r="1631">
          <cell r="J1631">
            <v>7202554589</v>
          </cell>
          <cell r="K1631" t="str">
            <v>Federal University of Rio de Janeiro</v>
          </cell>
        </row>
        <row r="1632">
          <cell r="J1632">
            <v>57218704212</v>
          </cell>
          <cell r="K1632" t="str">
            <v>Federal University of Rio de Janeiro</v>
          </cell>
        </row>
        <row r="1633">
          <cell r="J1633">
            <v>57211669412</v>
          </cell>
          <cell r="K1633" t="str">
            <v>Universidade Federal do Espírito Santo (+1 more)</v>
          </cell>
        </row>
        <row r="1634">
          <cell r="J1634">
            <v>55191597100</v>
          </cell>
          <cell r="K1634" t="str">
            <v>Vizlab - X-Reality and GeoInformatics Lab (+1 more)</v>
          </cell>
        </row>
        <row r="1635">
          <cell r="J1635">
            <v>59119288500</v>
          </cell>
          <cell r="K1635" t="str">
            <v>Instituto Nacional de Pesquisas Espaciais</v>
          </cell>
        </row>
        <row r="1636">
          <cell r="J1636">
            <v>36443432900</v>
          </cell>
          <cell r="K1636" t="str">
            <v>Universidade Estadual de Maringá</v>
          </cell>
        </row>
        <row r="1637">
          <cell r="J1637">
            <v>58078932000</v>
          </cell>
          <cell r="K1637" t="str">
            <v>Universidade Federal do Rio Grande do Sul</v>
          </cell>
        </row>
        <row r="1638">
          <cell r="J1638">
            <v>35483292300</v>
          </cell>
          <cell r="K1638" t="str">
            <v>Universidade Federal dos Vales do Jequitinhonha e Mucuri (+1 more)</v>
          </cell>
        </row>
        <row r="1639">
          <cell r="J1639">
            <v>58904169400</v>
          </cell>
          <cell r="K1639" t="str">
            <v>SENAI Innovation Institute for Embedded Systems</v>
          </cell>
        </row>
        <row r="1640">
          <cell r="J1640">
            <v>7102853362</v>
          </cell>
          <cell r="K1640" t="str">
            <v>Universidade Federal de Juiz de Fora</v>
          </cell>
        </row>
        <row r="1641">
          <cell r="J1641">
            <v>57212092084</v>
          </cell>
          <cell r="K1641" t="str">
            <v>Centro Nacional de Pesquisa em Energia e Materiais</v>
          </cell>
        </row>
        <row r="1642">
          <cell r="J1642">
            <v>14821864000</v>
          </cell>
          <cell r="K1642" t="str">
            <v>Universidade Federal de Juiz de Fora</v>
          </cell>
        </row>
        <row r="1643">
          <cell r="J1643">
            <v>55446690200</v>
          </cell>
          <cell r="K1643" t="str">
            <v>Universidade Federal de Viçosa</v>
          </cell>
        </row>
        <row r="1644">
          <cell r="J1644">
            <v>57194613798</v>
          </cell>
          <cell r="K1644" t="str">
            <v>Pontifical Catholic University of Rio de Janeiro (+1 more)</v>
          </cell>
        </row>
        <row r="1645">
          <cell r="J1645">
            <v>57209135749</v>
          </cell>
          <cell r="K1645" t="str">
            <v>Universidade Federal de Minas Gerais</v>
          </cell>
        </row>
        <row r="1646">
          <cell r="J1646">
            <v>59731376800</v>
          </cell>
          <cell r="K1646" t="str">
            <v>Universidade Federal de Juiz de Fora</v>
          </cell>
        </row>
        <row r="1647">
          <cell r="J1647">
            <v>57192957393</v>
          </cell>
          <cell r="K1647" t="str">
            <v>Centro Nacional de Pesquisa em Energia e Materiais</v>
          </cell>
        </row>
        <row r="1648">
          <cell r="J1648">
            <v>56326337000</v>
          </cell>
          <cell r="K1648" t="str">
            <v>Instituto Nacional de Metrologia, Qualidade e Tecnologia (+1 more)</v>
          </cell>
        </row>
        <row r="1649">
          <cell r="J1649">
            <v>56781053700</v>
          </cell>
          <cell r="K1649" t="str">
            <v>Universidade Federal do Amazonas</v>
          </cell>
        </row>
        <row r="1650">
          <cell r="J1650">
            <v>57188718186</v>
          </cell>
          <cell r="K1650" t="str">
            <v>Universidade Estadual da Paraíba</v>
          </cell>
        </row>
        <row r="1651">
          <cell r="J1651">
            <v>35611272000</v>
          </cell>
          <cell r="K1651" t="str">
            <v>University of Campinas</v>
          </cell>
        </row>
        <row r="1652">
          <cell r="J1652">
            <v>60104034200</v>
          </cell>
          <cell r="K1652" t="str">
            <v>Universidade Federal de Campina Grande</v>
          </cell>
        </row>
        <row r="1653">
          <cell r="J1653">
            <v>42261298300</v>
          </cell>
          <cell r="K1653" t="str">
            <v>Instituto Nacional de Tecnologia</v>
          </cell>
        </row>
        <row r="1654">
          <cell r="J1654">
            <v>59391414300</v>
          </cell>
          <cell r="K1654" t="str">
            <v>Pontifícia Universidade Católica do Rio Grande do Sul</v>
          </cell>
        </row>
        <row r="1655">
          <cell r="J1655">
            <v>56470815900</v>
          </cell>
          <cell r="K1655" t="str">
            <v>ICTS</v>
          </cell>
        </row>
        <row r="1656">
          <cell r="J1656">
            <v>55816900900</v>
          </cell>
          <cell r="K1656" t="str">
            <v>Federal University of Santa Catarina</v>
          </cell>
        </row>
        <row r="1657">
          <cell r="J1657">
            <v>60015238500</v>
          </cell>
          <cell r="K1657" t="str">
            <v>Universidade Federal de Itajubá</v>
          </cell>
        </row>
        <row r="1658">
          <cell r="J1658">
            <v>13408166900</v>
          </cell>
          <cell r="K1658" t="str">
            <v>Universidade de Brasília</v>
          </cell>
        </row>
        <row r="1659">
          <cell r="J1659">
            <v>56443713900</v>
          </cell>
          <cell r="K1659" t="str">
            <v>TRANSPETRO</v>
          </cell>
        </row>
        <row r="1660">
          <cell r="J1660">
            <v>56346783100</v>
          </cell>
          <cell r="K1660" t="str">
            <v>Federal Center for Technological Education of Minas Gerais</v>
          </cell>
        </row>
        <row r="1661">
          <cell r="J1661">
            <v>57211287014</v>
          </cell>
          <cell r="K1661" t="str">
            <v>SENAI</v>
          </cell>
        </row>
        <row r="1662">
          <cell r="J1662">
            <v>6603011411</v>
          </cell>
          <cell r="K1662" t="str">
            <v>Universidade Federal de Viçosa</v>
          </cell>
        </row>
        <row r="1663">
          <cell r="J1663">
            <v>57217233956</v>
          </cell>
          <cell r="K1663" t="str">
            <v>Universidade Federal do Espírito Santo</v>
          </cell>
        </row>
        <row r="1664">
          <cell r="J1664">
            <v>57218687022</v>
          </cell>
          <cell r="K1664" t="str">
            <v>Federal University of Rio de Janeiro</v>
          </cell>
        </row>
        <row r="1665">
          <cell r="J1665">
            <v>59397162000</v>
          </cell>
          <cell r="K1665" t="str">
            <v>Universidade Tecnológica Federal do Paraná</v>
          </cell>
        </row>
        <row r="1666">
          <cell r="J1666">
            <v>59662938500</v>
          </cell>
          <cell r="K1666" t="str">
            <v>Universidade do Estado da Bahia</v>
          </cell>
        </row>
        <row r="1667">
          <cell r="J1667">
            <v>57226303106</v>
          </cell>
          <cell r="K1667" t="str">
            <v>Universidade do Estado do Rio de Janeiro</v>
          </cell>
        </row>
        <row r="1668">
          <cell r="J1668">
            <v>57222383203</v>
          </cell>
          <cell r="K1668" t="str">
            <v>Universidade Federal do Ceará</v>
          </cell>
        </row>
        <row r="1669">
          <cell r="J1669">
            <v>57092527000</v>
          </cell>
          <cell r="K1669" t="str">
            <v>Universidade Federal Fluminense</v>
          </cell>
        </row>
        <row r="1670">
          <cell r="J1670">
            <v>58676872600</v>
          </cell>
          <cell r="K1670" t="str">
            <v>Universidade Federal do Ceará</v>
          </cell>
        </row>
        <row r="1671">
          <cell r="J1671">
            <v>57130483400</v>
          </cell>
          <cell r="K1671" t="str">
            <v>Universidade do Estado do Rio de Janeiro</v>
          </cell>
        </row>
        <row r="1672">
          <cell r="J1672">
            <v>7006105992</v>
          </cell>
          <cell r="K1672" t="str">
            <v>Federal University of Santa Catarina</v>
          </cell>
        </row>
        <row r="1673">
          <cell r="J1673">
            <v>26538688900</v>
          </cell>
          <cell r="K1673" t="str">
            <v>Universidade Federal do ABC</v>
          </cell>
        </row>
        <row r="1674">
          <cell r="J1674">
            <v>8446162600</v>
          </cell>
          <cell r="K1674" t="str">
            <v>University of Campinas</v>
          </cell>
        </row>
        <row r="1675">
          <cell r="J1675">
            <v>58195706600</v>
          </cell>
          <cell r="K1675" t="str">
            <v>DEMa</v>
          </cell>
        </row>
        <row r="1676">
          <cell r="J1676">
            <v>6603599722</v>
          </cell>
          <cell r="K1676" t="str">
            <v>Uppsala University (+2 more)</v>
          </cell>
        </row>
        <row r="1677">
          <cell r="J1677">
            <v>57219239664</v>
          </cell>
          <cell r="K1677" t="str">
            <v>Federal University of Rio de Janeiro</v>
          </cell>
        </row>
        <row r="1678">
          <cell r="J1678">
            <v>57191746182</v>
          </cell>
          <cell r="K1678" t="str">
            <v>Universidade do Estado da Bahia</v>
          </cell>
        </row>
        <row r="1679">
          <cell r="J1679">
            <v>56182216900</v>
          </cell>
          <cell r="K1679" t="str">
            <v>Pontifical Catholic University of Rio de Janeiro (+1 more)</v>
          </cell>
        </row>
        <row r="1680">
          <cell r="J1680">
            <v>57218477864</v>
          </cell>
          <cell r="K1680" t="str">
            <v>Pontifical Catholic University of Rio de Janeiro</v>
          </cell>
        </row>
        <row r="1681">
          <cell r="J1681">
            <v>6506825793</v>
          </cell>
          <cell r="K1681" t="str">
            <v>Universidade Federal do Ceará</v>
          </cell>
        </row>
        <row r="1682">
          <cell r="J1682">
            <v>55336983400</v>
          </cell>
          <cell r="K1682" t="str">
            <v>Science and Technology of Sao Paulo (IFSP)</v>
          </cell>
        </row>
        <row r="1683">
          <cell r="J1683">
            <v>57200259116</v>
          </cell>
          <cell r="K1683" t="str">
            <v>Petróleo Brasileiro S.A. (+1 more)</v>
          </cell>
        </row>
        <row r="1684">
          <cell r="J1684">
            <v>57189897262</v>
          </cell>
          <cell r="K1684" t="str">
            <v>Universidade Federal Fluminense</v>
          </cell>
        </row>
        <row r="1685">
          <cell r="J1685">
            <v>57202468695</v>
          </cell>
          <cell r="K1685" t="str">
            <v>Universidade Federal do Rio Grande do Norte</v>
          </cell>
        </row>
        <row r="1686">
          <cell r="J1686">
            <v>6602545035</v>
          </cell>
          <cell r="K1686" t="str">
            <v>Instituto Nacional de Metrologia, Qualidade e Tecnologia</v>
          </cell>
        </row>
        <row r="1687">
          <cell r="J1687">
            <v>36894526400</v>
          </cell>
          <cell r="K1687" t="str">
            <v>Standardization and Industrial Quality (+3 more)</v>
          </cell>
        </row>
        <row r="1688">
          <cell r="J1688">
            <v>57193629302</v>
          </cell>
          <cell r="K1688" t="str">
            <v>Pontifical Catholic University of Rio de Janeiro</v>
          </cell>
        </row>
        <row r="1689">
          <cell r="J1689">
            <v>57387298300</v>
          </cell>
          <cell r="K1689" t="str">
            <v>Federal University of Rio de Janeiro</v>
          </cell>
        </row>
        <row r="1690">
          <cell r="J1690">
            <v>18635529300</v>
          </cell>
          <cell r="K1690" t="str">
            <v>Universidade Estadual do Norte Fluminense</v>
          </cell>
        </row>
        <row r="1691">
          <cell r="J1691">
            <v>55665137300</v>
          </cell>
          <cell r="K1691" t="str">
            <v>Federal University of Rio de Janeiro</v>
          </cell>
        </row>
        <row r="1692">
          <cell r="J1692">
            <v>57506249100</v>
          </cell>
          <cell r="K1692" t="str">
            <v>Federal University of Rio de Janeiro</v>
          </cell>
        </row>
        <row r="1693">
          <cell r="J1693">
            <v>57207252990</v>
          </cell>
          <cell r="K1693" t="str">
            <v>Federal University of Rio de Janeiro</v>
          </cell>
        </row>
        <row r="1694">
          <cell r="J1694">
            <v>57200079360</v>
          </cell>
          <cell r="K1694" t="str">
            <v>Universidade Federal do Piauí</v>
          </cell>
        </row>
        <row r="1695">
          <cell r="J1695">
            <v>57218310791</v>
          </cell>
          <cell r="K1695" t="str">
            <v>Pontifical Catholic University of Rio de Janeiro</v>
          </cell>
        </row>
        <row r="1696">
          <cell r="J1696">
            <v>15064001800</v>
          </cell>
          <cell r="K1696" t="str">
            <v>Universidade de São Paulo</v>
          </cell>
        </row>
        <row r="1697">
          <cell r="J1697">
            <v>18834519400</v>
          </cell>
          <cell r="K1697" t="str">
            <v>Federal University of Rio de Janeiro</v>
          </cell>
        </row>
        <row r="1698">
          <cell r="J1698">
            <v>9240701900</v>
          </cell>
          <cell r="K1698" t="str">
            <v>Federal University of Rio de Janeiro</v>
          </cell>
        </row>
        <row r="1699">
          <cell r="J1699">
            <v>57216433864</v>
          </cell>
          <cell r="K1699" t="str">
            <v>Universidade Estadual Paulista “Júlio de Mesquita Filho”</v>
          </cell>
        </row>
        <row r="1700">
          <cell r="J1700">
            <v>7102811997</v>
          </cell>
          <cell r="K1700" t="str">
            <v>Federal University of Rio de Janeiro</v>
          </cell>
        </row>
        <row r="1701">
          <cell r="J1701">
            <v>57212009658</v>
          </cell>
          <cell r="K1701" t="str">
            <v>Pontifical Catholic University of Rio de Janeiro</v>
          </cell>
        </row>
        <row r="1702">
          <cell r="J1702">
            <v>35848342600</v>
          </cell>
          <cell r="K1702" t="str">
            <v>Federal University of Rio de Janeiro</v>
          </cell>
        </row>
        <row r="1703">
          <cell r="J1703">
            <v>57545831800</v>
          </cell>
          <cell r="K1703" t="str">
            <v>Federal University of Santa Catarina</v>
          </cell>
        </row>
        <row r="1704">
          <cell r="J1704">
            <v>57545066700</v>
          </cell>
          <cell r="K1704" t="str">
            <v>Federal University of Santa Catarina</v>
          </cell>
        </row>
        <row r="1705">
          <cell r="J1705">
            <v>57200692793</v>
          </cell>
          <cell r="K1705" t="str">
            <v>Pontifical Catholic University of Rio de Janeiro</v>
          </cell>
        </row>
        <row r="1706">
          <cell r="J1706">
            <v>7003648704</v>
          </cell>
          <cell r="K1706" t="str">
            <v>Federal University of Rio de Janeiro</v>
          </cell>
        </row>
        <row r="1707">
          <cell r="J1707">
            <v>55826649000</v>
          </cell>
          <cell r="K1707" t="str">
            <v>Engineering Simulation and Scientific Software</v>
          </cell>
        </row>
        <row r="1708">
          <cell r="J1708">
            <v>57427552100</v>
          </cell>
          <cell r="K1708" t="str">
            <v>Universidade Federal Fluminense</v>
          </cell>
        </row>
        <row r="1709">
          <cell r="J1709">
            <v>57406660700</v>
          </cell>
          <cell r="K1709" t="str">
            <v>Universidade Estadual do Norte Fluminense (+1 more)</v>
          </cell>
        </row>
        <row r="1710">
          <cell r="J1710">
            <v>57221935971</v>
          </cell>
          <cell r="K1710" t="str">
            <v>Pontifical Catholic University of Rio de Janeiro (+1 more)</v>
          </cell>
        </row>
        <row r="1711">
          <cell r="J1711">
            <v>57893476100</v>
          </cell>
          <cell r="K1711" t="str">
            <v>Federal University of Rio de Janeiro (+1 more)</v>
          </cell>
        </row>
        <row r="1712">
          <cell r="J1712">
            <v>7004463775</v>
          </cell>
          <cell r="K1712" t="str">
            <v>Pontifical Catholic University of Rio de Janeiro</v>
          </cell>
        </row>
        <row r="1713">
          <cell r="J1713">
            <v>57218580185</v>
          </cell>
          <cell r="K1713" t="str">
            <v>University of Campinas</v>
          </cell>
        </row>
        <row r="1714">
          <cell r="J1714">
            <v>57224895647</v>
          </cell>
          <cell r="K1714" t="str">
            <v>Universidade Federal Fluminense</v>
          </cell>
        </row>
        <row r="1715">
          <cell r="J1715">
            <v>57219659757</v>
          </cell>
          <cell r="K1715" t="str">
            <v>Serviço Nacional de Aprendizagem Industrial</v>
          </cell>
        </row>
        <row r="1716">
          <cell r="J1716">
            <v>57210455169</v>
          </cell>
          <cell r="K1716" t="str">
            <v>Federal University of Rio de Janeiro</v>
          </cell>
        </row>
        <row r="1717">
          <cell r="J1717">
            <v>57194093538</v>
          </cell>
          <cell r="K1717" t="str">
            <v>Universidade Federal do Ceará</v>
          </cell>
        </row>
        <row r="1718">
          <cell r="J1718">
            <v>57207727982</v>
          </cell>
          <cell r="K1718" t="str">
            <v>Federal University of Rio de Janeiro (+1 more)</v>
          </cell>
        </row>
        <row r="1719">
          <cell r="J1719">
            <v>57203003882</v>
          </cell>
          <cell r="K1719" t="str">
            <v>Instituto Federal de Educação Ciência e Tecnologia da Paraíba</v>
          </cell>
        </row>
        <row r="1720">
          <cell r="J1720">
            <v>7101828170</v>
          </cell>
          <cell r="K1720" t="str">
            <v>University of Campinas</v>
          </cell>
        </row>
        <row r="1721">
          <cell r="J1721">
            <v>57216901850</v>
          </cell>
          <cell r="K1721" t="str">
            <v>Federal University of Santa Catarina</v>
          </cell>
        </row>
        <row r="1722">
          <cell r="J1722">
            <v>36197856200</v>
          </cell>
          <cell r="K1722" t="str">
            <v>Universidade Federal de Itajubá</v>
          </cell>
        </row>
        <row r="1723">
          <cell r="J1723">
            <v>7101828137</v>
          </cell>
          <cell r="K1723" t="str">
            <v>SPE (+4 more)</v>
          </cell>
        </row>
        <row r="1724">
          <cell r="J1724">
            <v>57211654199</v>
          </cell>
          <cell r="K1724" t="str">
            <v>Federal University of Rio de Janeiro</v>
          </cell>
        </row>
        <row r="1725">
          <cell r="J1725">
            <v>59000376300</v>
          </cell>
          <cell r="K1725" t="str">
            <v>VERDE ÁGUA SERVIÇOS DE APOIO LTDA</v>
          </cell>
        </row>
        <row r="1726">
          <cell r="J1726">
            <v>57683818000</v>
          </cell>
          <cell r="K1726" t="str">
            <v>Universidade Federal do Rio Grande do Norte</v>
          </cell>
        </row>
        <row r="1727">
          <cell r="J1727">
            <v>58639482900</v>
          </cell>
          <cell r="K1727" t="str">
            <v>Universidade Federal do Rio Grande do Sul</v>
          </cell>
        </row>
        <row r="1728">
          <cell r="J1728">
            <v>56340116500</v>
          </cell>
          <cell r="K1728" t="str">
            <v>University of Campinas</v>
          </cell>
        </row>
        <row r="1729">
          <cell r="J1729">
            <v>36605890400</v>
          </cell>
          <cell r="K1729" t="str">
            <v>Federal University of Rio de Janeiro</v>
          </cell>
        </row>
        <row r="1730">
          <cell r="J1730">
            <v>57194004281</v>
          </cell>
          <cell r="K1730" t="str">
            <v>Federal University of Santa Catarina</v>
          </cell>
        </row>
        <row r="1731">
          <cell r="J1731">
            <v>22633706100</v>
          </cell>
          <cell r="K1731" t="str">
            <v>Federal University of Pará</v>
          </cell>
        </row>
        <row r="1732">
          <cell r="J1732">
            <v>57222551274</v>
          </cell>
          <cell r="K1732" t="str">
            <v>Pontifical Catholic University of Rio de Janeiro (+1 more)</v>
          </cell>
        </row>
        <row r="1733">
          <cell r="J1733">
            <v>8609297500</v>
          </cell>
          <cell r="K1733" t="str">
            <v>X-Reality GeoInformatics Lab Unisinos University (+2 more)</v>
          </cell>
        </row>
        <row r="1734">
          <cell r="J1734">
            <v>57192869775</v>
          </cell>
          <cell r="K1734" t="str">
            <v>Universidade Federal do Rio Grande do Sul (+1 more)</v>
          </cell>
        </row>
        <row r="1735">
          <cell r="J1735">
            <v>35098536500</v>
          </cell>
          <cell r="K1735" t="str">
            <v>Instituto Federal de Educação, Ciência e Tecnologia do Rio de Janeiro (+1 more)</v>
          </cell>
        </row>
        <row r="1736">
          <cell r="J1736">
            <v>57435370200</v>
          </cell>
          <cell r="K1736" t="str">
            <v>Universidade Federal de Goiás</v>
          </cell>
        </row>
        <row r="1737">
          <cell r="J1737">
            <v>7005755011</v>
          </cell>
          <cell r="K1737" t="str">
            <v>Universidade de São Paulo</v>
          </cell>
        </row>
        <row r="1738">
          <cell r="J1738">
            <v>57546525600</v>
          </cell>
          <cell r="K1738" t="str">
            <v>Universidade de São Paulo</v>
          </cell>
        </row>
        <row r="1739">
          <cell r="J1739">
            <v>60104476400</v>
          </cell>
          <cell r="K1739" t="str">
            <v>Universidade Federal de Campina Grande</v>
          </cell>
        </row>
        <row r="1740">
          <cell r="J1740">
            <v>58813039200</v>
          </cell>
          <cell r="K1740" t="str">
            <v>Universidade de Brasília</v>
          </cell>
        </row>
        <row r="1741">
          <cell r="J1741">
            <v>59115372700</v>
          </cell>
          <cell r="K1741" t="str">
            <v>Universidade Federal Rural do Rio de Janeiro</v>
          </cell>
        </row>
        <row r="1742">
          <cell r="J1742">
            <v>57200308338</v>
          </cell>
          <cell r="K1742" t="str">
            <v>Vizlab - X-Reality and GeoInformatics Lab (+2 more)</v>
          </cell>
        </row>
        <row r="1743">
          <cell r="J1743">
            <v>57155879400</v>
          </cell>
          <cell r="K1743" t="str">
            <v>Universidade Federal do Espírito Santo</v>
          </cell>
        </row>
        <row r="1744">
          <cell r="J1744">
            <v>60105583900</v>
          </cell>
          <cell r="K1744" t="str">
            <v>Universidade Federal do Espírito Santo</v>
          </cell>
        </row>
        <row r="1745">
          <cell r="J1745">
            <v>57218669316</v>
          </cell>
          <cell r="K1745" t="str">
            <v>Centro Federal de Educação Tecnológica Celso Suckow da Fonseca (CEFET-RJ)</v>
          </cell>
        </row>
        <row r="1746">
          <cell r="J1746">
            <v>59714259100</v>
          </cell>
          <cell r="K1746" t="str">
            <v>Federal University of Rio de Janeiro</v>
          </cell>
        </row>
        <row r="1747">
          <cell r="J1747">
            <v>56070681900</v>
          </cell>
          <cell r="K1747" t="str">
            <v>Vizlab - X-Reality and GeoInformatics Lab</v>
          </cell>
        </row>
        <row r="1748">
          <cell r="J1748">
            <v>36092476600</v>
          </cell>
          <cell r="K1748" t="str">
            <v>Federal University of Rio de Janeiro</v>
          </cell>
        </row>
        <row r="1749">
          <cell r="J1749">
            <v>56237612800</v>
          </cell>
          <cell r="K1749" t="str">
            <v>Federal University of Rio de Janeiro</v>
          </cell>
        </row>
        <row r="1750">
          <cell r="J1750">
            <v>8388351500</v>
          </cell>
          <cell r="K1750" t="str">
            <v>Universidade Federal do Rio Grande do Norte</v>
          </cell>
        </row>
        <row r="1751">
          <cell r="J1751">
            <v>56818606800</v>
          </cell>
          <cell r="K1751" t="str">
            <v>Federal University of Rio de Janeiro</v>
          </cell>
        </row>
        <row r="1752">
          <cell r="J1752">
            <v>57204938478</v>
          </cell>
          <cell r="K1752" t="str">
            <v>LAMEMO - Modelling Methods in Engineering and Geophysics Laboratory (+1 more)</v>
          </cell>
        </row>
        <row r="1753">
          <cell r="J1753">
            <v>57218327989</v>
          </cell>
          <cell r="K1753" t="str">
            <v>Pontifical Catholic University of Rio de Janeiro</v>
          </cell>
        </row>
        <row r="1754">
          <cell r="J1754">
            <v>56957702700</v>
          </cell>
          <cell r="K1754" t="str">
            <v>University of Campinas</v>
          </cell>
        </row>
        <row r="1755">
          <cell r="J1755">
            <v>57416048100</v>
          </cell>
          <cell r="K1755" t="str">
            <v>Federal University of Santa Catarina</v>
          </cell>
        </row>
        <row r="1756">
          <cell r="J1756">
            <v>7102470737</v>
          </cell>
          <cell r="K1756" t="str">
            <v>Federal University of Rio de Janeiro</v>
          </cell>
        </row>
        <row r="1757">
          <cell r="J1757">
            <v>57708859100</v>
          </cell>
          <cell r="K1757" t="str">
            <v>Federal University of Santa Catarina</v>
          </cell>
        </row>
        <row r="1758">
          <cell r="J1758">
            <v>56786625500</v>
          </cell>
          <cell r="K1758" t="str">
            <v>Federal University of Santa Catarina</v>
          </cell>
        </row>
        <row r="1759">
          <cell r="J1759">
            <v>7102117031</v>
          </cell>
          <cell r="K1759" t="str">
            <v>Universidade Federal Rural do Rio de Janeiro</v>
          </cell>
        </row>
        <row r="1760">
          <cell r="J1760">
            <v>56533297700</v>
          </cell>
          <cell r="K1760" t="str">
            <v>Federal University of Rio de Janeiro</v>
          </cell>
        </row>
        <row r="1761">
          <cell r="J1761">
            <v>57219355150</v>
          </cell>
          <cell r="K1761" t="str">
            <v>Universidade do Estado do Rio de Janeiro</v>
          </cell>
        </row>
        <row r="1762">
          <cell r="J1762">
            <v>59657231200</v>
          </cell>
          <cell r="K1762" t="str">
            <v>Universidade Tecnológica Federal do Paraná</v>
          </cell>
        </row>
        <row r="1763">
          <cell r="J1763">
            <v>59420159500</v>
          </cell>
          <cell r="K1763" t="str">
            <v>Federal University of Rio de Janeiro</v>
          </cell>
        </row>
        <row r="1764">
          <cell r="J1764">
            <v>57192275098</v>
          </cell>
          <cell r="K1764" t="str">
            <v>Federal University of Santa Catarina</v>
          </cell>
        </row>
        <row r="1765">
          <cell r="J1765">
            <v>59158678000</v>
          </cell>
          <cell r="K1765" t="str">
            <v>Universidade Tecnológica Federal do Paraná</v>
          </cell>
        </row>
        <row r="1766">
          <cell r="J1766">
            <v>8940585000</v>
          </cell>
          <cell r="K1766" t="str">
            <v>University of Campinas (+1 more)</v>
          </cell>
        </row>
        <row r="1767">
          <cell r="J1767">
            <v>7006769700</v>
          </cell>
          <cell r="K1767" t="str">
            <v>Laboratório Nacional de Computação Científica</v>
          </cell>
        </row>
        <row r="1768">
          <cell r="J1768">
            <v>23491742500</v>
          </cell>
          <cell r="K1768" t="str">
            <v>Universidade Federal de Minas Gerais</v>
          </cell>
        </row>
        <row r="1769">
          <cell r="J1769">
            <v>59520553600</v>
          </cell>
          <cell r="K1769" t="str">
            <v>Universidade Federal de Campina Grande</v>
          </cell>
        </row>
        <row r="1770">
          <cell r="J1770">
            <v>59895495500</v>
          </cell>
          <cell r="K1770" t="str">
            <v>Universidade Federal de Alagoas</v>
          </cell>
        </row>
        <row r="1771">
          <cell r="J1771">
            <v>57192214493</v>
          </cell>
          <cell r="K1771" t="str">
            <v>Universidade Estadual Paulista “Júlio de Mesquita Filho”</v>
          </cell>
        </row>
        <row r="1772">
          <cell r="J1772">
            <v>35232967400</v>
          </cell>
          <cell r="K1772" t="str">
            <v>Regional University of Blumenau - FURB</v>
          </cell>
        </row>
        <row r="1773">
          <cell r="J1773">
            <v>57226445554</v>
          </cell>
          <cell r="K1773" t="str">
            <v>Universidade Federal do Espírito Santo</v>
          </cell>
        </row>
        <row r="1774">
          <cell r="J1774">
            <v>57329135700</v>
          </cell>
          <cell r="K1774" t="str">
            <v>University of Campinas</v>
          </cell>
        </row>
        <row r="1775">
          <cell r="J1775">
            <v>57004785300</v>
          </cell>
          <cell r="K1775" t="str">
            <v>Federal University of Rio de Janeiro</v>
          </cell>
        </row>
        <row r="1776">
          <cell r="J1776">
            <v>58677903400</v>
          </cell>
          <cell r="K1776" t="str">
            <v>Instituto de Pesquisas Tecnologicas</v>
          </cell>
        </row>
        <row r="1777">
          <cell r="J1777">
            <v>56112944000</v>
          </cell>
          <cell r="K1777" t="str">
            <v>Universidade de São Paulo (+2 more)</v>
          </cell>
        </row>
        <row r="1778">
          <cell r="J1778">
            <v>58677544700</v>
          </cell>
          <cell r="K1778" t="str">
            <v>Shell Brasil</v>
          </cell>
        </row>
        <row r="1779">
          <cell r="J1779">
            <v>37161188500</v>
          </cell>
          <cell r="K1779" t="str">
            <v>Universidade do Estado do Rio de Janeiro (+2 more)</v>
          </cell>
        </row>
        <row r="1780">
          <cell r="J1780">
            <v>7202169816</v>
          </cell>
          <cell r="K1780" t="str">
            <v>Universidade Tecnológica Federal do Paraná</v>
          </cell>
        </row>
        <row r="1781">
          <cell r="J1781">
            <v>6603577302</v>
          </cell>
          <cell r="K1781" t="str">
            <v>Federal University of Rio de Janeiro</v>
          </cell>
        </row>
        <row r="1782">
          <cell r="J1782">
            <v>57211414585</v>
          </cell>
          <cell r="K1782" t="str">
            <v>Federal University of Santa Catarina</v>
          </cell>
        </row>
        <row r="1783">
          <cell r="J1783">
            <v>36542157500</v>
          </cell>
          <cell r="K1783" t="str">
            <v>University of Campinas</v>
          </cell>
        </row>
        <row r="1784">
          <cell r="J1784">
            <v>57221616045</v>
          </cell>
          <cell r="K1784" t="str">
            <v>Universidade Federal do Rio Grande do Norte</v>
          </cell>
        </row>
        <row r="1785">
          <cell r="J1785">
            <v>57219840748</v>
          </cell>
          <cell r="K1785" t="str">
            <v>Federal University of Rio de Janeiro</v>
          </cell>
        </row>
        <row r="1786">
          <cell r="J1786">
            <v>7005267149</v>
          </cell>
          <cell r="K1786" t="str">
            <v>Universidade do Estado do Rio de Janeiro</v>
          </cell>
        </row>
        <row r="1787">
          <cell r="J1787">
            <v>58102562200</v>
          </cell>
          <cell r="K1787" t="str">
            <v>Niterói Municipality Civil Defense and Geotechnics Department</v>
          </cell>
        </row>
        <row r="1788">
          <cell r="J1788">
            <v>35263590100</v>
          </cell>
          <cell r="K1788" t="str">
            <v>Universidade de São Paulo</v>
          </cell>
        </row>
        <row r="1789">
          <cell r="J1789">
            <v>57092639600</v>
          </cell>
          <cell r="K1789" t="str">
            <v>Universidade Federal Fluminense (+1 more)</v>
          </cell>
        </row>
        <row r="1790">
          <cell r="J1790">
            <v>57211001830</v>
          </cell>
          <cell r="K1790" t="str">
            <v>Universidade Federal da Bahia (+2 more)</v>
          </cell>
        </row>
        <row r="1791">
          <cell r="J1791">
            <v>6508252127</v>
          </cell>
          <cell r="K1791" t="str">
            <v>Universidade Federal de Pernambuco</v>
          </cell>
        </row>
        <row r="1792">
          <cell r="J1792">
            <v>6603683306</v>
          </cell>
          <cell r="K1792" t="str">
            <v>University of Campinas</v>
          </cell>
        </row>
        <row r="1793">
          <cell r="J1793">
            <v>57191573514</v>
          </cell>
          <cell r="K1793" t="str">
            <v>Universidade de Brasília</v>
          </cell>
        </row>
        <row r="1794">
          <cell r="J1794">
            <v>59539028600</v>
          </cell>
          <cell r="K1794" t="str">
            <v>Transbet Transporte e Logistica Ltda.</v>
          </cell>
        </row>
        <row r="1795">
          <cell r="J1795">
            <v>56436328100</v>
          </cell>
          <cell r="K1795" t="str">
            <v>Universidade Federal do Rio Grande do Sul</v>
          </cell>
        </row>
        <row r="1796">
          <cell r="J1796">
            <v>6504271051</v>
          </cell>
          <cell r="K1796" t="str">
            <v>Universidade Federal Fluminense (+2 more)</v>
          </cell>
        </row>
        <row r="1797">
          <cell r="J1797">
            <v>8454193200</v>
          </cell>
          <cell r="K1797" t="str">
            <v>Federal University of Rio de Janeiro</v>
          </cell>
        </row>
        <row r="1798">
          <cell r="J1798">
            <v>57191699059</v>
          </cell>
          <cell r="K1798" t="str">
            <v>Statoti Brasil Óleo e Gás Ltda. (+1 more)</v>
          </cell>
        </row>
        <row r="1799">
          <cell r="J1799">
            <v>60106158100</v>
          </cell>
          <cell r="K1799" t="str">
            <v>Science and Technology of Espírito Santo</v>
          </cell>
        </row>
        <row r="1800">
          <cell r="J1800">
            <v>57937967200</v>
          </cell>
          <cell r="K1800" t="str">
            <v>Universidade Federal do Rio Grande</v>
          </cell>
        </row>
        <row r="1801">
          <cell r="J1801">
            <v>57203996370</v>
          </cell>
          <cell r="K1801" t="str">
            <v>Universidade Federal do Rio Grande</v>
          </cell>
        </row>
        <row r="1802">
          <cell r="J1802">
            <v>35577636800</v>
          </cell>
          <cell r="K1802" t="str">
            <v>University of Campinas</v>
          </cell>
        </row>
        <row r="1803">
          <cell r="J1803">
            <v>6602991445</v>
          </cell>
          <cell r="K1803" t="str">
            <v>Federal University of Rio de Janeiro</v>
          </cell>
        </row>
        <row r="1804">
          <cell r="J1804">
            <v>57201405016</v>
          </cell>
          <cell r="K1804" t="str">
            <v>IMC Saste</v>
          </cell>
        </row>
        <row r="1805">
          <cell r="J1805">
            <v>6603188726</v>
          </cell>
          <cell r="K1805" t="str">
            <v>Universidade Regional Integrada do Alto Uruguai e das Missões (+1 more)</v>
          </cell>
        </row>
        <row r="1806">
          <cell r="J1806">
            <v>57200034697</v>
          </cell>
          <cell r="K1806" t="str">
            <v>Federal University of Rio de Janeiro</v>
          </cell>
        </row>
        <row r="1807">
          <cell r="J1807">
            <v>57205663719</v>
          </cell>
          <cell r="K1807" t="str">
            <v>Universidade Federal da Bahia</v>
          </cell>
        </row>
        <row r="1808">
          <cell r="J1808">
            <v>57194217889</v>
          </cell>
          <cell r="K1808" t="str">
            <v>Federal University of Rio de Janeiro</v>
          </cell>
        </row>
        <row r="1809">
          <cell r="J1809">
            <v>7202192544</v>
          </cell>
          <cell r="K1809" t="str">
            <v>Universidade do Estado do Rio de Janeiro</v>
          </cell>
        </row>
        <row r="1810">
          <cell r="J1810">
            <v>57192817482</v>
          </cell>
          <cell r="K1810" t="str">
            <v>Federal University of Rio de Janeiro</v>
          </cell>
        </row>
        <row r="1811">
          <cell r="J1811">
            <v>55765000676</v>
          </cell>
          <cell r="K1811" t="str">
            <v>Universidade Estadual do Norte Fluminense</v>
          </cell>
        </row>
        <row r="1812">
          <cell r="J1812">
            <v>36105207600</v>
          </cell>
          <cell r="K1812" t="str">
            <v>Universidade Federal do Rio Grande</v>
          </cell>
        </row>
        <row r="1813">
          <cell r="J1813">
            <v>15055697700</v>
          </cell>
          <cell r="K1813" t="str">
            <v>University of Limerick (+1 more)</v>
          </cell>
        </row>
        <row r="1814">
          <cell r="J1814">
            <v>58221278800</v>
          </cell>
          <cell r="K1814" t="str">
            <v>Pontifical Catholic University of Rio de Janeiro</v>
          </cell>
        </row>
        <row r="1815">
          <cell r="J1815">
            <v>58978150900</v>
          </cell>
          <cell r="K1815" t="str">
            <v>Evonik Brasil Ltda</v>
          </cell>
        </row>
        <row r="1816">
          <cell r="J1816">
            <v>57732184700</v>
          </cell>
          <cell r="K1816" t="str">
            <v>Universidade de São Paulo</v>
          </cell>
        </row>
        <row r="1817">
          <cell r="J1817">
            <v>37055379700</v>
          </cell>
          <cell r="K1817" t="str">
            <v>Federal University of Rio de Janeiro</v>
          </cell>
        </row>
        <row r="1818">
          <cell r="J1818">
            <v>57211025780</v>
          </cell>
          <cell r="K1818" t="str">
            <v>Pontifícia Universidade Católica do Rio Grande do Sul</v>
          </cell>
        </row>
        <row r="1819">
          <cell r="J1819">
            <v>56071517400</v>
          </cell>
          <cell r="K1819" t="str">
            <v>Universidade Federal do Espírito Santo (+1 more)</v>
          </cell>
        </row>
        <row r="1820">
          <cell r="J1820">
            <v>57986258000</v>
          </cell>
          <cell r="K1820" t="str">
            <v>Federal University of Rio de Janeiro</v>
          </cell>
        </row>
        <row r="1821">
          <cell r="J1821">
            <v>57215573161</v>
          </cell>
          <cell r="K1821" t="str">
            <v>Centro Brasileiro de Pesquisas Físicas</v>
          </cell>
        </row>
        <row r="1822">
          <cell r="J1822">
            <v>7101872444</v>
          </cell>
          <cell r="K1822" t="str">
            <v>Federal University of Rio de Janeiro</v>
          </cell>
        </row>
        <row r="1823">
          <cell r="J1823">
            <v>55324737500</v>
          </cell>
          <cell r="K1823" t="str">
            <v>Universidade Federal de Viçosa</v>
          </cell>
        </row>
        <row r="1824">
          <cell r="J1824">
            <v>57205779861</v>
          </cell>
          <cell r="K1824" t="str">
            <v>WIKKI Brasil LTDA (+2 more)</v>
          </cell>
        </row>
        <row r="1825">
          <cell r="J1825">
            <v>57819697600</v>
          </cell>
          <cell r="K1825" t="str">
            <v>University of Campinas</v>
          </cell>
        </row>
        <row r="1826">
          <cell r="J1826">
            <v>58180151100</v>
          </cell>
          <cell r="K1826" t="str">
            <v>Pontifical Catholic University of Rio de Janeiro</v>
          </cell>
        </row>
        <row r="1827">
          <cell r="J1827">
            <v>22633781700</v>
          </cell>
          <cell r="K1827" t="str">
            <v>Universidade Estadual Paulista “Júlio de Mesquita Filho”</v>
          </cell>
        </row>
        <row r="1828">
          <cell r="J1828">
            <v>56543795600</v>
          </cell>
          <cell r="K1828" t="str">
            <v>Universidade Federal de Minas Gerais</v>
          </cell>
        </row>
        <row r="1829">
          <cell r="J1829">
            <v>55467994200</v>
          </cell>
          <cell r="K1829" t="str">
            <v>Universidade Federal Fluminense (+1 more)</v>
          </cell>
        </row>
        <row r="1830">
          <cell r="J1830">
            <v>57613207900</v>
          </cell>
          <cell r="K1830" t="str">
            <v>LNDC-COPPE-UFRJ</v>
          </cell>
        </row>
        <row r="1831">
          <cell r="J1831">
            <v>54985026200</v>
          </cell>
          <cell r="K1831" t="str">
            <v>Universidade Federal do Rio Grande do Sul (+1 more)</v>
          </cell>
        </row>
        <row r="1832">
          <cell r="J1832">
            <v>57195973674</v>
          </cell>
          <cell r="K1832" t="str">
            <v>Universidade Federal do Rio Grande do Sul</v>
          </cell>
        </row>
        <row r="1833">
          <cell r="J1833">
            <v>25631965400</v>
          </cell>
          <cell r="K1833" t="str">
            <v>Universidade Federal de Santa Maria (+2 more)</v>
          </cell>
        </row>
        <row r="1834">
          <cell r="J1834">
            <v>58348324400</v>
          </cell>
          <cell r="K1834" t="str">
            <v>Universidade Federal de Santa Maria</v>
          </cell>
        </row>
        <row r="1835">
          <cell r="J1835">
            <v>7005075212</v>
          </cell>
          <cell r="K1835" t="str">
            <v>Federal University of Rio de Janeiro</v>
          </cell>
        </row>
        <row r="1836">
          <cell r="J1836">
            <v>59573913400</v>
          </cell>
          <cell r="K1836" t="str">
            <v>Pontifical Catholic University of Rio de Janeiro</v>
          </cell>
        </row>
        <row r="1837">
          <cell r="J1837">
            <v>7005040563</v>
          </cell>
          <cell r="K1837" t="str">
            <v>Pontifical Catholic University of Rio de Janeiro</v>
          </cell>
        </row>
        <row r="1838">
          <cell r="J1838">
            <v>58313714000</v>
          </cell>
          <cell r="K1838" t="str">
            <v>Instituto de Pesquisas da Marinha</v>
          </cell>
        </row>
        <row r="1839">
          <cell r="J1839">
            <v>8360642300</v>
          </cell>
          <cell r="K1839" t="str">
            <v>Universidade Federal de Juiz de Fora</v>
          </cell>
        </row>
        <row r="1840">
          <cell r="J1840">
            <v>57219122522</v>
          </cell>
          <cell r="K1840" t="str">
            <v>Universidade Federal Rural do Rio de Janeiro</v>
          </cell>
        </row>
        <row r="1841">
          <cell r="J1841">
            <v>56074205600</v>
          </cell>
          <cell r="K1841" t="str">
            <v>Universidade Federal do Espírito Santo</v>
          </cell>
        </row>
        <row r="1842">
          <cell r="J1842">
            <v>57452302300</v>
          </cell>
          <cell r="K1842" t="str">
            <v>Universidade Federal do Rio Grande do Sul</v>
          </cell>
        </row>
        <row r="1843">
          <cell r="J1843">
            <v>35728267100</v>
          </cell>
          <cell r="K1843" t="str">
            <v>Federal University of Rio de Janeiro</v>
          </cell>
        </row>
        <row r="1844">
          <cell r="J1844">
            <v>6603208447</v>
          </cell>
          <cell r="K1844" t="str">
            <v>Universidade de Brasília</v>
          </cell>
        </row>
        <row r="1845">
          <cell r="J1845">
            <v>57195637919</v>
          </cell>
          <cell r="K1845" t="str">
            <v>Federal University of Rio de Janeiro</v>
          </cell>
        </row>
        <row r="1846">
          <cell r="J1846">
            <v>38861369000</v>
          </cell>
          <cell r="K1846" t="str">
            <v>Universidade Federal de Juiz de Fora</v>
          </cell>
        </row>
        <row r="1847">
          <cell r="J1847">
            <v>60124649000</v>
          </cell>
          <cell r="K1847" t="str">
            <v>SENAI</v>
          </cell>
        </row>
        <row r="1848">
          <cell r="J1848">
            <v>7004002578</v>
          </cell>
          <cell r="K1848" t="str">
            <v>Universidade de São Paulo</v>
          </cell>
        </row>
        <row r="1849">
          <cell r="J1849">
            <v>36809205900</v>
          </cell>
          <cell r="K1849" t="str">
            <v>Vizlab - X-Reality and GeoInformatics Lab</v>
          </cell>
        </row>
        <row r="1850">
          <cell r="J1850">
            <v>57224442143</v>
          </cell>
          <cell r="K1850" t="str">
            <v>Universidade Federal de Pernambuco</v>
          </cell>
        </row>
        <row r="1851">
          <cell r="J1851">
            <v>6603672519</v>
          </cell>
          <cell r="K1851" t="str">
            <v>Universidade Federal do Ceará</v>
          </cell>
        </row>
        <row r="1852">
          <cell r="J1852">
            <v>57535995600</v>
          </cell>
          <cell r="K1852" t="str">
            <v>Universidade Federal do Rio Grande do Norte</v>
          </cell>
        </row>
        <row r="1853">
          <cell r="J1853">
            <v>57224544053</v>
          </cell>
          <cell r="K1853" t="str">
            <v>Universidade de São Paulo</v>
          </cell>
        </row>
        <row r="1854">
          <cell r="J1854">
            <v>57191755987</v>
          </cell>
          <cell r="K1854" t="str">
            <v>Federal University of Rio de Janeiro</v>
          </cell>
        </row>
        <row r="1855">
          <cell r="J1855">
            <v>57198899417</v>
          </cell>
          <cell r="K1855" t="str">
            <v>Universidade Federal do Ceará</v>
          </cell>
        </row>
        <row r="1856">
          <cell r="J1856">
            <v>57215701063</v>
          </cell>
          <cell r="K1856" t="str">
            <v>Universidade Federal de Santa Maria</v>
          </cell>
        </row>
        <row r="1857">
          <cell r="J1857">
            <v>57188537045</v>
          </cell>
          <cell r="K1857" t="str">
            <v>Federal University of Rio de Janeiro</v>
          </cell>
        </row>
        <row r="1858">
          <cell r="J1858">
            <v>57193666919</v>
          </cell>
          <cell r="K1858" t="str">
            <v>Universidade Federal de Pernambuco</v>
          </cell>
        </row>
        <row r="1859">
          <cell r="J1859">
            <v>57205408892</v>
          </cell>
          <cell r="K1859" t="str">
            <v>Federal University of Rio de Janeiro</v>
          </cell>
        </row>
        <row r="1860">
          <cell r="J1860">
            <v>59918251700</v>
          </cell>
          <cell r="K1860" t="str">
            <v>Universidade Federal do Ceará</v>
          </cell>
        </row>
        <row r="1861">
          <cell r="J1861">
            <v>7003392914</v>
          </cell>
          <cell r="K1861" t="str">
            <v>Universidade Federal de Santa Maria</v>
          </cell>
        </row>
        <row r="1862">
          <cell r="J1862">
            <v>57204353227</v>
          </cell>
          <cell r="K1862" t="str">
            <v>Universidade Regional do Cariri</v>
          </cell>
        </row>
        <row r="1863">
          <cell r="J1863">
            <v>57212002436</v>
          </cell>
          <cell r="K1863" t="str">
            <v>DEMa</v>
          </cell>
        </row>
        <row r="1864">
          <cell r="J1864">
            <v>55332262100</v>
          </cell>
          <cell r="K1864" t="str">
            <v>Senai Institute of Environmental Technology (+1 more)</v>
          </cell>
        </row>
        <row r="1865">
          <cell r="J1865">
            <v>6507460120</v>
          </cell>
          <cell r="K1865" t="str">
            <v>Federal University of Rio de Janeiro</v>
          </cell>
        </row>
        <row r="1866">
          <cell r="J1866">
            <v>57202677601</v>
          </cell>
          <cell r="K1866" t="str">
            <v>Universidade Federal do Espírito Santo</v>
          </cell>
        </row>
        <row r="1867">
          <cell r="J1867">
            <v>57999521900</v>
          </cell>
          <cell r="K1867" t="str">
            <v>Federal University of Rio de Janeiro</v>
          </cell>
        </row>
        <row r="1868">
          <cell r="J1868">
            <v>57482565600</v>
          </cell>
          <cell r="K1868" t="str">
            <v>Vizlab - X-Reality and GeoInformatics Lab</v>
          </cell>
        </row>
        <row r="1869">
          <cell r="J1869">
            <v>8150956100</v>
          </cell>
          <cell r="K1869" t="str">
            <v>Federal University of Santa Catarina</v>
          </cell>
        </row>
        <row r="1870">
          <cell r="J1870">
            <v>57925213000</v>
          </cell>
          <cell r="K1870" t="str">
            <v>Federal University of Santa Catarina</v>
          </cell>
        </row>
        <row r="1871">
          <cell r="J1871">
            <v>23491881900</v>
          </cell>
          <cell r="K1871" t="str">
            <v>Pontifícia Universidade Católica do Rio Grande do Sul</v>
          </cell>
        </row>
        <row r="1872">
          <cell r="J1872">
            <v>57200258537</v>
          </cell>
          <cell r="K1872" t="str">
            <v>Engineering Simulation and Scientific Software (ESSS) (+2 more)</v>
          </cell>
        </row>
        <row r="1873">
          <cell r="J1873">
            <v>56544641800</v>
          </cell>
          <cell r="K1873" t="str">
            <v>Universidade Federal de Santa Maria</v>
          </cell>
        </row>
        <row r="1874">
          <cell r="J1874">
            <v>57208819038</v>
          </cell>
          <cell r="K1874" t="str">
            <v>Seaseep Dados de Petróleo</v>
          </cell>
        </row>
        <row r="1875">
          <cell r="J1875">
            <v>57217085417</v>
          </cell>
          <cell r="K1875" t="str">
            <v>Federal University of Rio de Janeiro</v>
          </cell>
        </row>
        <row r="1876">
          <cell r="J1876">
            <v>57218290946</v>
          </cell>
          <cell r="K1876" t="str">
            <v>Universidade Federal de Minas Gerais</v>
          </cell>
        </row>
        <row r="1877">
          <cell r="J1877">
            <v>57204640431</v>
          </cell>
          <cell r="K1877" t="str">
            <v>Federal University of Rio de Janeiro</v>
          </cell>
        </row>
        <row r="1878">
          <cell r="J1878">
            <v>57212105376</v>
          </cell>
          <cell r="K1878" t="str">
            <v>University of Campinas</v>
          </cell>
        </row>
        <row r="1879">
          <cell r="J1879">
            <v>57188863151</v>
          </cell>
          <cell r="K1879" t="str">
            <v>Federal University of Santa Catarina</v>
          </cell>
        </row>
        <row r="1880">
          <cell r="J1880">
            <v>7003376737</v>
          </cell>
          <cell r="K1880" t="str">
            <v>Federal University of Rio de Janeiro</v>
          </cell>
        </row>
        <row r="1881">
          <cell r="J1881">
            <v>57196404266</v>
          </cell>
          <cell r="K1881" t="str">
            <v>Universidade Federal de Alfenas</v>
          </cell>
        </row>
        <row r="1882">
          <cell r="J1882">
            <v>57195414542</v>
          </cell>
          <cell r="K1882" t="str">
            <v>Universidade Federal do Rio Grande do Sul</v>
          </cell>
        </row>
        <row r="1883">
          <cell r="J1883">
            <v>58799290000</v>
          </cell>
          <cell r="K1883" t="str">
            <v>Universidade Federal do Rio Grande do Sul</v>
          </cell>
        </row>
        <row r="1884">
          <cell r="J1884">
            <v>57220749854</v>
          </cell>
          <cell r="K1884" t="str">
            <v>Universidade Federal da Bahia</v>
          </cell>
        </row>
        <row r="1885">
          <cell r="J1885">
            <v>57103790800</v>
          </cell>
          <cell r="K1885" t="str">
            <v>Pontifical Catholic University of Rio de Janeiro</v>
          </cell>
        </row>
        <row r="1886">
          <cell r="J1886">
            <v>57413107800</v>
          </cell>
          <cell r="K1886" t="str">
            <v>Vizlab - X-Reality and GeoInformatics Lab (+1 more)</v>
          </cell>
        </row>
        <row r="1887">
          <cell r="J1887">
            <v>57197810611</v>
          </cell>
          <cell r="K1887" t="str">
            <v>Pontifical Catholic University of Rio de Janeiro</v>
          </cell>
        </row>
        <row r="1888">
          <cell r="J1888">
            <v>57193448476</v>
          </cell>
          <cell r="K1888" t="str">
            <v>Laboratório Nacional Agropecuário (LANAGRO)</v>
          </cell>
        </row>
        <row r="1889">
          <cell r="J1889">
            <v>57204943325</v>
          </cell>
          <cell r="K1889" t="str">
            <v>LAMEMO - Modelling Methods in Engineering and Geophysics Laboratory (+1 more)</v>
          </cell>
        </row>
        <row r="1890">
          <cell r="J1890">
            <v>59473913000</v>
          </cell>
          <cell r="K1890" t="str">
            <v>Universidade de São Paulo</v>
          </cell>
        </row>
        <row r="1891">
          <cell r="J1891">
            <v>57209027991</v>
          </cell>
          <cell r="K1891" t="str">
            <v>Universidade Federal do Rio Grande do Sul</v>
          </cell>
        </row>
        <row r="1892">
          <cell r="J1892">
            <v>57194102305</v>
          </cell>
          <cell r="K1892" t="str">
            <v>Federal University of Rio de Janeiro</v>
          </cell>
        </row>
        <row r="1893">
          <cell r="J1893">
            <v>57196706353</v>
          </cell>
          <cell r="K1893" t="str">
            <v>University of Campinas</v>
          </cell>
        </row>
        <row r="1894">
          <cell r="J1894">
            <v>57201976523</v>
          </cell>
          <cell r="K1894" t="str">
            <v>Universidade Tiradentes (+1 more)</v>
          </cell>
        </row>
        <row r="1895">
          <cell r="J1895">
            <v>57191751807</v>
          </cell>
          <cell r="K1895" t="str">
            <v>Federal University of Rio de Janeiro</v>
          </cell>
        </row>
        <row r="1896">
          <cell r="J1896">
            <v>56714850900</v>
          </cell>
          <cell r="K1896" t="str">
            <v>Centro Federal de Educação Tecnológica Celso Suckow da Fonseca (CEFET-RJ)</v>
          </cell>
        </row>
        <row r="1897">
          <cell r="J1897">
            <v>57210551702</v>
          </cell>
          <cell r="K1897" t="str">
            <v>Universidade de São Paulo</v>
          </cell>
        </row>
        <row r="1898">
          <cell r="J1898">
            <v>60084404100</v>
          </cell>
          <cell r="K1898" t="str">
            <v>Federal University of Rio de Janeiro</v>
          </cell>
        </row>
        <row r="1899">
          <cell r="J1899">
            <v>57226666276</v>
          </cell>
          <cell r="K1899" t="str">
            <v>Universidade Federal do Ceará</v>
          </cell>
        </row>
        <row r="1900">
          <cell r="J1900">
            <v>58904207100</v>
          </cell>
          <cell r="K1900" t="str">
            <v>SENAI Innovation Institute for Embedded Systems</v>
          </cell>
        </row>
        <row r="1901">
          <cell r="J1901">
            <v>55536555100</v>
          </cell>
          <cell r="K1901" t="str">
            <v>Instituto de Pesquisas Tecnologicas</v>
          </cell>
        </row>
        <row r="1902">
          <cell r="J1902">
            <v>57225180567</v>
          </cell>
          <cell r="K1902" t="str">
            <v>Universidade Federal Fluminense</v>
          </cell>
        </row>
        <row r="1903">
          <cell r="J1903">
            <v>35326519000</v>
          </cell>
          <cell r="K1903" t="str">
            <v>Federal University of Rio de Janeiro</v>
          </cell>
        </row>
        <row r="1904">
          <cell r="J1904">
            <v>57092505600</v>
          </cell>
          <cell r="K1904" t="str">
            <v>Universidade Federal Fluminense</v>
          </cell>
        </row>
        <row r="1905">
          <cell r="J1905">
            <v>58757390200</v>
          </cell>
          <cell r="K1905" t="str">
            <v>Federal University of Santa Catarina</v>
          </cell>
        </row>
        <row r="1906">
          <cell r="J1906">
            <v>57614923600</v>
          </cell>
          <cell r="K1906" t="str">
            <v>Pontifícia Universidade Católica do Rio Grande do Sul</v>
          </cell>
        </row>
        <row r="1907">
          <cell r="J1907">
            <v>54417000900</v>
          </cell>
          <cell r="K1907" t="str">
            <v>Prooceano</v>
          </cell>
        </row>
        <row r="1908">
          <cell r="J1908">
            <v>57202035215</v>
          </cell>
          <cell r="K1908" t="str">
            <v>Universidade Federal do Rio Grande do Sul</v>
          </cell>
        </row>
        <row r="1909">
          <cell r="J1909">
            <v>55847948500</v>
          </cell>
          <cell r="K1909" t="str">
            <v>Universidade Federal de Goiás</v>
          </cell>
        </row>
        <row r="1910">
          <cell r="J1910">
            <v>57215611970</v>
          </cell>
          <cell r="K1910" t="str">
            <v>Universidade Federal Rural do Rio de Janeiro</v>
          </cell>
        </row>
        <row r="1911">
          <cell r="J1911">
            <v>59460298100</v>
          </cell>
          <cell r="K1911" t="str">
            <v>Universidade Federal do Espírito Santo (+1 more)</v>
          </cell>
        </row>
        <row r="1912">
          <cell r="J1912">
            <v>58349883900</v>
          </cell>
          <cell r="K1912" t="str">
            <v>IEN - Instituto de Energia Nuclear</v>
          </cell>
        </row>
        <row r="1913">
          <cell r="J1913">
            <v>58704083800</v>
          </cell>
          <cell r="K1913" t="str">
            <v>Federal University of Rio de Janeiro</v>
          </cell>
        </row>
        <row r="1914">
          <cell r="J1914">
            <v>57216919966</v>
          </cell>
          <cell r="K1914" t="str">
            <v>Federal University of Rio de Janeiro</v>
          </cell>
        </row>
        <row r="1915">
          <cell r="J1915">
            <v>57211028700</v>
          </cell>
          <cell r="K1915" t="str">
            <v>Universidade Federal do Rio Grande do Sul</v>
          </cell>
        </row>
        <row r="1916">
          <cell r="J1916">
            <v>55578915000</v>
          </cell>
          <cell r="K1916" t="str">
            <v>Pontifícia Universidade Católica do Rio Grande do Sul</v>
          </cell>
        </row>
        <row r="1917">
          <cell r="J1917">
            <v>7005029614</v>
          </cell>
          <cell r="K1917" t="str">
            <v>Federal University of Santa Catarina</v>
          </cell>
        </row>
        <row r="1918">
          <cell r="J1918">
            <v>59529274400</v>
          </cell>
          <cell r="K1918" t="str">
            <v>University of Campinas</v>
          </cell>
        </row>
        <row r="1919">
          <cell r="J1919">
            <v>59234074400</v>
          </cell>
          <cell r="K1919" t="str">
            <v>Universidade Federal do Rio Grande do Norte</v>
          </cell>
        </row>
        <row r="1920">
          <cell r="J1920">
            <v>60210201300</v>
          </cell>
          <cell r="K1920" t="str">
            <v>Federal University of Rio de Janeiro</v>
          </cell>
        </row>
        <row r="1921">
          <cell r="J1921">
            <v>57218865075</v>
          </cell>
          <cell r="K1921" t="str">
            <v>Engineering Simulation and Scientific Software (+1 more)</v>
          </cell>
        </row>
        <row r="1922">
          <cell r="J1922">
            <v>60198492800</v>
          </cell>
          <cell r="K1922" t="str">
            <v>University of Campinas</v>
          </cell>
        </row>
        <row r="1923">
          <cell r="J1923">
            <v>59143585800</v>
          </cell>
          <cell r="K1923" t="str">
            <v>Federal University of Rio de Janeiro</v>
          </cell>
        </row>
        <row r="1924">
          <cell r="J1924">
            <v>60172694000</v>
          </cell>
          <cell r="K1924" t="str">
            <v>Universidade Federal de Minas Gerais</v>
          </cell>
        </row>
        <row r="1925">
          <cell r="J1925">
            <v>57216841420</v>
          </cell>
          <cell r="K1925" t="str">
            <v>ICTS</v>
          </cell>
        </row>
        <row r="1926">
          <cell r="J1926">
            <v>56992321100</v>
          </cell>
          <cell r="K1926" t="str">
            <v>Universidade Federal do Rio Grande do Sul (+1 more)</v>
          </cell>
        </row>
        <row r="1927">
          <cell r="J1927">
            <v>57219550141</v>
          </cell>
          <cell r="K1927" t="str">
            <v>Federal University of Rio de Janeiro</v>
          </cell>
        </row>
        <row r="1928">
          <cell r="J1928">
            <v>57847796400</v>
          </cell>
          <cell r="K1928" t="str">
            <v>Federal University of Rio de Janeiro</v>
          </cell>
        </row>
        <row r="1929">
          <cell r="J1929">
            <v>56285995800</v>
          </cell>
          <cell r="K1929" t="str">
            <v>Universidade Federal da Bahia</v>
          </cell>
        </row>
        <row r="1930">
          <cell r="J1930">
            <v>7006173003</v>
          </cell>
          <cell r="K1930" t="str">
            <v>Universidade Federal de Minas Gerais</v>
          </cell>
        </row>
        <row r="1931">
          <cell r="J1931">
            <v>58099636800</v>
          </cell>
          <cell r="K1931" t="str">
            <v>Federal University of Rio de Janeiro</v>
          </cell>
        </row>
        <row r="1932">
          <cell r="J1932">
            <v>57945097200</v>
          </cell>
          <cell r="K1932" t="str">
            <v>Federal University of Santa Catarina</v>
          </cell>
        </row>
        <row r="1933">
          <cell r="J1933">
            <v>57192062820</v>
          </cell>
          <cell r="K1933" t="str">
            <v>Universidade de São Paulo</v>
          </cell>
        </row>
        <row r="1934">
          <cell r="J1934">
            <v>26666632600</v>
          </cell>
          <cell r="K1934" t="str">
            <v>Universidade de São Paulo</v>
          </cell>
        </row>
        <row r="1935">
          <cell r="J1935">
            <v>25931309600</v>
          </cell>
          <cell r="K1935" t="str">
            <v>Instituto Federal de Educação, Ciência e Tecnologia do Rio de Janeiro (+2 more)</v>
          </cell>
        </row>
        <row r="1936">
          <cell r="J1936">
            <v>57194562947</v>
          </cell>
          <cell r="K1936" t="str">
            <v>Universidade Tiradentes</v>
          </cell>
        </row>
        <row r="1937">
          <cell r="J1937">
            <v>14040195300</v>
          </cell>
          <cell r="K1937" t="str">
            <v>Pontifical Catholic University of Rio de Janeiro</v>
          </cell>
        </row>
        <row r="1938">
          <cell r="J1938">
            <v>36542423000</v>
          </cell>
          <cell r="K1938" t="str">
            <v>National Laboratory for Scientific Computation-LNCC</v>
          </cell>
        </row>
        <row r="1939">
          <cell r="J1939">
            <v>57226547683</v>
          </cell>
          <cell r="K1939" t="str">
            <v>Universidade Federal do Rio Grande do Sul</v>
          </cell>
        </row>
        <row r="1940">
          <cell r="J1940">
            <v>57222024500</v>
          </cell>
          <cell r="K1940" t="str">
            <v>Universidade Federal do Rio Grande do Sul</v>
          </cell>
        </row>
        <row r="1941">
          <cell r="J1941">
            <v>7003554513</v>
          </cell>
          <cell r="K1941" t="str">
            <v>Universidade Federal de Santa Maria (+1 more)</v>
          </cell>
        </row>
        <row r="1942">
          <cell r="J1942">
            <v>55858690500</v>
          </cell>
          <cell r="K1942" t="str">
            <v>Universidade Tecnológica Federal do Paraná</v>
          </cell>
        </row>
        <row r="1943">
          <cell r="J1943">
            <v>6507075395</v>
          </cell>
          <cell r="K1943" t="str">
            <v>Centro Nacional de Pesquisa em Energia e Materiais</v>
          </cell>
        </row>
        <row r="1944">
          <cell r="J1944">
            <v>56237110300</v>
          </cell>
          <cell r="K1944" t="str">
            <v>Universidade de São Paulo</v>
          </cell>
        </row>
        <row r="1945">
          <cell r="J1945">
            <v>57248382800</v>
          </cell>
          <cell r="K1945" t="str">
            <v>Universidade Federal do Rio Grande do Sul</v>
          </cell>
        </row>
        <row r="1946">
          <cell r="J1946">
            <v>6508137223</v>
          </cell>
          <cell r="K1946" t="str">
            <v>University of Maryland, College Park (+1 more)</v>
          </cell>
        </row>
        <row r="1947">
          <cell r="J1947">
            <v>58857744600</v>
          </cell>
          <cell r="K1947" t="str">
            <v>Federal University of Rio de Janeiro</v>
          </cell>
        </row>
        <row r="1948">
          <cell r="J1948">
            <v>7006818287</v>
          </cell>
          <cell r="K1948" t="str">
            <v>Universidade Federal Fluminense</v>
          </cell>
        </row>
        <row r="1949">
          <cell r="J1949">
            <v>56971540900</v>
          </cell>
          <cell r="K1949" t="str">
            <v>Federal University of Rio de Janeiro</v>
          </cell>
        </row>
        <row r="1950">
          <cell r="J1950">
            <v>57189602609</v>
          </cell>
          <cell r="K1950" t="str">
            <v>Universidade Federal de Santa Maria</v>
          </cell>
        </row>
        <row r="1951">
          <cell r="J1951">
            <v>16021192400</v>
          </cell>
          <cell r="K1951" t="str">
            <v>Instituto Nacional de Tecnologia</v>
          </cell>
        </row>
        <row r="1952">
          <cell r="J1952">
            <v>59453689000</v>
          </cell>
          <cell r="K1952" t="str">
            <v>Instituto Nacional de Tecnologia</v>
          </cell>
        </row>
        <row r="1953">
          <cell r="J1953">
            <v>59226100900</v>
          </cell>
          <cell r="K1953" t="str">
            <v>Federal University of Rio de Janeiro</v>
          </cell>
        </row>
        <row r="1954">
          <cell r="J1954">
            <v>57204419814</v>
          </cell>
          <cell r="K1954" t="str">
            <v>Federal University of Rio de Janeiro</v>
          </cell>
        </row>
        <row r="1955">
          <cell r="J1955">
            <v>7004443995</v>
          </cell>
          <cell r="K1955" t="str">
            <v>Universidade do Estado do Rio de Janeiro</v>
          </cell>
        </row>
        <row r="1956">
          <cell r="J1956">
            <v>57202330233</v>
          </cell>
          <cell r="K1956" t="str">
            <v>Universidade Federal de Uberlândia</v>
          </cell>
        </row>
        <row r="1957">
          <cell r="J1957">
            <v>22733874700</v>
          </cell>
          <cell r="K1957" t="str">
            <v>Universidade Federal de Uberlândia (+1 more)</v>
          </cell>
        </row>
        <row r="1958">
          <cell r="J1958">
            <v>57204621063</v>
          </cell>
          <cell r="K1958" t="str">
            <v>Pontifícia Universidade Católica do Rio Grande do Sul</v>
          </cell>
        </row>
        <row r="1959">
          <cell r="J1959">
            <v>21739086900</v>
          </cell>
          <cell r="K1959" t="str">
            <v>Universidade Federal de Santa Maria</v>
          </cell>
        </row>
        <row r="1960">
          <cell r="J1960">
            <v>23033674600</v>
          </cell>
          <cell r="K1960" t="str">
            <v>DEMa</v>
          </cell>
        </row>
        <row r="1961">
          <cell r="J1961">
            <v>56156321200</v>
          </cell>
          <cell r="K1961" t="str">
            <v>IMAM-AquaRio (+1 more)</v>
          </cell>
        </row>
        <row r="1962">
          <cell r="J1962">
            <v>57209457132</v>
          </cell>
          <cell r="K1962" t="str">
            <v>Universidade Federal do Paraná</v>
          </cell>
        </row>
        <row r="1963">
          <cell r="J1963">
            <v>57209217350</v>
          </cell>
          <cell r="K1963" t="str">
            <v>Universidade Federal do Rio Grande</v>
          </cell>
        </row>
        <row r="1964">
          <cell r="J1964">
            <v>56276154100</v>
          </cell>
          <cell r="K1964" t="str">
            <v>Instituto Militar de Engenharia</v>
          </cell>
        </row>
        <row r="1965">
          <cell r="J1965">
            <v>57189329002</v>
          </cell>
          <cell r="K1965" t="str">
            <v>Universidade Federal de Juiz de Fora (+2 more)</v>
          </cell>
        </row>
        <row r="1966">
          <cell r="J1966">
            <v>25622981900</v>
          </cell>
          <cell r="K1966" t="str">
            <v>Universidade Federal de Uberlândia</v>
          </cell>
        </row>
        <row r="1967">
          <cell r="J1967">
            <v>57206670374</v>
          </cell>
          <cell r="K1967" t="str">
            <v>Universidade do Estado do Rio de Janeiro</v>
          </cell>
        </row>
        <row r="1968">
          <cell r="J1968">
            <v>55354374000</v>
          </cell>
          <cell r="K1968" t="str">
            <v>Universidade Federal de Goiás</v>
          </cell>
        </row>
        <row r="1969">
          <cell r="J1969">
            <v>56507246600</v>
          </cell>
          <cell r="K1969" t="str">
            <v>Pontifícia Universidade Católica do Rio Grande do Sul</v>
          </cell>
        </row>
        <row r="1970">
          <cell r="J1970">
            <v>57201096049</v>
          </cell>
          <cell r="K1970" t="str">
            <v>Federal University of Rio de Janeiro</v>
          </cell>
        </row>
        <row r="1971">
          <cell r="J1971">
            <v>58699419100</v>
          </cell>
          <cell r="K1971" t="str">
            <v>Universidade Federal de Goiás</v>
          </cell>
        </row>
        <row r="1972">
          <cell r="J1972">
            <v>57742752200</v>
          </cell>
          <cell r="K1972" t="str">
            <v>NIDF (+1 more)</v>
          </cell>
        </row>
        <row r="1973">
          <cell r="J1973">
            <v>57214798550</v>
          </cell>
          <cell r="K1973" t="str">
            <v>Intelie</v>
          </cell>
        </row>
        <row r="1974">
          <cell r="J1974">
            <v>57196485146</v>
          </cell>
          <cell r="K1974" t="str">
            <v>Universidade Tecnológica Federal do Paraná</v>
          </cell>
        </row>
        <row r="1975">
          <cell r="J1975">
            <v>56362506000</v>
          </cell>
          <cell r="K1975" t="str">
            <v>Federal University of Rio de Janeiro</v>
          </cell>
        </row>
        <row r="1976">
          <cell r="J1976">
            <v>35589823500</v>
          </cell>
          <cell r="K1976" t="str">
            <v>Pontifical Catholic University of Rio de Janeiro</v>
          </cell>
        </row>
        <row r="1977">
          <cell r="J1977">
            <v>7202477473</v>
          </cell>
          <cell r="K1977" t="str">
            <v>University of Nottingham (+1 more)</v>
          </cell>
        </row>
        <row r="1978">
          <cell r="J1978">
            <v>56610208800</v>
          </cell>
          <cell r="K1978" t="str">
            <v>Universidade Federal Rural do Rio de Janeiro (+1 more)</v>
          </cell>
        </row>
        <row r="1979">
          <cell r="J1979">
            <v>57200257677</v>
          </cell>
          <cell r="K1979" t="str">
            <v>Federal University of Rio de Janeiro</v>
          </cell>
        </row>
        <row r="1980">
          <cell r="J1980">
            <v>57219992176</v>
          </cell>
          <cell r="K1980" t="str">
            <v>Universidade de São Paulo</v>
          </cell>
        </row>
        <row r="1981">
          <cell r="J1981">
            <v>56315541300</v>
          </cell>
          <cell r="K1981" t="str">
            <v>Trisolutions Engineering Solutions LTDA</v>
          </cell>
        </row>
        <row r="1982">
          <cell r="J1982">
            <v>57189349611</v>
          </cell>
          <cell r="K1982" t="str">
            <v>Universidade de São Paulo</v>
          </cell>
        </row>
        <row r="1983">
          <cell r="J1983">
            <v>57222814979</v>
          </cell>
          <cell r="K1983" t="str">
            <v>Universidade Tecnológica Federal do Paraná</v>
          </cell>
        </row>
        <row r="1984">
          <cell r="J1984">
            <v>58116769900</v>
          </cell>
          <cell r="K1984" t="str">
            <v>TENARIS</v>
          </cell>
        </row>
        <row r="1985">
          <cell r="J1985">
            <v>35434919700</v>
          </cell>
          <cell r="K1985" t="str">
            <v>Universidade Federal de Minas Gerais</v>
          </cell>
        </row>
        <row r="1986">
          <cell r="J1986">
            <v>35069161300</v>
          </cell>
          <cell r="K1986" t="str">
            <v>Universidade Tecnológica Federal do Paraná</v>
          </cell>
        </row>
        <row r="1987">
          <cell r="J1987">
            <v>58309714700</v>
          </cell>
          <cell r="K1987" t="str">
            <v>CTR3SM Tecnologias Críticas</v>
          </cell>
        </row>
        <row r="1988">
          <cell r="J1988">
            <v>57214492034</v>
          </cell>
          <cell r="K1988" t="str">
            <v>Universidade Federal do Rio Grande do Sul</v>
          </cell>
        </row>
        <row r="1989">
          <cell r="J1989">
            <v>57270757100</v>
          </cell>
          <cell r="K1989" t="str">
            <v>Federal University of Santa Catarina</v>
          </cell>
        </row>
        <row r="1990">
          <cell r="J1990">
            <v>56315306500</v>
          </cell>
          <cell r="K1990" t="str">
            <v>Universidade Tecnológica Federal do Paraná</v>
          </cell>
        </row>
        <row r="1991">
          <cell r="J1991">
            <v>58171248200</v>
          </cell>
          <cell r="K1991" t="str">
            <v>LTrace Geophysical Solutions</v>
          </cell>
        </row>
        <row r="1992">
          <cell r="J1992">
            <v>57221754616</v>
          </cell>
          <cell r="K1992" t="str">
            <v>Federal University of Rio de Janeiro</v>
          </cell>
        </row>
        <row r="1993">
          <cell r="J1993">
            <v>26642939500</v>
          </cell>
          <cell r="K1993" t="str">
            <v>Federal University of Santa Catarina</v>
          </cell>
        </row>
        <row r="1994">
          <cell r="J1994">
            <v>57212155011</v>
          </cell>
          <cell r="K1994" t="str">
            <v>Universidade Federal de Minas Gerais</v>
          </cell>
        </row>
        <row r="1995">
          <cell r="J1995">
            <v>57198009895</v>
          </cell>
          <cell r="K1995" t="str">
            <v>Universidade Federal do Espírito Santo (+1 more)</v>
          </cell>
        </row>
        <row r="1996">
          <cell r="J1996">
            <v>57217086251</v>
          </cell>
          <cell r="K1996" t="str">
            <v>Federal University of Rio de Janeiro</v>
          </cell>
        </row>
        <row r="1997">
          <cell r="J1997">
            <v>57219130329</v>
          </cell>
          <cell r="K1997" t="str">
            <v>LABSOLDA Welding Institute (+1 more)</v>
          </cell>
        </row>
        <row r="1998">
          <cell r="J1998">
            <v>7005224833</v>
          </cell>
          <cell r="K1998" t="str">
            <v>Federal University of Rio de Janeiro</v>
          </cell>
        </row>
        <row r="1999">
          <cell r="J1999">
            <v>8214424500</v>
          </cell>
          <cell r="K1999" t="str">
            <v>Universidade Federal do Rio Grande do Sul</v>
          </cell>
        </row>
        <row r="2000">
          <cell r="J2000">
            <v>7005119089</v>
          </cell>
          <cell r="K2000" t="str">
            <v>University of Campinas (+2 more)</v>
          </cell>
        </row>
        <row r="2001">
          <cell r="J2001">
            <v>57351528900</v>
          </cell>
          <cell r="K2001" t="str">
            <v>SIMEC Mechanical Simulation</v>
          </cell>
        </row>
        <row r="2002">
          <cell r="J2002">
            <v>6506425196</v>
          </cell>
          <cell r="K2002" t="str">
            <v>Universidade Federal de Minas Gerais (+1 more)</v>
          </cell>
        </row>
        <row r="2003">
          <cell r="J2003">
            <v>8856356500</v>
          </cell>
          <cell r="K2003" t="str">
            <v>Universidade Tiradentes (+2 more)</v>
          </cell>
        </row>
        <row r="2004">
          <cell r="J2004">
            <v>6602323155</v>
          </cell>
          <cell r="K2004" t="str">
            <v>Programa de Pós Graduação Em Engenharia e Tecnologia Dos Materiais (PGETEMA) (+2 more)</v>
          </cell>
        </row>
        <row r="2005">
          <cell r="J2005">
            <v>6602181331</v>
          </cell>
          <cell r="K2005" t="str">
            <v>Pontifícia Universidade Católica do Rio Grande do Sul</v>
          </cell>
        </row>
        <row r="2006">
          <cell r="J2006">
            <v>7003513775</v>
          </cell>
          <cell r="K2006" t="str">
            <v>Universidade de São Paulo</v>
          </cell>
        </row>
        <row r="2007">
          <cell r="J2007">
            <v>12785980500</v>
          </cell>
          <cell r="K2007" t="str">
            <v>Federal University of Rio de Janeiro</v>
          </cell>
        </row>
        <row r="2008">
          <cell r="J2008">
            <v>60130449600</v>
          </cell>
          <cell r="K2008" t="str">
            <v>Institute of Marine Studies Admiral Paulo Moreira (IEAPM)</v>
          </cell>
        </row>
        <row r="2009">
          <cell r="J2009">
            <v>7003744679</v>
          </cell>
          <cell r="K2009" t="str">
            <v>Federal University of Rio de Janeiro</v>
          </cell>
        </row>
        <row r="2010">
          <cell r="J2010">
            <v>55219960100</v>
          </cell>
          <cell r="K2010" t="str">
            <v>Federal University of Rio de Janeiro</v>
          </cell>
        </row>
        <row r="2011">
          <cell r="J2011">
            <v>58724808800</v>
          </cell>
          <cell r="K2011" t="str">
            <v>Voltalia (+1 more)</v>
          </cell>
        </row>
        <row r="2012">
          <cell r="J2012">
            <v>54779747300</v>
          </cell>
          <cell r="K2012" t="str">
            <v>Universidade Federal de Santa Maria</v>
          </cell>
        </row>
        <row r="2013">
          <cell r="J2013">
            <v>57209712680</v>
          </cell>
          <cell r="K2013" t="str">
            <v>Universidade Estadual Paulista “Júlio de Mesquita Filho”</v>
          </cell>
        </row>
        <row r="2014">
          <cell r="J2014">
            <v>57209617482</v>
          </cell>
          <cell r="K2014" t="str">
            <v>Vizlab - X-Reality and GeoInformatics Lab</v>
          </cell>
        </row>
        <row r="2015">
          <cell r="J2015">
            <v>57211242062</v>
          </cell>
          <cell r="K2015" t="str">
            <v>Vizlab - X-Reality and GeoInformatics Lab</v>
          </cell>
        </row>
        <row r="2016">
          <cell r="J2016">
            <v>57191541692</v>
          </cell>
          <cell r="K2016" t="str">
            <v>Universidade Federal do Rio Grande do Sul</v>
          </cell>
        </row>
        <row r="2017">
          <cell r="J2017">
            <v>57006763100</v>
          </cell>
          <cell r="K2017" t="str">
            <v>Universidade Federal do Rio Grande do Norte</v>
          </cell>
        </row>
        <row r="2018">
          <cell r="J2018">
            <v>57219600208</v>
          </cell>
          <cell r="K2018" t="str">
            <v>Federal University of Rio de Janeiro</v>
          </cell>
        </row>
        <row r="2019">
          <cell r="J2019">
            <v>57221522674</v>
          </cell>
          <cell r="K2019" t="str">
            <v>Federal University of Rio de Janeiro</v>
          </cell>
        </row>
        <row r="2020">
          <cell r="J2020">
            <v>58170860400</v>
          </cell>
          <cell r="K2020" t="str">
            <v>Universidade de São Paulo</v>
          </cell>
        </row>
        <row r="2021">
          <cell r="J2021">
            <v>57190796704</v>
          </cell>
          <cell r="K2021" t="str">
            <v>Pontifical Catholic University of Rio de Janeiro</v>
          </cell>
        </row>
        <row r="2022">
          <cell r="J2022">
            <v>36185030200</v>
          </cell>
          <cell r="K2022" t="str">
            <v>Pontifical Catholic University of Rio de Janeiro</v>
          </cell>
        </row>
        <row r="2023">
          <cell r="J2023">
            <v>6601956323</v>
          </cell>
          <cell r="K2023" t="str">
            <v>Federal University of Rio de Janeiro</v>
          </cell>
        </row>
        <row r="2024">
          <cell r="J2024">
            <v>7004148181</v>
          </cell>
          <cell r="K2024" t="str">
            <v>Federal University of Rio de Janeiro</v>
          </cell>
        </row>
        <row r="2025">
          <cell r="J2025">
            <v>58104960200</v>
          </cell>
          <cell r="K2025" t="str">
            <v>SENAI Innovation Institute for Embedded Systems</v>
          </cell>
        </row>
        <row r="2026">
          <cell r="J2026">
            <v>60084251700</v>
          </cell>
          <cell r="K2026" t="str">
            <v>Federal University of Rio de Janeiro</v>
          </cell>
        </row>
        <row r="2027">
          <cell r="J2027">
            <v>6701435918</v>
          </cell>
          <cell r="K2027" t="str">
            <v>National Institute for Ocean Research (INPO) (+1 more)</v>
          </cell>
        </row>
        <row r="2028">
          <cell r="J2028">
            <v>12241738600</v>
          </cell>
          <cell r="K2028" t="str">
            <v>University of Campinas (+1 more)</v>
          </cell>
        </row>
        <row r="2029">
          <cell r="J2029">
            <v>57214937709</v>
          </cell>
          <cell r="K2029" t="str">
            <v>UniversidadeFederal de Alagoas (+1 more)</v>
          </cell>
        </row>
        <row r="2030">
          <cell r="J2030">
            <v>7004069723</v>
          </cell>
          <cell r="K2030" t="str">
            <v>Federal University of Rio de Janeiro (+1 more)</v>
          </cell>
        </row>
        <row r="2031">
          <cell r="J2031">
            <v>57552902700</v>
          </cell>
          <cell r="K2031" t="str">
            <v>University of Campinas</v>
          </cell>
        </row>
        <row r="2032">
          <cell r="J2032">
            <v>58677924500</v>
          </cell>
          <cell r="K2032" t="str">
            <v>Federal University of Rio de Janeiro</v>
          </cell>
        </row>
        <row r="2033">
          <cell r="J2033">
            <v>58806437100</v>
          </cell>
          <cell r="K2033" t="str">
            <v>Federal University of Rio de Janeiro</v>
          </cell>
        </row>
        <row r="2034">
          <cell r="J2034">
            <v>57220580534</v>
          </cell>
          <cell r="K2034" t="str">
            <v>Instituto Nacional de Tecnologia</v>
          </cell>
        </row>
        <row r="2035">
          <cell r="J2035">
            <v>57275580700</v>
          </cell>
          <cell r="K2035" t="str">
            <v>Universidade do Estado do Rio de Janeiro (+1 more)</v>
          </cell>
        </row>
        <row r="2036">
          <cell r="J2036">
            <v>57191709841</v>
          </cell>
          <cell r="K2036" t="str">
            <v>Universidade Federal de Campina Grande</v>
          </cell>
        </row>
        <row r="2037">
          <cell r="J2037">
            <v>6603431535</v>
          </cell>
          <cell r="K2037" t="str">
            <v>Federal University of Rio de Janeiro</v>
          </cell>
        </row>
        <row r="2038">
          <cell r="J2038">
            <v>57204641823</v>
          </cell>
          <cell r="K2038" t="str">
            <v>LTrace Geosciences (+2 more)</v>
          </cell>
        </row>
        <row r="2039">
          <cell r="J2039">
            <v>57218514110</v>
          </cell>
          <cell r="K2039" t="str">
            <v>Federal University of Rio de Janeiro</v>
          </cell>
        </row>
        <row r="2040">
          <cell r="J2040">
            <v>16318864300</v>
          </cell>
          <cell r="K2040" t="str">
            <v>Universidade de São Paulo</v>
          </cell>
        </row>
        <row r="2041">
          <cell r="J2041">
            <v>57195625097</v>
          </cell>
          <cell r="K2041" t="str">
            <v>Universidade Federal de Pelotas</v>
          </cell>
        </row>
        <row r="2042">
          <cell r="J2042">
            <v>36957070800</v>
          </cell>
          <cell r="K2042" t="str">
            <v>Universidade de Brasília</v>
          </cell>
        </row>
        <row r="2043">
          <cell r="J2043">
            <v>9432860000</v>
          </cell>
          <cell r="K2043" t="str">
            <v>Universidade Tecnológica Federal do Paraná</v>
          </cell>
        </row>
        <row r="2044">
          <cell r="J2044">
            <v>6507656894</v>
          </cell>
          <cell r="K2044" t="str">
            <v>University of Campinas</v>
          </cell>
        </row>
        <row r="2045">
          <cell r="J2045">
            <v>57222029272</v>
          </cell>
          <cell r="K2045" t="str">
            <v>Universidade Federal de Santa Maria</v>
          </cell>
        </row>
        <row r="2046">
          <cell r="J2046">
            <v>55644555400</v>
          </cell>
          <cell r="K2046" t="str">
            <v>Universidade Federal de Santa Maria</v>
          </cell>
        </row>
        <row r="2047">
          <cell r="J2047">
            <v>6508208934</v>
          </cell>
          <cell r="K2047" t="str">
            <v>Vizlab - X-Reality and GeoInformatics Lab</v>
          </cell>
        </row>
        <row r="2048">
          <cell r="J2048">
            <v>57199691244</v>
          </cell>
          <cell r="K2048" t="str">
            <v>Universidade Federal de Uberlândia</v>
          </cell>
        </row>
        <row r="2049">
          <cell r="J2049">
            <v>57221470937</v>
          </cell>
          <cell r="K2049" t="str">
            <v>Universidade de São Paulo</v>
          </cell>
        </row>
        <row r="2050">
          <cell r="J2050">
            <v>6601973096</v>
          </cell>
          <cell r="K2050" t="str">
            <v>Federal University of Rio de Janeiro</v>
          </cell>
        </row>
        <row r="2051">
          <cell r="J2051">
            <v>36665977400</v>
          </cell>
          <cell r="K2051" t="str">
            <v>Universidade Federal do Rio Grande do Sul</v>
          </cell>
        </row>
        <row r="2052">
          <cell r="J2052">
            <v>7006331391</v>
          </cell>
          <cell r="K2052" t="str">
            <v>University of Campinas</v>
          </cell>
        </row>
        <row r="2053">
          <cell r="J2053">
            <v>6701682062</v>
          </cell>
          <cell r="K2053" t="str">
            <v>Universidade do Estado de Santa Catarina (+1 more)</v>
          </cell>
        </row>
        <row r="2054">
          <cell r="J2054">
            <v>60090744800</v>
          </cell>
          <cell r="K2054" t="str">
            <v>Universidade Federal de Minas Gerais</v>
          </cell>
        </row>
        <row r="2055">
          <cell r="J2055">
            <v>8284642700</v>
          </cell>
          <cell r="K2055" t="str">
            <v>Universidade Federal de Minas Gerais</v>
          </cell>
        </row>
        <row r="2056">
          <cell r="J2056">
            <v>9336277100</v>
          </cell>
          <cell r="K2056" t="str">
            <v>Universidade Federal do Rio Grande do Sul</v>
          </cell>
        </row>
        <row r="2057">
          <cell r="J2057">
            <v>57191827434</v>
          </cell>
          <cell r="K2057" t="str">
            <v>Pontifical Catholic University of Rio de Janeiro</v>
          </cell>
        </row>
        <row r="2058">
          <cell r="J2058">
            <v>57200139488</v>
          </cell>
          <cell r="K2058" t="str">
            <v>Centro Brasileiro de Pesquisas Físicas</v>
          </cell>
        </row>
        <row r="2059">
          <cell r="J2059">
            <v>59450767600</v>
          </cell>
          <cell r="K2059" t="str">
            <v>Universidade Federal de Minas Gerais</v>
          </cell>
        </row>
        <row r="2060">
          <cell r="J2060">
            <v>57215502704</v>
          </cell>
          <cell r="K2060" t="str">
            <v>Federal University of Rio de Janeiro</v>
          </cell>
        </row>
        <row r="2061">
          <cell r="J2061">
            <v>57386874900</v>
          </cell>
          <cell r="K2061" t="str">
            <v>Federal University of Rio de Janeiro</v>
          </cell>
        </row>
        <row r="2062">
          <cell r="J2062">
            <v>57191708731</v>
          </cell>
          <cell r="K2062" t="str">
            <v>Federal University of Rio de Janeiro</v>
          </cell>
        </row>
        <row r="2063">
          <cell r="J2063">
            <v>55633338100</v>
          </cell>
          <cell r="K2063" t="str">
            <v>Instituto Nacional de Tecnologia</v>
          </cell>
        </row>
        <row r="2064">
          <cell r="J2064">
            <v>56053107100</v>
          </cell>
          <cell r="K2064" t="str">
            <v>Universidade Federal do Ceará</v>
          </cell>
        </row>
        <row r="2065">
          <cell r="J2065">
            <v>22984762600</v>
          </cell>
          <cell r="K2065" t="str">
            <v>Universidade do Estado do Rio de Janeiro</v>
          </cell>
        </row>
        <row r="2066">
          <cell r="J2066">
            <v>57219497427</v>
          </cell>
          <cell r="K2066" t="str">
            <v>Universidade Federal da Bahia (+2 more)</v>
          </cell>
        </row>
        <row r="2067">
          <cell r="J2067">
            <v>57200826656</v>
          </cell>
          <cell r="K2067" t="str">
            <v>Federal University of Rio de Janeiro</v>
          </cell>
        </row>
        <row r="2068">
          <cell r="J2068">
            <v>57993473700</v>
          </cell>
          <cell r="K2068" t="str">
            <v>Federal University of Rio de Janeiro</v>
          </cell>
        </row>
        <row r="2069">
          <cell r="J2069">
            <v>56180807000</v>
          </cell>
          <cell r="K2069" t="str">
            <v>Federal University of Rio de Janeiro</v>
          </cell>
        </row>
        <row r="2070">
          <cell r="J2070">
            <v>57210440499</v>
          </cell>
          <cell r="K2070" t="str">
            <v>Emerson Automation Solutions</v>
          </cell>
        </row>
        <row r="2071">
          <cell r="J2071">
            <v>7006919306</v>
          </cell>
          <cell r="K2071" t="str">
            <v>Universidade Federal do Rio Grande do Sul</v>
          </cell>
        </row>
        <row r="2072">
          <cell r="J2072">
            <v>8895797300</v>
          </cell>
          <cell r="K2072" t="str">
            <v>Federal University of Santa Catarina</v>
          </cell>
        </row>
        <row r="2073">
          <cell r="J2073">
            <v>56231460500</v>
          </cell>
          <cell r="K2073" t="str">
            <v>Instituto de Química (+1 more)</v>
          </cell>
        </row>
        <row r="2074">
          <cell r="J2074">
            <v>35299019400</v>
          </cell>
          <cell r="K2074" t="str">
            <v>University of Campinas (+2 more)</v>
          </cell>
        </row>
        <row r="2075">
          <cell r="J2075">
            <v>56160967900</v>
          </cell>
          <cell r="K2075" t="str">
            <v>Engineering Simulation and Scientific Software (ESSS) (+1 more)</v>
          </cell>
        </row>
        <row r="2076">
          <cell r="J2076">
            <v>6602559230</v>
          </cell>
          <cell r="K2076" t="str">
            <v>Vizlab - X-Reality and GeoInformatics Lab (+2 more)</v>
          </cell>
        </row>
        <row r="2077">
          <cell r="J2077">
            <v>6507517734</v>
          </cell>
          <cell r="K2077" t="str">
            <v>Universidade do Estado do Rio de Janeiro</v>
          </cell>
        </row>
        <row r="2078">
          <cell r="J2078">
            <v>24070281400</v>
          </cell>
          <cell r="K2078" t="str">
            <v>WIKKI Brasil LTDA (+1 more)</v>
          </cell>
        </row>
        <row r="2079">
          <cell r="J2079">
            <v>56717663300</v>
          </cell>
          <cell r="K2079" t="str">
            <v>Universidade Estadual Paulista “Júlio de Mesquita Filho” (+1 more)</v>
          </cell>
        </row>
        <row r="2080">
          <cell r="J2080">
            <v>55883796500</v>
          </cell>
          <cell r="K2080" t="str">
            <v>Universidade de São Paulo</v>
          </cell>
        </row>
        <row r="2081">
          <cell r="J2081">
            <v>57205353095</v>
          </cell>
          <cell r="K2081" t="str">
            <v>Universidade de Brasília (+1 more)</v>
          </cell>
        </row>
        <row r="2082">
          <cell r="J2082">
            <v>57224013061</v>
          </cell>
          <cell r="K2082" t="str">
            <v>Federal University of Rio de Janeiro</v>
          </cell>
        </row>
        <row r="2083">
          <cell r="J2083">
            <v>57201425390</v>
          </cell>
          <cell r="K2083" t="str">
            <v>Desenvolvimento Rodoviário S/A - DERSA</v>
          </cell>
        </row>
        <row r="2084">
          <cell r="J2084">
            <v>59138620900</v>
          </cell>
          <cell r="K2084" t="str">
            <v>Pontifical Catholic University of Rio de Janeiro</v>
          </cell>
        </row>
        <row r="2085">
          <cell r="J2085">
            <v>36681187100</v>
          </cell>
          <cell r="K2085" t="str">
            <v>OptimaTech (+4 more)</v>
          </cell>
        </row>
        <row r="2086">
          <cell r="J2086">
            <v>35104824400</v>
          </cell>
          <cell r="K2086" t="str">
            <v>Universidade Federal do Ceará</v>
          </cell>
        </row>
        <row r="2087">
          <cell r="J2087">
            <v>57190136990</v>
          </cell>
          <cell r="K2087" t="str">
            <v>DEMa</v>
          </cell>
        </row>
        <row r="2088">
          <cell r="J2088">
            <v>57189681956</v>
          </cell>
          <cell r="K2088" t="str">
            <v>Instituto Nacional de Tecnologia</v>
          </cell>
        </row>
        <row r="2089">
          <cell r="J2089">
            <v>56545729600</v>
          </cell>
          <cell r="K2089" t="str">
            <v>Universidade Federal do Espírito Santo (+1 more)</v>
          </cell>
        </row>
        <row r="2090">
          <cell r="J2090">
            <v>57420991100</v>
          </cell>
          <cell r="K2090" t="str">
            <v>Universidade Estadual Paulista “Júlio de Mesquita Filho”</v>
          </cell>
        </row>
        <row r="2091">
          <cell r="J2091">
            <v>57219238521</v>
          </cell>
          <cell r="K2091" t="str">
            <v>Federal University of Santa Catarina</v>
          </cell>
        </row>
        <row r="2092">
          <cell r="J2092">
            <v>57219654532</v>
          </cell>
          <cell r="K2092" t="str">
            <v>Centro Brasileiro de Pesquisas Físicas</v>
          </cell>
        </row>
        <row r="2093">
          <cell r="J2093">
            <v>56425771400</v>
          </cell>
          <cell r="K2093" t="str">
            <v>Universidade Federal do Rio Grande do Sul</v>
          </cell>
        </row>
        <row r="2094">
          <cell r="J2094">
            <v>57215492631</v>
          </cell>
          <cell r="K2094" t="str">
            <v>Federal University of Rio de Janeiro</v>
          </cell>
        </row>
        <row r="2095">
          <cell r="J2095">
            <v>57209602816</v>
          </cell>
          <cell r="K2095" t="str">
            <v>Federal University of Rio de Janeiro</v>
          </cell>
        </row>
        <row r="2096">
          <cell r="J2096">
            <v>57393755500</v>
          </cell>
          <cell r="K2096" t="str">
            <v>Pontifical Catholic University of Rio de Janeiro</v>
          </cell>
        </row>
        <row r="2097">
          <cell r="J2097">
            <v>57223389040</v>
          </cell>
          <cell r="K2097" t="str">
            <v>Federal University of Santa Catarina</v>
          </cell>
        </row>
        <row r="2098">
          <cell r="J2098">
            <v>7201781555</v>
          </cell>
          <cell r="K2098" t="str">
            <v>Federal University of Rio de Janeiro</v>
          </cell>
        </row>
        <row r="2099">
          <cell r="J2099">
            <v>56462046300</v>
          </cell>
          <cell r="K2099" t="str">
            <v>Universidade Federal do Rio Grande do Norte</v>
          </cell>
        </row>
        <row r="2100">
          <cell r="J2100">
            <v>57219298373</v>
          </cell>
          <cell r="K2100" t="str">
            <v>Federal University of Rio de Janeiro</v>
          </cell>
        </row>
        <row r="2101">
          <cell r="J2101">
            <v>58125955700</v>
          </cell>
          <cell r="K2101" t="str">
            <v>Federal University of Rio de Janeiro</v>
          </cell>
        </row>
        <row r="2102">
          <cell r="J2102">
            <v>57224004661</v>
          </cell>
          <cell r="K2102" t="str">
            <v>Universidade Federal de Pernambuco</v>
          </cell>
        </row>
        <row r="2103">
          <cell r="J2103">
            <v>59895468000</v>
          </cell>
          <cell r="K2103" t="str">
            <v>Laboratory of Scientific Computing and Visualization</v>
          </cell>
        </row>
        <row r="2104">
          <cell r="J2104">
            <v>57417398200</v>
          </cell>
          <cell r="K2104" t="str">
            <v>Pontifical Catholic University of Rio de Janeiro</v>
          </cell>
        </row>
        <row r="2105">
          <cell r="J2105">
            <v>7103090012</v>
          </cell>
          <cell r="K2105" t="str">
            <v>Federal University of Santa Catarina</v>
          </cell>
        </row>
        <row r="2106">
          <cell r="J2106">
            <v>58995964100</v>
          </cell>
          <cell r="K2106" t="str">
            <v>Federal University of Rio de Janeiro</v>
          </cell>
        </row>
        <row r="2107">
          <cell r="J2107">
            <v>19933270900</v>
          </cell>
          <cell r="K2107" t="str">
            <v>Federal University of Rio de Janeiro</v>
          </cell>
        </row>
        <row r="2108">
          <cell r="J2108">
            <v>58093046300</v>
          </cell>
          <cell r="K2108" t="str">
            <v>Universidade Federal Fluminense</v>
          </cell>
        </row>
        <row r="2109">
          <cell r="J2109">
            <v>57336999000</v>
          </cell>
          <cell r="K2109" t="str">
            <v>Universidade Federal do Espírito Santo</v>
          </cell>
        </row>
        <row r="2110">
          <cell r="J2110">
            <v>57829844300</v>
          </cell>
          <cell r="K2110" t="str">
            <v>Pontifical Catholic University of Rio de Janeiro</v>
          </cell>
        </row>
        <row r="2111">
          <cell r="J2111">
            <v>54894593500</v>
          </cell>
          <cell r="K2111" t="str">
            <v>Universidade Estadual do Norte Fluminense (+1 more)</v>
          </cell>
        </row>
        <row r="2112">
          <cell r="J2112">
            <v>7103334936</v>
          </cell>
          <cell r="K2112" t="str">
            <v>Universidade Federal Rural do Rio de Janeiro</v>
          </cell>
        </row>
        <row r="2113">
          <cell r="J2113">
            <v>19337088600</v>
          </cell>
          <cell r="K2113" t="str">
            <v>Universidade Federal Fluminense</v>
          </cell>
        </row>
        <row r="2114">
          <cell r="J2114">
            <v>7103335018</v>
          </cell>
          <cell r="K2114" t="str">
            <v>Universidade Federal do Paraná</v>
          </cell>
        </row>
        <row r="2115">
          <cell r="J2115">
            <v>7202947837</v>
          </cell>
          <cell r="K2115" t="str">
            <v>Empresa Brasileira de Pesquisa Agropecuária</v>
          </cell>
        </row>
        <row r="2116">
          <cell r="J2116">
            <v>57196602896</v>
          </cell>
          <cell r="K2116" t="str">
            <v>Observatório Nacional</v>
          </cell>
        </row>
        <row r="2117">
          <cell r="J2117">
            <v>57216893651</v>
          </cell>
          <cell r="K2117" t="str">
            <v>Universidade Federal do Rio Grande do Norte</v>
          </cell>
        </row>
        <row r="2118">
          <cell r="J2118">
            <v>56363057900</v>
          </cell>
          <cell r="K2118" t="str">
            <v>Federal University of Rio de Janeiro</v>
          </cell>
        </row>
        <row r="2119">
          <cell r="J2119">
            <v>57207843555</v>
          </cell>
          <cell r="K2119" t="str">
            <v>Pontifical Catholic University of Rio de Janeiro</v>
          </cell>
        </row>
        <row r="2120">
          <cell r="J2120">
            <v>57822494600</v>
          </cell>
          <cell r="K2120" t="str">
            <v>Pontifical Catholic University of Rio de Janeiro</v>
          </cell>
        </row>
        <row r="2121">
          <cell r="J2121">
            <v>57203263300</v>
          </cell>
          <cell r="K2121" t="str">
            <v>DEMa</v>
          </cell>
        </row>
        <row r="2122">
          <cell r="J2122">
            <v>58507240400</v>
          </cell>
          <cell r="K2122" t="str">
            <v>Universidade Federal Fluminense (+1 more)</v>
          </cell>
        </row>
        <row r="2123">
          <cell r="J2123">
            <v>57372293100</v>
          </cell>
          <cell r="K2123" t="str">
            <v>Universidade Federal de Uberlândia</v>
          </cell>
        </row>
        <row r="2124">
          <cell r="J2124">
            <v>6701787327</v>
          </cell>
          <cell r="K2124" t="str">
            <v>Universidade Federal de Uberlândia</v>
          </cell>
        </row>
        <row r="2125">
          <cell r="J2125">
            <v>57210187322</v>
          </cell>
          <cell r="K2125" t="str">
            <v>Pontifícia Universidade Católica do Rio Grande do Sul</v>
          </cell>
        </row>
        <row r="2126">
          <cell r="J2126">
            <v>7102399839</v>
          </cell>
          <cell r="K2126" t="str">
            <v>Universidade de São Paulo</v>
          </cell>
        </row>
        <row r="2127">
          <cell r="J2127">
            <v>36607965600</v>
          </cell>
          <cell r="K2127" t="str">
            <v>Federal University of Rio de Janeiro</v>
          </cell>
        </row>
        <row r="2128">
          <cell r="J2128">
            <v>7005610914</v>
          </cell>
          <cell r="K2128" t="str">
            <v>Federal University of Rio de Janeiro</v>
          </cell>
        </row>
        <row r="2129">
          <cell r="J2129">
            <v>35621756800</v>
          </cell>
          <cell r="K2129" t="str">
            <v>Universidade Federal de Santa Maria</v>
          </cell>
        </row>
        <row r="2130">
          <cell r="J2130">
            <v>57858013900</v>
          </cell>
          <cell r="K2130" t="str">
            <v>Universidade Federal Rural do Rio de Janeiro</v>
          </cell>
        </row>
        <row r="2131">
          <cell r="J2131">
            <v>58024848700</v>
          </cell>
          <cell r="K2131" t="str">
            <v>Universidade Federal do Rio Grande do Norte</v>
          </cell>
        </row>
        <row r="2132">
          <cell r="J2132">
            <v>59002145900</v>
          </cell>
          <cell r="K2132" t="str">
            <v>Federal University of Rio de Janeiro</v>
          </cell>
        </row>
        <row r="2133">
          <cell r="J2133">
            <v>57937977400</v>
          </cell>
          <cell r="K2133" t="str">
            <v>Vizlab - X-Reality and GeoInformatics Lab</v>
          </cell>
        </row>
        <row r="2134">
          <cell r="J2134">
            <v>57188662289</v>
          </cell>
          <cell r="K2134" t="str">
            <v>Pontifical Catholic University of Rio de Janeiro</v>
          </cell>
        </row>
        <row r="2135">
          <cell r="J2135">
            <v>57214245860</v>
          </cell>
          <cell r="K2135" t="str">
            <v>Universidade Federal do Ceará</v>
          </cell>
        </row>
        <row r="2136">
          <cell r="J2136">
            <v>55259099800</v>
          </cell>
          <cell r="K2136" t="str">
            <v>Universidade Federal Fluminense</v>
          </cell>
        </row>
        <row r="2137">
          <cell r="J2137">
            <v>59759470900</v>
          </cell>
          <cell r="K2137" t="str">
            <v>Universidade de São Paulo</v>
          </cell>
        </row>
        <row r="2138">
          <cell r="J2138">
            <v>59759466100</v>
          </cell>
          <cell r="K2138" t="str">
            <v>Universidade Federal do Espírito Santo (+1 more)</v>
          </cell>
        </row>
        <row r="2139">
          <cell r="J2139">
            <v>57203894000</v>
          </cell>
          <cell r="K2139" t="str">
            <v>Universidade de São Paulo</v>
          </cell>
        </row>
        <row r="2140">
          <cell r="J2140">
            <v>57201406175</v>
          </cell>
          <cell r="K2140" t="str">
            <v>SENAI-RJ</v>
          </cell>
        </row>
        <row r="2141">
          <cell r="J2141">
            <v>57209452255</v>
          </cell>
          <cell r="K2141" t="str">
            <v>Universidade Federal do Paraná</v>
          </cell>
        </row>
        <row r="2142">
          <cell r="J2142">
            <v>57219555709</v>
          </cell>
          <cell r="K2142" t="str">
            <v>Federal University of Rio de Janeiro</v>
          </cell>
        </row>
        <row r="2143">
          <cell r="J2143">
            <v>56562614700</v>
          </cell>
          <cell r="K2143" t="str">
            <v>Pontifical Catholic University of Rio de Janeiro</v>
          </cell>
        </row>
        <row r="2144">
          <cell r="J2144">
            <v>59204242600</v>
          </cell>
          <cell r="K2144" t="str">
            <v>Pontifical Catholic University of Rio de Janeiro</v>
          </cell>
        </row>
        <row r="2145">
          <cell r="J2145">
            <v>56529673200</v>
          </cell>
          <cell r="K2145" t="str">
            <v>Federal University of Rio de Janeiro</v>
          </cell>
        </row>
        <row r="2146">
          <cell r="J2146">
            <v>57191658365</v>
          </cell>
          <cell r="K2146" t="str">
            <v>Federal University of Rio de Janeiro</v>
          </cell>
        </row>
        <row r="2147">
          <cell r="J2147">
            <v>57927647000</v>
          </cell>
          <cell r="K2147" t="str">
            <v>Universidade Federal de Alagoas</v>
          </cell>
        </row>
        <row r="2148">
          <cell r="J2148">
            <v>57214565332</v>
          </cell>
          <cell r="K2148" t="str">
            <v>Federal University of Rio de Janeiro</v>
          </cell>
        </row>
        <row r="2149">
          <cell r="J2149">
            <v>58193686100</v>
          </cell>
          <cell r="K2149" t="str">
            <v>Federal University of Santa Catarina</v>
          </cell>
        </row>
        <row r="2150">
          <cell r="J2150">
            <v>57194412566</v>
          </cell>
          <cell r="K2150" t="str">
            <v>Universidade Federal do Rio Grande do Norte</v>
          </cell>
        </row>
        <row r="2151">
          <cell r="J2151">
            <v>7103359015</v>
          </cell>
          <cell r="K2151" t="str">
            <v>Federal University of Rio de Janeiro (+1 more)</v>
          </cell>
        </row>
        <row r="2152">
          <cell r="J2152">
            <v>59224133000</v>
          </cell>
          <cell r="K2152" t="str">
            <v>Universidade Federal do Ceará</v>
          </cell>
        </row>
        <row r="2153">
          <cell r="J2153">
            <v>59422690800</v>
          </cell>
          <cell r="K2153" t="str">
            <v>Universidade Federal de Campina Grande</v>
          </cell>
        </row>
        <row r="2154">
          <cell r="J2154">
            <v>59654984100</v>
          </cell>
          <cell r="K2154" t="str">
            <v>Universidade Federal de Juiz de Fora</v>
          </cell>
        </row>
        <row r="2155">
          <cell r="J2155">
            <v>7403252472</v>
          </cell>
          <cell r="K2155" t="str">
            <v>USP</v>
          </cell>
        </row>
        <row r="2156">
          <cell r="J2156">
            <v>57205377035</v>
          </cell>
          <cell r="K2156" t="str">
            <v>Federal University of Rio de Janeiro</v>
          </cell>
        </row>
        <row r="2157">
          <cell r="J2157">
            <v>57189896387</v>
          </cell>
          <cell r="K2157" t="str">
            <v>Universidade Federal do Ceará</v>
          </cell>
        </row>
        <row r="2158">
          <cell r="J2158">
            <v>57942564600</v>
          </cell>
          <cell r="K2158" t="str">
            <v>Universidade Federal do ABC</v>
          </cell>
        </row>
        <row r="2159">
          <cell r="J2159">
            <v>57214946932</v>
          </cell>
          <cell r="K2159" t="str">
            <v>Pontifical Catholic University of Rio de Janeiro</v>
          </cell>
        </row>
        <row r="2160">
          <cell r="J2160">
            <v>55801313700</v>
          </cell>
          <cell r="K2160" t="str">
            <v>Universidade Federal do Maranhão (+1 more)</v>
          </cell>
        </row>
        <row r="2161">
          <cell r="J2161">
            <v>57194609558</v>
          </cell>
          <cell r="K2161" t="str">
            <v>Federal University of Rio de Janeiro</v>
          </cell>
        </row>
        <row r="2162">
          <cell r="J2162">
            <v>58094964700</v>
          </cell>
          <cell r="K2162" t="str">
            <v>Universidade de São Paulo (+1 more)</v>
          </cell>
        </row>
        <row r="2163">
          <cell r="J2163">
            <v>57251001500</v>
          </cell>
          <cell r="K2163" t="str">
            <v>Universidade Federal do Espírito Santo</v>
          </cell>
        </row>
        <row r="2164">
          <cell r="J2164">
            <v>57023973200</v>
          </cell>
          <cell r="K2164" t="str">
            <v>Universidade Federal Fluminense (+1 more)</v>
          </cell>
        </row>
        <row r="2165">
          <cell r="J2165">
            <v>7202480353</v>
          </cell>
          <cell r="K2165" t="str">
            <v>Universidade Federal de Viçosa</v>
          </cell>
        </row>
        <row r="2166">
          <cell r="J2166">
            <v>37096917900</v>
          </cell>
          <cell r="K2166" t="str">
            <v>Laboratório Nacional de Luz Síncrotron (LNLS)</v>
          </cell>
        </row>
        <row r="2167">
          <cell r="J2167">
            <v>36682362500</v>
          </cell>
          <cell r="K2167" t="str">
            <v>Universidade Federal do Rio Grande do Norte (+2 more)</v>
          </cell>
        </row>
        <row r="2168">
          <cell r="J2168">
            <v>57203066204</v>
          </cell>
          <cell r="K2168" t="str">
            <v>Federal University of Santa Catarina</v>
          </cell>
        </row>
        <row r="2169">
          <cell r="J2169">
            <v>60085331000</v>
          </cell>
          <cell r="K2169" t="str">
            <v>Federal University of Rio de Janeiro</v>
          </cell>
        </row>
        <row r="2170">
          <cell r="J2170">
            <v>57867506600</v>
          </cell>
          <cell r="K2170" t="str">
            <v>Universidade Federal Fluminense</v>
          </cell>
        </row>
        <row r="2171">
          <cell r="J2171">
            <v>55814962500</v>
          </cell>
          <cell r="K2171" t="str">
            <v>Universidade Federal da Bahia</v>
          </cell>
        </row>
        <row r="2172">
          <cell r="J2172">
            <v>55635783600</v>
          </cell>
          <cell r="K2172" t="str">
            <v>Federal University of Rio de Janeiro</v>
          </cell>
        </row>
        <row r="2173">
          <cell r="J2173">
            <v>57217105359</v>
          </cell>
          <cell r="K2173" t="str">
            <v>UniversidadeFederal de Alagoas</v>
          </cell>
        </row>
        <row r="2174">
          <cell r="J2174">
            <v>57927329100</v>
          </cell>
          <cell r="K2174" t="str">
            <v>Universidade Federal de Alagoas</v>
          </cell>
        </row>
        <row r="2175">
          <cell r="J2175">
            <v>6602856274</v>
          </cell>
          <cell r="K2175" t="str">
            <v>Universidade Estadual Paulista “Júlio de Mesquita Filho”</v>
          </cell>
        </row>
        <row r="2176">
          <cell r="J2176">
            <v>6603983856</v>
          </cell>
          <cell r="K2176" t="str">
            <v>Universidade Federal do Rio Grande do Sul</v>
          </cell>
        </row>
        <row r="2177">
          <cell r="J2177">
            <v>57194280212</v>
          </cell>
          <cell r="K2177" t="str">
            <v>Universidade Federal do Rio Grande do Sul</v>
          </cell>
        </row>
        <row r="2178">
          <cell r="J2178">
            <v>6507352789</v>
          </cell>
          <cell r="K2178" t="str">
            <v>SENAI Innovation Institute of Green Chemistry (+3 more)</v>
          </cell>
        </row>
        <row r="2179">
          <cell r="J2179">
            <v>58668160600</v>
          </cell>
          <cell r="K2179" t="str">
            <v>Universidade Federal do Ceará</v>
          </cell>
        </row>
        <row r="2180">
          <cell r="J2180">
            <v>57200337327</v>
          </cell>
          <cell r="K2180" t="str">
            <v>Serviço Nacional de Aprendizagem Industrial</v>
          </cell>
        </row>
        <row r="2181">
          <cell r="J2181">
            <v>55030490300</v>
          </cell>
          <cell r="K2181" t="str">
            <v>Institutos Lactec</v>
          </cell>
        </row>
        <row r="2182">
          <cell r="J2182">
            <v>7102388545</v>
          </cell>
          <cell r="K2182" t="str">
            <v>Universidade Federal Fluminense</v>
          </cell>
        </row>
        <row r="2183">
          <cell r="J2183">
            <v>53979652700</v>
          </cell>
          <cell r="K2183" t="str">
            <v>Federal University of Rio de Janeiro</v>
          </cell>
        </row>
        <row r="2184">
          <cell r="J2184">
            <v>57203192182</v>
          </cell>
          <cell r="K2184" t="str">
            <v>Universidade Federal do Espírito Santo (+1 more)</v>
          </cell>
        </row>
        <row r="2185">
          <cell r="J2185">
            <v>12240398600</v>
          </cell>
          <cell r="K2185" t="str">
            <v>Universidade Federal de Minas Gerais</v>
          </cell>
        </row>
        <row r="2186">
          <cell r="J2186">
            <v>59239803800</v>
          </cell>
          <cell r="K2186" t="str">
            <v>Universidade Federal de Ouro Preto</v>
          </cell>
        </row>
        <row r="2187">
          <cell r="J2187">
            <v>57223663942</v>
          </cell>
          <cell r="K2187" t="str">
            <v>Serviço Nacional de Aprendizagem Industrial</v>
          </cell>
        </row>
        <row r="2188">
          <cell r="J2188">
            <v>26421618300</v>
          </cell>
          <cell r="K2188" t="str">
            <v>Universidade Federal de Minas Gerais</v>
          </cell>
        </row>
        <row r="2189">
          <cell r="J2189">
            <v>57194459252</v>
          </cell>
          <cell r="K2189" t="str">
            <v>Federal University of Santa Catarina</v>
          </cell>
        </row>
        <row r="2190">
          <cell r="J2190">
            <v>57200708940</v>
          </cell>
          <cell r="K2190" t="str">
            <v>Vizlab - X-Reality and GeoInformatics Lab</v>
          </cell>
        </row>
        <row r="2191">
          <cell r="J2191">
            <v>16318618500</v>
          </cell>
          <cell r="K2191" t="str">
            <v>Universidade Federal da Bahia</v>
          </cell>
        </row>
        <row r="2192">
          <cell r="J2192">
            <v>57218397218</v>
          </cell>
          <cell r="K2192" t="str">
            <v>Universidade Federal de Pernambuco</v>
          </cell>
        </row>
        <row r="2193">
          <cell r="J2193">
            <v>8572697900</v>
          </cell>
          <cell r="K2193" t="str">
            <v>Universidade Federal da Bahia (+1 more)</v>
          </cell>
        </row>
        <row r="2194">
          <cell r="J2194">
            <v>35306973000</v>
          </cell>
          <cell r="K2194" t="str">
            <v>University of Campinas</v>
          </cell>
        </row>
        <row r="2195">
          <cell r="J2195">
            <v>36052984700</v>
          </cell>
          <cell r="K2195" t="str">
            <v>University of Campinas (+1 more)</v>
          </cell>
        </row>
        <row r="2196">
          <cell r="J2196">
            <v>55964766300</v>
          </cell>
          <cell r="K2196" t="str">
            <v>Universidade Federal do Amazonas</v>
          </cell>
        </row>
        <row r="2197">
          <cell r="J2197">
            <v>57221747441</v>
          </cell>
          <cell r="K2197" t="str">
            <v>Federal University of Santa Catarina</v>
          </cell>
        </row>
        <row r="2198">
          <cell r="J2198">
            <v>57214933524</v>
          </cell>
          <cell r="K2198" t="str">
            <v>UniversidadeFederal de Alagoas (+1 more)</v>
          </cell>
        </row>
        <row r="2199">
          <cell r="J2199">
            <v>6602715112</v>
          </cell>
          <cell r="K2199" t="str">
            <v>University of Campinas</v>
          </cell>
        </row>
        <row r="2200">
          <cell r="J2200">
            <v>57194571763</v>
          </cell>
          <cell r="K2200" t="str">
            <v>Universidade Tiradentes (+1 more)</v>
          </cell>
        </row>
        <row r="2201">
          <cell r="J2201">
            <v>60190412600</v>
          </cell>
          <cell r="K2201" t="str">
            <v>Universidade Federal do Rio Grande do Norte</v>
          </cell>
        </row>
        <row r="2202">
          <cell r="J2202">
            <v>24766072500</v>
          </cell>
          <cell r="K2202" t="str">
            <v>Laboratório de Palinofácies e Fácies Orgânica (LAFO) (+1 more)</v>
          </cell>
        </row>
        <row r="2203">
          <cell r="J2203">
            <v>57212237824</v>
          </cell>
          <cell r="K2203" t="str">
            <v>University of Campinas</v>
          </cell>
        </row>
        <row r="2204">
          <cell r="J2204">
            <v>57203417519</v>
          </cell>
          <cell r="K2204" t="str">
            <v>Universidade Federal Rural do Rio de Janeiro (+1 more)</v>
          </cell>
        </row>
        <row r="2205">
          <cell r="J2205">
            <v>60151553100</v>
          </cell>
          <cell r="K2205" t="str">
            <v>Universidade do Estado do Rio de Janeiro</v>
          </cell>
        </row>
        <row r="2206">
          <cell r="J2206">
            <v>57659312900</v>
          </cell>
          <cell r="K2206" t="str">
            <v>Universidade Federal Rural do Rio de Janeiro</v>
          </cell>
        </row>
        <row r="2207">
          <cell r="J2207">
            <v>16241415100</v>
          </cell>
          <cell r="K2207" t="str">
            <v>Federal University of Santa Catarina</v>
          </cell>
        </row>
        <row r="2208">
          <cell r="J2208">
            <v>57205271107</v>
          </cell>
          <cell r="K2208" t="str">
            <v>Rio de Janeiro Federal Institute (+1 more)</v>
          </cell>
        </row>
        <row r="2209">
          <cell r="J2209">
            <v>59454845900</v>
          </cell>
          <cell r="K2209" t="str">
            <v>Universidade Federal de Alagoas</v>
          </cell>
        </row>
        <row r="2210">
          <cell r="J2210">
            <v>6505818876</v>
          </cell>
          <cell r="K2210" t="str">
            <v>Universidade de São Paulo (+1 more)</v>
          </cell>
        </row>
        <row r="2211">
          <cell r="J2211">
            <v>57223907621</v>
          </cell>
          <cell r="K2211" t="str">
            <v>Instituto de Pesquisas da Marinha</v>
          </cell>
        </row>
        <row r="2212">
          <cell r="J2212">
            <v>57576694500</v>
          </cell>
          <cell r="K2212" t="str">
            <v>Brazil and Eldorado Research Institute</v>
          </cell>
        </row>
        <row r="2213">
          <cell r="J2213">
            <v>6507008531</v>
          </cell>
          <cell r="K2213" t="str">
            <v>Instituto Nacional de Tecnologia</v>
          </cell>
        </row>
        <row r="2214">
          <cell r="J2214">
            <v>6504596034</v>
          </cell>
          <cell r="K2214" t="str">
            <v>Universidade Federal de Uberlândia</v>
          </cell>
        </row>
        <row r="2215">
          <cell r="J2215">
            <v>55690419400</v>
          </cell>
          <cell r="K2215" t="str">
            <v>Federal University of Santa Catarina</v>
          </cell>
        </row>
        <row r="2216">
          <cell r="J2216">
            <v>56589915200</v>
          </cell>
          <cell r="K2216" t="str">
            <v>Pontifical Catholic University of Rio de Janeiro (+2 more)</v>
          </cell>
        </row>
        <row r="2217">
          <cell r="J2217">
            <v>57964903800</v>
          </cell>
          <cell r="K2217" t="str">
            <v>Federal University of Rio de Janeiro</v>
          </cell>
        </row>
        <row r="2218">
          <cell r="J2218">
            <v>36058792700</v>
          </cell>
          <cell r="K2218" t="str">
            <v>Universidade Federal do Rio Grande do Norte (+1 more)</v>
          </cell>
        </row>
        <row r="2219">
          <cell r="J2219">
            <v>57218197961</v>
          </cell>
          <cell r="K2219" t="str">
            <v>DEMa</v>
          </cell>
        </row>
        <row r="2220">
          <cell r="J2220">
            <v>35605771500</v>
          </cell>
          <cell r="K2220" t="str">
            <v>Universidade Federal de Santa Maria (+1 more)</v>
          </cell>
        </row>
        <row r="2221">
          <cell r="J2221">
            <v>59235108100</v>
          </cell>
          <cell r="K2221" t="str">
            <v>Federal University of Rio de Janeiro</v>
          </cell>
        </row>
        <row r="2222">
          <cell r="J2222">
            <v>57202813876</v>
          </cell>
          <cell r="K2222" t="str">
            <v>Instituto Nacional de Tecnologia</v>
          </cell>
        </row>
        <row r="2223">
          <cell r="J2223">
            <v>57212572684</v>
          </cell>
          <cell r="K2223" t="str">
            <v>Universidade Federal do Ceará</v>
          </cell>
        </row>
        <row r="2224">
          <cell r="J2224">
            <v>57209534855</v>
          </cell>
          <cell r="K2224" t="str">
            <v>Universidade Federal do Espírito Santo</v>
          </cell>
        </row>
        <row r="2225">
          <cell r="J2225">
            <v>57392964300</v>
          </cell>
          <cell r="K2225" t="str">
            <v>Federal University of Rio de Janeiro</v>
          </cell>
        </row>
        <row r="2226">
          <cell r="J2226">
            <v>57611929600</v>
          </cell>
          <cell r="K2226" t="str">
            <v>Federal University of Rio de Janeiro</v>
          </cell>
        </row>
        <row r="2227">
          <cell r="J2227">
            <v>57563271700</v>
          </cell>
          <cell r="K2227" t="str">
            <v>Vallourec Soluções Tubulares do Brasil</v>
          </cell>
        </row>
        <row r="2228">
          <cell r="J2228">
            <v>57194612899</v>
          </cell>
          <cell r="K2228" t="str">
            <v>Pontifical Catholic University of Rio de Janeiro</v>
          </cell>
        </row>
        <row r="2229">
          <cell r="J2229">
            <v>57169784900</v>
          </cell>
          <cell r="K2229" t="str">
            <v>Universidade Federal de Juiz de Fora</v>
          </cell>
        </row>
        <row r="2230">
          <cell r="J2230">
            <v>57561780100</v>
          </cell>
          <cell r="K2230" t="str">
            <v>Universidade Federal de Juiz de Fora</v>
          </cell>
        </row>
        <row r="2231">
          <cell r="J2231">
            <v>57221528828</v>
          </cell>
          <cell r="K2231" t="str">
            <v>University of Campinas</v>
          </cell>
        </row>
        <row r="2232">
          <cell r="J2232">
            <v>57197499872</v>
          </cell>
          <cell r="K2232" t="str">
            <v>University of Campinas (+1 more)</v>
          </cell>
        </row>
        <row r="2233">
          <cell r="J2233">
            <v>36699482400</v>
          </cell>
          <cell r="K2233" t="str">
            <v>Universidade Federal Fluminense</v>
          </cell>
        </row>
        <row r="2234">
          <cell r="J2234">
            <v>35726591700</v>
          </cell>
          <cell r="K2234" t="str">
            <v>Federal University of Rio de Janeiro</v>
          </cell>
        </row>
        <row r="2235">
          <cell r="J2235">
            <v>56878372100</v>
          </cell>
          <cell r="K2235" t="str">
            <v>Universidade Federal Fluminense (+2 more)</v>
          </cell>
        </row>
        <row r="2236">
          <cell r="J2236">
            <v>56446353500</v>
          </cell>
          <cell r="K2236" t="str">
            <v>Federal University of Rio de Janeiro</v>
          </cell>
        </row>
        <row r="2237">
          <cell r="J2237">
            <v>56338748700</v>
          </cell>
          <cell r="K2237" t="str">
            <v>University of Campinas</v>
          </cell>
        </row>
        <row r="2238">
          <cell r="J2238">
            <v>59234253300</v>
          </cell>
          <cell r="K2238" t="str">
            <v>Universidade do Vale do Itajaí</v>
          </cell>
        </row>
        <row r="2239">
          <cell r="J2239">
            <v>57223391141</v>
          </cell>
          <cell r="K2239" t="str">
            <v>Universidade Federal do Espírito Santo</v>
          </cell>
        </row>
        <row r="2240">
          <cell r="J2240">
            <v>57205483666</v>
          </cell>
          <cell r="K2240" t="str">
            <v>ISDB FlowTech</v>
          </cell>
        </row>
        <row r="2241">
          <cell r="J2241">
            <v>55761795900</v>
          </cell>
          <cell r="K2241" t="str">
            <v>Federal University of Santa Catarina</v>
          </cell>
        </row>
        <row r="2242">
          <cell r="J2242">
            <v>55825474900</v>
          </cell>
          <cell r="K2242" t="str">
            <v>Universidade Federal da Bahia</v>
          </cell>
        </row>
        <row r="2243">
          <cell r="J2243">
            <v>57222087588</v>
          </cell>
          <cell r="K2243" t="str">
            <v>Universidade de Brasília (+1 more)</v>
          </cell>
        </row>
        <row r="2244">
          <cell r="J2244">
            <v>57197746735</v>
          </cell>
          <cell r="K2244" t="str">
            <v>Universidade Federal de Minas Gerais</v>
          </cell>
        </row>
        <row r="2245">
          <cell r="J2245">
            <v>59391712400</v>
          </cell>
          <cell r="K2245" t="str">
            <v>Universidade Federal Rural do Rio de Janeiro</v>
          </cell>
        </row>
        <row r="2246">
          <cell r="J2246">
            <v>58667779900</v>
          </cell>
          <cell r="K2246" t="str">
            <v>Universidade Federal Rural do Rio de Janeiro (+1 more)</v>
          </cell>
        </row>
        <row r="2247">
          <cell r="J2247">
            <v>55443918000</v>
          </cell>
          <cell r="K2247" t="str">
            <v>University of Campinas</v>
          </cell>
        </row>
        <row r="2248">
          <cell r="J2248">
            <v>6603297592</v>
          </cell>
          <cell r="K2248" t="str">
            <v>SPE (+1 more)</v>
          </cell>
        </row>
        <row r="2249">
          <cell r="J2249">
            <v>57214945755</v>
          </cell>
          <cell r="K2249" t="str">
            <v>Pontifical Catholic University of Rio de Janeiro</v>
          </cell>
        </row>
        <row r="2250">
          <cell r="J2250">
            <v>57218158070</v>
          </cell>
          <cell r="K2250" t="str">
            <v>Federal University of Rio de Janeiro</v>
          </cell>
        </row>
        <row r="2251">
          <cell r="J2251">
            <v>57203902618</v>
          </cell>
          <cell r="K2251" t="str">
            <v>Pontifical Catholic University of Rio de Janeiro</v>
          </cell>
        </row>
        <row r="2252">
          <cell r="J2252">
            <v>59397437500</v>
          </cell>
          <cell r="K2252" t="str">
            <v>Universidade Tecnológica Federal do Paraná</v>
          </cell>
        </row>
        <row r="2253">
          <cell r="J2253">
            <v>57211534505</v>
          </cell>
          <cell r="K2253" t="str">
            <v>Universidade Federal do Rio Grande do Sul</v>
          </cell>
        </row>
        <row r="2254">
          <cell r="J2254">
            <v>8973687700</v>
          </cell>
          <cell r="K2254" t="str">
            <v>Universidade de Brasília</v>
          </cell>
        </row>
        <row r="2255">
          <cell r="J2255">
            <v>55402323600</v>
          </cell>
          <cell r="K2255" t="str">
            <v>Universidade Federal Fluminense</v>
          </cell>
        </row>
        <row r="2256">
          <cell r="J2256">
            <v>55879294000</v>
          </cell>
          <cell r="K2256" t="str">
            <v>Universidade Federal Fluminense</v>
          </cell>
        </row>
        <row r="2257">
          <cell r="J2257">
            <v>21742730300</v>
          </cell>
          <cell r="K2257" t="str">
            <v>SIMWORX</v>
          </cell>
        </row>
        <row r="2258">
          <cell r="J2258">
            <v>6505919097</v>
          </cell>
          <cell r="K2258" t="str">
            <v>Universidade de São Paulo</v>
          </cell>
        </row>
        <row r="2259">
          <cell r="J2259">
            <v>59533675000</v>
          </cell>
          <cell r="K2259" t="str">
            <v>Federal University of Rio de Janeiro</v>
          </cell>
        </row>
        <row r="2260">
          <cell r="J2260">
            <v>6506108023</v>
          </cell>
          <cell r="K2260" t="str">
            <v>Universidade Tiradentes</v>
          </cell>
        </row>
        <row r="2261">
          <cell r="J2261">
            <v>6505865815</v>
          </cell>
          <cell r="K2261" t="str">
            <v>Universidade de São Paulo</v>
          </cell>
        </row>
        <row r="2262">
          <cell r="J2262">
            <v>54408353100</v>
          </cell>
          <cell r="K2262" t="str">
            <v>Federal University of Rio de Janeiro</v>
          </cell>
        </row>
        <row r="2263">
          <cell r="J2263">
            <v>23034535400</v>
          </cell>
          <cell r="K2263" t="str">
            <v>Centro Brasileiro de Pesquisas Físicas (+1 more)</v>
          </cell>
        </row>
        <row r="2264">
          <cell r="J2264">
            <v>59382987200</v>
          </cell>
          <cell r="K2264" t="str">
            <v>Federal University of Rio de Janeiro</v>
          </cell>
        </row>
        <row r="2265">
          <cell r="J2265">
            <v>7005319918</v>
          </cell>
          <cell r="K2265" t="str">
            <v>Instituto Nacional de Tecnologia (+1 more)</v>
          </cell>
        </row>
        <row r="2266">
          <cell r="J2266">
            <v>59775828200</v>
          </cell>
          <cell r="K2266" t="str">
            <v>DEMa</v>
          </cell>
        </row>
        <row r="2267">
          <cell r="J2267">
            <v>57209848460</v>
          </cell>
          <cell r="K2267" t="str">
            <v>Pontifical Catholic University of Rio de Janeiro</v>
          </cell>
        </row>
        <row r="2268">
          <cell r="J2268">
            <v>59250855900</v>
          </cell>
          <cell r="K2268" t="str">
            <v>Universidade Federal de Minas Gerais</v>
          </cell>
        </row>
        <row r="2269">
          <cell r="J2269">
            <v>56964508000</v>
          </cell>
          <cell r="K2269" t="str">
            <v>Centro Federal de Educação Tecnológica de Minas Gerais</v>
          </cell>
        </row>
        <row r="2270">
          <cell r="J2270">
            <v>7005365537</v>
          </cell>
          <cell r="K2270" t="str">
            <v>Universidade Federal do Paraná (+2 more)</v>
          </cell>
        </row>
        <row r="2271">
          <cell r="J2271">
            <v>57225366437</v>
          </cell>
          <cell r="K2271" t="str">
            <v>Federal University of Rio de Janeiro</v>
          </cell>
        </row>
        <row r="2272">
          <cell r="J2272">
            <v>56962754900</v>
          </cell>
          <cell r="K2272" t="str">
            <v>Regional Nuclear SciencesCenter of Northeast (CRCN)</v>
          </cell>
        </row>
        <row r="2273">
          <cell r="J2273">
            <v>7005053199</v>
          </cell>
          <cell r="K2273" t="str">
            <v>Universidade Federal do Rio Grande do Sul</v>
          </cell>
        </row>
        <row r="2274">
          <cell r="J2274">
            <v>57742769800</v>
          </cell>
          <cell r="K2274" t="str">
            <v>Instituto de Pesquisas Tecnologicas</v>
          </cell>
        </row>
        <row r="2275">
          <cell r="J2275">
            <v>59909458200</v>
          </cell>
          <cell r="K2275" t="str">
            <v>Universidade Federal de Pernambuco</v>
          </cell>
        </row>
        <row r="2276">
          <cell r="J2276">
            <v>12799954900</v>
          </cell>
          <cell r="K2276" t="str">
            <v>Universidade Tiradentes (+4 more)</v>
          </cell>
        </row>
        <row r="2277">
          <cell r="J2277">
            <v>39161187900</v>
          </cell>
          <cell r="K2277" t="str">
            <v>Center for Mathematics</v>
          </cell>
        </row>
        <row r="2278">
          <cell r="J2278">
            <v>56007702300</v>
          </cell>
          <cell r="K2278" t="str">
            <v>Federal University of Rio de Janeiro</v>
          </cell>
        </row>
        <row r="2279">
          <cell r="J2279">
            <v>57218588374</v>
          </cell>
          <cell r="K2279" t="str">
            <v>Federal University of Rio de Janeiro</v>
          </cell>
        </row>
        <row r="2280">
          <cell r="J2280">
            <v>16416447000</v>
          </cell>
          <cell r="K2280" t="str">
            <v>Universidade Tecnológica Federal do Paraná</v>
          </cell>
        </row>
        <row r="2281">
          <cell r="J2281">
            <v>56885558400</v>
          </cell>
          <cell r="K2281" t="str">
            <v>Observatório Nacional</v>
          </cell>
        </row>
        <row r="2282">
          <cell r="J2282">
            <v>57915968000</v>
          </cell>
          <cell r="K2282" t="str">
            <v>Universidade Federal de Goiás</v>
          </cell>
        </row>
        <row r="2283">
          <cell r="J2283">
            <v>7102415369</v>
          </cell>
          <cell r="K2283" t="str">
            <v>Universidade Federal de Mato Grosso do Sul</v>
          </cell>
        </row>
        <row r="2284">
          <cell r="J2284">
            <v>57605389500</v>
          </cell>
          <cell r="K2284" t="str">
            <v>Universidade Federal do Espírito Santo</v>
          </cell>
        </row>
        <row r="2285">
          <cell r="J2285">
            <v>57297070100</v>
          </cell>
          <cell r="K2285" t="str">
            <v>Universidade Federal do Ceará</v>
          </cell>
        </row>
        <row r="2286">
          <cell r="J2286">
            <v>7005515930</v>
          </cell>
          <cell r="K2286" t="str">
            <v>Universidade Federal de Uberlândia</v>
          </cell>
        </row>
        <row r="2287">
          <cell r="J2287">
            <v>55914808600</v>
          </cell>
          <cell r="K2287" t="str">
            <v>Universidade Federal de Uberlândia</v>
          </cell>
        </row>
        <row r="2288">
          <cell r="J2288">
            <v>23090731000</v>
          </cell>
          <cell r="K2288" t="str">
            <v>University of São Paulo (+1 more)</v>
          </cell>
        </row>
        <row r="2289">
          <cell r="J2289">
            <v>58845194400</v>
          </cell>
          <cell r="K2289" t="str">
            <v>University of Campinas</v>
          </cell>
        </row>
        <row r="2290">
          <cell r="J2290">
            <v>23479602700</v>
          </cell>
          <cell r="K2290" t="str">
            <v>Geological Survey of Brazil (SGB)</v>
          </cell>
        </row>
        <row r="2291">
          <cell r="J2291">
            <v>57209134984</v>
          </cell>
          <cell r="K2291" t="str">
            <v>YPF</v>
          </cell>
        </row>
        <row r="2292">
          <cell r="J2292">
            <v>57060517400</v>
          </cell>
          <cell r="K2292" t="str">
            <v>Universidade Federal do Paraná</v>
          </cell>
        </row>
        <row r="2293">
          <cell r="J2293">
            <v>23977849800</v>
          </cell>
          <cell r="K2293" t="str">
            <v>Universidade Federal Fluminense (+1 more)</v>
          </cell>
        </row>
        <row r="2294">
          <cell r="J2294">
            <v>16315641300</v>
          </cell>
          <cell r="K2294" t="str">
            <v>Universidade Federal Fluminense (+2 more)</v>
          </cell>
        </row>
        <row r="2295">
          <cell r="J2295">
            <v>7003347454</v>
          </cell>
          <cell r="K2295" t="str">
            <v>Laboratório de Biotecnologia Microbiana (+1 more)</v>
          </cell>
        </row>
        <row r="2296">
          <cell r="J2296">
            <v>7006814841</v>
          </cell>
          <cell r="K2296" t="str">
            <v>Pontifical Catholic University of Rio de Janeiro</v>
          </cell>
        </row>
        <row r="2297">
          <cell r="J2297">
            <v>58602754200</v>
          </cell>
          <cell r="K2297" t="str">
            <v>Universidade Federal Fluminense (+1 more)</v>
          </cell>
        </row>
        <row r="2298">
          <cell r="J2298">
            <v>7103271497</v>
          </cell>
          <cell r="K2298" t="str">
            <v>Técnico Mecânico CTDUT (+1 more)</v>
          </cell>
        </row>
        <row r="2299">
          <cell r="J2299">
            <v>56509132700</v>
          </cell>
          <cell r="K2299" t="str">
            <v>Federal University of Rio de Janeiro</v>
          </cell>
        </row>
        <row r="2300">
          <cell r="J2300">
            <v>57221258185</v>
          </cell>
          <cell r="K2300" t="str">
            <v>Universidade Federal de Minas Gerais</v>
          </cell>
        </row>
        <row r="2301">
          <cell r="J2301">
            <v>57207692794</v>
          </cell>
          <cell r="K2301" t="str">
            <v>DEMa</v>
          </cell>
        </row>
        <row r="2302">
          <cell r="J2302">
            <v>57204034885</v>
          </cell>
          <cell r="K2302" t="str">
            <v>Universidade Federal de Goiás</v>
          </cell>
        </row>
        <row r="2303">
          <cell r="J2303">
            <v>25031097000</v>
          </cell>
          <cell r="K2303" t="str">
            <v>University of São Paulo (+3 more)</v>
          </cell>
        </row>
        <row r="2304">
          <cell r="J2304">
            <v>55621800300</v>
          </cell>
          <cell r="K2304" t="str">
            <v>Instituto Nacional de Pesquisas Espaciais</v>
          </cell>
        </row>
        <row r="2305">
          <cell r="J2305">
            <v>58184676000</v>
          </cell>
          <cell r="K2305" t="str">
            <v>Universidade Federal Fluminense</v>
          </cell>
        </row>
        <row r="2306">
          <cell r="J2306">
            <v>59454920500</v>
          </cell>
          <cell r="K2306" t="str">
            <v>Universidade Federal do Rio Grande do Norte</v>
          </cell>
        </row>
        <row r="2307">
          <cell r="J2307">
            <v>58292320900</v>
          </cell>
          <cell r="K2307" t="str">
            <v>Universidade Federal Fluminense (+1 more)</v>
          </cell>
        </row>
        <row r="2308">
          <cell r="J2308">
            <v>56533417800</v>
          </cell>
          <cell r="K2308" t="str">
            <v>Universidade Federal de Uberlândia</v>
          </cell>
        </row>
        <row r="2309">
          <cell r="J2309">
            <v>57195725022</v>
          </cell>
          <cell r="K2309" t="str">
            <v>Universidade Federal do Ceará</v>
          </cell>
        </row>
        <row r="2310">
          <cell r="J2310">
            <v>57189441683</v>
          </cell>
          <cell r="K2310" t="str">
            <v>Federal University of Rio de Janeiro</v>
          </cell>
        </row>
        <row r="2311">
          <cell r="J2311">
            <v>35603208000</v>
          </cell>
          <cell r="K2311" t="str">
            <v>Universidade Federal de Minas Gerais (+1 more)</v>
          </cell>
        </row>
        <row r="2312">
          <cell r="J2312">
            <v>58638841000</v>
          </cell>
          <cell r="K2312" t="str">
            <v>Federal University of Rio de Janeiro</v>
          </cell>
        </row>
        <row r="2313">
          <cell r="J2313">
            <v>7103205890</v>
          </cell>
          <cell r="K2313" t="str">
            <v>Universidade Federal do Espírito Santo</v>
          </cell>
        </row>
        <row r="2314">
          <cell r="J2314">
            <v>36016617500</v>
          </cell>
          <cell r="K2314" t="str">
            <v>Universidade Federal do Rio Grande do Norte</v>
          </cell>
        </row>
        <row r="2315">
          <cell r="J2315">
            <v>55392690000</v>
          </cell>
          <cell r="K2315" t="str">
            <v>Universidade Federal de Sergipe</v>
          </cell>
        </row>
        <row r="2316">
          <cell r="J2316">
            <v>57437544600</v>
          </cell>
          <cell r="K2316" t="str">
            <v>Center for Studies in Colloidal Systems (NUESC)/Institute of Technology and Research (ITP)</v>
          </cell>
        </row>
        <row r="2317">
          <cell r="J2317">
            <v>55263199200</v>
          </cell>
          <cell r="K2317" t="str">
            <v>Universidade Federal Rural do Rio de Janeiro</v>
          </cell>
        </row>
        <row r="2318">
          <cell r="J2318">
            <v>59422279800</v>
          </cell>
          <cell r="K2318" t="str">
            <v>Universidade Federal de Campina Grande</v>
          </cell>
        </row>
        <row r="2319">
          <cell r="J2319">
            <v>57204429843</v>
          </cell>
          <cell r="K2319" t="str">
            <v>Federal University of Rio de Janeiro</v>
          </cell>
        </row>
        <row r="2320">
          <cell r="J2320">
            <v>14821968700</v>
          </cell>
          <cell r="K2320" t="str">
            <v>Curitiba</v>
          </cell>
        </row>
        <row r="2321">
          <cell r="J2321">
            <v>59679359500</v>
          </cell>
          <cell r="K2321" t="str">
            <v>Laboratório Nacional de Luz Síncrotron (LNLS)</v>
          </cell>
        </row>
        <row r="2322">
          <cell r="J2322">
            <v>56915384300</v>
          </cell>
          <cell r="K2322" t="str">
            <v>Federal University of Rio de Janeiro</v>
          </cell>
        </row>
        <row r="2323">
          <cell r="J2323">
            <v>57219656620</v>
          </cell>
          <cell r="K2323" t="str">
            <v>Centro Brasileiro de Pesquisas Físicas</v>
          </cell>
        </row>
        <row r="2324">
          <cell r="J2324">
            <v>8643519100</v>
          </cell>
          <cell r="K2324" t="str">
            <v>Federal University of Santa Catarina</v>
          </cell>
        </row>
        <row r="2325">
          <cell r="J2325">
            <v>56891571500</v>
          </cell>
          <cell r="K2325" t="str">
            <v>Federal University of Santa Catarina</v>
          </cell>
        </row>
        <row r="2326">
          <cell r="J2326">
            <v>57360192700</v>
          </cell>
          <cell r="K2326" t="str">
            <v>Universidade Federal de Pernambuco</v>
          </cell>
        </row>
        <row r="2327">
          <cell r="J2327">
            <v>56380620500</v>
          </cell>
          <cell r="K2327" t="str">
            <v>Universidade Federal do Espírito Santo</v>
          </cell>
        </row>
        <row r="2328">
          <cell r="J2328">
            <v>55606199700</v>
          </cell>
          <cell r="K2328" t="str">
            <v>Federal University of Rio de Janeiro</v>
          </cell>
        </row>
        <row r="2329">
          <cell r="J2329">
            <v>56732596700</v>
          </cell>
          <cell r="K2329" t="str">
            <v>Universidade Federal de Santa Maria</v>
          </cell>
        </row>
        <row r="2330">
          <cell r="J2330">
            <v>36945243300</v>
          </cell>
          <cell r="K2330" t="str">
            <v>Pontifical Catholic University of Rio de Janeiro</v>
          </cell>
        </row>
        <row r="2331">
          <cell r="J2331">
            <v>8363634500</v>
          </cell>
          <cell r="K2331" t="str">
            <v>Pontifical Catholic University of Rio de Janeiro (+1 more)</v>
          </cell>
        </row>
        <row r="2332">
          <cell r="J2332">
            <v>6503878132</v>
          </cell>
          <cell r="K2332" t="str">
            <v>Universidade Federal Fluminense</v>
          </cell>
        </row>
        <row r="2333">
          <cell r="J2333">
            <v>6603270728</v>
          </cell>
          <cell r="K2333" t="str">
            <v>Federal University of Rio de Janeiro</v>
          </cell>
        </row>
        <row r="2334">
          <cell r="J2334">
            <v>6603338627</v>
          </cell>
          <cell r="K2334" t="str">
            <v>Universidade de São Paulo</v>
          </cell>
        </row>
        <row r="2335">
          <cell r="J2335">
            <v>58193132800</v>
          </cell>
          <cell r="K2335" t="str">
            <v>Federal University of Santa Catarina</v>
          </cell>
        </row>
        <row r="2336">
          <cell r="J2336">
            <v>6603060000</v>
          </cell>
          <cell r="K2336" t="str">
            <v>Universidade de Brasília</v>
          </cell>
        </row>
        <row r="2337">
          <cell r="J2337">
            <v>6602501229</v>
          </cell>
          <cell r="K2337" t="str">
            <v>Universidade de São Paulo (+1 more)</v>
          </cell>
        </row>
        <row r="2338">
          <cell r="J2338">
            <v>57578993900</v>
          </cell>
          <cell r="K2338" t="str">
            <v>Universidade Federal do Rio Grande do Norte</v>
          </cell>
        </row>
        <row r="2339">
          <cell r="J2339">
            <v>57211455096</v>
          </cell>
          <cell r="K2339" t="str">
            <v>Universidade do Estado do Rio de Janeiro (+1 more)</v>
          </cell>
        </row>
        <row r="2340">
          <cell r="J2340">
            <v>56583978100</v>
          </cell>
          <cell r="K2340" t="str">
            <v>Universidade Federal Rural do Rio de Janeiro</v>
          </cell>
        </row>
        <row r="2341">
          <cell r="J2341">
            <v>57200312388</v>
          </cell>
          <cell r="K2341" t="str">
            <v>Federal University of Rio de Janeiro</v>
          </cell>
        </row>
        <row r="2342">
          <cell r="J2342">
            <v>12142761800</v>
          </cell>
          <cell r="K2342" t="str">
            <v>Federal University of Rio de Janeiro</v>
          </cell>
        </row>
        <row r="2343">
          <cell r="J2343">
            <v>6504448951</v>
          </cell>
          <cell r="K2343" t="str">
            <v>Federal University of Rio de Janeiro</v>
          </cell>
        </row>
        <row r="2344">
          <cell r="J2344">
            <v>56383484800</v>
          </cell>
          <cell r="K2344" t="str">
            <v>Universidade do Estado do Rio de Janeiro</v>
          </cell>
        </row>
        <row r="2345">
          <cell r="J2345">
            <v>6701758360</v>
          </cell>
          <cell r="K2345" t="str">
            <v>Universidade de São Paulo</v>
          </cell>
        </row>
        <row r="2346">
          <cell r="J2346">
            <v>57845757600</v>
          </cell>
          <cell r="K2346" t="str">
            <v>Universidade Federal de Minas Gerais</v>
          </cell>
        </row>
        <row r="2347">
          <cell r="J2347">
            <v>57208839036</v>
          </cell>
          <cell r="K2347" t="str">
            <v>Universidade Tecnológica Federal do Paraná</v>
          </cell>
        </row>
        <row r="2348">
          <cell r="J2348">
            <v>59670330200</v>
          </cell>
          <cell r="K2348" t="str">
            <v>Universidade Federal Fluminense</v>
          </cell>
        </row>
        <row r="2349">
          <cell r="J2349">
            <v>7103169742</v>
          </cell>
          <cell r="K2349" t="str">
            <v>Universidade Federal de Uberlândia</v>
          </cell>
        </row>
        <row r="2350">
          <cell r="J2350">
            <v>58194170800</v>
          </cell>
          <cell r="K2350" t="str">
            <v>Instituto de Pesquisas da Marinha</v>
          </cell>
        </row>
        <row r="2351">
          <cell r="J2351">
            <v>57223907673</v>
          </cell>
          <cell r="K2351" t="str">
            <v>Instituto de Pesquisas da Marinha</v>
          </cell>
        </row>
        <row r="2352">
          <cell r="J2352">
            <v>8301219900</v>
          </cell>
          <cell r="K2352" t="str">
            <v>Universidade Federal de Mato Grosso do Sul</v>
          </cell>
        </row>
        <row r="2353">
          <cell r="J2353">
            <v>55652760700</v>
          </cell>
          <cell r="K2353" t="str">
            <v>Universidade de São Paulo (+1 more)</v>
          </cell>
        </row>
        <row r="2354">
          <cell r="J2354">
            <v>57223997087</v>
          </cell>
          <cell r="K2354" t="str">
            <v>Federal University of Rio de Janeiro</v>
          </cell>
        </row>
        <row r="2355">
          <cell r="J2355">
            <v>57196186031</v>
          </cell>
          <cell r="K2355" t="str">
            <v>Universidade do Estado do Rio de Janeiro</v>
          </cell>
        </row>
        <row r="2356">
          <cell r="J2356">
            <v>6603903472</v>
          </cell>
          <cell r="K2356" t="str">
            <v>Instituto Nacional de Pesquisas Espaciais</v>
          </cell>
        </row>
        <row r="2357">
          <cell r="J2357">
            <v>57211713869</v>
          </cell>
          <cell r="K2357" t="str">
            <v>Universidade Federal de Minas Gerais</v>
          </cell>
        </row>
        <row r="2358">
          <cell r="J2358">
            <v>14040107900</v>
          </cell>
          <cell r="K2358" t="str">
            <v>Universidade Federal do Rio Grande do Sul</v>
          </cell>
        </row>
        <row r="2359">
          <cell r="J2359">
            <v>57215050582</v>
          </cell>
          <cell r="K2359" t="str">
            <v>Pontifical Catholic University of Rio de Janeiro</v>
          </cell>
        </row>
        <row r="2360">
          <cell r="J2360">
            <v>57118090400</v>
          </cell>
          <cell r="K2360" t="str">
            <v>Geological Survey of Brazil</v>
          </cell>
        </row>
        <row r="2361">
          <cell r="J2361">
            <v>6504011371</v>
          </cell>
          <cell r="K2361" t="str">
            <v>Universidade Federal da Grande Dourados</v>
          </cell>
        </row>
        <row r="2362">
          <cell r="J2362">
            <v>56708956300</v>
          </cell>
          <cell r="K2362" t="str">
            <v>Company of Agricultural Research and Rural Extension of Santa Catarina (EPAGRI)</v>
          </cell>
        </row>
        <row r="2363">
          <cell r="J2363">
            <v>57203161741</v>
          </cell>
          <cell r="K2363" t="str">
            <v>Federal University of Rio de Janeiro</v>
          </cell>
        </row>
        <row r="2364">
          <cell r="J2364">
            <v>57195286262</v>
          </cell>
          <cell r="K2364" t="str">
            <v>LAMEMO - Modelling Methods in Engineering and Geophysics Laboratory</v>
          </cell>
        </row>
        <row r="2365">
          <cell r="J2365">
            <v>7404608626</v>
          </cell>
          <cell r="K2365" t="str">
            <v>Pontifical Catholic University of Rio de Janeiro</v>
          </cell>
        </row>
        <row r="2366">
          <cell r="J2366">
            <v>57220770532</v>
          </cell>
          <cell r="K2366" t="str">
            <v>Universidade Federal de Sergipe</v>
          </cell>
        </row>
        <row r="2367">
          <cell r="J2367">
            <v>35403017600</v>
          </cell>
          <cell r="K2367" t="str">
            <v>Universidade Federal do Rio Grande</v>
          </cell>
        </row>
        <row r="2368">
          <cell r="J2368">
            <v>7401486028</v>
          </cell>
          <cell r="K2368" t="str">
            <v>Universidade de São Paulo</v>
          </cell>
        </row>
        <row r="2369">
          <cell r="J2369">
            <v>57196083982</v>
          </cell>
          <cell r="K2369" t="str">
            <v>Ecopetrol International Exploration (+1 more)</v>
          </cell>
        </row>
        <row r="2370">
          <cell r="J2370">
            <v>56470257900</v>
          </cell>
          <cell r="K2370" t="str">
            <v>Instituto Nacional de Metrologia, Qualidade e Tecnologia</v>
          </cell>
        </row>
        <row r="2371">
          <cell r="J2371">
            <v>7402249589</v>
          </cell>
          <cell r="K2371" t="str">
            <v>Universidade Federal do Rio Grande do Norte (+1 more)</v>
          </cell>
        </row>
        <row r="2372">
          <cell r="J2372">
            <v>57609126800</v>
          </cell>
          <cell r="K2372" t="str">
            <v>Universidade Federal de Minas Gerais</v>
          </cell>
        </row>
        <row r="2373">
          <cell r="J2373">
            <v>57193669391</v>
          </cell>
          <cell r="K2373" t="str">
            <v>Pontifical Catholic University of Rio de Janeiro</v>
          </cell>
        </row>
        <row r="2374">
          <cell r="J2374">
            <v>21742798300</v>
          </cell>
          <cell r="K2374" t="str">
            <v>Noosfera Projetos Especiais Ltda</v>
          </cell>
        </row>
        <row r="2375">
          <cell r="J2375">
            <v>56548041300</v>
          </cell>
          <cell r="K2375" t="str">
            <v>Universidade Federal do Rio Grande do Sul</v>
          </cell>
        </row>
        <row r="2376">
          <cell r="J2376">
            <v>57365345800</v>
          </cell>
          <cell r="K2376" t="str">
            <v>Vizlab - X-Reality and GeoInformatics Lab</v>
          </cell>
        </row>
        <row r="2377">
          <cell r="J2377">
            <v>8689474100</v>
          </cell>
          <cell r="K2377" t="str">
            <v>Universidade Federal Fluminense (+3 more)</v>
          </cell>
        </row>
        <row r="2378">
          <cell r="J2378">
            <v>55454633300</v>
          </cell>
          <cell r="K2378" t="str">
            <v>Universidade Federal de Mato Grosso do Sul</v>
          </cell>
        </row>
        <row r="2379">
          <cell r="J2379">
            <v>57221335892</v>
          </cell>
          <cell r="K2379" t="str">
            <v>Universidade de São Paulo</v>
          </cell>
        </row>
        <row r="2380">
          <cell r="J2380">
            <v>57132124700</v>
          </cell>
          <cell r="K2380" t="str">
            <v>Universidade Federal Fluminense</v>
          </cell>
        </row>
        <row r="2381">
          <cell r="J2381">
            <v>56538591500</v>
          </cell>
          <cell r="K2381" t="str">
            <v>Universidade de São Paulo</v>
          </cell>
        </row>
        <row r="2382">
          <cell r="J2382">
            <v>57204647120</v>
          </cell>
          <cell r="K2382" t="str">
            <v>Universidade Estadual Paulista “Júlio de Mesquita Filho”</v>
          </cell>
        </row>
        <row r="2383">
          <cell r="J2383">
            <v>7102545874</v>
          </cell>
          <cell r="K2383" t="str">
            <v>Ministério da Ciência e Tecnologia (+1 more)</v>
          </cell>
        </row>
        <row r="2384">
          <cell r="J2384">
            <v>57194106385</v>
          </cell>
          <cell r="K2384" t="str">
            <v>Universidade de São Paulo</v>
          </cell>
        </row>
        <row r="2385">
          <cell r="J2385">
            <v>57268324300</v>
          </cell>
          <cell r="K2385" t="str">
            <v>Universidade Federal do Rio Grande do Norte</v>
          </cell>
        </row>
        <row r="2386">
          <cell r="J2386">
            <v>57210158419</v>
          </cell>
          <cell r="K2386" t="str">
            <v>Federal University of Rio de Janeiro</v>
          </cell>
        </row>
        <row r="2387">
          <cell r="J2387">
            <v>53981216000</v>
          </cell>
          <cell r="K2387" t="str">
            <v>Universidade de São Paulo</v>
          </cell>
        </row>
        <row r="2388">
          <cell r="J2388">
            <v>6504493073</v>
          </cell>
          <cell r="K2388" t="str">
            <v>Universidade Federal de Uberlândia</v>
          </cell>
        </row>
        <row r="2389">
          <cell r="J2389">
            <v>7006781957</v>
          </cell>
          <cell r="K2389" t="str">
            <v>Universidade Federal do Rio Grande do Sul</v>
          </cell>
        </row>
        <row r="2390">
          <cell r="J2390">
            <v>36899940600</v>
          </cell>
          <cell r="K2390" t="str">
            <v>Instituto Instituto Federal de Educação, Ciência e Tecnologia Sul-rio-grandense</v>
          </cell>
        </row>
        <row r="2391">
          <cell r="J2391">
            <v>14022681800</v>
          </cell>
          <cell r="K2391" t="str">
            <v>Pontifical Catholic University of Rio de Janeiro (+3 more)</v>
          </cell>
        </row>
        <row r="2392">
          <cell r="J2392">
            <v>55895166700</v>
          </cell>
          <cell r="K2392" t="str">
            <v>Science and Technology of Sao Paulo (IFSP)</v>
          </cell>
        </row>
        <row r="2393">
          <cell r="J2393">
            <v>53981247200</v>
          </cell>
          <cell r="K2393" t="str">
            <v>Laboratório Nacional de Computação Científica</v>
          </cell>
        </row>
        <row r="2394">
          <cell r="J2394">
            <v>58711613400</v>
          </cell>
          <cell r="K2394" t="str">
            <v>Universidade Federal do Rio Grande do Sul</v>
          </cell>
        </row>
        <row r="2395">
          <cell r="J2395">
            <v>55595793800</v>
          </cell>
          <cell r="K2395" t="str">
            <v>Universidade Federal do Rio Grande do Sul (+1 more)</v>
          </cell>
        </row>
        <row r="2396">
          <cell r="J2396">
            <v>57204725064</v>
          </cell>
          <cell r="K2396" t="str">
            <v>Federal University of Santa Catarina</v>
          </cell>
        </row>
        <row r="2397">
          <cell r="J2397">
            <v>57204732231</v>
          </cell>
          <cell r="K2397" t="str">
            <v>Universidade Federal do Rio Grande do Sul</v>
          </cell>
        </row>
        <row r="2398">
          <cell r="J2398">
            <v>57192955766</v>
          </cell>
          <cell r="K2398" t="str">
            <v>Universidade Federal de Itajubá (+1 more)</v>
          </cell>
        </row>
        <row r="2399">
          <cell r="J2399">
            <v>57202309752</v>
          </cell>
          <cell r="K2399" t="str">
            <v>Federal University of Rio de Janeiro</v>
          </cell>
        </row>
        <row r="2400">
          <cell r="J2400">
            <v>35617538600</v>
          </cell>
          <cell r="K2400" t="str">
            <v>Federal University of Santa Catarina</v>
          </cell>
        </row>
        <row r="2401">
          <cell r="J2401">
            <v>59388285500</v>
          </cell>
          <cell r="K2401" t="str">
            <v>ESSS</v>
          </cell>
        </row>
        <row r="2402">
          <cell r="J2402">
            <v>7004349366</v>
          </cell>
          <cell r="K2402" t="str">
            <v>Universidade de São Paulo</v>
          </cell>
        </row>
        <row r="2403">
          <cell r="J2403">
            <v>58143901200</v>
          </cell>
          <cell r="K2403" t="str">
            <v>Federal University of Santa Catarina</v>
          </cell>
        </row>
        <row r="2404">
          <cell r="J2404">
            <v>24471548300</v>
          </cell>
          <cell r="K2404" t="str">
            <v>Universidade Federal de Santa Maria</v>
          </cell>
        </row>
        <row r="2405">
          <cell r="J2405">
            <v>57201401291</v>
          </cell>
          <cell r="K2405" t="str">
            <v>ATNAS</v>
          </cell>
        </row>
        <row r="2406">
          <cell r="J2406">
            <v>56425440100</v>
          </cell>
          <cell r="K2406" t="str">
            <v>Universidade de Caxias do Sul</v>
          </cell>
        </row>
        <row r="2407">
          <cell r="J2407">
            <v>18037320200</v>
          </cell>
          <cell r="K2407" t="str">
            <v>Regional University of Blumenau - FURB (+1 more)</v>
          </cell>
        </row>
        <row r="2408">
          <cell r="J2408">
            <v>56404041200</v>
          </cell>
          <cell r="K2408" t="str">
            <v>University of Campinas (+1 more)</v>
          </cell>
        </row>
        <row r="2409">
          <cell r="J2409">
            <v>49963629700</v>
          </cell>
          <cell r="K2409" t="str">
            <v>Universidade de Brasília</v>
          </cell>
        </row>
        <row r="2410">
          <cell r="J2410">
            <v>23090987400</v>
          </cell>
          <cell r="K2410" t="str">
            <v>Universidade de São Paulo</v>
          </cell>
        </row>
        <row r="2411">
          <cell r="J2411">
            <v>57192009473</v>
          </cell>
          <cell r="K2411" t="str">
            <v>Universidade de São Paulo (+2 more)</v>
          </cell>
        </row>
        <row r="2412">
          <cell r="J2412">
            <v>57190070693</v>
          </cell>
          <cell r="K2412" t="str">
            <v>Federal University of Rio de Janeiro</v>
          </cell>
        </row>
        <row r="2413">
          <cell r="J2413">
            <v>57196464399</v>
          </cell>
          <cell r="K2413" t="str">
            <v>Vizlab - X-Reality and GeoInformatics Lab (+1 more)</v>
          </cell>
        </row>
        <row r="2414">
          <cell r="J2414">
            <v>57217102418</v>
          </cell>
          <cell r="K2414" t="str">
            <v>Serviço Nacional de Aprendizagem Industrial</v>
          </cell>
        </row>
        <row r="2415">
          <cell r="J2415">
            <v>55982685400</v>
          </cell>
          <cell r="K2415" t="str">
            <v>Federal University of Santa Catarina</v>
          </cell>
        </row>
        <row r="2416">
          <cell r="J2416">
            <v>57221079993</v>
          </cell>
          <cell r="K2416" t="str">
            <v>Federal University of Rio de Janeiro</v>
          </cell>
        </row>
        <row r="2417">
          <cell r="J2417">
            <v>58549202500</v>
          </cell>
          <cell r="K2417" t="str">
            <v>Universidade Tecnológica Federal do Paraná</v>
          </cell>
        </row>
        <row r="2418">
          <cell r="J2418">
            <v>7007052106</v>
          </cell>
          <cell r="K2418" t="str">
            <v>Centro Nacional de Pesquisa em Energia e Materiais</v>
          </cell>
        </row>
        <row r="2419">
          <cell r="J2419">
            <v>36969321500</v>
          </cell>
          <cell r="K2419" t="str">
            <v>Universidade Federal de Santa Maria</v>
          </cell>
        </row>
        <row r="2420">
          <cell r="J2420">
            <v>59251253300</v>
          </cell>
          <cell r="K2420" t="str">
            <v>Universidade Federal de Minas Gerais</v>
          </cell>
        </row>
        <row r="2421">
          <cell r="J2421">
            <v>7005147759</v>
          </cell>
          <cell r="K2421" t="str">
            <v>Pontifical Catholic University of Rio de Janeiro</v>
          </cell>
        </row>
        <row r="2422">
          <cell r="J2422">
            <v>57512283900</v>
          </cell>
          <cell r="K2422" t="str">
            <v>DEMa</v>
          </cell>
        </row>
        <row r="2423">
          <cell r="J2423">
            <v>7006603610</v>
          </cell>
          <cell r="K2423" t="str">
            <v>Comissão Nacional de Energia Nuclear</v>
          </cell>
        </row>
        <row r="2424">
          <cell r="J2424">
            <v>22234072500</v>
          </cell>
          <cell r="K2424" t="str">
            <v>Universidade Federal de Mato Grosso do Sul</v>
          </cell>
        </row>
        <row r="2425">
          <cell r="J2425">
            <v>57269824400</v>
          </cell>
          <cell r="K2425" t="str">
            <v>Federal University of Santa Catarina</v>
          </cell>
        </row>
        <row r="2426">
          <cell r="J2426">
            <v>6603213836</v>
          </cell>
          <cell r="K2426" t="str">
            <v>Universidade Federal de Minas Gerais (+1 more)</v>
          </cell>
        </row>
        <row r="2427">
          <cell r="J2427">
            <v>57201400595</v>
          </cell>
          <cell r="K2427" t="str">
            <v>ATNAS</v>
          </cell>
        </row>
        <row r="2428">
          <cell r="J2428">
            <v>23392423600</v>
          </cell>
          <cell r="K2428" t="str">
            <v>Federal University of Rio de Janeiro</v>
          </cell>
        </row>
        <row r="2429">
          <cell r="J2429">
            <v>57209457262</v>
          </cell>
          <cell r="K2429" t="str">
            <v>Universidade Federal do Paraná</v>
          </cell>
        </row>
        <row r="2430">
          <cell r="J2430">
            <v>59723283700</v>
          </cell>
          <cell r="K2430" t="str">
            <v>Universidade Federal Fluminense (+1 more)</v>
          </cell>
        </row>
        <row r="2431">
          <cell r="J2431">
            <v>57214243203</v>
          </cell>
          <cell r="K2431" t="str">
            <v>Universidade Federal do Ceará</v>
          </cell>
        </row>
        <row r="2432">
          <cell r="J2432">
            <v>8406082300</v>
          </cell>
          <cell r="K2432" t="str">
            <v>Universidade Federal Fluminense</v>
          </cell>
        </row>
        <row r="2433">
          <cell r="J2433">
            <v>21741336900</v>
          </cell>
          <cell r="K2433" t="str">
            <v>Universidade Federal Fluminense</v>
          </cell>
        </row>
        <row r="2434">
          <cell r="J2434">
            <v>36439612700</v>
          </cell>
          <cell r="K2434" t="str">
            <v>University of Campinas</v>
          </cell>
        </row>
        <row r="2435">
          <cell r="J2435">
            <v>58125772800</v>
          </cell>
          <cell r="K2435" t="str">
            <v>Universidade Federal de Alagoas</v>
          </cell>
        </row>
        <row r="2436">
          <cell r="J2436">
            <v>57214365095</v>
          </cell>
          <cell r="K2436" t="str">
            <v>Universidade Tecnológica Federal do Paraná</v>
          </cell>
        </row>
        <row r="2437">
          <cell r="J2437">
            <v>56237465500</v>
          </cell>
          <cell r="K2437" t="str">
            <v>Federal University of Rio de Janeiro</v>
          </cell>
        </row>
        <row r="2438">
          <cell r="J2438">
            <v>54984675200</v>
          </cell>
          <cell r="K2438" t="str">
            <v>Universidade Federal de Ouro Preto</v>
          </cell>
        </row>
        <row r="2439">
          <cell r="J2439">
            <v>58317297800</v>
          </cell>
          <cell r="K2439" t="str">
            <v>FIPT</v>
          </cell>
        </row>
        <row r="2440">
          <cell r="J2440">
            <v>55538674700</v>
          </cell>
          <cell r="K2440" t="str">
            <v>Universidade Federal de Pernambuco</v>
          </cell>
        </row>
        <row r="2441">
          <cell r="J2441">
            <v>58978533800</v>
          </cell>
          <cell r="K2441" t="str">
            <v>Universidade Federal do Ceará</v>
          </cell>
        </row>
        <row r="2442">
          <cell r="J2442">
            <v>58835894200</v>
          </cell>
          <cell r="K2442" t="str">
            <v>Universidade Federal dos Vales do Jequitinhonha e Mucuri (+1 more)</v>
          </cell>
        </row>
        <row r="2443">
          <cell r="J2443">
            <v>25225029800</v>
          </cell>
          <cell r="K2443" t="str">
            <v>Federal University of Rio de Janeiro</v>
          </cell>
        </row>
        <row r="2444">
          <cell r="J2444">
            <v>59995850800</v>
          </cell>
          <cell r="K2444" t="str">
            <v>Federal University of Rio de Janeiro</v>
          </cell>
        </row>
        <row r="2445">
          <cell r="J2445">
            <v>56392485500</v>
          </cell>
          <cell r="K2445" t="str">
            <v>Universidade Federal do Rio Grande do Sul</v>
          </cell>
        </row>
        <row r="2446">
          <cell r="J2446">
            <v>57476354900</v>
          </cell>
          <cell r="K2446" t="str">
            <v>Universidade de Brasília</v>
          </cell>
        </row>
        <row r="2447">
          <cell r="J2447">
            <v>58384039800</v>
          </cell>
          <cell r="K2447" t="str">
            <v>Universidade Federal de Lavras</v>
          </cell>
        </row>
        <row r="2448">
          <cell r="J2448">
            <v>57191862423</v>
          </cell>
          <cell r="K2448" t="str">
            <v>Universidade do Estado do Rio de Janeiro (+1 more)</v>
          </cell>
        </row>
        <row r="2449">
          <cell r="J2449">
            <v>54583539500</v>
          </cell>
          <cell r="K2449" t="str">
            <v>University of Campinas</v>
          </cell>
        </row>
        <row r="2450">
          <cell r="J2450">
            <v>57195448865</v>
          </cell>
          <cell r="K2450" t="str">
            <v>Universidade Federal Fluminense</v>
          </cell>
        </row>
        <row r="2451">
          <cell r="J2451">
            <v>11738879800</v>
          </cell>
          <cell r="K2451" t="str">
            <v>Universidade Federal do Rio Grande do Sul</v>
          </cell>
        </row>
        <row r="2452">
          <cell r="J2452">
            <v>57201531267</v>
          </cell>
          <cell r="K2452" t="str">
            <v>Universidade Federal de Minas Gerais</v>
          </cell>
        </row>
        <row r="2453">
          <cell r="J2453">
            <v>7101662648</v>
          </cell>
          <cell r="K2453" t="str">
            <v>University of Campinas</v>
          </cell>
        </row>
        <row r="2454">
          <cell r="J2454">
            <v>59893878400</v>
          </cell>
          <cell r="K2454" t="str">
            <v>University of Campinas</v>
          </cell>
        </row>
        <row r="2455">
          <cell r="J2455">
            <v>55761811600</v>
          </cell>
          <cell r="K2455" t="str">
            <v>Federal University of Rio de Janeiro</v>
          </cell>
        </row>
        <row r="2456">
          <cell r="J2456">
            <v>57196404751</v>
          </cell>
          <cell r="K2456" t="str">
            <v>Universidade Federal de Alfenas</v>
          </cell>
        </row>
        <row r="2457">
          <cell r="J2457">
            <v>58928046900</v>
          </cell>
          <cell r="K2457" t="str">
            <v>Pontifical Catholic University of Rio de Janeiro</v>
          </cell>
        </row>
        <row r="2458">
          <cell r="J2458">
            <v>57190258871</v>
          </cell>
          <cell r="K2458" t="str">
            <v>Federal University of Santa Catarina</v>
          </cell>
        </row>
        <row r="2459">
          <cell r="J2459">
            <v>57220885092</v>
          </cell>
          <cell r="K2459" t="str">
            <v>Federal University of Santa Catarina</v>
          </cell>
        </row>
        <row r="2460">
          <cell r="J2460">
            <v>57216178839</v>
          </cell>
          <cell r="K2460" t="str">
            <v>Federal University of Rio de Janeiro</v>
          </cell>
        </row>
        <row r="2461">
          <cell r="J2461">
            <v>7801397454</v>
          </cell>
          <cell r="K2461" t="str">
            <v>Universidade de São Paulo</v>
          </cell>
        </row>
        <row r="2462">
          <cell r="J2462">
            <v>57934943100</v>
          </cell>
          <cell r="K2462" t="str">
            <v>Universidade Federal do Piauí</v>
          </cell>
        </row>
        <row r="2463">
          <cell r="J2463">
            <v>60146263500</v>
          </cell>
          <cell r="K2463" t="str">
            <v>LABSOLDA Welding Institute</v>
          </cell>
        </row>
        <row r="2464">
          <cell r="J2464">
            <v>59226101000</v>
          </cell>
          <cell r="K2464" t="str">
            <v>Federal University of Rio de Janeiro</v>
          </cell>
        </row>
        <row r="2465">
          <cell r="J2465">
            <v>57215785185</v>
          </cell>
          <cell r="K2465" t="str">
            <v>NIDF (+2 more)</v>
          </cell>
        </row>
        <row r="2466">
          <cell r="J2466">
            <v>57212360461</v>
          </cell>
          <cell r="K2466" t="str">
            <v>Universidade de São Paulo</v>
          </cell>
        </row>
        <row r="2467">
          <cell r="J2467">
            <v>35388149900</v>
          </cell>
          <cell r="K2467" t="str">
            <v>Universidade Federal do Espírito Santo (+2 more)</v>
          </cell>
        </row>
        <row r="2468">
          <cell r="J2468">
            <v>57197513785</v>
          </cell>
          <cell r="K2468" t="str">
            <v>Universidade Federal do Rio Grande do Sul</v>
          </cell>
        </row>
        <row r="2469">
          <cell r="J2469">
            <v>55782391900</v>
          </cell>
          <cell r="K2469" t="str">
            <v>Universidade do Estado do Rio de Janeiro</v>
          </cell>
        </row>
        <row r="2470">
          <cell r="J2470">
            <v>56118797200</v>
          </cell>
          <cell r="K2470" t="str">
            <v>Universidade Federal Fluminense</v>
          </cell>
        </row>
        <row r="2471">
          <cell r="J2471">
            <v>14015605500</v>
          </cell>
          <cell r="K2471" t="str">
            <v>PGT-Petroleum Geoscience Technology Ltd. (+2 more)</v>
          </cell>
        </row>
        <row r="2472">
          <cell r="J2472">
            <v>57296991000</v>
          </cell>
          <cell r="K2472" t="str">
            <v>Universidade de São Paulo</v>
          </cell>
        </row>
        <row r="2473">
          <cell r="J2473">
            <v>7003428679</v>
          </cell>
          <cell r="K2473" t="str">
            <v>Universidade Federal do Espírito Santo</v>
          </cell>
        </row>
        <row r="2474">
          <cell r="J2474">
            <v>56817928000</v>
          </cell>
          <cell r="K2474" t="str">
            <v>NIDF (+1 more)</v>
          </cell>
        </row>
        <row r="2475">
          <cell r="J2475">
            <v>25642567100</v>
          </cell>
          <cell r="K2475" t="str">
            <v>Institute of Marine Studies Admiral Paulo Moreira (IEAPM)</v>
          </cell>
        </row>
        <row r="2476">
          <cell r="J2476">
            <v>57641258900</v>
          </cell>
          <cell r="K2476" t="str">
            <v>Universidade Federal de São João del-Rei</v>
          </cell>
        </row>
        <row r="2477">
          <cell r="J2477">
            <v>35578689400</v>
          </cell>
          <cell r="K2477" t="str">
            <v>Petróleo Brasileiro S.A. (+1 more)</v>
          </cell>
        </row>
        <row r="2478">
          <cell r="J2478">
            <v>36091305900</v>
          </cell>
          <cell r="K2478" t="str">
            <v>Federal University of Rio de Janeiro</v>
          </cell>
        </row>
        <row r="2479">
          <cell r="J2479">
            <v>7102981205</v>
          </cell>
          <cell r="K2479" t="str">
            <v>Universidade Federal do Rio Grande do Sul</v>
          </cell>
        </row>
        <row r="2480">
          <cell r="J2480">
            <v>35882060000</v>
          </cell>
          <cell r="K2480" t="str">
            <v>University of São Paulo (+2 more)</v>
          </cell>
        </row>
        <row r="2481">
          <cell r="J2481">
            <v>57215185652</v>
          </cell>
          <cell r="K2481" t="str">
            <v>Instituto Tecnológico da Aeronáutica</v>
          </cell>
        </row>
        <row r="2482">
          <cell r="J2482">
            <v>34770571800</v>
          </cell>
          <cell r="K2482" t="str">
            <v>Federal University of Rio de Janeiro</v>
          </cell>
        </row>
        <row r="2483">
          <cell r="J2483">
            <v>58663224000</v>
          </cell>
          <cell r="K2483" t="str">
            <v>Universidade Federal de Campina Grande</v>
          </cell>
        </row>
        <row r="2484">
          <cell r="J2484">
            <v>57189708662</v>
          </cell>
          <cell r="K2484" t="str">
            <v>Federal University of Rio de Janeiro</v>
          </cell>
        </row>
        <row r="2485">
          <cell r="J2485">
            <v>59251942000</v>
          </cell>
          <cell r="K2485" t="str">
            <v>Universidade de São Paulo</v>
          </cell>
        </row>
        <row r="2486">
          <cell r="J2486">
            <v>60152216300</v>
          </cell>
          <cell r="K2486" t="str">
            <v>Universidade Federal de Goiás</v>
          </cell>
        </row>
        <row r="2487">
          <cell r="J2487">
            <v>56071435800</v>
          </cell>
          <cell r="K2487" t="str">
            <v>Vizlab - X-Reality and GeoInformatics Lab (+1 more)</v>
          </cell>
        </row>
        <row r="2488">
          <cell r="J2488">
            <v>58290618800</v>
          </cell>
          <cell r="K2488" t="str">
            <v>Pontifical Catholic University of Rio de Janeiro (+1 more)</v>
          </cell>
        </row>
        <row r="2489">
          <cell r="J2489">
            <v>57191751426</v>
          </cell>
          <cell r="K2489" t="str">
            <v>University of Campinas</v>
          </cell>
        </row>
        <row r="2490">
          <cell r="J2490">
            <v>57231729300</v>
          </cell>
          <cell r="K2490" t="str">
            <v>Universidade Federal Fluminense</v>
          </cell>
        </row>
        <row r="2491">
          <cell r="J2491">
            <v>57201300226</v>
          </cell>
          <cell r="K2491" t="str">
            <v>Federal University of Rio de Janeiro</v>
          </cell>
        </row>
        <row r="2492">
          <cell r="J2492">
            <v>7202571053</v>
          </cell>
          <cell r="K2492" t="str">
            <v>Petróleo Brasileiro S.A. (+1 more)</v>
          </cell>
        </row>
        <row r="2493">
          <cell r="J2493">
            <v>57194194633</v>
          </cell>
          <cell r="K2493" t="str">
            <v>Paradigm Brazil (+3 more)</v>
          </cell>
        </row>
        <row r="2494">
          <cell r="J2494">
            <v>57203300613</v>
          </cell>
          <cell r="K2494" t="str">
            <v>Universidade do Estado do Rio de Janeiro (+1 more)</v>
          </cell>
        </row>
        <row r="2495">
          <cell r="J2495">
            <v>56013883200</v>
          </cell>
          <cell r="K2495" t="str">
            <v>Universidade Federal do Espírito Santo</v>
          </cell>
        </row>
        <row r="2496">
          <cell r="J2496">
            <v>57069431700</v>
          </cell>
          <cell r="K2496" t="str">
            <v>Paradigm Brazil (+6 more)</v>
          </cell>
        </row>
        <row r="2497">
          <cell r="J2497">
            <v>56341205100</v>
          </cell>
          <cell r="K2497" t="str">
            <v>Universidade Federal do Rio Grande do Sul</v>
          </cell>
        </row>
        <row r="2498">
          <cell r="J2498">
            <v>57214121090</v>
          </cell>
          <cell r="K2498" t="str">
            <v>Universidade de São Paulo (+1 more)</v>
          </cell>
        </row>
        <row r="2499">
          <cell r="J2499">
            <v>23992092500</v>
          </cell>
          <cell r="K2499" t="str">
            <v>Universidade Federal de São João del-Rei</v>
          </cell>
        </row>
        <row r="2500">
          <cell r="J2500">
            <v>58542224800</v>
          </cell>
          <cell r="K2500" t="str">
            <v>Universidade de São Paulo (+1 more)</v>
          </cell>
        </row>
        <row r="2501">
          <cell r="J2501">
            <v>57205403364</v>
          </cell>
          <cell r="K2501" t="str">
            <v>Federal University of Rio de Janeiro</v>
          </cell>
        </row>
        <row r="2502">
          <cell r="J2502">
            <v>57195148246</v>
          </cell>
          <cell r="K2502" t="str">
            <v>Pontifícia Universidade Católica do Rio Grande do Sul</v>
          </cell>
        </row>
        <row r="2503">
          <cell r="J2503">
            <v>59146301200</v>
          </cell>
          <cell r="K2503" t="str">
            <v>Universidade Federal do Rio Grande do Sul</v>
          </cell>
        </row>
        <row r="2504">
          <cell r="J2504">
            <v>16315755600</v>
          </cell>
          <cell r="K2504" t="str">
            <v>Federal University of Rio de Janeiro</v>
          </cell>
        </row>
        <row r="2505">
          <cell r="J2505">
            <v>55804372300</v>
          </cell>
          <cell r="K2505" t="str">
            <v>Universidade Federal Rural do Rio de Janeiro (+1 more)</v>
          </cell>
        </row>
        <row r="2506">
          <cell r="J2506">
            <v>59395914400</v>
          </cell>
          <cell r="K2506" t="str">
            <v>Universidade de São Paulo</v>
          </cell>
        </row>
        <row r="2507">
          <cell r="J2507">
            <v>57214936648</v>
          </cell>
          <cell r="K2507" t="str">
            <v>Universidade Federal de Alagoas</v>
          </cell>
        </row>
        <row r="2508">
          <cell r="J2508">
            <v>8210009300</v>
          </cell>
          <cell r="K2508" t="str">
            <v>Universidade Federal do ABC (+1 more)</v>
          </cell>
        </row>
        <row r="2509">
          <cell r="J2509">
            <v>14821868500</v>
          </cell>
          <cell r="K2509" t="str">
            <v>Universidade Estadual Paulista “Júlio de Mesquita Filho”</v>
          </cell>
        </row>
        <row r="2510">
          <cell r="J2510">
            <v>7004185360</v>
          </cell>
          <cell r="K2510" t="str">
            <v>University of Campinas</v>
          </cell>
        </row>
        <row r="2511">
          <cell r="J2511">
            <v>54959275400</v>
          </cell>
          <cell r="K2511" t="str">
            <v>Universidade de São Paulo</v>
          </cell>
        </row>
        <row r="2512">
          <cell r="J2512">
            <v>57200259626</v>
          </cell>
          <cell r="K2512" t="str">
            <v>Federal University of Rio de Janeiro</v>
          </cell>
        </row>
        <row r="2513">
          <cell r="J2513">
            <v>57672733300</v>
          </cell>
          <cell r="K2513" t="str">
            <v>Universidade Federal de Santa Maria</v>
          </cell>
        </row>
        <row r="2514">
          <cell r="J2514">
            <v>22957824800</v>
          </cell>
          <cell r="K2514" t="str">
            <v>Universidade Federal do Rio Grande do Sul</v>
          </cell>
        </row>
        <row r="2515">
          <cell r="J2515">
            <v>56560066000</v>
          </cell>
          <cell r="K2515" t="str">
            <v>Universidade Federal de Santa Maria</v>
          </cell>
        </row>
        <row r="2516">
          <cell r="J2516">
            <v>57211574877</v>
          </cell>
          <cell r="K2516" t="str">
            <v>Universidade Federal Fluminense</v>
          </cell>
        </row>
        <row r="2517">
          <cell r="J2517">
            <v>15820645600</v>
          </cell>
          <cell r="K2517" t="str">
            <v>Universidade Federal do Espírito Santo</v>
          </cell>
        </row>
        <row r="2518">
          <cell r="J2518">
            <v>57193928519</v>
          </cell>
          <cell r="K2518" t="str">
            <v>Federal University of Rio de Janeiro</v>
          </cell>
        </row>
        <row r="2519">
          <cell r="J2519">
            <v>57195629737</v>
          </cell>
          <cell r="K2519" t="str">
            <v>Engineering Simulation and Scientific Software</v>
          </cell>
        </row>
        <row r="2520">
          <cell r="J2520">
            <v>57216916701</v>
          </cell>
          <cell r="K2520" t="str">
            <v>Pontifical Catholic University of Rio de Janeiro</v>
          </cell>
        </row>
        <row r="2521">
          <cell r="J2521">
            <v>57202776942</v>
          </cell>
          <cell r="K2521" t="str">
            <v>Universidade Federal Rural do Rio de Janeiro</v>
          </cell>
        </row>
        <row r="2522">
          <cell r="J2522">
            <v>57210561192</v>
          </cell>
          <cell r="K2522" t="str">
            <v>Federal University of Rio de Janeiro</v>
          </cell>
        </row>
        <row r="2523">
          <cell r="J2523">
            <v>57191405066</v>
          </cell>
          <cell r="K2523" t="str">
            <v>Federal University of Rio de Janeiro</v>
          </cell>
        </row>
        <row r="2524">
          <cell r="J2524">
            <v>55345345000</v>
          </cell>
          <cell r="K2524" t="str">
            <v>Instituto Instituto Federal de Educação, Ciência e Tecnologia Sul-rio-grandense</v>
          </cell>
        </row>
        <row r="2525">
          <cell r="J2525">
            <v>36015001400</v>
          </cell>
          <cell r="K2525" t="str">
            <v>Universidade Federal do Rio Grande do Sul (+2 more)</v>
          </cell>
        </row>
        <row r="2526">
          <cell r="J2526">
            <v>57193862855</v>
          </cell>
          <cell r="K2526" t="str">
            <v>Universidade Federal de Uberlândia</v>
          </cell>
        </row>
        <row r="2527">
          <cell r="J2527">
            <v>12759359800</v>
          </cell>
          <cell r="K2527" t="str">
            <v>Serviço Nacional de Aprendizagem Industrial</v>
          </cell>
        </row>
        <row r="2528">
          <cell r="J2528">
            <v>56600355100</v>
          </cell>
          <cell r="K2528" t="str">
            <v>Universidade Tecnológica Federal do Paraná</v>
          </cell>
        </row>
        <row r="2529">
          <cell r="J2529">
            <v>57190136212</v>
          </cell>
          <cell r="K2529" t="str">
            <v>Universidade Federal de Minas Gerais (+1 more)</v>
          </cell>
        </row>
        <row r="2530">
          <cell r="J2530">
            <v>8408006800</v>
          </cell>
          <cell r="K2530" t="str">
            <v>Universidade do Estado do Rio de Janeiro (+1 more)</v>
          </cell>
        </row>
        <row r="2531">
          <cell r="J2531">
            <v>55956124700</v>
          </cell>
          <cell r="K2531" t="str">
            <v>Federal University of Rio de Janeiro</v>
          </cell>
        </row>
        <row r="2532">
          <cell r="J2532">
            <v>57218297410</v>
          </cell>
          <cell r="K2532" t="str">
            <v>Federal University of Rio de Janeiro</v>
          </cell>
        </row>
        <row r="2533">
          <cell r="J2533">
            <v>58857939000</v>
          </cell>
          <cell r="K2533" t="str">
            <v>Federal University of Rio de Janeiro</v>
          </cell>
        </row>
        <row r="2534">
          <cell r="J2534">
            <v>56208041500</v>
          </cell>
          <cell r="K2534" t="str">
            <v>Federal University of Rio de Janeiro</v>
          </cell>
        </row>
        <row r="2535">
          <cell r="J2535">
            <v>57193994751</v>
          </cell>
          <cell r="K2535" t="str">
            <v>Federal University of Rio de Janeiro</v>
          </cell>
        </row>
        <row r="2536">
          <cell r="J2536">
            <v>56423215500</v>
          </cell>
          <cell r="K2536" t="str">
            <v>Pontifical Catholic University of Rio de Janeiro (+1 more)</v>
          </cell>
        </row>
        <row r="2537">
          <cell r="J2537">
            <v>16416699300</v>
          </cell>
          <cell r="K2537" t="str">
            <v>National Laboratory for Scientific Computation-LNCC (+1 more)</v>
          </cell>
        </row>
        <row r="2538">
          <cell r="J2538">
            <v>57207754924</v>
          </cell>
          <cell r="K2538" t="str">
            <v>Universidade Federal de Itajubá</v>
          </cell>
        </row>
        <row r="2539">
          <cell r="J2539">
            <v>57202992553</v>
          </cell>
          <cell r="K2539" t="str">
            <v>Federal University of Rio de Janeiro</v>
          </cell>
        </row>
        <row r="2540">
          <cell r="J2540">
            <v>36133080500</v>
          </cell>
          <cell r="K2540" t="str">
            <v>Federal University of Rio de Janeiro</v>
          </cell>
        </row>
        <row r="2541">
          <cell r="J2541">
            <v>57202111174</v>
          </cell>
          <cell r="K2541" t="str">
            <v>Water Services Brazil</v>
          </cell>
        </row>
        <row r="2542">
          <cell r="J2542">
            <v>57189844784</v>
          </cell>
          <cell r="K2542" t="str">
            <v>University of Campinas</v>
          </cell>
        </row>
        <row r="2543">
          <cell r="J2543">
            <v>57191966718</v>
          </cell>
          <cell r="K2543" t="str">
            <v>Universidade Federal do Rio Grande</v>
          </cell>
        </row>
        <row r="2544">
          <cell r="J2544">
            <v>6508331514</v>
          </cell>
          <cell r="K2544" t="str">
            <v>Universidade Estadual Paulista “Júlio de Mesquita Filho”</v>
          </cell>
        </row>
        <row r="2545">
          <cell r="J2545">
            <v>59454523600</v>
          </cell>
          <cell r="K2545" t="str">
            <v>Universidade Estadual Paulista “Júlio de Mesquita Filho”</v>
          </cell>
        </row>
        <row r="2546">
          <cell r="J2546">
            <v>57768306100</v>
          </cell>
          <cell r="K2546" t="str">
            <v>Laboratório Nacional de Computação Científica</v>
          </cell>
        </row>
        <row r="2547">
          <cell r="J2547">
            <v>58265325100</v>
          </cell>
          <cell r="K2547" t="str">
            <v>Federal University of Rio de Janeiro</v>
          </cell>
        </row>
        <row r="2548">
          <cell r="J2548">
            <v>57225841797</v>
          </cell>
          <cell r="K2548" t="str">
            <v>Federal University of Rio de Janeiro</v>
          </cell>
        </row>
        <row r="2549">
          <cell r="J2549">
            <v>7006381779</v>
          </cell>
          <cell r="K2549" t="str">
            <v>Universidade de Brasília</v>
          </cell>
        </row>
        <row r="2550">
          <cell r="J2550">
            <v>23984686500</v>
          </cell>
          <cell r="K2550" t="str">
            <v>Federal University of Rio de Janeiro</v>
          </cell>
        </row>
        <row r="2551">
          <cell r="J2551">
            <v>57911724700</v>
          </cell>
          <cell r="K2551" t="str">
            <v>Federal University of Rio de Janeiro</v>
          </cell>
        </row>
        <row r="2552">
          <cell r="J2552">
            <v>57222020771</v>
          </cell>
          <cell r="K2552" t="str">
            <v>Universidade Federal de Minas Gerais (+2 more)</v>
          </cell>
        </row>
        <row r="2553">
          <cell r="J2553">
            <v>58125955800</v>
          </cell>
          <cell r="K2553" t="str">
            <v>MWERT Consultoria Ltda.</v>
          </cell>
        </row>
        <row r="2554">
          <cell r="J2554">
            <v>55871123021</v>
          </cell>
          <cell r="K2554" t="str">
            <v>Universidade Federal de Pernambuco</v>
          </cell>
        </row>
        <row r="2555">
          <cell r="J2555">
            <v>7004752399</v>
          </cell>
          <cell r="K2555" t="str">
            <v>Federal University of Rio de Janeiro</v>
          </cell>
        </row>
        <row r="2556">
          <cell r="J2556">
            <v>57193698345</v>
          </cell>
          <cell r="K2556" t="str">
            <v>Vizlab - X-Reality and GeoInformatics Lab (+1 more)</v>
          </cell>
        </row>
        <row r="2557">
          <cell r="J2557">
            <v>57190969329</v>
          </cell>
          <cell r="K2557" t="str">
            <v>Federal University of Rio de Janeiro</v>
          </cell>
        </row>
        <row r="2558">
          <cell r="J2558">
            <v>59728945500</v>
          </cell>
          <cell r="K2558" t="str">
            <v>Universidade Federal da Bahia</v>
          </cell>
        </row>
        <row r="2559">
          <cell r="J2559">
            <v>57275067600</v>
          </cell>
          <cell r="K2559" t="str">
            <v>Universidade Tecnológica Federal do Paraná</v>
          </cell>
        </row>
        <row r="2560">
          <cell r="J2560">
            <v>55947617400</v>
          </cell>
          <cell r="K2560" t="str">
            <v>Universidade de São Paulo</v>
          </cell>
        </row>
        <row r="2561">
          <cell r="J2561">
            <v>6602156638</v>
          </cell>
          <cell r="K2561" t="str">
            <v>Fundação Centro Universitário Estadual da Zona Oeste – UEZO</v>
          </cell>
        </row>
        <row r="2562">
          <cell r="J2562">
            <v>23987156400</v>
          </cell>
          <cell r="K2562" t="str">
            <v>University of Campinas (+1 more)</v>
          </cell>
        </row>
        <row r="2563">
          <cell r="J2563">
            <v>8516327900</v>
          </cell>
          <cell r="K2563" t="str">
            <v>Federal University of Rio de Janeiro (+1 more)</v>
          </cell>
        </row>
        <row r="2564">
          <cell r="J2564">
            <v>14631953900</v>
          </cell>
          <cell r="K2564" t="str">
            <v>Universidade de São Paulo</v>
          </cell>
        </row>
        <row r="2565">
          <cell r="J2565">
            <v>60219327300</v>
          </cell>
          <cell r="K2565" t="str">
            <v>University of Campinas</v>
          </cell>
        </row>
        <row r="2566">
          <cell r="J2566">
            <v>55774126800</v>
          </cell>
          <cell r="K2566" t="str">
            <v>Federal University of Rio de Janeiro</v>
          </cell>
        </row>
        <row r="2567">
          <cell r="J2567">
            <v>57202955777</v>
          </cell>
          <cell r="K2567" t="str">
            <v>Universidade de São Paulo</v>
          </cell>
        </row>
        <row r="2568">
          <cell r="J2568">
            <v>57219163940</v>
          </cell>
          <cell r="K2568" t="str">
            <v>Universidade Federal de Pernambuco</v>
          </cell>
        </row>
        <row r="2569">
          <cell r="J2569">
            <v>55773130000</v>
          </cell>
          <cell r="K2569" t="str">
            <v>Universidade Federal do Rio Grande do Sul</v>
          </cell>
        </row>
        <row r="2570">
          <cell r="J2570">
            <v>57209422298</v>
          </cell>
          <cell r="K2570" t="str">
            <v>Pontifícia Universidade Católica do Rio Grande do Sul</v>
          </cell>
        </row>
        <row r="2571">
          <cell r="J2571">
            <v>6603388477</v>
          </cell>
          <cell r="K2571" t="str">
            <v>Federal University of Rio de Janeiro</v>
          </cell>
        </row>
        <row r="2572">
          <cell r="J2572">
            <v>56816973800</v>
          </cell>
          <cell r="K2572" t="str">
            <v>Universidad ECCI (+1 more)</v>
          </cell>
        </row>
        <row r="2573">
          <cell r="J2573">
            <v>56006047700</v>
          </cell>
          <cell r="K2573" t="str">
            <v>Federal University of Santa Catarina</v>
          </cell>
        </row>
        <row r="2574">
          <cell r="J2574">
            <v>23012063300</v>
          </cell>
          <cell r="K2574" t="str">
            <v>Universidade de São Paulo (+1 more)</v>
          </cell>
        </row>
        <row r="2575">
          <cell r="J2575">
            <v>57200937513</v>
          </cell>
          <cell r="K2575" t="str">
            <v>Universidade Federal de Juiz de Fora</v>
          </cell>
        </row>
        <row r="2576">
          <cell r="J2576">
            <v>57920461200</v>
          </cell>
          <cell r="K2576" t="str">
            <v>Universidade Federal do Rio Grande</v>
          </cell>
        </row>
        <row r="2577">
          <cell r="J2577">
            <v>7006106283</v>
          </cell>
          <cell r="K2577" t="str">
            <v>Universidade Federal do Rio Grande</v>
          </cell>
        </row>
        <row r="2578">
          <cell r="J2578">
            <v>6602478604</v>
          </cell>
          <cell r="K2578" t="str">
            <v>Postgraduate Program in Metrology (+1 more)</v>
          </cell>
        </row>
        <row r="2579">
          <cell r="J2579">
            <v>55761525000</v>
          </cell>
          <cell r="K2579" t="str">
            <v>Federal University of Rio de Janeiro</v>
          </cell>
        </row>
        <row r="2580">
          <cell r="J2580">
            <v>36462533600</v>
          </cell>
          <cell r="K2580" t="str">
            <v>University of Campinas (+7 more)</v>
          </cell>
        </row>
        <row r="2581">
          <cell r="J2581">
            <v>55768214000</v>
          </cell>
          <cell r="K2581" t="str">
            <v>Pontifical Catholic University of Rio de Janeiro</v>
          </cell>
        </row>
        <row r="2582">
          <cell r="J2582">
            <v>57222357032</v>
          </cell>
          <cell r="K2582" t="str">
            <v>Federal University of Rio de Janeiro</v>
          </cell>
        </row>
        <row r="2583">
          <cell r="J2583">
            <v>55917330000</v>
          </cell>
          <cell r="K2583" t="str">
            <v>Karlsruhe Institute of Technology (+1 more)</v>
          </cell>
        </row>
        <row r="2584">
          <cell r="J2584">
            <v>57194341996</v>
          </cell>
          <cell r="K2584" t="str">
            <v>Universidade de Passo Fundo</v>
          </cell>
        </row>
        <row r="2585">
          <cell r="J2585">
            <v>7406386406</v>
          </cell>
          <cell r="K2585" t="str">
            <v>Universidade Federal do Rio Grande do Sul</v>
          </cell>
        </row>
        <row r="2586">
          <cell r="J2586">
            <v>58743286000</v>
          </cell>
          <cell r="K2586" t="str">
            <v>University of Campinas</v>
          </cell>
        </row>
        <row r="2587">
          <cell r="J2587">
            <v>55585220300</v>
          </cell>
          <cell r="K2587" t="str">
            <v>Pontifícia Universidade Católica do Rio Grande do Sul</v>
          </cell>
        </row>
        <row r="2588">
          <cell r="J2588">
            <v>6602138143</v>
          </cell>
          <cell r="K2588" t="str">
            <v>Universidade do Estado do Rio de Janeiro</v>
          </cell>
        </row>
        <row r="2589">
          <cell r="J2589">
            <v>57218680582</v>
          </cell>
          <cell r="K2589" t="str">
            <v>Federal University of Santa Catarina</v>
          </cell>
        </row>
        <row r="2590">
          <cell r="J2590">
            <v>35791950200</v>
          </cell>
          <cell r="K2590" t="str">
            <v>Pontifícia Universidade Católica</v>
          </cell>
        </row>
        <row r="2591">
          <cell r="J2591">
            <v>57193570540</v>
          </cell>
          <cell r="K2591" t="str">
            <v>Federal University of Rio de Janeiro</v>
          </cell>
        </row>
        <row r="2592">
          <cell r="J2592">
            <v>56731298400</v>
          </cell>
          <cell r="K2592" t="str">
            <v>Universidade Federal Fluminense (+1 more)</v>
          </cell>
        </row>
        <row r="2593">
          <cell r="J2593">
            <v>7005174217</v>
          </cell>
          <cell r="K2593" t="str">
            <v>Universidade do Estado do Rio de Janeiro (+4 more)</v>
          </cell>
        </row>
        <row r="2594">
          <cell r="J2594">
            <v>57204625430</v>
          </cell>
          <cell r="K2594" t="str">
            <v>Federal University of Rio de Janeiro</v>
          </cell>
        </row>
        <row r="2595">
          <cell r="J2595">
            <v>6603422977</v>
          </cell>
          <cell r="K2595" t="str">
            <v>DEMa</v>
          </cell>
        </row>
        <row r="2596">
          <cell r="J2596">
            <v>57196478134</v>
          </cell>
          <cell r="K2596" t="str">
            <v>Federal University of Rio de Janeiro</v>
          </cell>
        </row>
        <row r="2597">
          <cell r="J2597">
            <v>57350556600</v>
          </cell>
          <cell r="K2597" t="str">
            <v>Universidade Federal do Rio Grande do Norte</v>
          </cell>
        </row>
        <row r="2598">
          <cell r="J2598">
            <v>57203753814</v>
          </cell>
          <cell r="K2598" t="str">
            <v>Federal University of Rio de Janeiro</v>
          </cell>
        </row>
        <row r="2599">
          <cell r="J2599">
            <v>57448571100</v>
          </cell>
          <cell r="K2599" t="str">
            <v>Universidade de Brasília</v>
          </cell>
        </row>
        <row r="2600">
          <cell r="J2600">
            <v>57210707090</v>
          </cell>
          <cell r="K2600" t="str">
            <v>University of Campinas</v>
          </cell>
        </row>
        <row r="2601">
          <cell r="J2601">
            <v>57211480452</v>
          </cell>
          <cell r="K2601" t="str">
            <v>University of Campinas</v>
          </cell>
        </row>
        <row r="2602">
          <cell r="J2602">
            <v>57189851657</v>
          </cell>
          <cell r="K2602" t="str">
            <v>University of Campinas (+1 more)</v>
          </cell>
        </row>
        <row r="2603">
          <cell r="J2603">
            <v>6602676473</v>
          </cell>
          <cell r="K2603" t="str">
            <v>Universidade Estadual Paulista “Júlio de Mesquita Filho”</v>
          </cell>
        </row>
        <row r="2604">
          <cell r="J2604">
            <v>56268429300</v>
          </cell>
          <cell r="K2604" t="str">
            <v>Universidade Federal do Rio Grande do Sul</v>
          </cell>
        </row>
        <row r="2605">
          <cell r="J2605">
            <v>25027672500</v>
          </cell>
          <cell r="K2605" t="str">
            <v>Universidade Federal do Ceará</v>
          </cell>
        </row>
        <row r="2606">
          <cell r="J2606">
            <v>56529162500</v>
          </cell>
          <cell r="K2606" t="str">
            <v>PGS</v>
          </cell>
        </row>
        <row r="2607">
          <cell r="J2607">
            <v>57194183597</v>
          </cell>
          <cell r="K2607" t="str">
            <v>Universidade Federal do Rio Grande do Sul</v>
          </cell>
        </row>
        <row r="2608">
          <cell r="J2608">
            <v>57201407200</v>
          </cell>
          <cell r="K2608" t="str">
            <v>Universidade Federal do Paraná</v>
          </cell>
        </row>
        <row r="2609">
          <cell r="J2609">
            <v>57189063036</v>
          </cell>
          <cell r="K2609" t="str">
            <v>Universidade Federal de Santa Maria</v>
          </cell>
        </row>
        <row r="2610">
          <cell r="J2610">
            <v>57219657783</v>
          </cell>
          <cell r="K2610" t="str">
            <v>Universidade Federal do Rio Grande do Sul</v>
          </cell>
        </row>
        <row r="2611">
          <cell r="J2611">
            <v>8505775600</v>
          </cell>
          <cell r="K2611" t="str">
            <v>Universidade Federal do ABC</v>
          </cell>
        </row>
        <row r="2612">
          <cell r="J2612">
            <v>55859641900</v>
          </cell>
          <cell r="K2612" t="str">
            <v>Federal University of Rio de Janeiro</v>
          </cell>
        </row>
        <row r="2613">
          <cell r="J2613">
            <v>57191490911</v>
          </cell>
          <cell r="K2613" t="str">
            <v>Federal University of Rio de Janeiro</v>
          </cell>
        </row>
        <row r="2614">
          <cell r="J2614">
            <v>58632515000</v>
          </cell>
          <cell r="K2614" t="str">
            <v>Universidade Federal de Campina Grande</v>
          </cell>
        </row>
        <row r="2615">
          <cell r="J2615">
            <v>57210920444</v>
          </cell>
          <cell r="K2615" t="str">
            <v>X-Reality GeoInformatics Lab Unisinos University (+2 more)</v>
          </cell>
        </row>
        <row r="2616">
          <cell r="J2616">
            <v>7101607841</v>
          </cell>
          <cell r="K2616" t="str">
            <v>Universidade Federal de Pernambuco (+2 more)</v>
          </cell>
        </row>
        <row r="2617">
          <cell r="J2617">
            <v>58529194000</v>
          </cell>
          <cell r="K2617" t="str">
            <v>Universidade do Estado do Rio de Janeiro</v>
          </cell>
        </row>
        <row r="2618">
          <cell r="J2618">
            <v>8605965900</v>
          </cell>
          <cell r="K2618" t="str">
            <v>Federal University of Rio de Janeiro</v>
          </cell>
        </row>
        <row r="2619">
          <cell r="J2619">
            <v>59455304100</v>
          </cell>
          <cell r="K2619" t="str">
            <v>Vizlab - X-Reality and GeoInformatics Lab</v>
          </cell>
        </row>
        <row r="2620">
          <cell r="J2620">
            <v>57219592050</v>
          </cell>
          <cell r="K2620" t="str">
            <v>Federal University of Rio de Janeiro</v>
          </cell>
        </row>
        <row r="2621">
          <cell r="J2621">
            <v>6507026791</v>
          </cell>
          <cell r="K2621" t="str">
            <v>Petróleo Brasileiro S.A. (+1 more)</v>
          </cell>
        </row>
        <row r="2622">
          <cell r="J2622">
            <v>23004620800</v>
          </cell>
          <cell r="K2622" t="str">
            <v>Universidade Federal de Minas Gerais</v>
          </cell>
        </row>
        <row r="2623">
          <cell r="J2623">
            <v>33367693000</v>
          </cell>
          <cell r="K2623" t="str">
            <v>Universidade Estadual de Ponta Grossa (+1 more)</v>
          </cell>
        </row>
        <row r="2624">
          <cell r="J2624">
            <v>7401644666</v>
          </cell>
          <cell r="K2624" t="str">
            <v>Federal University of Rio de Janeiro</v>
          </cell>
        </row>
        <row r="2625">
          <cell r="J2625">
            <v>57196403244</v>
          </cell>
          <cell r="K2625" t="str">
            <v>Universidade de São Paulo</v>
          </cell>
        </row>
        <row r="2626">
          <cell r="J2626">
            <v>57211439519</v>
          </cell>
          <cell r="K2626" t="str">
            <v>Universidade Federal do Rio Grande do Sul</v>
          </cell>
        </row>
        <row r="2627">
          <cell r="J2627">
            <v>56857349400</v>
          </cell>
          <cell r="K2627" t="str">
            <v>Federal University of Santa Catarina</v>
          </cell>
        </row>
        <row r="2628">
          <cell r="J2628">
            <v>58165526500</v>
          </cell>
          <cell r="K2628" t="str">
            <v>Universidade Federal Rural do Rio de Janeiro</v>
          </cell>
        </row>
        <row r="2629">
          <cell r="J2629">
            <v>57837077800</v>
          </cell>
          <cell r="K2629" t="str">
            <v>Vizlab - X-Reality and GeoInformatics Lab</v>
          </cell>
        </row>
        <row r="2630">
          <cell r="J2630">
            <v>57210649878</v>
          </cell>
          <cell r="K2630" t="str">
            <v>Pontifical Catholic University of Rio de Janeiro</v>
          </cell>
        </row>
        <row r="2631">
          <cell r="J2631">
            <v>38861886000</v>
          </cell>
          <cell r="K2631" t="str">
            <v>University of Campinas</v>
          </cell>
        </row>
        <row r="2632">
          <cell r="J2632">
            <v>57217107695</v>
          </cell>
          <cell r="K2632" t="str">
            <v>Serviço Nacional de Aprendizagem Industrial</v>
          </cell>
        </row>
        <row r="2633">
          <cell r="J2633">
            <v>12242439200</v>
          </cell>
          <cell r="K2633" t="str">
            <v>Pontifícia Universidade Católica do Rio Grande do Sul</v>
          </cell>
        </row>
        <row r="2634">
          <cell r="J2634">
            <v>56289653500</v>
          </cell>
          <cell r="K2634" t="str">
            <v>Universidade de Caxias do Sul</v>
          </cell>
        </row>
        <row r="2635">
          <cell r="J2635">
            <v>7004904297</v>
          </cell>
          <cell r="K2635" t="str">
            <v>University of Campinas</v>
          </cell>
        </row>
        <row r="2636">
          <cell r="J2636">
            <v>55307488900</v>
          </cell>
          <cell r="K2636" t="str">
            <v>Vizlab - X-Reality and GeoInformatics Lab (+2 more)</v>
          </cell>
        </row>
        <row r="2637">
          <cell r="J2637">
            <v>26026337800</v>
          </cell>
          <cell r="K2637" t="str">
            <v>Pontifical Catholic University of Rio de Janeiro</v>
          </cell>
        </row>
        <row r="2638">
          <cell r="J2638">
            <v>23012139000</v>
          </cell>
          <cell r="K2638" t="str">
            <v>Universidade Federal de Minas Gerais</v>
          </cell>
        </row>
        <row r="2639">
          <cell r="J2639">
            <v>57209010233</v>
          </cell>
          <cell r="K2639" t="str">
            <v>Universidade Estadual Paulista “Júlio de Mesquita Filho”</v>
          </cell>
        </row>
        <row r="2640">
          <cell r="J2640">
            <v>58677572600</v>
          </cell>
          <cell r="K2640" t="str">
            <v>Universidade Federal Fluminense</v>
          </cell>
        </row>
        <row r="2641">
          <cell r="J2641">
            <v>57197823435</v>
          </cell>
          <cell r="K2641" t="str">
            <v>Pontifical Catholic University of Rio de Janeiro</v>
          </cell>
        </row>
        <row r="2642">
          <cell r="J2642">
            <v>7006826636</v>
          </cell>
          <cell r="K2642" t="str">
            <v>Universidade Federal de Juiz de Fora</v>
          </cell>
        </row>
        <row r="2643">
          <cell r="J2643">
            <v>7102943662</v>
          </cell>
          <cell r="K2643" t="str">
            <v>Federal University of Rio de Janeiro</v>
          </cell>
        </row>
        <row r="2644">
          <cell r="J2644">
            <v>22834812500</v>
          </cell>
          <cell r="K2644" t="str">
            <v>Universidade Federal do Rio Grande do Sul</v>
          </cell>
        </row>
        <row r="2645">
          <cell r="J2645">
            <v>11739487200</v>
          </cell>
          <cell r="K2645" t="str">
            <v>Universidade Federal do Rio Grande do Sul</v>
          </cell>
        </row>
        <row r="2646">
          <cell r="J2646">
            <v>57193750121</v>
          </cell>
          <cell r="K2646" t="str">
            <v>University of Campinas</v>
          </cell>
        </row>
        <row r="2647">
          <cell r="J2647">
            <v>6508061491</v>
          </cell>
          <cell r="K2647" t="str">
            <v>Universidade Federal de Uberlândia</v>
          </cell>
        </row>
        <row r="2648">
          <cell r="J2648">
            <v>57458307300</v>
          </cell>
          <cell r="K2648" t="str">
            <v>Universidade Tecnológica Federal do Paraná (+1 more)</v>
          </cell>
        </row>
        <row r="2649">
          <cell r="J2649">
            <v>43061238800</v>
          </cell>
          <cell r="K2649" t="str">
            <v>Universidade Federal do Paraná (+1 more)</v>
          </cell>
        </row>
        <row r="2650">
          <cell r="J2650">
            <v>6506859039</v>
          </cell>
          <cell r="K2650" t="str">
            <v>Universidade de São Paulo</v>
          </cell>
        </row>
        <row r="2651">
          <cell r="J2651">
            <v>23090642200</v>
          </cell>
          <cell r="K2651" t="str">
            <v>Universidade de São Paulo (+1 more)</v>
          </cell>
        </row>
        <row r="2652">
          <cell r="J2652">
            <v>13608254900</v>
          </cell>
          <cell r="K2652" t="str">
            <v>Empresa Brasileira de Pesquisa Agropecuária</v>
          </cell>
        </row>
        <row r="2653">
          <cell r="J2653">
            <v>57201419823</v>
          </cell>
          <cell r="K2653" t="str">
            <v>Intech Engenharia Ltda</v>
          </cell>
        </row>
        <row r="2654">
          <cell r="J2654">
            <v>57202872055</v>
          </cell>
          <cell r="K2654" t="str">
            <v>Universidade Federal do Espírito Santo (+1 more)</v>
          </cell>
        </row>
        <row r="2655">
          <cell r="J2655">
            <v>55043216900</v>
          </cell>
          <cell r="K2655" t="str">
            <v>Federal University of Rio de Janeiro</v>
          </cell>
        </row>
        <row r="2656">
          <cell r="J2656">
            <v>57191036335</v>
          </cell>
          <cell r="K2656" t="str">
            <v>Directorate of Hydrography and Navigation (DHN)</v>
          </cell>
        </row>
        <row r="2657">
          <cell r="J2657">
            <v>6602116500</v>
          </cell>
          <cell r="K2657" t="str">
            <v>Universidade Federal do Rio Grande do Sul</v>
          </cell>
        </row>
        <row r="2658">
          <cell r="J2658">
            <v>57194794443</v>
          </cell>
          <cell r="K2658" t="str">
            <v>Instituto Nacional de Pesquisas Espaciais</v>
          </cell>
        </row>
        <row r="2659">
          <cell r="J2659">
            <v>56505319400</v>
          </cell>
          <cell r="K2659" t="str">
            <v>Pontifical Catholic University of Rio de Janeiro</v>
          </cell>
        </row>
        <row r="2660">
          <cell r="J2660">
            <v>56431173500</v>
          </cell>
          <cell r="K2660" t="str">
            <v>University of Campinas</v>
          </cell>
        </row>
        <row r="2661">
          <cell r="J2661">
            <v>57118105800</v>
          </cell>
          <cell r="K2661" t="str">
            <v>Federal University of Santa Catarina</v>
          </cell>
        </row>
        <row r="2662">
          <cell r="J2662">
            <v>59204242400</v>
          </cell>
          <cell r="K2662" t="str">
            <v>Pontifical Catholic University of Rio de Janeiro</v>
          </cell>
        </row>
        <row r="2663">
          <cell r="J2663">
            <v>57219295509</v>
          </cell>
          <cell r="K2663" t="str">
            <v>Federal University of Rio de Janeiro</v>
          </cell>
        </row>
        <row r="2664">
          <cell r="J2664">
            <v>57201423729</v>
          </cell>
          <cell r="K2664" t="str">
            <v>Vallourec Soluções Tubulares do Brasil (+2 more)</v>
          </cell>
        </row>
        <row r="2665">
          <cell r="J2665">
            <v>7102271602</v>
          </cell>
          <cell r="K2665" t="str">
            <v>Centro Federal de Educação Tecnológica Celso Suckow da Fonseca (CEFET-RJ)</v>
          </cell>
        </row>
        <row r="2666">
          <cell r="J2666">
            <v>59363955300</v>
          </cell>
          <cell r="K2666" t="str">
            <v>Universidade Federal de Minas Gerais</v>
          </cell>
        </row>
        <row r="2667">
          <cell r="J2667">
            <v>36994356200</v>
          </cell>
          <cell r="K2667" t="str">
            <v>Fundação Gorceix</v>
          </cell>
        </row>
        <row r="2668">
          <cell r="J2668">
            <v>59161706200</v>
          </cell>
          <cell r="K2668" t="str">
            <v>Federal University of Rio de Janeiro</v>
          </cell>
        </row>
        <row r="2669">
          <cell r="J2669">
            <v>58837446600</v>
          </cell>
          <cell r="K2669" t="str">
            <v>University of Campinas</v>
          </cell>
        </row>
        <row r="2670">
          <cell r="J2670">
            <v>56023240800</v>
          </cell>
          <cell r="K2670" t="str">
            <v>Federal University of Rio de Janeiro</v>
          </cell>
        </row>
        <row r="2671">
          <cell r="J2671">
            <v>21734930800</v>
          </cell>
          <cell r="K2671" t="str">
            <v>Universidade de São Paulo</v>
          </cell>
        </row>
        <row r="2672">
          <cell r="J2672">
            <v>8337108300</v>
          </cell>
          <cell r="K2672" t="str">
            <v>Universidade de São Paulo</v>
          </cell>
        </row>
        <row r="2673">
          <cell r="J2673">
            <v>57216565567</v>
          </cell>
          <cell r="K2673" t="str">
            <v>Universidade Federal do ABC</v>
          </cell>
        </row>
        <row r="2674">
          <cell r="J2674">
            <v>59895021500</v>
          </cell>
          <cell r="K2674" t="str">
            <v>Universidade Federal de Alagoas</v>
          </cell>
        </row>
        <row r="2675">
          <cell r="J2675">
            <v>57197744468</v>
          </cell>
          <cell r="K2675" t="str">
            <v>Universidade Federal do Rio Grande do Sul</v>
          </cell>
        </row>
        <row r="2676">
          <cell r="J2676">
            <v>57223208286</v>
          </cell>
          <cell r="K2676" t="str">
            <v>Universidade Federal de São João del-Rei</v>
          </cell>
        </row>
        <row r="2677">
          <cell r="J2677">
            <v>54403852700</v>
          </cell>
          <cell r="K2677" t="str">
            <v>Universidade do Estado do Rio de Janeiro (+2 more)</v>
          </cell>
        </row>
        <row r="2678">
          <cell r="J2678">
            <v>6506117713</v>
          </cell>
          <cell r="K2678" t="str">
            <v>Universidade Tecnológica Federal do Paraná</v>
          </cell>
        </row>
        <row r="2679">
          <cell r="J2679">
            <v>34978335300</v>
          </cell>
          <cell r="K2679" t="str">
            <v>Universidade Federal de Campina Grande</v>
          </cell>
        </row>
        <row r="2680">
          <cell r="J2680">
            <v>58888301700</v>
          </cell>
          <cell r="K2680" t="str">
            <v>Universidade Federal de Campina Grande</v>
          </cell>
        </row>
        <row r="2681">
          <cell r="J2681">
            <v>56779776600</v>
          </cell>
          <cell r="K2681" t="str">
            <v>Universidade do Estado do Rio de Janeiro (+1 more)</v>
          </cell>
        </row>
        <row r="2682">
          <cell r="J2682">
            <v>35310606700</v>
          </cell>
          <cell r="K2682" t="str">
            <v>Federal University of Rio de Janeiro</v>
          </cell>
        </row>
        <row r="2683">
          <cell r="J2683">
            <v>26767774200</v>
          </cell>
          <cell r="K2683" t="str">
            <v>Universidade Federal de Viçosa</v>
          </cell>
        </row>
        <row r="2684">
          <cell r="J2684">
            <v>56902376500</v>
          </cell>
          <cell r="K2684" t="str">
            <v>University of Wolverhampton (+1 more)</v>
          </cell>
        </row>
        <row r="2685">
          <cell r="J2685">
            <v>59532717200</v>
          </cell>
          <cell r="K2685" t="str">
            <v>Universidade Federal Fluminense</v>
          </cell>
        </row>
        <row r="2686">
          <cell r="J2686">
            <v>60015246400</v>
          </cell>
          <cell r="K2686" t="str">
            <v>Universidade Federal de Itajubá</v>
          </cell>
        </row>
        <row r="2687">
          <cell r="J2687">
            <v>57565143700</v>
          </cell>
          <cell r="K2687" t="str">
            <v>Pontifical Catholic University of Rio de Janeiro</v>
          </cell>
        </row>
        <row r="2688">
          <cell r="J2688">
            <v>59673234600</v>
          </cell>
          <cell r="K2688" t="str">
            <v>University of Campinas</v>
          </cell>
        </row>
        <row r="2689">
          <cell r="J2689">
            <v>57970431400</v>
          </cell>
          <cell r="K2689" t="str">
            <v>Universidade de São Paulo</v>
          </cell>
        </row>
        <row r="2690">
          <cell r="J2690">
            <v>59157835400</v>
          </cell>
          <cell r="K2690" t="str">
            <v>Universidade Federal da Bahia</v>
          </cell>
        </row>
        <row r="2691">
          <cell r="J2691">
            <v>7201498168</v>
          </cell>
          <cell r="K2691" t="str">
            <v>Universidade de São Paulo</v>
          </cell>
        </row>
        <row r="2692">
          <cell r="J2692">
            <v>58806175000</v>
          </cell>
          <cell r="K2692" t="str">
            <v>Universidade de São Paulo</v>
          </cell>
        </row>
        <row r="2693">
          <cell r="J2693">
            <v>59209689300</v>
          </cell>
          <cell r="K2693" t="str">
            <v>IFC</v>
          </cell>
        </row>
        <row r="2694">
          <cell r="J2694">
            <v>57219617978</v>
          </cell>
          <cell r="K2694" t="str">
            <v>Universidade Federal do Espírito Santo</v>
          </cell>
        </row>
        <row r="2695">
          <cell r="J2695">
            <v>57208426701</v>
          </cell>
          <cell r="K2695" t="str">
            <v>Universidade Federal do Rio Grande do Sul</v>
          </cell>
        </row>
        <row r="2696">
          <cell r="J2696">
            <v>60140418200</v>
          </cell>
          <cell r="K2696" t="str">
            <v>Universidade Tecnológica Federal do Paraná</v>
          </cell>
        </row>
        <row r="2697">
          <cell r="J2697">
            <v>57796198300</v>
          </cell>
          <cell r="K2697" t="str">
            <v>Universidade Federal do Rio Grande do Sul</v>
          </cell>
        </row>
        <row r="2698">
          <cell r="J2698">
            <v>23100487900</v>
          </cell>
          <cell r="K2698" t="str">
            <v>Federal University of Rio de Janeiro</v>
          </cell>
        </row>
        <row r="2699">
          <cell r="J2699">
            <v>57208555073</v>
          </cell>
          <cell r="K2699" t="str">
            <v>Universidade Federal Rural do Rio de Janeiro</v>
          </cell>
        </row>
        <row r="2700">
          <cell r="J2700">
            <v>57205290499</v>
          </cell>
          <cell r="K2700" t="str">
            <v>Pontifical Catholic University of Rio de Janeiro</v>
          </cell>
        </row>
        <row r="2701">
          <cell r="J2701">
            <v>7101865491</v>
          </cell>
          <cell r="K2701" t="str">
            <v>Federal University of Rio de Janeiro</v>
          </cell>
        </row>
        <row r="2702">
          <cell r="J2702">
            <v>57435455500</v>
          </cell>
          <cell r="K2702" t="str">
            <v>Federal University of Rio de Janeiro</v>
          </cell>
        </row>
        <row r="2703">
          <cell r="J2703">
            <v>57190574202</v>
          </cell>
          <cell r="K2703" t="str">
            <v>Universidade Tecnológica Federal do Paraná (+2 more)</v>
          </cell>
        </row>
        <row r="2704">
          <cell r="J2704">
            <v>25121112300</v>
          </cell>
          <cell r="K2704" t="str">
            <v>Universidade Federal do Sul da Bahia (+1 more)</v>
          </cell>
        </row>
        <row r="2705">
          <cell r="J2705">
            <v>8288075800</v>
          </cell>
          <cell r="K2705" t="str">
            <v>Pontifical Catholic University of Rio de Janeiro</v>
          </cell>
        </row>
        <row r="2706">
          <cell r="J2706">
            <v>15119184600</v>
          </cell>
          <cell r="K2706" t="str">
            <v>Federal University of Rio de Janeiro</v>
          </cell>
        </row>
        <row r="2707">
          <cell r="J2707">
            <v>22635029200</v>
          </cell>
          <cell r="K2707" t="str">
            <v>Instituto Nacional de Pesquisas Espaciais</v>
          </cell>
        </row>
        <row r="2708">
          <cell r="J2708">
            <v>57202385767</v>
          </cell>
          <cell r="K2708" t="str">
            <v>Universidade Federal Fluminense</v>
          </cell>
        </row>
        <row r="2709">
          <cell r="J2709">
            <v>57192897563</v>
          </cell>
          <cell r="K2709" t="str">
            <v>Universidade Federal do Rio Grande do Sul (+1 more)</v>
          </cell>
        </row>
        <row r="2710">
          <cell r="J2710">
            <v>54793060200</v>
          </cell>
          <cell r="K2710" t="str">
            <v>University of Campinas</v>
          </cell>
        </row>
        <row r="2711">
          <cell r="J2711">
            <v>57200605164</v>
          </cell>
          <cell r="K2711" t="str">
            <v>Vizlab - X-Reality and GeoInformatics Lab (+1 more)</v>
          </cell>
        </row>
        <row r="2712">
          <cell r="J2712">
            <v>8360555800</v>
          </cell>
          <cell r="K2712" t="str">
            <v>Universidade Federal de Minas Gerais</v>
          </cell>
        </row>
        <row r="2713">
          <cell r="J2713">
            <v>57199402743</v>
          </cell>
          <cell r="K2713" t="str">
            <v>Universidade Tecnológica Federal do Paraná (+1 more)</v>
          </cell>
        </row>
        <row r="2714">
          <cell r="J2714">
            <v>57201799238</v>
          </cell>
          <cell r="K2714" t="str">
            <v>Federal University of Rio de Janeiro</v>
          </cell>
        </row>
        <row r="2715">
          <cell r="J2715">
            <v>55884055100</v>
          </cell>
          <cell r="K2715" t="str">
            <v>Pontifical Catholic University of Rio de Janeiro (+1 more)</v>
          </cell>
        </row>
        <row r="2716">
          <cell r="J2716">
            <v>24480919600</v>
          </cell>
          <cell r="K2716" t="str">
            <v>Institute of Marine Studies Admiral Paulo Moreira (IEAPM)</v>
          </cell>
        </row>
        <row r="2717">
          <cell r="J2717">
            <v>7005972802</v>
          </cell>
          <cell r="K2717" t="str">
            <v>Universidade Federal de Viçosa</v>
          </cell>
        </row>
        <row r="2718">
          <cell r="J2718">
            <v>55542477300</v>
          </cell>
          <cell r="K2718" t="str">
            <v>Centro Nacional de Pesquisa em Energia e Materiais</v>
          </cell>
        </row>
        <row r="2719">
          <cell r="J2719">
            <v>16402325600</v>
          </cell>
          <cell r="K2719" t="str">
            <v>Universidade de São Paulo</v>
          </cell>
        </row>
        <row r="2720">
          <cell r="J2720">
            <v>6701469408</v>
          </cell>
          <cell r="K2720" t="str">
            <v>Centro de Pesquisas Geocronológicas</v>
          </cell>
        </row>
        <row r="2721">
          <cell r="J2721">
            <v>57202020791</v>
          </cell>
          <cell r="K2721" t="str">
            <v>Federal University of Rio de Janeiro</v>
          </cell>
        </row>
        <row r="2722">
          <cell r="J2722">
            <v>6603724483</v>
          </cell>
          <cell r="K2722" t="str">
            <v>Universidade Federal de Pernambuco</v>
          </cell>
        </row>
        <row r="2723">
          <cell r="J2723">
            <v>57208525998</v>
          </cell>
          <cell r="K2723" t="str">
            <v>Trisolutions Soluções em Engenharia</v>
          </cell>
        </row>
        <row r="2724">
          <cell r="J2724">
            <v>57205122227</v>
          </cell>
          <cell r="K2724" t="str">
            <v>Universidade de São Paulo</v>
          </cell>
        </row>
        <row r="2725">
          <cell r="J2725">
            <v>57686403900</v>
          </cell>
          <cell r="K2725" t="str">
            <v>Universidade Federal de Mato Grosso do Sul</v>
          </cell>
        </row>
        <row r="2726">
          <cell r="J2726">
            <v>7102832419</v>
          </cell>
          <cell r="K2726" t="str">
            <v>Vizlab - X-Reality and GeoInformatics Lab (+1 more)</v>
          </cell>
        </row>
        <row r="2727">
          <cell r="J2727">
            <v>56287319500</v>
          </cell>
          <cell r="K2727" t="str">
            <v>Federal University of Rio de Janeiro (+1 more)</v>
          </cell>
        </row>
        <row r="2728">
          <cell r="J2728">
            <v>57204430782</v>
          </cell>
          <cell r="K2728" t="str">
            <v>Universidade Federal do Rio Grande do Sul</v>
          </cell>
        </row>
        <row r="2729">
          <cell r="J2729">
            <v>6506293921</v>
          </cell>
          <cell r="K2729" t="str">
            <v>Universidade do Estado do Rio de Janeiro (+2 more)</v>
          </cell>
        </row>
        <row r="2730">
          <cell r="J2730">
            <v>57201399833</v>
          </cell>
          <cell r="K2730" t="str">
            <v>IMC Saste</v>
          </cell>
        </row>
        <row r="2731">
          <cell r="J2731">
            <v>59461130600</v>
          </cell>
          <cell r="K2731" t="str">
            <v>Pontifícia Universidade Católica do Rio Grande do Sul</v>
          </cell>
        </row>
        <row r="2732">
          <cell r="J2732">
            <v>59188505100</v>
          </cell>
          <cell r="K2732" t="str">
            <v>Universidade Federal do Rio Grande do Sul</v>
          </cell>
        </row>
        <row r="2733">
          <cell r="J2733">
            <v>57207855609</v>
          </cell>
          <cell r="K2733" t="str">
            <v>Universidade Federal do Rio Grande do Sul</v>
          </cell>
        </row>
        <row r="2734">
          <cell r="J2734">
            <v>7006342287</v>
          </cell>
          <cell r="K2734" t="str">
            <v>DEMa</v>
          </cell>
        </row>
        <row r="2735">
          <cell r="J2735">
            <v>35085208800</v>
          </cell>
          <cell r="K2735" t="str">
            <v>Universidade Federal de Mato Grosso do Sul</v>
          </cell>
        </row>
        <row r="2736">
          <cell r="J2736">
            <v>58178738200</v>
          </cell>
          <cell r="K2736" t="str">
            <v>University of Campinas</v>
          </cell>
        </row>
        <row r="2737">
          <cell r="J2737">
            <v>57024210600</v>
          </cell>
          <cell r="K2737" t="str">
            <v>Universidade Federal de Uberlândia</v>
          </cell>
        </row>
        <row r="2738">
          <cell r="J2738">
            <v>8752692700</v>
          </cell>
          <cell r="K2738" t="str">
            <v>DEMa</v>
          </cell>
        </row>
        <row r="2739">
          <cell r="J2739">
            <v>57668047800</v>
          </cell>
          <cell r="K2739" t="str">
            <v>Centro Brasileiro de Pesquisas Físicas</v>
          </cell>
        </row>
        <row r="2740">
          <cell r="J2740">
            <v>56494083800</v>
          </cell>
          <cell r="K2740" t="str">
            <v>Federal University of Rio de Janeiro</v>
          </cell>
        </row>
        <row r="2741">
          <cell r="J2741">
            <v>57192919211</v>
          </cell>
          <cell r="K2741" t="str">
            <v>Federal University of Santa Catarina</v>
          </cell>
        </row>
        <row r="2742">
          <cell r="J2742">
            <v>6506326751</v>
          </cell>
          <cell r="K2742" t="str">
            <v>University of Campinas (+1 more)</v>
          </cell>
        </row>
        <row r="2743">
          <cell r="J2743">
            <v>57210191911</v>
          </cell>
          <cell r="K2743" t="str">
            <v>Laboratório Nacional de Computação Científica</v>
          </cell>
        </row>
        <row r="2744">
          <cell r="J2744">
            <v>7005366522</v>
          </cell>
          <cell r="K2744" t="str">
            <v>Universidade Federal Fluminense</v>
          </cell>
        </row>
        <row r="2745">
          <cell r="J2745">
            <v>37039716800</v>
          </cell>
          <cell r="K2745" t="str">
            <v>Vizlab - X-Reality and GeoInformatics Lab</v>
          </cell>
        </row>
        <row r="2746">
          <cell r="J2746">
            <v>57200604893</v>
          </cell>
          <cell r="K2746" t="str">
            <v>Universidade de São Paulo</v>
          </cell>
        </row>
        <row r="2747">
          <cell r="J2747">
            <v>56740642300</v>
          </cell>
          <cell r="K2747" t="str">
            <v>Universidade Federal do Espírito Santo</v>
          </cell>
        </row>
        <row r="2748">
          <cell r="J2748">
            <v>6701418227</v>
          </cell>
          <cell r="K2748" t="str">
            <v>Universidade Federal do Rio Grande do Sul</v>
          </cell>
        </row>
        <row r="2749">
          <cell r="J2749">
            <v>56228614100</v>
          </cell>
          <cell r="K2749" t="str">
            <v>DEMa</v>
          </cell>
        </row>
        <row r="2750">
          <cell r="J2750">
            <v>57014325900</v>
          </cell>
          <cell r="K2750" t="str">
            <v>Pontifical Catholic University of Rio de Janeiro</v>
          </cell>
        </row>
        <row r="2751">
          <cell r="J2751">
            <v>34977020900</v>
          </cell>
          <cell r="K2751" t="str">
            <v>University of Campinas (+1 more)</v>
          </cell>
        </row>
        <row r="2752">
          <cell r="J2752">
            <v>57193689742</v>
          </cell>
          <cell r="K2752" t="str">
            <v>Vizlab - X-Reality and GeoInformatics Lab</v>
          </cell>
        </row>
        <row r="2753">
          <cell r="J2753">
            <v>57188991908</v>
          </cell>
          <cell r="K2753" t="str">
            <v>Federal University of Rio de Janeiro</v>
          </cell>
        </row>
        <row r="2754">
          <cell r="J2754">
            <v>56362755700</v>
          </cell>
          <cell r="K2754" t="str">
            <v>Vizlab - X-Reality and GeoInformatics Lab</v>
          </cell>
        </row>
        <row r="2755">
          <cell r="J2755">
            <v>7004185972</v>
          </cell>
          <cell r="K2755" t="str">
            <v>Universidade Federal de Minas Gerais</v>
          </cell>
        </row>
        <row r="2756">
          <cell r="J2756">
            <v>57219047291</v>
          </cell>
          <cell r="K2756" t="str">
            <v>Universidade Federal do Ceará</v>
          </cell>
        </row>
        <row r="2757">
          <cell r="J2757">
            <v>57212537690</v>
          </cell>
          <cell r="K2757" t="str">
            <v>Vizlab - X-Reality and GeoInformatics Lab</v>
          </cell>
        </row>
        <row r="2758">
          <cell r="J2758">
            <v>55922248500</v>
          </cell>
          <cell r="K2758" t="str">
            <v>Physical Metallurgy Laboratory (+1 more)</v>
          </cell>
        </row>
        <row r="2759">
          <cell r="J2759">
            <v>49361645300</v>
          </cell>
          <cell r="K2759" t="str">
            <v>Universidade Federal dos Vales do Jequitinhonha e Mucuri (+1 more)</v>
          </cell>
        </row>
        <row r="2760">
          <cell r="J2760">
            <v>11139690300</v>
          </cell>
          <cell r="K2760" t="str">
            <v>Universidade Federal do Rio Grande do Sul</v>
          </cell>
        </row>
        <row r="2761">
          <cell r="J2761">
            <v>59921139300</v>
          </cell>
          <cell r="K2761" t="str">
            <v>Universidade Federal do Oeste da Bahia</v>
          </cell>
        </row>
        <row r="2762">
          <cell r="J2762">
            <v>57223403908</v>
          </cell>
          <cell r="K2762" t="str">
            <v>Federal University of Santa Catarina</v>
          </cell>
        </row>
        <row r="2763">
          <cell r="J2763">
            <v>57194704943</v>
          </cell>
          <cell r="K2763" t="str">
            <v>Universidade Federal Rural do Rio de Janeiro (+1 more)</v>
          </cell>
        </row>
        <row r="2764">
          <cell r="J2764">
            <v>56052881600</v>
          </cell>
          <cell r="K2764" t="str">
            <v>Universidade de São Paulo</v>
          </cell>
        </row>
        <row r="2765">
          <cell r="J2765">
            <v>57193709742</v>
          </cell>
          <cell r="K2765" t="str">
            <v>Vizlab - X-Reality and GeoInformatics Lab (+1 more)</v>
          </cell>
        </row>
        <row r="2766">
          <cell r="J2766">
            <v>57219121723</v>
          </cell>
          <cell r="K2766" t="str">
            <v>Federal University of Rio de Janeiro</v>
          </cell>
        </row>
        <row r="2767">
          <cell r="J2767">
            <v>57200304800</v>
          </cell>
          <cell r="K2767" t="str">
            <v>X-Reality GeoInformatics Lab Unisinos University (+2 more)</v>
          </cell>
        </row>
        <row r="2768">
          <cell r="J2768">
            <v>59509396500</v>
          </cell>
          <cell r="K2768" t="str">
            <v>University of Campinas</v>
          </cell>
        </row>
        <row r="2769">
          <cell r="J2769">
            <v>24537399200</v>
          </cell>
          <cell r="K2769" t="str">
            <v>Universidade Federal do Espírito Santo</v>
          </cell>
        </row>
        <row r="2770">
          <cell r="J2770">
            <v>6602544772</v>
          </cell>
          <cell r="K2770" t="str">
            <v>Universidade Federal do Rio Grande do Sul (+2 more)</v>
          </cell>
        </row>
        <row r="2771">
          <cell r="J2771">
            <v>57201210108</v>
          </cell>
          <cell r="K2771" t="str">
            <v>Universidade de São Paulo</v>
          </cell>
        </row>
        <row r="2772">
          <cell r="J2772">
            <v>57194342671</v>
          </cell>
          <cell r="K2772" t="str">
            <v>Universidade Federal do Rio Grande do Norte</v>
          </cell>
        </row>
        <row r="2773">
          <cell r="J2773">
            <v>6507156266</v>
          </cell>
          <cell r="K2773" t="str">
            <v>Federal University of Rio de Janeiro</v>
          </cell>
        </row>
        <row r="2774">
          <cell r="J2774">
            <v>30767634800</v>
          </cell>
          <cell r="K2774" t="str">
            <v>Zlemlink Ltda (+3 more)</v>
          </cell>
        </row>
        <row r="2775">
          <cell r="J2775">
            <v>57220958055</v>
          </cell>
          <cell r="K2775" t="str">
            <v>Pontifical Catholic University of Rio de Janeiro</v>
          </cell>
        </row>
        <row r="2776">
          <cell r="J2776">
            <v>58528995900</v>
          </cell>
          <cell r="K2776" t="str">
            <v>Universidade Federal do Rio Grande do Sul (+1 more)</v>
          </cell>
        </row>
        <row r="2777">
          <cell r="J2777">
            <v>6506684280</v>
          </cell>
          <cell r="K2777" t="str">
            <v>Universidade Federal do Espírito Santo</v>
          </cell>
        </row>
        <row r="2778">
          <cell r="J2778">
            <v>57205192800</v>
          </cell>
          <cell r="K2778" t="str">
            <v>Federal University of Rio de Janeiro</v>
          </cell>
        </row>
        <row r="2779">
          <cell r="J2779">
            <v>6603452741</v>
          </cell>
          <cell r="K2779" t="str">
            <v>Universidade Federal de Minas Gerais</v>
          </cell>
        </row>
        <row r="2780">
          <cell r="J2780">
            <v>56814554400</v>
          </cell>
          <cell r="K2780" t="str">
            <v>Federal University of Rio de Janeiro</v>
          </cell>
        </row>
        <row r="2781">
          <cell r="J2781">
            <v>6506491472</v>
          </cell>
          <cell r="K2781" t="str">
            <v>Universidade Federal de Alagoas</v>
          </cell>
        </row>
        <row r="2782">
          <cell r="J2782">
            <v>57208148342</v>
          </cell>
          <cell r="K2782" t="str">
            <v>Universidade Federal de Viçosa</v>
          </cell>
        </row>
        <row r="2783">
          <cell r="J2783">
            <v>55839497800</v>
          </cell>
          <cell r="K2783" t="str">
            <v>Universidade Federal de Minas Gerais</v>
          </cell>
        </row>
        <row r="2784">
          <cell r="J2784">
            <v>8899587100</v>
          </cell>
          <cell r="K2784" t="str">
            <v>Universidade do Estado do Rio de Janeiro</v>
          </cell>
        </row>
        <row r="2785">
          <cell r="J2785">
            <v>7202563917</v>
          </cell>
          <cell r="K2785" t="str">
            <v>Research and Development Center (+2 more)</v>
          </cell>
        </row>
        <row r="2786">
          <cell r="J2786">
            <v>6505660214</v>
          </cell>
          <cell r="K2786" t="str">
            <v>Federal University of Pará</v>
          </cell>
        </row>
        <row r="2787">
          <cell r="J2787">
            <v>58573907700</v>
          </cell>
          <cell r="K2787" t="str">
            <v>SENAI Innovation Institute for Embedded Systems</v>
          </cell>
        </row>
        <row r="2788">
          <cell r="J2788">
            <v>6602199048</v>
          </cell>
          <cell r="K2788" t="str">
            <v>Petróleo Brasileiro S.A. (+1 more)</v>
          </cell>
        </row>
        <row r="2789">
          <cell r="J2789">
            <v>6602199051</v>
          </cell>
          <cell r="K2789" t="str">
            <v>Universidade Federal de Ouro Preto</v>
          </cell>
        </row>
        <row r="2790">
          <cell r="J2790">
            <v>57193446125</v>
          </cell>
          <cell r="K2790" t="str">
            <v>Laboratório Nacional Agropecuário (LANAGRO)</v>
          </cell>
        </row>
        <row r="2791">
          <cell r="J2791">
            <v>7101944157</v>
          </cell>
          <cell r="K2791" t="str">
            <v>Federal University of Rio de Janeiro</v>
          </cell>
        </row>
        <row r="2792">
          <cell r="J2792">
            <v>57201421079</v>
          </cell>
          <cell r="K2792" t="str">
            <v>Universidade Federal do Rio Grande do Sul</v>
          </cell>
        </row>
        <row r="2793">
          <cell r="J2793">
            <v>7004426962</v>
          </cell>
          <cell r="K2793" t="str">
            <v>University of Campinas</v>
          </cell>
        </row>
        <row r="2794">
          <cell r="J2794">
            <v>8384449900</v>
          </cell>
          <cell r="K2794" t="str">
            <v>Federal University of Rio de Janeiro</v>
          </cell>
        </row>
        <row r="2795">
          <cell r="J2795">
            <v>57197865535</v>
          </cell>
          <cell r="K2795" t="str">
            <v>Federal University of Rio de Janeiro</v>
          </cell>
        </row>
        <row r="2796">
          <cell r="J2796">
            <v>6602420251</v>
          </cell>
          <cell r="K2796" t="str">
            <v>Instituto de Pesquisas Energéticas e Nucleares (+1 more)</v>
          </cell>
        </row>
        <row r="2797">
          <cell r="J2797">
            <v>58198608200</v>
          </cell>
          <cell r="K2797" t="str">
            <v>WIKKI Brasil LTDA</v>
          </cell>
        </row>
        <row r="2798">
          <cell r="J2798">
            <v>6507405716</v>
          </cell>
          <cell r="K2798" t="str">
            <v>Universidade do Estado do Rio de Janeiro (+2 more)</v>
          </cell>
        </row>
        <row r="2799">
          <cell r="J2799">
            <v>56595334600</v>
          </cell>
          <cell r="K2799" t="str">
            <v>Universidade Estadual Paulista “Júlio de Mesquita Filho” (+1 more)</v>
          </cell>
        </row>
        <row r="2800">
          <cell r="J2800">
            <v>6507611290</v>
          </cell>
          <cell r="K2800" t="str">
            <v>Universidade Federal do Rio Grande do Sul</v>
          </cell>
        </row>
        <row r="2801">
          <cell r="J2801">
            <v>57214993727</v>
          </cell>
          <cell r="K2801" t="str">
            <v>Universidade Federal do Rio Grande do Norte</v>
          </cell>
        </row>
        <row r="2802">
          <cell r="J2802">
            <v>59821912300</v>
          </cell>
          <cell r="K2802" t="str">
            <v>Laboratório Nacional de Computação Científica</v>
          </cell>
        </row>
        <row r="2803">
          <cell r="J2803">
            <v>10046228500</v>
          </cell>
          <cell r="K2803" t="str">
            <v>Universidade Federal de Minas Gerais</v>
          </cell>
        </row>
        <row r="2804">
          <cell r="J2804">
            <v>13204287200</v>
          </cell>
          <cell r="K2804" t="str">
            <v>Vizlab - X-Reality and GeoInformatics Lab</v>
          </cell>
        </row>
        <row r="2805">
          <cell r="J2805">
            <v>7801448332</v>
          </cell>
          <cell r="K2805" t="str">
            <v>Federal University of Rio de Janeiro</v>
          </cell>
        </row>
        <row r="2806">
          <cell r="J2806">
            <v>57207454180</v>
          </cell>
          <cell r="K2806" t="str">
            <v>Universidade de São Paulo</v>
          </cell>
        </row>
        <row r="2807">
          <cell r="J2807">
            <v>57214686270</v>
          </cell>
          <cell r="K2807" t="str">
            <v>Universidade de São Paulo (+1 more)</v>
          </cell>
        </row>
        <row r="2808">
          <cell r="J2808">
            <v>59960709500</v>
          </cell>
          <cell r="K2808" t="str">
            <v>Universidade de São Paulo</v>
          </cell>
        </row>
        <row r="2809">
          <cell r="J2809">
            <v>56518246100</v>
          </cell>
          <cell r="K2809" t="str">
            <v>Pontifícia Universidade Católica do Rio Grande do Sul (+1 more)</v>
          </cell>
        </row>
        <row r="2810">
          <cell r="J2810">
            <v>57202606222</v>
          </cell>
          <cell r="K2810" t="str">
            <v>Universidade de São Paulo</v>
          </cell>
        </row>
        <row r="2811">
          <cell r="J2811">
            <v>16319451800</v>
          </cell>
          <cell r="K2811" t="str">
            <v>Universidade Federal do Rio Grande do Sul</v>
          </cell>
        </row>
        <row r="2812">
          <cell r="J2812">
            <v>57222607757</v>
          </cell>
          <cell r="K2812" t="str">
            <v>Universidade Federal Rural do Rio de Janeiro</v>
          </cell>
        </row>
        <row r="2813">
          <cell r="J2813">
            <v>57038138400</v>
          </cell>
          <cell r="K2813" t="str">
            <v>Universidade Federal de Uberlândia</v>
          </cell>
        </row>
        <row r="2814">
          <cell r="J2814">
            <v>55662909900</v>
          </cell>
          <cell r="K2814" t="str">
            <v>Universidade Federal Fluminense (+1 more)</v>
          </cell>
        </row>
        <row r="2815">
          <cell r="J2815">
            <v>57201112483</v>
          </cell>
          <cell r="K2815" t="str">
            <v>Universidade Federal do Rio Grande do Sul (+1 more)</v>
          </cell>
        </row>
        <row r="2816">
          <cell r="J2816">
            <v>57204813473</v>
          </cell>
          <cell r="K2816" t="str">
            <v>Vizlab - X-Reality and GeoInformatics Lab (+1 more)</v>
          </cell>
        </row>
        <row r="2817">
          <cell r="J2817">
            <v>57193683383</v>
          </cell>
          <cell r="K2817" t="str">
            <v>Federal University of Rio de Janeiro</v>
          </cell>
        </row>
        <row r="2818">
          <cell r="J2818">
            <v>16550229600</v>
          </cell>
          <cell r="K2818" t="str">
            <v>Federal University of Rio de Janeiro</v>
          </cell>
        </row>
        <row r="2819">
          <cell r="J2819">
            <v>57204240845</v>
          </cell>
          <cell r="K2819" t="str">
            <v>Universidade Federal de Minas Gerais</v>
          </cell>
        </row>
        <row r="2820">
          <cell r="J2820">
            <v>35194452700</v>
          </cell>
          <cell r="K2820" t="str">
            <v>Petroleum Geo-Services (+2 more)</v>
          </cell>
        </row>
        <row r="2821">
          <cell r="J2821">
            <v>7801325114</v>
          </cell>
          <cell r="K2821" t="str">
            <v>Federal University of Rio de Janeiro</v>
          </cell>
        </row>
        <row r="2822">
          <cell r="J2822">
            <v>7005219746</v>
          </cell>
          <cell r="K2822" t="str">
            <v>Universidade Federal de Juiz de Fora (+1 more)</v>
          </cell>
        </row>
        <row r="2823">
          <cell r="J2823">
            <v>6603803084</v>
          </cell>
          <cell r="K2823" t="str">
            <v>Federal University of Rio de Janeiro</v>
          </cell>
        </row>
        <row r="2824">
          <cell r="J2824">
            <v>57203408958</v>
          </cell>
          <cell r="K2824" t="str">
            <v>Simworx Engineering R and D (+1 more)</v>
          </cell>
        </row>
        <row r="2825">
          <cell r="J2825">
            <v>57203572968</v>
          </cell>
          <cell r="K2825" t="str">
            <v>Universidade de Fortaleza</v>
          </cell>
        </row>
        <row r="2826">
          <cell r="J2826">
            <v>57201254668</v>
          </cell>
          <cell r="K2826" t="str">
            <v>Universidade de Brasília</v>
          </cell>
        </row>
        <row r="2827">
          <cell r="J2827">
            <v>35196247300</v>
          </cell>
          <cell r="K2827" t="str">
            <v>Federal University of Rio de Janeiro</v>
          </cell>
        </row>
        <row r="2828">
          <cell r="J2828">
            <v>7102932641</v>
          </cell>
          <cell r="K2828" t="str">
            <v>DEMa</v>
          </cell>
        </row>
        <row r="2829">
          <cell r="J2829">
            <v>57224180948</v>
          </cell>
          <cell r="K2829" t="str">
            <v>University of Campinas</v>
          </cell>
        </row>
        <row r="2830">
          <cell r="J2830">
            <v>57614810000</v>
          </cell>
          <cell r="K2830" t="str">
            <v>Federal University of Rio de Janeiro</v>
          </cell>
        </row>
        <row r="2831">
          <cell r="J2831">
            <v>57205478702</v>
          </cell>
          <cell r="K2831" t="str">
            <v>Universidade de São Paulo</v>
          </cell>
        </row>
        <row r="2832">
          <cell r="J2832">
            <v>59913175900</v>
          </cell>
          <cell r="K2832" t="str">
            <v>Universidade Federal de Minas Gerais</v>
          </cell>
        </row>
        <row r="2833">
          <cell r="J2833">
            <v>22135189600</v>
          </cell>
          <cell r="K2833" t="str">
            <v>Universidade Federal de Ouro Preto</v>
          </cell>
        </row>
        <row r="2834">
          <cell r="J2834">
            <v>56181363900</v>
          </cell>
          <cell r="K2834" t="str">
            <v>Universidade Federal de Viçosa</v>
          </cell>
        </row>
        <row r="2835">
          <cell r="J2835">
            <v>57223906921</v>
          </cell>
          <cell r="K2835" t="str">
            <v>Federal University of Rio de Janeiro</v>
          </cell>
        </row>
        <row r="2836">
          <cell r="J2836">
            <v>57201677354</v>
          </cell>
          <cell r="K2836" t="str">
            <v>Pontifical Catholic University of Rio de Janeiro</v>
          </cell>
        </row>
        <row r="2837">
          <cell r="J2837">
            <v>57193065070</v>
          </cell>
          <cell r="K2837" t="str">
            <v>Serviço Nacional de Aprendizagem Industrial</v>
          </cell>
        </row>
        <row r="2838">
          <cell r="J2838">
            <v>56323580500</v>
          </cell>
          <cell r="K2838" t="str">
            <v>Federal University of Rio de Janeiro</v>
          </cell>
        </row>
        <row r="2839">
          <cell r="J2839">
            <v>25638788000</v>
          </cell>
          <cell r="K2839" t="str">
            <v>Universidade Federal de Minas Gerais</v>
          </cell>
        </row>
        <row r="2840">
          <cell r="J2840">
            <v>57216317967</v>
          </cell>
          <cell r="K2840" t="str">
            <v>Universidade Federal de Pernambuco</v>
          </cell>
        </row>
        <row r="2841">
          <cell r="J2841">
            <v>57193426682</v>
          </cell>
          <cell r="K2841" t="str">
            <v>Universidade Federal do Rio Grande do Sul (+1 more)</v>
          </cell>
        </row>
        <row r="2842">
          <cell r="J2842">
            <v>57299818200</v>
          </cell>
          <cell r="K2842" t="str">
            <v>Universidade Federal de Uberlândia</v>
          </cell>
        </row>
        <row r="2843">
          <cell r="J2843">
            <v>55756033700</v>
          </cell>
          <cell r="K2843" t="str">
            <v>Universidade do Estado do Rio de Janeiro</v>
          </cell>
        </row>
        <row r="2844">
          <cell r="J2844">
            <v>50561755500</v>
          </cell>
          <cell r="K2844" t="str">
            <v>University of Campinas (+2 more)</v>
          </cell>
        </row>
        <row r="2845">
          <cell r="J2845">
            <v>22334047700</v>
          </cell>
          <cell r="K2845" t="str">
            <v>Pontifical Catholic University of Rio de Janeiro</v>
          </cell>
        </row>
        <row r="2846">
          <cell r="J2846">
            <v>56642506700</v>
          </cell>
          <cell r="K2846" t="str">
            <v>Petróleo Brasileiro S.A. (+1 more)</v>
          </cell>
        </row>
        <row r="2847">
          <cell r="J2847">
            <v>6508084716</v>
          </cell>
          <cell r="K2847" t="str">
            <v>Universidade Federal da Bahia</v>
          </cell>
        </row>
        <row r="2848">
          <cell r="J2848">
            <v>57796557400</v>
          </cell>
          <cell r="K2848" t="str">
            <v>Universidade Federal do Rio Grande do Sul (+1 more)</v>
          </cell>
        </row>
        <row r="2849">
          <cell r="J2849">
            <v>7005446439</v>
          </cell>
          <cell r="K2849" t="str">
            <v>Federal University of Santa Catarina</v>
          </cell>
        </row>
        <row r="2850">
          <cell r="J2850">
            <v>59749820400</v>
          </cell>
          <cell r="K2850" t="str">
            <v>Universidade Federal Fluminense</v>
          </cell>
        </row>
        <row r="2851">
          <cell r="J2851">
            <v>57291145100</v>
          </cell>
          <cell r="K2851" t="str">
            <v>Universidade Federal Fluminense</v>
          </cell>
        </row>
        <row r="2852">
          <cell r="J2852">
            <v>57170735800</v>
          </cell>
          <cell r="K2852" t="str">
            <v>Federal University of Rio de Janeiro</v>
          </cell>
        </row>
        <row r="2853">
          <cell r="J2853">
            <v>57203535364</v>
          </cell>
          <cell r="K2853" t="str">
            <v>Seaseep Dados de Petróleo</v>
          </cell>
        </row>
        <row r="2854">
          <cell r="J2854">
            <v>57193160547</v>
          </cell>
          <cell r="K2854" t="str">
            <v>Universidade Federal Fluminense</v>
          </cell>
        </row>
        <row r="2855">
          <cell r="J2855">
            <v>56033978700</v>
          </cell>
          <cell r="K2855" t="str">
            <v>Universidade Federal Fluminense</v>
          </cell>
        </row>
        <row r="2856">
          <cell r="J2856">
            <v>8385803800</v>
          </cell>
          <cell r="K2856" t="str">
            <v>Pontifical Catholic University of Rio de Janeiro (+1 more)</v>
          </cell>
        </row>
        <row r="2857">
          <cell r="J2857">
            <v>57222382368</v>
          </cell>
          <cell r="K2857" t="str">
            <v>Universidade Federal do Ceará</v>
          </cell>
        </row>
        <row r="2858">
          <cell r="J2858">
            <v>57210854084</v>
          </cell>
          <cell r="K2858" t="str">
            <v>Federal University of Rio de Janeiro</v>
          </cell>
        </row>
        <row r="2859">
          <cell r="J2859">
            <v>56970926100</v>
          </cell>
          <cell r="K2859" t="str">
            <v>Sun Yat-Sen University (+2 more)</v>
          </cell>
        </row>
        <row r="2860">
          <cell r="J2860">
            <v>36348574600</v>
          </cell>
          <cell r="K2860" t="str">
            <v>Universidade Estadual Paulista “Júlio de Mesquita Filho” (+1 more)</v>
          </cell>
        </row>
        <row r="2861">
          <cell r="J2861">
            <v>57824658400</v>
          </cell>
          <cell r="K2861" t="str">
            <v>Universidade Federal de Pernambuco</v>
          </cell>
        </row>
        <row r="2862">
          <cell r="J2862">
            <v>57192709902</v>
          </cell>
          <cell r="K2862" t="str">
            <v>Federal University of Rio de Janeiro</v>
          </cell>
        </row>
        <row r="2863">
          <cell r="J2863">
            <v>6505760718</v>
          </cell>
          <cell r="K2863" t="str">
            <v>Programa de Pós Graduação Em Engenharia e Tecnologia Dos Materiais (PGETEMA) (+2 more)</v>
          </cell>
        </row>
        <row r="2864">
          <cell r="J2864">
            <v>33667772300</v>
          </cell>
          <cell r="K2864" t="str">
            <v>Federal University of Rio de Janeiro</v>
          </cell>
        </row>
        <row r="2865">
          <cell r="J2865">
            <v>56902649600</v>
          </cell>
          <cell r="K2865" t="str">
            <v>Secretaria Municipal de Cultura do Município de Presidente Figueiredo – SEMCULTE</v>
          </cell>
        </row>
        <row r="2866">
          <cell r="J2866">
            <v>54932575400</v>
          </cell>
          <cell r="K2866" t="str">
            <v>Federal University of Rio de Janeiro</v>
          </cell>
        </row>
        <row r="2867">
          <cell r="J2867">
            <v>59895468500</v>
          </cell>
          <cell r="K2867" t="str">
            <v>UniversidadeFederal de Alagoas (+1 more)</v>
          </cell>
        </row>
        <row r="2868">
          <cell r="J2868">
            <v>57928124400</v>
          </cell>
          <cell r="K2868" t="str">
            <v>Universidade Federal de Alagoas</v>
          </cell>
        </row>
        <row r="2869">
          <cell r="J2869">
            <v>57426258500</v>
          </cell>
          <cell r="K2869" t="str">
            <v>Universidade Federal de Alagoas</v>
          </cell>
        </row>
        <row r="2870">
          <cell r="J2870">
            <v>56684067800</v>
          </cell>
          <cell r="K2870" t="str">
            <v>Universidade Federal do Espírito Santo</v>
          </cell>
        </row>
        <row r="2871">
          <cell r="J2871">
            <v>57219932076</v>
          </cell>
          <cell r="K2871" t="str">
            <v>Universidade Federal da Bahia</v>
          </cell>
        </row>
        <row r="2872">
          <cell r="J2872">
            <v>57202741138</v>
          </cell>
          <cell r="K2872" t="str">
            <v>Federal University of Rio de Janeiro</v>
          </cell>
        </row>
        <row r="2873">
          <cell r="J2873">
            <v>24328775100</v>
          </cell>
          <cell r="K2873" t="str">
            <v>Universidade Federal da Bahia</v>
          </cell>
        </row>
        <row r="2874">
          <cell r="J2874">
            <v>56021996400</v>
          </cell>
          <cell r="K2874" t="str">
            <v>Federal University of Santa Catarina</v>
          </cell>
        </row>
        <row r="2875">
          <cell r="J2875">
            <v>57218615923</v>
          </cell>
          <cell r="K2875" t="str">
            <v>Universidade Federal do Rio Grande do Norte</v>
          </cell>
        </row>
        <row r="2876">
          <cell r="J2876">
            <v>57222591838</v>
          </cell>
          <cell r="K2876" t="str">
            <v>Universidade Federal Rural do Rio de Janeiro (+1 more)</v>
          </cell>
        </row>
        <row r="2877">
          <cell r="J2877">
            <v>54398122400</v>
          </cell>
          <cell r="K2877" t="str">
            <v>Universidade Federal do Rio Grande do Sul</v>
          </cell>
        </row>
        <row r="2878">
          <cell r="J2878">
            <v>58857021300</v>
          </cell>
          <cell r="K2878" t="str">
            <v>Universidade de São Paulo</v>
          </cell>
        </row>
        <row r="2879">
          <cell r="J2879">
            <v>7006451125</v>
          </cell>
          <cell r="K2879" t="str">
            <v>Universidade Federal de Minas Gerais</v>
          </cell>
        </row>
        <row r="2880">
          <cell r="J2880">
            <v>57209025457</v>
          </cell>
          <cell r="K2880" t="str">
            <v>Universidade Federal Fluminense</v>
          </cell>
        </row>
        <row r="2881">
          <cell r="J2881">
            <v>57742466400</v>
          </cell>
          <cell r="K2881" t="str">
            <v>NIDF</v>
          </cell>
        </row>
        <row r="2882">
          <cell r="J2882">
            <v>57191866363</v>
          </cell>
          <cell r="K2882" t="str">
            <v>Universidade Federal de Viçosa</v>
          </cell>
        </row>
        <row r="2883">
          <cell r="J2883">
            <v>36094350800</v>
          </cell>
          <cell r="K2883" t="str">
            <v>Federal University of Rio de Janeiro</v>
          </cell>
        </row>
        <row r="2884">
          <cell r="J2884">
            <v>7202777791</v>
          </cell>
          <cell r="K2884" t="str">
            <v>Petróleo Brasileiro S.A. (+2 more)</v>
          </cell>
        </row>
        <row r="2885">
          <cell r="J2885">
            <v>56776752300</v>
          </cell>
          <cell r="K2885" t="str">
            <v>Laboratório Nacional Agropecuário (LANAGRO)</v>
          </cell>
        </row>
        <row r="2886">
          <cell r="J2886">
            <v>58118664600</v>
          </cell>
          <cell r="K2886" t="str">
            <v>Universidade Federal do Rio Grande do Sul</v>
          </cell>
        </row>
        <row r="2887">
          <cell r="J2887">
            <v>57220660109</v>
          </cell>
          <cell r="K2887" t="str">
            <v>Centro Brasileiro de Pesquisas Físicas</v>
          </cell>
        </row>
        <row r="2888">
          <cell r="J2888">
            <v>55550356800</v>
          </cell>
          <cell r="K2888" t="str">
            <v>Universidade Federal de Juiz de Fora</v>
          </cell>
        </row>
        <row r="2889">
          <cell r="J2889">
            <v>55956579500</v>
          </cell>
          <cell r="K2889" t="str">
            <v>Universidade Federal do Pampa</v>
          </cell>
        </row>
        <row r="2890">
          <cell r="J2890">
            <v>57203641390</v>
          </cell>
          <cell r="K2890" t="str">
            <v>Federal University of Rio de Janeiro</v>
          </cell>
        </row>
        <row r="2891">
          <cell r="J2891">
            <v>58778624800</v>
          </cell>
          <cell r="K2891" t="str">
            <v>University of Campinas</v>
          </cell>
        </row>
        <row r="2892">
          <cell r="J2892">
            <v>55850905300</v>
          </cell>
          <cell r="K2892" t="str">
            <v>Federal University of Santa Catarina</v>
          </cell>
        </row>
        <row r="2893">
          <cell r="J2893">
            <v>58663415800</v>
          </cell>
          <cell r="K2893" t="str">
            <v>Universidade Federal de Campina Grande</v>
          </cell>
        </row>
        <row r="2894">
          <cell r="J2894">
            <v>56737389000</v>
          </cell>
          <cell r="K2894" t="str">
            <v>Federal University of Rio de Janeiro</v>
          </cell>
        </row>
        <row r="2895">
          <cell r="J2895">
            <v>55190054800</v>
          </cell>
          <cell r="K2895" t="str">
            <v>Universidade Federal de Goiás</v>
          </cell>
        </row>
        <row r="2896">
          <cell r="J2896">
            <v>57204184225</v>
          </cell>
          <cell r="K2896" t="str">
            <v>Federal University of Rio de Janeiro</v>
          </cell>
        </row>
        <row r="2897">
          <cell r="J2897">
            <v>57195981457</v>
          </cell>
          <cell r="K2897" t="str">
            <v>Universidade Federal de Pernambuco</v>
          </cell>
        </row>
        <row r="2898">
          <cell r="J2898">
            <v>57210552642</v>
          </cell>
          <cell r="K2898" t="str">
            <v>Universidade Federal do Rio Grande do Norte</v>
          </cell>
        </row>
        <row r="2899">
          <cell r="J2899">
            <v>57193913494</v>
          </cell>
          <cell r="K2899" t="str">
            <v>University of Campinas (+5 more)</v>
          </cell>
        </row>
        <row r="2900">
          <cell r="J2900">
            <v>57220028867</v>
          </cell>
          <cell r="K2900" t="str">
            <v>Pontifical Catholic University of Rio de Janeiro</v>
          </cell>
        </row>
        <row r="2901">
          <cell r="J2901">
            <v>57196185533</v>
          </cell>
          <cell r="K2901" t="str">
            <v>Pontifical Catholic University of Rio de Janeiro</v>
          </cell>
        </row>
        <row r="2902">
          <cell r="J2902">
            <v>56379815900</v>
          </cell>
          <cell r="K2902" t="str">
            <v>Universidade Federal do Espírito Santo</v>
          </cell>
        </row>
        <row r="2903">
          <cell r="J2903">
            <v>57221739886</v>
          </cell>
          <cell r="K2903" t="str">
            <v>Federal University of Santa Catarina</v>
          </cell>
        </row>
        <row r="2904">
          <cell r="J2904">
            <v>6506843926</v>
          </cell>
          <cell r="K2904" t="str">
            <v>Universidade Federal do Rio Grande do Norte</v>
          </cell>
        </row>
        <row r="2905">
          <cell r="J2905">
            <v>57224832302</v>
          </cell>
          <cell r="K2905" t="str">
            <v>Universidade de Brasília</v>
          </cell>
        </row>
        <row r="2906">
          <cell r="J2906">
            <v>36094587600</v>
          </cell>
          <cell r="K2906" t="str">
            <v>Universidade Federal Fluminense</v>
          </cell>
        </row>
        <row r="2907">
          <cell r="J2907">
            <v>55470544900</v>
          </cell>
          <cell r="K2907" t="str">
            <v>Universidade do Estado do Rio de Janeiro</v>
          </cell>
        </row>
        <row r="2908">
          <cell r="J2908">
            <v>57220031119</v>
          </cell>
          <cell r="K2908" t="str">
            <v>Pontifical Catholic University of Rio de Janeiro</v>
          </cell>
        </row>
        <row r="2909">
          <cell r="J2909">
            <v>57189847866</v>
          </cell>
          <cell r="K2909" t="str">
            <v>Universidade de São Paulo</v>
          </cell>
        </row>
        <row r="2910">
          <cell r="J2910">
            <v>35097381400</v>
          </cell>
          <cell r="K2910" t="str">
            <v>Federal University of Rio de Janeiro</v>
          </cell>
        </row>
        <row r="2911">
          <cell r="J2911">
            <v>27467582900</v>
          </cell>
          <cell r="K2911" t="str">
            <v>Universidade Federal de Pernambuco</v>
          </cell>
        </row>
        <row r="2912">
          <cell r="J2912">
            <v>6701851869</v>
          </cell>
          <cell r="K2912" t="str">
            <v>Federal University of Rio de Janeiro</v>
          </cell>
        </row>
        <row r="2913">
          <cell r="J2913">
            <v>57189847111</v>
          </cell>
          <cell r="K2913" t="str">
            <v>Universidade de São Paulo</v>
          </cell>
        </row>
        <row r="2914">
          <cell r="J2914">
            <v>41261852200</v>
          </cell>
          <cell r="K2914" t="str">
            <v>Universidade Federal de Alagoas (+1 more)</v>
          </cell>
        </row>
        <row r="2915">
          <cell r="J2915">
            <v>57226456707</v>
          </cell>
          <cell r="K2915" t="str">
            <v>Universidade Tecnológica Federal do Paraná</v>
          </cell>
        </row>
        <row r="2916">
          <cell r="J2916">
            <v>56473617600</v>
          </cell>
          <cell r="K2916" t="str">
            <v>Universidade Federal Fluminense</v>
          </cell>
        </row>
        <row r="2917">
          <cell r="J2917">
            <v>57193846221</v>
          </cell>
          <cell r="K2917" t="str">
            <v>Vizlab - X-Reality and GeoInformatics Lab (+1 more)</v>
          </cell>
        </row>
        <row r="2918">
          <cell r="J2918">
            <v>59298540900</v>
          </cell>
          <cell r="K2918" t="str">
            <v>Federal University of Rio de Janeiro</v>
          </cell>
        </row>
        <row r="2919">
          <cell r="J2919">
            <v>57043658800</v>
          </cell>
          <cell r="K2919" t="str">
            <v>Federal University of Rio de Janeiro</v>
          </cell>
        </row>
        <row r="2920">
          <cell r="J2920">
            <v>59234433600</v>
          </cell>
          <cell r="K2920" t="str">
            <v>Universidade de São Paulo</v>
          </cell>
        </row>
        <row r="2921">
          <cell r="J2921">
            <v>6701833605</v>
          </cell>
          <cell r="K2921" t="str">
            <v>Federal University of Rio de Janeiro</v>
          </cell>
        </row>
        <row r="2922">
          <cell r="J2922">
            <v>57194217534</v>
          </cell>
          <cell r="K2922" t="str">
            <v>Federal University of Rio de Janeiro</v>
          </cell>
        </row>
        <row r="2923">
          <cell r="J2923">
            <v>58191324100</v>
          </cell>
          <cell r="K2923" t="str">
            <v>Universidade Tiradentes (+1 more)</v>
          </cell>
        </row>
        <row r="2924">
          <cell r="J2924">
            <v>16316577300</v>
          </cell>
          <cell r="K2924" t="str">
            <v>Universidade do Estado do Rio de Janeiro (+1 more)</v>
          </cell>
        </row>
        <row r="2925">
          <cell r="J2925">
            <v>56784282200</v>
          </cell>
          <cell r="K2925" t="str">
            <v>Universidade Federal de Goiás</v>
          </cell>
        </row>
        <row r="2926">
          <cell r="J2926">
            <v>57209750437</v>
          </cell>
          <cell r="K2926" t="str">
            <v>Federal University of Rio de Janeiro</v>
          </cell>
        </row>
        <row r="2927">
          <cell r="J2927">
            <v>57218456226</v>
          </cell>
          <cell r="K2927" t="str">
            <v>Federal University of Rio de Janeiro</v>
          </cell>
        </row>
        <row r="2928">
          <cell r="J2928">
            <v>55321970000</v>
          </cell>
          <cell r="K2928" t="str">
            <v>University of Campinas (+1 more)</v>
          </cell>
        </row>
        <row r="2929">
          <cell r="J2929">
            <v>56367464600</v>
          </cell>
          <cell r="K2929" t="str">
            <v>Universidade de São Paulo</v>
          </cell>
        </row>
        <row r="2930">
          <cell r="J2930">
            <v>57503449900</v>
          </cell>
          <cell r="K2930" t="str">
            <v>Universidade Federal do Espírito Santo</v>
          </cell>
        </row>
        <row r="2931">
          <cell r="J2931">
            <v>7004226013</v>
          </cell>
          <cell r="K2931" t="str">
            <v>Universidade Federal do Espírito Santo</v>
          </cell>
        </row>
        <row r="2932">
          <cell r="J2932">
            <v>8886859900</v>
          </cell>
          <cell r="K2932" t="str">
            <v>Instituto Federal de Educação, Ciência e Tecnologia do Rio de Janeiro (+1 more)</v>
          </cell>
        </row>
        <row r="2933">
          <cell r="J2933">
            <v>6601977808</v>
          </cell>
          <cell r="K2933" t="str">
            <v>University of Campinas</v>
          </cell>
        </row>
        <row r="2934">
          <cell r="J2934">
            <v>52864150700</v>
          </cell>
          <cell r="K2934" t="str">
            <v>Universidade Federal Fluminense (+1 more)</v>
          </cell>
        </row>
        <row r="2935">
          <cell r="J2935">
            <v>57222240241</v>
          </cell>
          <cell r="K2935" t="str">
            <v>Vizlab - X-Reality and GeoInformatics Lab (+1 more)</v>
          </cell>
        </row>
        <row r="2936">
          <cell r="J2936">
            <v>57254443500</v>
          </cell>
          <cell r="K2936" t="str">
            <v>Federal University of Rio de Janeiro</v>
          </cell>
        </row>
        <row r="2937">
          <cell r="J2937">
            <v>6504262449</v>
          </cell>
          <cell r="K2937" t="str">
            <v>SimWorx Engineering R and D (+1 more)</v>
          </cell>
        </row>
        <row r="2938">
          <cell r="J2938">
            <v>7103022316</v>
          </cell>
          <cell r="K2938" t="str">
            <v>DEMa</v>
          </cell>
        </row>
        <row r="2939">
          <cell r="J2939">
            <v>57210620709</v>
          </cell>
          <cell r="K2939" t="str">
            <v>Universidade Federal Fluminense</v>
          </cell>
        </row>
        <row r="2940">
          <cell r="J2940">
            <v>55339506500</v>
          </cell>
          <cell r="K2940" t="str">
            <v>University of Campinas</v>
          </cell>
        </row>
        <row r="2941">
          <cell r="J2941">
            <v>57196472346</v>
          </cell>
          <cell r="K2941" t="str">
            <v>Pontifícia Universidade Católica do Rio Grande do Sul</v>
          </cell>
        </row>
        <row r="2942">
          <cell r="J2942">
            <v>57211521869</v>
          </cell>
          <cell r="K2942" t="str">
            <v>Petrosoft Design</v>
          </cell>
        </row>
        <row r="2943">
          <cell r="J2943">
            <v>57209615879</v>
          </cell>
          <cell r="K2943" t="str">
            <v>Instituto de Pesquisa Aplicada Alan Turing</v>
          </cell>
        </row>
        <row r="2944">
          <cell r="J2944">
            <v>7201958689</v>
          </cell>
          <cell r="K2944" t="str">
            <v>Universidade de São Paulo</v>
          </cell>
        </row>
        <row r="2945">
          <cell r="J2945">
            <v>55293061800</v>
          </cell>
          <cell r="K2945" t="str">
            <v>Serviço Geológico do Brasil, Companhia de Pesquisa de Recursos Minerais</v>
          </cell>
        </row>
        <row r="2946">
          <cell r="J2946">
            <v>55515977400</v>
          </cell>
          <cell r="K2946" t="str">
            <v>Universidade Federal Fluminense</v>
          </cell>
        </row>
        <row r="2947">
          <cell r="J2947">
            <v>57202485190</v>
          </cell>
          <cell r="K2947" t="str">
            <v>Pontifical Catholic University of Rio de Janeiro</v>
          </cell>
        </row>
        <row r="2948">
          <cell r="J2948">
            <v>57211949100</v>
          </cell>
          <cell r="K2948" t="str">
            <v>Instituto Nacional de Tecnologia (+1 more)</v>
          </cell>
        </row>
        <row r="2949">
          <cell r="J2949">
            <v>57191845881</v>
          </cell>
          <cell r="K2949" t="str">
            <v>Universidade Federal de Viçosa</v>
          </cell>
        </row>
        <row r="2950">
          <cell r="J2950">
            <v>56362643800</v>
          </cell>
          <cell r="K2950" t="str">
            <v>Vizlab - X-Reality and GeoInformatics Lab</v>
          </cell>
        </row>
        <row r="2951">
          <cell r="J2951">
            <v>57296451500</v>
          </cell>
          <cell r="K2951" t="str">
            <v>Federal University of Rio de Janeiro</v>
          </cell>
        </row>
        <row r="2952">
          <cell r="J2952">
            <v>58365372200</v>
          </cell>
          <cell r="K2952" t="str">
            <v>Federal University of Rio de Janeiro</v>
          </cell>
        </row>
        <row r="2953">
          <cell r="J2953">
            <v>57221493844</v>
          </cell>
          <cell r="K2953" t="str">
            <v>Federal University of Rio de Janeiro</v>
          </cell>
        </row>
        <row r="2954">
          <cell r="J2954">
            <v>7006023298</v>
          </cell>
          <cell r="K2954" t="str">
            <v>Pontifical Catholic University of Rio de Janeiro</v>
          </cell>
        </row>
        <row r="2955">
          <cell r="J2955">
            <v>56303462300</v>
          </cell>
          <cell r="K2955" t="str">
            <v>Instituto SENAI de Inovação em Engenharia de Superfícies</v>
          </cell>
        </row>
        <row r="2956">
          <cell r="J2956">
            <v>58784107000</v>
          </cell>
          <cell r="K2956" t="str">
            <v>Instituto SENAI de Inovação em Engenharia de Superfícies – Centro de Inovação e Tecnologia CIT SENAI</v>
          </cell>
        </row>
        <row r="2957">
          <cell r="J2957">
            <v>57210556126</v>
          </cell>
          <cell r="K2957" t="str">
            <v>Federal University of Rio de Janeiro</v>
          </cell>
        </row>
        <row r="2958">
          <cell r="J2958">
            <v>7202733565</v>
          </cell>
          <cell r="K2958" t="str">
            <v>Universidade Federal do Piauí (+1 more)</v>
          </cell>
        </row>
        <row r="2959">
          <cell r="J2959">
            <v>57084424100</v>
          </cell>
          <cell r="K2959" t="str">
            <v>University of Campinas</v>
          </cell>
        </row>
        <row r="2960">
          <cell r="J2960">
            <v>22934796300</v>
          </cell>
          <cell r="K2960" t="str">
            <v>Universidade de São Paulo</v>
          </cell>
        </row>
        <row r="2961">
          <cell r="J2961">
            <v>57201496852</v>
          </cell>
          <cell r="K2961" t="str">
            <v>Universidade Federal da Bahia</v>
          </cell>
        </row>
        <row r="2962">
          <cell r="J2962">
            <v>57218297976</v>
          </cell>
          <cell r="K2962" t="str">
            <v>Geological Survey of Brazil</v>
          </cell>
        </row>
        <row r="2963">
          <cell r="J2963">
            <v>57216442179</v>
          </cell>
          <cell r="K2963" t="str">
            <v>Universidade Estadual Paulista “Júlio de Mesquita Filho”</v>
          </cell>
        </row>
        <row r="2964">
          <cell r="J2964">
            <v>57215187155</v>
          </cell>
          <cell r="K2964" t="str">
            <v>Universidade Federal de Alagoas</v>
          </cell>
        </row>
        <row r="2965">
          <cell r="J2965">
            <v>7202369239</v>
          </cell>
          <cell r="K2965" t="str">
            <v>Federal University of Rio de Janeiro</v>
          </cell>
        </row>
        <row r="2966">
          <cell r="J2966">
            <v>57193858705</v>
          </cell>
          <cell r="K2966" t="str">
            <v>Federal University of Rio de Janeiro</v>
          </cell>
        </row>
        <row r="2967">
          <cell r="J2967">
            <v>35388914000</v>
          </cell>
          <cell r="K2967" t="str">
            <v>University of Campinas (+1 more)</v>
          </cell>
        </row>
        <row r="2968">
          <cell r="J2968">
            <v>57050628600</v>
          </cell>
          <cell r="K2968" t="str">
            <v>Federal University of Rio de Janeiro</v>
          </cell>
        </row>
        <row r="2969">
          <cell r="J2969">
            <v>56555974100</v>
          </cell>
          <cell r="K2969" t="str">
            <v>Federal University of Rio de Janeiro</v>
          </cell>
        </row>
        <row r="2970">
          <cell r="J2970">
            <v>7101855424</v>
          </cell>
          <cell r="K2970" t="str">
            <v>Federal University of Rio de Janeiro</v>
          </cell>
        </row>
        <row r="2971">
          <cell r="J2971">
            <v>57193239906</v>
          </cell>
          <cell r="K2971" t="str">
            <v>DEMa</v>
          </cell>
        </row>
        <row r="2972">
          <cell r="J2972">
            <v>57212755327</v>
          </cell>
          <cell r="K2972" t="str">
            <v>Instituto de Pesquisa Aplicada Alan Turing</v>
          </cell>
        </row>
        <row r="2973">
          <cell r="J2973">
            <v>55811144400</v>
          </cell>
          <cell r="K2973" t="str">
            <v>Universidade Federal do Rio Grande do Norte (+2 more)</v>
          </cell>
        </row>
        <row r="2974">
          <cell r="J2974">
            <v>58782547800</v>
          </cell>
          <cell r="K2974" t="str">
            <v>Federal University of Rio de Janeiro</v>
          </cell>
        </row>
        <row r="2975">
          <cell r="J2975">
            <v>57191201100</v>
          </cell>
          <cell r="K2975" t="str">
            <v>Símeros</v>
          </cell>
        </row>
        <row r="2976">
          <cell r="J2976">
            <v>10938897000</v>
          </cell>
          <cell r="K2976" t="str">
            <v>Federal University of Rio de Janeiro</v>
          </cell>
        </row>
        <row r="2977">
          <cell r="J2977">
            <v>57191404214</v>
          </cell>
          <cell r="K2977" t="str">
            <v>Universidad EAFIT (+1 more)</v>
          </cell>
        </row>
        <row r="2978">
          <cell r="J2978">
            <v>55561944100</v>
          </cell>
          <cell r="K2978" t="str">
            <v>Universidade Federal do Rio Grande do Sul</v>
          </cell>
        </row>
        <row r="2979">
          <cell r="J2979">
            <v>58547582900</v>
          </cell>
          <cell r="K2979" t="str">
            <v>Universidade Federal de Santa Maria</v>
          </cell>
        </row>
        <row r="2980">
          <cell r="J2980">
            <v>6602644981</v>
          </cell>
          <cell r="K2980" t="str">
            <v>Instituto Nacional de Pesquisas Espaciais</v>
          </cell>
        </row>
        <row r="2981">
          <cell r="J2981">
            <v>57745632000</v>
          </cell>
          <cell r="K2981" t="str">
            <v>Pontifical Catholic University of Rio de Janeiro (+2 more)</v>
          </cell>
        </row>
        <row r="2982">
          <cell r="J2982">
            <v>36998799200</v>
          </cell>
          <cell r="K2982" t="str">
            <v>Centro Nacional de Pesquisa em Energia e Materiais</v>
          </cell>
        </row>
        <row r="2983">
          <cell r="J2983">
            <v>57192067665</v>
          </cell>
          <cell r="K2983" t="str">
            <v>Universidade Federal do Rio Grande do Sul</v>
          </cell>
        </row>
        <row r="2984">
          <cell r="J2984">
            <v>6506977591</v>
          </cell>
          <cell r="K2984" t="str">
            <v>Pontifícia Universidade Católica do Rio Grande do Sul</v>
          </cell>
        </row>
        <row r="2985">
          <cell r="J2985">
            <v>55839435600</v>
          </cell>
          <cell r="K2985" t="str">
            <v>Universidade Federal do Espírito Santo</v>
          </cell>
        </row>
        <row r="2986">
          <cell r="J2986">
            <v>8583291000</v>
          </cell>
          <cell r="K2986" t="str">
            <v>Universidade Federal do Espírito Santo</v>
          </cell>
        </row>
        <row r="2987">
          <cell r="J2987">
            <v>8895249300</v>
          </cell>
          <cell r="K2987" t="str">
            <v>NIDF (+2 more)</v>
          </cell>
        </row>
        <row r="2988">
          <cell r="J2988">
            <v>7005055020</v>
          </cell>
          <cell r="K2988" t="str">
            <v>Universidade Federal de Viçosa</v>
          </cell>
        </row>
        <row r="2989">
          <cell r="J2989">
            <v>7005055005</v>
          </cell>
          <cell r="K2989" t="str">
            <v>Federal University of Rio de Janeiro</v>
          </cell>
        </row>
        <row r="2990">
          <cell r="J2990">
            <v>9244952100</v>
          </cell>
          <cell r="K2990" t="str">
            <v>Subsea 7 (+1 more)</v>
          </cell>
        </row>
        <row r="2991">
          <cell r="J2991">
            <v>13205614400</v>
          </cell>
          <cell r="K2991" t="str">
            <v>Universidade de São Paulo</v>
          </cell>
        </row>
        <row r="2992">
          <cell r="J2992">
            <v>8717376600</v>
          </cell>
          <cell r="K2992" t="str">
            <v>Universidade de São Paulo (+2 more)</v>
          </cell>
        </row>
        <row r="2993">
          <cell r="J2993">
            <v>58678070300</v>
          </cell>
          <cell r="K2993" t="str">
            <v>Instituto de Pesquisas Tecnologicas</v>
          </cell>
        </row>
        <row r="2994">
          <cell r="J2994">
            <v>54976304900</v>
          </cell>
          <cell r="K2994" t="str">
            <v>Universidade de São Paulo</v>
          </cell>
        </row>
        <row r="2995">
          <cell r="J2995">
            <v>55017185800</v>
          </cell>
          <cell r="K2995" t="str">
            <v>PGS</v>
          </cell>
        </row>
        <row r="2996">
          <cell r="J2996">
            <v>58090734200</v>
          </cell>
          <cell r="K2996" t="str">
            <v>Universidade Tiradentes</v>
          </cell>
        </row>
        <row r="2997">
          <cell r="J2997">
            <v>60155517200</v>
          </cell>
          <cell r="K2997" t="str">
            <v>Federal University of Pará</v>
          </cell>
        </row>
        <row r="2998">
          <cell r="J2998">
            <v>57967259000</v>
          </cell>
          <cell r="K2998" t="str">
            <v>Federal University of Pará</v>
          </cell>
        </row>
        <row r="2999">
          <cell r="J2999">
            <v>7103240520</v>
          </cell>
          <cell r="K2999" t="str">
            <v>Petróleo Brasileiro S.A. (+1 more)</v>
          </cell>
        </row>
        <row r="3000">
          <cell r="J3000">
            <v>58632182300</v>
          </cell>
          <cell r="K3000" t="str">
            <v>Universidade Federal do Rio Grande do Norte</v>
          </cell>
        </row>
        <row r="3001">
          <cell r="J3001">
            <v>57200132030</v>
          </cell>
          <cell r="K3001" t="str">
            <v>Universidade Federal do Ceará</v>
          </cell>
        </row>
        <row r="3002">
          <cell r="J3002">
            <v>8699740700</v>
          </cell>
          <cell r="K3002" t="str">
            <v>Universidade de São Paulo</v>
          </cell>
        </row>
        <row r="3003">
          <cell r="J3003">
            <v>57223104042</v>
          </cell>
          <cell r="K3003" t="str">
            <v>SIMEC Mechanical Simulation</v>
          </cell>
        </row>
        <row r="3004">
          <cell r="J3004">
            <v>10641698500</v>
          </cell>
          <cell r="K3004" t="str">
            <v>Universidade Federal do Ceará</v>
          </cell>
        </row>
        <row r="3005">
          <cell r="J3005">
            <v>55953731800</v>
          </cell>
          <cell r="K3005" t="str">
            <v>Federal Center for Technological Education of Minas Gerais</v>
          </cell>
        </row>
        <row r="3006">
          <cell r="J3006">
            <v>58125952300</v>
          </cell>
          <cell r="K3006" t="str">
            <v>SIMEROS</v>
          </cell>
        </row>
        <row r="3007">
          <cell r="J3007">
            <v>57657886400</v>
          </cell>
          <cell r="K3007" t="str">
            <v>Vizlab - X-Reality and GeoInformatics Lab (+1 more)</v>
          </cell>
        </row>
        <row r="3008">
          <cell r="J3008">
            <v>59727973700</v>
          </cell>
          <cell r="K3008" t="str">
            <v>Universidade Federal da Bahia</v>
          </cell>
        </row>
        <row r="3009">
          <cell r="J3009">
            <v>57339342800</v>
          </cell>
          <cell r="K3009" t="str">
            <v>Federal University of Rio de Janeiro</v>
          </cell>
        </row>
        <row r="3010">
          <cell r="J3010">
            <v>7004418300</v>
          </cell>
          <cell r="K3010" t="str">
            <v>Universidade do Estado do Rio de Janeiro</v>
          </cell>
        </row>
        <row r="3011">
          <cell r="J3011">
            <v>16177877300</v>
          </cell>
          <cell r="K3011" t="str">
            <v>University of Campinas</v>
          </cell>
        </row>
        <row r="3012">
          <cell r="J3012">
            <v>57220156604</v>
          </cell>
          <cell r="K3012" t="str">
            <v>Federal University of Santa Catarina</v>
          </cell>
        </row>
        <row r="3013">
          <cell r="J3013">
            <v>55608250100</v>
          </cell>
          <cell r="K3013" t="str">
            <v>Universidade Federal Fluminense (+3 more)</v>
          </cell>
        </row>
        <row r="3014">
          <cell r="J3014">
            <v>57878598400</v>
          </cell>
          <cell r="K3014" t="str">
            <v>Universidade Federal do Rio Grande do Sul</v>
          </cell>
        </row>
        <row r="3015">
          <cell r="J3015">
            <v>57140598600</v>
          </cell>
          <cell r="K3015" t="str">
            <v>Federal University of Rio de Janeiro</v>
          </cell>
        </row>
        <row r="3016">
          <cell r="J3016">
            <v>6507617197</v>
          </cell>
          <cell r="K3016" t="str">
            <v>Instituto Nacional de Tecnologia</v>
          </cell>
        </row>
        <row r="3017">
          <cell r="J3017">
            <v>23985526900</v>
          </cell>
          <cell r="K3017" t="str">
            <v>DEMa</v>
          </cell>
        </row>
        <row r="3018">
          <cell r="J3018">
            <v>6603472174</v>
          </cell>
          <cell r="K3018" t="str">
            <v>Universidade Federal de Pernambuco</v>
          </cell>
        </row>
        <row r="3019">
          <cell r="J3019">
            <v>57903775000</v>
          </cell>
          <cell r="K3019" t="str">
            <v>Federal University of Rio de Janeiro</v>
          </cell>
        </row>
        <row r="3020">
          <cell r="J3020">
            <v>55619738400</v>
          </cell>
          <cell r="K3020" t="str">
            <v>Universidade Federal de São Paulo</v>
          </cell>
        </row>
        <row r="3021">
          <cell r="J3021">
            <v>25825285800</v>
          </cell>
          <cell r="K3021" t="str">
            <v>Universidade Federal Fluminense</v>
          </cell>
        </row>
        <row r="3022">
          <cell r="J3022">
            <v>57194602442</v>
          </cell>
          <cell r="K3022" t="str">
            <v>Universidade Federal do Rio Grande do Norte</v>
          </cell>
        </row>
        <row r="3023">
          <cell r="J3023">
            <v>60151588700</v>
          </cell>
          <cell r="K3023" t="str">
            <v>SLB</v>
          </cell>
        </row>
        <row r="3024">
          <cell r="J3024">
            <v>60177752700</v>
          </cell>
          <cell r="K3024" t="str">
            <v>Universidade Federal do Rio Grande do Norte</v>
          </cell>
        </row>
        <row r="3025">
          <cell r="J3025">
            <v>57214573077</v>
          </cell>
          <cell r="K3025" t="str">
            <v>Federal University of Santa Catarina</v>
          </cell>
        </row>
        <row r="3026">
          <cell r="J3026">
            <v>57211367492</v>
          </cell>
          <cell r="K3026" t="str">
            <v>Universidade Federal do Rio Grande do Norte</v>
          </cell>
        </row>
        <row r="3027">
          <cell r="J3027">
            <v>54886224000</v>
          </cell>
          <cell r="K3027" t="str">
            <v>Universidade Federal do Rio Grande do Norte</v>
          </cell>
        </row>
        <row r="3028">
          <cell r="J3028">
            <v>57204951658</v>
          </cell>
          <cell r="K3028" t="str">
            <v>Universidade Federal de Pernambuco</v>
          </cell>
        </row>
        <row r="3029">
          <cell r="J3029">
            <v>57204466928</v>
          </cell>
          <cell r="K3029" t="str">
            <v>Federal University of Rio de Janeiro</v>
          </cell>
        </row>
        <row r="3030">
          <cell r="J3030">
            <v>38061716600</v>
          </cell>
          <cell r="K3030" t="str">
            <v>Federal University of Rio de Janeiro</v>
          </cell>
        </row>
        <row r="3031">
          <cell r="J3031">
            <v>8334281000</v>
          </cell>
          <cell r="K3031" t="str">
            <v>Universidade Federal de Santa Maria</v>
          </cell>
        </row>
        <row r="3032">
          <cell r="J3032">
            <v>7201480762</v>
          </cell>
          <cell r="K3032" t="str">
            <v>Universidade Federal de Minas Gerais (+1 more)</v>
          </cell>
        </row>
        <row r="3033">
          <cell r="J3033">
            <v>7201480804</v>
          </cell>
          <cell r="K3033" t="str">
            <v>Universidade Federal da Bahia</v>
          </cell>
        </row>
        <row r="3034">
          <cell r="J3034">
            <v>57202996619</v>
          </cell>
          <cell r="K3034" t="str">
            <v>Federal University of Santa Catarina</v>
          </cell>
        </row>
        <row r="3035">
          <cell r="J3035">
            <v>57205114235</v>
          </cell>
          <cell r="K3035" t="str">
            <v>Universidade Federal do Espírito Santo</v>
          </cell>
        </row>
        <row r="3036">
          <cell r="J3036">
            <v>36872594900</v>
          </cell>
          <cell r="K3036" t="str">
            <v>Universidade Federal da Bahia</v>
          </cell>
        </row>
        <row r="3037">
          <cell r="J3037">
            <v>37107993700</v>
          </cell>
          <cell r="K3037" t="str">
            <v>Pontifícia Universidade Católica do Rio Grande do Sul</v>
          </cell>
        </row>
        <row r="3038">
          <cell r="J3038">
            <v>55556692900</v>
          </cell>
          <cell r="K3038" t="str">
            <v>Universidade Federal de Jataí</v>
          </cell>
        </row>
        <row r="3039">
          <cell r="J3039">
            <v>56379707600</v>
          </cell>
          <cell r="K3039" t="str">
            <v>Universidade Federal do Espírito Santo</v>
          </cell>
        </row>
        <row r="3040">
          <cell r="J3040">
            <v>59171758600</v>
          </cell>
          <cell r="K3040" t="str">
            <v>Universidade Federal de Goiás</v>
          </cell>
        </row>
        <row r="3041">
          <cell r="J3041">
            <v>57189702104</v>
          </cell>
          <cell r="K3041" t="str">
            <v>Universidade Federal do Rio Grande do Sul</v>
          </cell>
        </row>
        <row r="3042">
          <cell r="J3042">
            <v>7102792643</v>
          </cell>
          <cell r="K3042" t="str">
            <v>Federal University of Rio de Janeiro</v>
          </cell>
        </row>
        <row r="3043">
          <cell r="J3043">
            <v>57212441907</v>
          </cell>
          <cell r="K3043" t="str">
            <v>Geological Survey of Brazil</v>
          </cell>
        </row>
        <row r="3044">
          <cell r="J3044">
            <v>57224603905</v>
          </cell>
          <cell r="K3044" t="str">
            <v>Oceanographic Modeling and Observation Network (REMO) (+1 more)</v>
          </cell>
        </row>
        <row r="3045">
          <cell r="J3045">
            <v>58357815100</v>
          </cell>
          <cell r="K3045" t="str">
            <v>Federal University of Santa Catarina</v>
          </cell>
        </row>
        <row r="3046">
          <cell r="J3046">
            <v>57224523699</v>
          </cell>
          <cell r="K3046" t="str">
            <v>Pontifical Catholic University of Rio de Janeiro</v>
          </cell>
        </row>
        <row r="3047">
          <cell r="J3047">
            <v>57189699935</v>
          </cell>
          <cell r="K3047" t="str">
            <v>Universidade Federal de Viçosa (+1 more)</v>
          </cell>
        </row>
        <row r="3048">
          <cell r="J3048">
            <v>25028054300</v>
          </cell>
          <cell r="K3048" t="str">
            <v>Federal University of Santa Catarina</v>
          </cell>
        </row>
        <row r="3049">
          <cell r="J3049">
            <v>59361035800</v>
          </cell>
          <cell r="K3049" t="str">
            <v>Universidade Tecnológica Federal do Paraná</v>
          </cell>
        </row>
        <row r="3050">
          <cell r="J3050">
            <v>7004100960</v>
          </cell>
          <cell r="K3050" t="str">
            <v>Universidade Federal Fluminense</v>
          </cell>
        </row>
        <row r="3051">
          <cell r="J3051">
            <v>33568044800</v>
          </cell>
          <cell r="K3051" t="str">
            <v>Universidade Federal de Minas Gerais</v>
          </cell>
        </row>
        <row r="3052">
          <cell r="J3052">
            <v>7003732915</v>
          </cell>
          <cell r="K3052" t="str">
            <v>University of Campinas</v>
          </cell>
        </row>
        <row r="3053">
          <cell r="J3053">
            <v>57816521000</v>
          </cell>
          <cell r="K3053" t="str">
            <v>Universidade Federal de Pernambuco</v>
          </cell>
        </row>
        <row r="3054">
          <cell r="J3054">
            <v>26867931900</v>
          </cell>
          <cell r="K3054" t="str">
            <v>Science and Technology of Sao Paulo (IFSP)</v>
          </cell>
        </row>
        <row r="3055">
          <cell r="J3055">
            <v>59307063000</v>
          </cell>
          <cell r="K3055" t="str">
            <v>Universidade Federal do Espírito Santo</v>
          </cell>
        </row>
        <row r="3056">
          <cell r="J3056">
            <v>56366113100</v>
          </cell>
          <cell r="K3056" t="str">
            <v>Universidade Federal do Rio Grande do Sul</v>
          </cell>
        </row>
        <row r="3057">
          <cell r="J3057">
            <v>57200371070</v>
          </cell>
          <cell r="K3057" t="str">
            <v>Universidade Federal do Rio Grande do Norte (+1 more)</v>
          </cell>
        </row>
        <row r="3058">
          <cell r="J3058">
            <v>57211082399</v>
          </cell>
          <cell r="K3058" t="str">
            <v>Universidade Federal de Goiás</v>
          </cell>
        </row>
        <row r="3059">
          <cell r="J3059">
            <v>57202984675</v>
          </cell>
          <cell r="K3059" t="str">
            <v>Universidade Tecnológica Federal do Paraná (+2 more)</v>
          </cell>
        </row>
        <row r="3060">
          <cell r="J3060">
            <v>57194028550</v>
          </cell>
          <cell r="K3060" t="str">
            <v>Universidade de Brasília</v>
          </cell>
        </row>
        <row r="3061">
          <cell r="J3061">
            <v>7005453570</v>
          </cell>
          <cell r="K3061" t="str">
            <v>Federal University of Rio de Janeiro</v>
          </cell>
        </row>
        <row r="3062">
          <cell r="J3062">
            <v>35275200700</v>
          </cell>
          <cell r="K3062" t="str">
            <v>Universidade Federal do Espírito Santo</v>
          </cell>
        </row>
        <row r="3063">
          <cell r="J3063">
            <v>57201733447</v>
          </cell>
          <cell r="K3063" t="str">
            <v>Universidade Federal do Espírito Santo</v>
          </cell>
        </row>
        <row r="3064">
          <cell r="J3064">
            <v>57142483500</v>
          </cell>
          <cell r="K3064" t="str">
            <v>Universidade Estadual do Norte Fluminense (+1 more)</v>
          </cell>
        </row>
        <row r="3065">
          <cell r="J3065">
            <v>57195457713</v>
          </cell>
          <cell r="K3065" t="str">
            <v>Federal University of Rio de Janeiro</v>
          </cell>
        </row>
        <row r="3066">
          <cell r="J3066">
            <v>55327523900</v>
          </cell>
          <cell r="K3066" t="str">
            <v>Universidade de São Paulo</v>
          </cell>
        </row>
        <row r="3067">
          <cell r="J3067">
            <v>57201667063</v>
          </cell>
          <cell r="K3067" t="str">
            <v>Pontifical Catholic University of Rio de Janeiro</v>
          </cell>
        </row>
        <row r="3068">
          <cell r="J3068">
            <v>56673863600</v>
          </cell>
          <cell r="K3068" t="str">
            <v>Instituto Tecnológico da Aeronáutica</v>
          </cell>
        </row>
        <row r="3069">
          <cell r="J3069">
            <v>57211351880</v>
          </cell>
          <cell r="K3069" t="str">
            <v>WIKKI Brasil LTDA (+1 more)</v>
          </cell>
        </row>
        <row r="3070">
          <cell r="J3070">
            <v>56480218400</v>
          </cell>
          <cell r="K3070" t="str">
            <v>Universidade Federal Rural do Rio de Janeiro (+3 more)</v>
          </cell>
        </row>
        <row r="3071">
          <cell r="J3071">
            <v>23492946800</v>
          </cell>
          <cell r="K3071" t="str">
            <v>Pontifícia Universidade Católica do Rio Grande do Sul</v>
          </cell>
        </row>
        <row r="3072">
          <cell r="J3072">
            <v>25228814500</v>
          </cell>
          <cell r="K3072" t="str">
            <v>Universidade Federal do Ceará</v>
          </cell>
        </row>
        <row r="3073">
          <cell r="J3073">
            <v>6603006173</v>
          </cell>
          <cell r="K3073" t="str">
            <v>Federal University of Rio de Janeiro</v>
          </cell>
        </row>
        <row r="3074">
          <cell r="J3074">
            <v>56347326700</v>
          </cell>
          <cell r="K3074" t="str">
            <v>Universidade de Caxias do Sul</v>
          </cell>
        </row>
        <row r="3075">
          <cell r="J3075">
            <v>55346481900</v>
          </cell>
          <cell r="K3075" t="str">
            <v>Universidade de São Paulo</v>
          </cell>
        </row>
        <row r="3076">
          <cell r="J3076">
            <v>58904207200</v>
          </cell>
          <cell r="K3076" t="str">
            <v>SENAI Innovation Institute for Embedded Systems</v>
          </cell>
        </row>
        <row r="3077">
          <cell r="J3077">
            <v>16480835400</v>
          </cell>
          <cell r="K3077" t="str">
            <v>Universidade Federal do Ceará</v>
          </cell>
        </row>
        <row r="3078">
          <cell r="J3078">
            <v>57203947052</v>
          </cell>
          <cell r="K3078" t="str">
            <v>Universidade Tecnológica Federal do Paraná</v>
          </cell>
        </row>
        <row r="3079">
          <cell r="J3079">
            <v>7005513969</v>
          </cell>
          <cell r="K3079" t="str">
            <v>Universidade Federal de Juiz de Fora</v>
          </cell>
        </row>
        <row r="3080">
          <cell r="J3080">
            <v>24544477400</v>
          </cell>
          <cell r="K3080" t="str">
            <v>Universidade Federal de Pelotas</v>
          </cell>
        </row>
        <row r="3081">
          <cell r="J3081">
            <v>58619675300</v>
          </cell>
          <cell r="K3081" t="str">
            <v>Universidade Federal de Pernambuco</v>
          </cell>
        </row>
        <row r="3082">
          <cell r="J3082">
            <v>57216485508</v>
          </cell>
          <cell r="K3082" t="str">
            <v>Universidade Federal do Ceará</v>
          </cell>
        </row>
        <row r="3083">
          <cell r="J3083">
            <v>59604174200</v>
          </cell>
          <cell r="K3083" t="str">
            <v>Universidade do Estado do Rio de Janeiro (+1 more)</v>
          </cell>
        </row>
        <row r="3084">
          <cell r="J3084">
            <v>58437844300</v>
          </cell>
          <cell r="K3084" t="str">
            <v>Universidade Federal de Pernambuco</v>
          </cell>
        </row>
        <row r="3085">
          <cell r="J3085">
            <v>55557981500</v>
          </cell>
          <cell r="K3085" t="str">
            <v>Universidade Federal do Ceará</v>
          </cell>
        </row>
        <row r="3086">
          <cell r="J3086">
            <v>57192872180</v>
          </cell>
          <cell r="K3086" t="str">
            <v>Universidade Federal de Pernambuco</v>
          </cell>
        </row>
        <row r="3087">
          <cell r="J3087">
            <v>59251795900</v>
          </cell>
          <cell r="K3087" t="str">
            <v>SAIPEM</v>
          </cell>
        </row>
        <row r="3088">
          <cell r="J3088">
            <v>57196477721</v>
          </cell>
          <cell r="K3088" t="str">
            <v>Universidade Federal do Paraná</v>
          </cell>
        </row>
        <row r="3089">
          <cell r="J3089">
            <v>55811635000</v>
          </cell>
          <cell r="K3089" t="str">
            <v>Universidade Federal do Espírito Santo (+1 more)</v>
          </cell>
        </row>
        <row r="3090">
          <cell r="J3090">
            <v>57209304146</v>
          </cell>
          <cell r="K3090" t="str">
            <v>Universidade Estadual Paulista “Júlio de Mesquita Filho”</v>
          </cell>
        </row>
        <row r="3091">
          <cell r="J3091">
            <v>57201850218</v>
          </cell>
          <cell r="K3091" t="str">
            <v>Universidade Estadual Paulista “Júlio de Mesquita Filho”</v>
          </cell>
        </row>
        <row r="3092">
          <cell r="J3092">
            <v>57189626704</v>
          </cell>
          <cell r="K3092" t="str">
            <v>Universidade Tecnológica Federal do Paraná</v>
          </cell>
        </row>
        <row r="3093">
          <cell r="J3093">
            <v>57024230600</v>
          </cell>
          <cell r="K3093" t="str">
            <v>Universidade Estadual do Norte Fluminense</v>
          </cell>
        </row>
        <row r="3094">
          <cell r="J3094">
            <v>9243187300</v>
          </cell>
          <cell r="K3094" t="str">
            <v>Universidade de São Paulo</v>
          </cell>
        </row>
        <row r="3095">
          <cell r="J3095">
            <v>60086762900</v>
          </cell>
          <cell r="K3095" t="str">
            <v>Universidade de São Paulo</v>
          </cell>
        </row>
        <row r="3096">
          <cell r="J3096">
            <v>56559902100</v>
          </cell>
          <cell r="K3096" t="str">
            <v>Universidade Tecnológica Federal do Paraná (+2 more)</v>
          </cell>
        </row>
        <row r="3097">
          <cell r="J3097">
            <v>55611581000</v>
          </cell>
          <cell r="K3097" t="str">
            <v>Federal University of Rio de Janeiro</v>
          </cell>
        </row>
        <row r="3098">
          <cell r="J3098">
            <v>59873835200</v>
          </cell>
          <cell r="K3098" t="str">
            <v>Halliburton</v>
          </cell>
        </row>
        <row r="3099">
          <cell r="J3099">
            <v>23028191500</v>
          </cell>
          <cell r="K3099" t="str">
            <v>Universidade do Estado do Rio de Janeiro</v>
          </cell>
        </row>
        <row r="3100">
          <cell r="J3100">
            <v>6504322433</v>
          </cell>
          <cell r="K3100" t="str">
            <v>Pontifical Catholic University of Rio de Janeiro</v>
          </cell>
        </row>
        <row r="3101">
          <cell r="J3101">
            <v>36834164700</v>
          </cell>
          <cell r="K3101" t="str">
            <v>Federal University of Rio de Janeiro</v>
          </cell>
        </row>
        <row r="3102">
          <cell r="J3102">
            <v>6505607198</v>
          </cell>
          <cell r="K3102" t="str">
            <v>Federal University of Rio de Janeiro</v>
          </cell>
        </row>
        <row r="3103">
          <cell r="J3103">
            <v>57947345500</v>
          </cell>
          <cell r="K3103" t="str">
            <v>Pontifical Catholic University of Rio de Janeiro</v>
          </cell>
        </row>
        <row r="3104">
          <cell r="J3104">
            <v>23567946300</v>
          </cell>
          <cell r="K3104" t="str">
            <v>Universidade Federal do Rio Grande do Sul</v>
          </cell>
        </row>
        <row r="3105">
          <cell r="J3105">
            <v>8360555200</v>
          </cell>
          <cell r="K3105" t="str">
            <v>Universidade Federal de Minas Gerais</v>
          </cell>
        </row>
        <row r="3106">
          <cell r="J3106">
            <v>59318266200</v>
          </cell>
          <cell r="K3106" t="str">
            <v>Federal University of Rio de Janeiro</v>
          </cell>
        </row>
        <row r="3107">
          <cell r="J3107">
            <v>7004264550</v>
          </cell>
          <cell r="K3107" t="str">
            <v>Federal University of Rio de Janeiro</v>
          </cell>
        </row>
        <row r="3108">
          <cell r="J3108">
            <v>36240685100</v>
          </cell>
          <cell r="K3108" t="str">
            <v>Federal University of Rio de Janeiro</v>
          </cell>
        </row>
        <row r="3109">
          <cell r="J3109">
            <v>7003371726</v>
          </cell>
          <cell r="K3109" t="str">
            <v>LAMEMO - Modelling Methods in Engineering and Geophysics Laboratory (+1 more)</v>
          </cell>
        </row>
        <row r="3110">
          <cell r="J3110">
            <v>6701669236</v>
          </cell>
          <cell r="K3110" t="str">
            <v>Federal University of Santa Catarina</v>
          </cell>
        </row>
        <row r="3111">
          <cell r="J3111">
            <v>55144200300</v>
          </cell>
          <cell r="K3111" t="str">
            <v>Federal University of Santa Catarina</v>
          </cell>
        </row>
        <row r="3112">
          <cell r="J3112">
            <v>15822407600</v>
          </cell>
          <cell r="K3112" t="str">
            <v>Universidade do Estado do Rio de Janeiro (+1 more)</v>
          </cell>
        </row>
        <row r="3113">
          <cell r="J3113">
            <v>12243245300</v>
          </cell>
          <cell r="K3113" t="str">
            <v>Universidade Estadual Paulista “Júlio de Mesquita Filho”</v>
          </cell>
        </row>
        <row r="3114">
          <cell r="J3114">
            <v>6507836843</v>
          </cell>
          <cell r="K3114" t="str">
            <v>Universidade Estadual Paulista “Júlio de Mesquita Filho” (+1 more)</v>
          </cell>
        </row>
        <row r="3115">
          <cell r="J3115">
            <v>57219297732</v>
          </cell>
          <cell r="K3115" t="str">
            <v>DEMa</v>
          </cell>
        </row>
        <row r="3116">
          <cell r="J3116">
            <v>6508137497</v>
          </cell>
          <cell r="K3116" t="str">
            <v>Universidade Estadual Paulista “Júlio de Mesquita Filho”</v>
          </cell>
        </row>
        <row r="3117">
          <cell r="J3117">
            <v>6602275786</v>
          </cell>
          <cell r="K3117" t="str">
            <v>Instituto de Química</v>
          </cell>
        </row>
        <row r="3118">
          <cell r="J3118">
            <v>35234199200</v>
          </cell>
          <cell r="K3118" t="str">
            <v>Universidade da Região de Joinville (+1 more)</v>
          </cell>
        </row>
        <row r="3119">
          <cell r="J3119">
            <v>21739467100</v>
          </cell>
          <cell r="K3119" t="str">
            <v>Federal University of Santa Catarina</v>
          </cell>
        </row>
        <row r="3120">
          <cell r="J3120">
            <v>8101035400</v>
          </cell>
          <cell r="K3120" t="str">
            <v>Pontifícia Universidade Católica do Rio Grande do Sul</v>
          </cell>
        </row>
        <row r="3121">
          <cell r="J3121">
            <v>57214189508</v>
          </cell>
          <cell r="K3121" t="str">
            <v>Universidade de São Paulo</v>
          </cell>
        </row>
        <row r="3122">
          <cell r="J3122">
            <v>57204187264</v>
          </cell>
          <cell r="K3122" t="str">
            <v>Federal University of Rio de Janeiro</v>
          </cell>
        </row>
        <row r="3123">
          <cell r="J3123">
            <v>26665639600</v>
          </cell>
          <cell r="K3123" t="str">
            <v>University of Campinas</v>
          </cell>
        </row>
        <row r="3124">
          <cell r="J3124">
            <v>57243147100</v>
          </cell>
          <cell r="K3124" t="str">
            <v>Universidade Federal de Viçosa</v>
          </cell>
        </row>
        <row r="3125">
          <cell r="J3125">
            <v>57212448575</v>
          </cell>
          <cell r="K3125" t="str">
            <v>Federal University of Santa Catarina</v>
          </cell>
        </row>
        <row r="3126">
          <cell r="J3126">
            <v>57191258571</v>
          </cell>
          <cell r="K3126" t="str">
            <v>Universidade Federal Fluminense</v>
          </cell>
        </row>
        <row r="3127">
          <cell r="J3127">
            <v>36925650700</v>
          </cell>
          <cell r="K3127" t="str">
            <v>Pontifical Catholic University of Rio de Janeiro</v>
          </cell>
        </row>
        <row r="3128">
          <cell r="J3128">
            <v>55951525100</v>
          </cell>
          <cell r="K3128" t="str">
            <v>Pontifícia Universidade Católica do Rio Grande do Sul</v>
          </cell>
        </row>
        <row r="3129">
          <cell r="J3129">
            <v>56095170300</v>
          </cell>
          <cell r="K3129" t="str">
            <v>Federal University of Rio de Janeiro</v>
          </cell>
        </row>
        <row r="3130">
          <cell r="J3130">
            <v>57212107021</v>
          </cell>
          <cell r="K3130" t="str">
            <v>University of Campinas</v>
          </cell>
        </row>
        <row r="3131">
          <cell r="J3131">
            <v>57203408354</v>
          </cell>
          <cell r="K3131" t="str">
            <v>Universidade de la República</v>
          </cell>
        </row>
        <row r="3132">
          <cell r="J3132">
            <v>7004226155</v>
          </cell>
          <cell r="K3132" t="str">
            <v>Petróleo Brasileiro S.A. (+2 more)</v>
          </cell>
        </row>
        <row r="3133">
          <cell r="J3133">
            <v>60053152900</v>
          </cell>
          <cell r="K3133" t="str">
            <v>Universidade de São Paulo</v>
          </cell>
        </row>
        <row r="3134">
          <cell r="J3134">
            <v>57680046900</v>
          </cell>
          <cell r="K3134" t="str">
            <v>Vizlab - X-Reality and GeoInformatics Lab</v>
          </cell>
        </row>
        <row r="3135">
          <cell r="J3135">
            <v>55602097300</v>
          </cell>
          <cell r="K3135" t="str">
            <v>Federal University of Rio de Janeiro</v>
          </cell>
        </row>
        <row r="3136">
          <cell r="J3136">
            <v>36193056800</v>
          </cell>
          <cell r="K3136" t="str">
            <v>Universidade Federal de Goiás</v>
          </cell>
        </row>
        <row r="3137">
          <cell r="J3137">
            <v>6603061270</v>
          </cell>
          <cell r="K3137" t="str">
            <v>Universidade Federal de Pernambuco</v>
          </cell>
        </row>
        <row r="3138">
          <cell r="J3138">
            <v>57188808808</v>
          </cell>
          <cell r="K3138" t="str">
            <v>Federal University of Santa Catarina</v>
          </cell>
        </row>
        <row r="3139">
          <cell r="J3139">
            <v>57213172268</v>
          </cell>
          <cell r="K3139" t="str">
            <v>Federal University of Rio de Janeiro</v>
          </cell>
        </row>
        <row r="3140">
          <cell r="J3140">
            <v>57194796543</v>
          </cell>
          <cell r="K3140" t="str">
            <v>Marinha do Brasil</v>
          </cell>
        </row>
        <row r="3141">
          <cell r="J3141">
            <v>8635169000</v>
          </cell>
          <cell r="K3141" t="str">
            <v>Universidade Federal do Rio Grande do Sul</v>
          </cell>
        </row>
        <row r="3142">
          <cell r="J3142">
            <v>57210973270</v>
          </cell>
          <cell r="K3142" t="str">
            <v>Federal University of Rio de Janeiro</v>
          </cell>
        </row>
        <row r="3143">
          <cell r="J3143">
            <v>55637506900</v>
          </cell>
          <cell r="K3143" t="str">
            <v>Jožef Stefan Institute (+1 more)</v>
          </cell>
        </row>
        <row r="3144">
          <cell r="J3144">
            <v>56112547000</v>
          </cell>
          <cell r="K3144" t="str">
            <v>Geological Survey of Brazil</v>
          </cell>
        </row>
        <row r="3145">
          <cell r="J3145">
            <v>7004234611</v>
          </cell>
          <cell r="K3145" t="str">
            <v>Universidade do Estado do Rio de Janeiro</v>
          </cell>
        </row>
        <row r="3146">
          <cell r="J3146">
            <v>57188977754</v>
          </cell>
          <cell r="K3146" t="str">
            <v>Petróleo Brasileiro S.A. (+1 more)</v>
          </cell>
        </row>
        <row r="3147">
          <cell r="J3147">
            <v>7003438112</v>
          </cell>
          <cell r="K3147" t="str">
            <v>Pontifical Catholic University of Rio de Janeiro</v>
          </cell>
        </row>
        <row r="3148">
          <cell r="J3148">
            <v>57223913168</v>
          </cell>
          <cell r="K3148" t="str">
            <v>Federal University of Rio de Janeiro</v>
          </cell>
        </row>
        <row r="3149">
          <cell r="J3149">
            <v>57195295029</v>
          </cell>
          <cell r="K3149" t="str">
            <v>Federal University of Rio de Janeiro</v>
          </cell>
        </row>
        <row r="3150">
          <cell r="J3150">
            <v>36614451700</v>
          </cell>
          <cell r="K3150" t="str">
            <v>Universidade Federal de Minas Gerais</v>
          </cell>
        </row>
        <row r="3151">
          <cell r="J3151">
            <v>56441164600</v>
          </cell>
          <cell r="K3151" t="str">
            <v>Federal University of Rio de Janeiro</v>
          </cell>
        </row>
        <row r="3152">
          <cell r="J3152">
            <v>57201406177</v>
          </cell>
          <cell r="K3152" t="str">
            <v>Universidade Federal de Pernambuco</v>
          </cell>
        </row>
        <row r="3153">
          <cell r="J3153">
            <v>57217374030</v>
          </cell>
          <cell r="K3153" t="str">
            <v>Vizlab - X-Reality and GeoInformatics Lab</v>
          </cell>
        </row>
        <row r="3154">
          <cell r="J3154">
            <v>57204879168</v>
          </cell>
          <cell r="K3154" t="str">
            <v>X-Reality GeoInformatics Lab Unisinos University (+1 more)</v>
          </cell>
        </row>
        <row r="3155">
          <cell r="J3155">
            <v>57943871300</v>
          </cell>
          <cell r="K3155" t="str">
            <v>Federal University of Santa Catarina</v>
          </cell>
        </row>
        <row r="3156">
          <cell r="J3156">
            <v>55508942100</v>
          </cell>
          <cell r="K3156" t="str">
            <v>Federal University of Santa Catarina</v>
          </cell>
        </row>
        <row r="3157">
          <cell r="J3157">
            <v>57535718100</v>
          </cell>
          <cell r="K3157" t="str">
            <v>University of Campinas (+1 more)</v>
          </cell>
        </row>
        <row r="3158">
          <cell r="J3158">
            <v>57200259719</v>
          </cell>
          <cell r="K3158" t="str">
            <v>Universidade Tecnológica Federal do Paraná (+1 more)</v>
          </cell>
        </row>
        <row r="3159">
          <cell r="J3159">
            <v>57201279367</v>
          </cell>
          <cell r="K3159" t="str">
            <v>Universidade Federal de Juiz de Fora</v>
          </cell>
        </row>
        <row r="3160">
          <cell r="J3160">
            <v>57211054503</v>
          </cell>
          <cell r="K3160" t="str">
            <v>Universidade Federal Fluminense</v>
          </cell>
        </row>
        <row r="3161">
          <cell r="J3161">
            <v>55879438800</v>
          </cell>
          <cell r="K3161" t="str">
            <v>Federal University of Pará</v>
          </cell>
        </row>
        <row r="3162">
          <cell r="J3162">
            <v>36920519600</v>
          </cell>
          <cell r="K3162" t="str">
            <v>Federal University of Rio de Janeiro (+1 more)</v>
          </cell>
        </row>
        <row r="3163">
          <cell r="J3163">
            <v>7102307327</v>
          </cell>
          <cell r="K3163" t="str">
            <v>Universidade de São Paulo</v>
          </cell>
        </row>
        <row r="3164">
          <cell r="J3164">
            <v>56517547900</v>
          </cell>
          <cell r="K3164" t="str">
            <v>Comissão Nacional de Energia Nuclear</v>
          </cell>
        </row>
        <row r="3165">
          <cell r="J3165">
            <v>57191444165</v>
          </cell>
          <cell r="K3165" t="str">
            <v>Federal University of Rio de Janeiro</v>
          </cell>
        </row>
        <row r="3166">
          <cell r="J3166">
            <v>55503104600</v>
          </cell>
          <cell r="K3166" t="str">
            <v>Universidade Federal do Rio Grande do Norte (+1 more)</v>
          </cell>
        </row>
        <row r="3167">
          <cell r="J3167">
            <v>57097727200</v>
          </cell>
          <cell r="K3167" t="str">
            <v>Centro Federal de Educação Tecnológica Celso Suckow da Fonseca (CEFET-RJ)</v>
          </cell>
        </row>
        <row r="3168">
          <cell r="J3168">
            <v>57000412100</v>
          </cell>
          <cell r="K3168" t="str">
            <v>Federal University of Rio de Janeiro</v>
          </cell>
        </row>
        <row r="3169">
          <cell r="J3169">
            <v>7004766599</v>
          </cell>
          <cell r="K3169" t="str">
            <v>University of Campinas</v>
          </cell>
        </row>
        <row r="3170">
          <cell r="J3170">
            <v>36163313000</v>
          </cell>
          <cell r="K3170" t="str">
            <v>Vizlab - X-Reality and GeoInformatics Lab</v>
          </cell>
        </row>
        <row r="3171">
          <cell r="J3171">
            <v>57224517601</v>
          </cell>
          <cell r="K3171" t="str">
            <v>Pontifícia Universidade Católica do Rio Grande do Sul</v>
          </cell>
        </row>
        <row r="3172">
          <cell r="J3172">
            <v>9740786100</v>
          </cell>
          <cell r="K3172" t="str">
            <v>Universidade Tecnológica Federal do Paraná</v>
          </cell>
        </row>
        <row r="3173">
          <cell r="J3173">
            <v>6602763217</v>
          </cell>
          <cell r="K3173" t="str">
            <v>Pontifical Catholic University of Rio de Janeiro</v>
          </cell>
        </row>
        <row r="3174">
          <cell r="J3174">
            <v>7003671652</v>
          </cell>
          <cell r="K3174" t="str">
            <v>Universidade Federal Fluminense (+1 more)</v>
          </cell>
        </row>
        <row r="3175">
          <cell r="J3175">
            <v>57188559746</v>
          </cell>
          <cell r="K3175" t="str">
            <v>Instituto Mauá de Tecnologia</v>
          </cell>
        </row>
        <row r="3176">
          <cell r="J3176">
            <v>7101638022</v>
          </cell>
          <cell r="K3176" t="str">
            <v>Universidade Federal do Rio Grande do Norte</v>
          </cell>
        </row>
        <row r="3177">
          <cell r="J3177">
            <v>8962963700</v>
          </cell>
          <cell r="K3177" t="str">
            <v>Universidade Federal de Uberlândia</v>
          </cell>
        </row>
        <row r="3178">
          <cell r="J3178">
            <v>56224060900</v>
          </cell>
          <cell r="K3178" t="str">
            <v>Universidade de São Paulo</v>
          </cell>
        </row>
        <row r="3179">
          <cell r="J3179">
            <v>57195518952</v>
          </cell>
          <cell r="K3179" t="str">
            <v>Federal University of Rio de Janeiro</v>
          </cell>
        </row>
        <row r="3180">
          <cell r="J3180">
            <v>58565743400</v>
          </cell>
          <cell r="K3180" t="str">
            <v>Pontifical Catholic University of Rio de Janeiro</v>
          </cell>
        </row>
        <row r="3181">
          <cell r="J3181">
            <v>57252980900</v>
          </cell>
          <cell r="K3181" t="str">
            <v>Universidade Federal de Uberlândia</v>
          </cell>
        </row>
        <row r="3182">
          <cell r="J3182">
            <v>57209453868</v>
          </cell>
          <cell r="K3182" t="str">
            <v>Universidade Federal do Paraná</v>
          </cell>
        </row>
        <row r="3183">
          <cell r="J3183">
            <v>55217690100</v>
          </cell>
          <cell r="K3183" t="str">
            <v>Universidade Estadual do Norte Fluminense</v>
          </cell>
        </row>
        <row r="3184">
          <cell r="J3184">
            <v>60086403100</v>
          </cell>
          <cell r="K3184" t="str">
            <v>Federal University of Rio de Janeiro</v>
          </cell>
        </row>
        <row r="3185">
          <cell r="J3185">
            <v>56234856100</v>
          </cell>
          <cell r="K3185" t="str">
            <v>Universidade Federal do Espírito Santo</v>
          </cell>
        </row>
        <row r="3186">
          <cell r="J3186">
            <v>57095482900</v>
          </cell>
          <cell r="K3186" t="str">
            <v>Universidade Federal de Uberlândia</v>
          </cell>
        </row>
        <row r="3187">
          <cell r="J3187">
            <v>57211211174</v>
          </cell>
          <cell r="K3187" t="str">
            <v>Federal University of Rio de Janeiro</v>
          </cell>
        </row>
        <row r="3188">
          <cell r="J3188">
            <v>57219721808</v>
          </cell>
          <cell r="K3188" t="str">
            <v>Federal University of Santa Catarina</v>
          </cell>
        </row>
        <row r="3189">
          <cell r="J3189">
            <v>57226690351</v>
          </cell>
          <cell r="K3189" t="str">
            <v>Federal University of Santa Catarina</v>
          </cell>
        </row>
        <row r="3190">
          <cell r="J3190">
            <v>57216650039</v>
          </cell>
          <cell r="K3190" t="str">
            <v>Universidade Federal do Espírito Santo</v>
          </cell>
        </row>
        <row r="3191">
          <cell r="J3191">
            <v>57190174505</v>
          </cell>
          <cell r="K3191" t="str">
            <v>Universidade de São Paulo</v>
          </cell>
        </row>
        <row r="3192">
          <cell r="J3192">
            <v>55601106900</v>
          </cell>
          <cell r="K3192" t="str">
            <v>Universidade Federal Rural do Rio de Janeiro</v>
          </cell>
        </row>
        <row r="3193">
          <cell r="J3193">
            <v>58904169500</v>
          </cell>
          <cell r="K3193" t="str">
            <v>SENAI Innovation Institute for Embedded Systems</v>
          </cell>
        </row>
        <row r="3194">
          <cell r="J3194">
            <v>59234433700</v>
          </cell>
          <cell r="K3194" t="str">
            <v>Federal University of Pará</v>
          </cell>
        </row>
        <row r="3195">
          <cell r="J3195">
            <v>7402262363</v>
          </cell>
          <cell r="K3195" t="str">
            <v>Universidade de São Paulo</v>
          </cell>
        </row>
        <row r="3196">
          <cell r="J3196">
            <v>57169482800</v>
          </cell>
          <cell r="K3196" t="str">
            <v>Universidade de São Paulo (+1 more)</v>
          </cell>
        </row>
        <row r="3197">
          <cell r="J3197">
            <v>7402262320</v>
          </cell>
          <cell r="K3197" t="str">
            <v>Universidade Federal de Viçosa</v>
          </cell>
        </row>
        <row r="3198">
          <cell r="J3198">
            <v>14831775800</v>
          </cell>
          <cell r="K3198" t="str">
            <v>University of Aveiro (+1 more)</v>
          </cell>
        </row>
        <row r="3199">
          <cell r="J3199">
            <v>57212578576</v>
          </cell>
          <cell r="K3199" t="str">
            <v>Federal University of Rio de Janeiro</v>
          </cell>
        </row>
        <row r="3200">
          <cell r="J3200">
            <v>57202098969</v>
          </cell>
          <cell r="K3200" t="str">
            <v>Universidade Federal de Goiás</v>
          </cell>
        </row>
        <row r="3201">
          <cell r="J3201">
            <v>57845667000</v>
          </cell>
          <cell r="K3201" t="str">
            <v>SENAI Innovation Institute for Embedded Systems</v>
          </cell>
        </row>
        <row r="3202">
          <cell r="J3202">
            <v>57193404458</v>
          </cell>
          <cell r="K3202" t="str">
            <v>Universidade Federal do Espírito Santo</v>
          </cell>
        </row>
        <row r="3203">
          <cell r="J3203">
            <v>57216404938</v>
          </cell>
          <cell r="K3203" t="str">
            <v>University of Campinas</v>
          </cell>
        </row>
        <row r="3204">
          <cell r="J3204">
            <v>59355630200</v>
          </cell>
          <cell r="K3204" t="str">
            <v>Universidade Federal de São João del-Rei</v>
          </cell>
        </row>
        <row r="3205">
          <cell r="J3205">
            <v>6701901312</v>
          </cell>
          <cell r="K3205" t="str">
            <v>University of Campinas</v>
          </cell>
        </row>
        <row r="3206">
          <cell r="J3206">
            <v>6604084939</v>
          </cell>
          <cell r="K3206" t="str">
            <v>Universidade de São Paulo</v>
          </cell>
        </row>
        <row r="3207">
          <cell r="J3207">
            <v>6603413940</v>
          </cell>
          <cell r="K3207" t="str">
            <v>TRANSPETRO (+2 more)</v>
          </cell>
        </row>
        <row r="3208">
          <cell r="J3208">
            <v>55803313400</v>
          </cell>
          <cell r="K3208" t="str">
            <v>Universidade Federal do ABC</v>
          </cell>
        </row>
        <row r="3209">
          <cell r="J3209">
            <v>58494444900</v>
          </cell>
          <cell r="K3209" t="str">
            <v>Universidade Federal de Minas Gerais</v>
          </cell>
        </row>
        <row r="3210">
          <cell r="J3210">
            <v>55356525300</v>
          </cell>
          <cell r="K3210" t="str">
            <v>Universidade de São Paulo</v>
          </cell>
        </row>
        <row r="3211">
          <cell r="J3211">
            <v>7004567719</v>
          </cell>
          <cell r="K3211" t="str">
            <v>Pontifical Catholic University of Rio de Janeiro (+2 more)</v>
          </cell>
        </row>
        <row r="3212">
          <cell r="J3212">
            <v>59161393300</v>
          </cell>
          <cell r="K3212" t="str">
            <v>Federal University of Rio de Janeiro</v>
          </cell>
        </row>
        <row r="3213">
          <cell r="J3213">
            <v>55534282400</v>
          </cell>
          <cell r="K3213" t="str">
            <v>Instituto Nacional de Tecnologia (+1 more)</v>
          </cell>
        </row>
        <row r="3214">
          <cell r="J3214">
            <v>60122896100</v>
          </cell>
          <cell r="K3214" t="str">
            <v>University of Campinas</v>
          </cell>
        </row>
        <row r="3215">
          <cell r="J3215">
            <v>57194206463</v>
          </cell>
          <cell r="K3215" t="str">
            <v>Federal University of Rio de Janeiro</v>
          </cell>
        </row>
        <row r="3216">
          <cell r="J3216">
            <v>56996068900</v>
          </cell>
          <cell r="K3216" t="str">
            <v>Pontifical Catholic University of Rio de Janeiro (+1 more)</v>
          </cell>
        </row>
        <row r="3217">
          <cell r="J3217">
            <v>59761851900</v>
          </cell>
          <cell r="K3217" t="str">
            <v>Pontifical Catholic University of Rio de Janeiro</v>
          </cell>
        </row>
        <row r="3218">
          <cell r="J3218">
            <v>57324188300</v>
          </cell>
          <cell r="K3218" t="str">
            <v>Pontifical Catholic University of Rio de Janeiro</v>
          </cell>
        </row>
        <row r="3219">
          <cell r="J3219">
            <v>7005129218</v>
          </cell>
          <cell r="K3219" t="str">
            <v>University of Campinas</v>
          </cell>
        </row>
        <row r="3220">
          <cell r="J3220">
            <v>60078134900</v>
          </cell>
          <cell r="K3220" t="str">
            <v>Universidade Federal de Goiás</v>
          </cell>
        </row>
        <row r="3221">
          <cell r="J3221">
            <v>59025415100</v>
          </cell>
          <cell r="K3221" t="str">
            <v>Universidade de Brasília</v>
          </cell>
        </row>
        <row r="3222">
          <cell r="J3222">
            <v>57526101200</v>
          </cell>
          <cell r="K3222" t="str">
            <v>Universidade de Brasília</v>
          </cell>
        </row>
        <row r="3223">
          <cell r="J3223">
            <v>58971210900</v>
          </cell>
          <cell r="K3223" t="str">
            <v>Universidade Federal de Goiás</v>
          </cell>
        </row>
        <row r="3224">
          <cell r="J3224">
            <v>37104517500</v>
          </cell>
          <cell r="K3224" t="str">
            <v>Universidade Federal do Rio Grande do Sul (+2 more)</v>
          </cell>
        </row>
        <row r="3225">
          <cell r="J3225">
            <v>57445402700</v>
          </cell>
          <cell r="K3225" t="str">
            <v>Pontifical Catholic University of Rio de Janeiro</v>
          </cell>
        </row>
        <row r="3226">
          <cell r="J3226">
            <v>56638348700</v>
          </cell>
          <cell r="K3226" t="str">
            <v>University of Campinas (+1 more)</v>
          </cell>
        </row>
        <row r="3227">
          <cell r="J3227">
            <v>7006119728</v>
          </cell>
          <cell r="K3227" t="str">
            <v>Petróleo Brasileiro S.A. (+2 more)</v>
          </cell>
        </row>
        <row r="3228">
          <cell r="J3228">
            <v>6602555822</v>
          </cell>
          <cell r="K3228" t="str">
            <v>Federal University of Rio de Janeiro</v>
          </cell>
        </row>
        <row r="3229">
          <cell r="J3229">
            <v>6701815351</v>
          </cell>
          <cell r="K3229" t="str">
            <v>Universidade Federal do Paraná</v>
          </cell>
        </row>
        <row r="3230">
          <cell r="J3230">
            <v>56904258800</v>
          </cell>
          <cell r="K3230" t="str">
            <v>Universidade Federal do Rio Grande do Sul (+1 more)</v>
          </cell>
        </row>
        <row r="3231">
          <cell r="J3231">
            <v>36956987000</v>
          </cell>
          <cell r="K3231" t="str">
            <v>Universidade de São Paulo</v>
          </cell>
        </row>
        <row r="3232">
          <cell r="J3232">
            <v>36007492800</v>
          </cell>
          <cell r="K3232" t="str">
            <v>Universidade de São Paulo (+1 more)</v>
          </cell>
        </row>
        <row r="3233">
          <cell r="J3233">
            <v>55946325100</v>
          </cell>
          <cell r="K3233" t="str">
            <v>Pontifical Catholic University of Rio de Janeiro (+1 more)</v>
          </cell>
        </row>
        <row r="3234">
          <cell r="J3234">
            <v>55944578200</v>
          </cell>
          <cell r="K3234" t="str">
            <v>Universidade de São Paulo</v>
          </cell>
        </row>
        <row r="3235">
          <cell r="J3235">
            <v>56180444100</v>
          </cell>
          <cell r="K3235" t="str">
            <v>Universidade de Caxias do Sul</v>
          </cell>
        </row>
        <row r="3236">
          <cell r="J3236">
            <v>58608612000</v>
          </cell>
          <cell r="K3236" t="str">
            <v>Instituto Militar de Engenharia</v>
          </cell>
        </row>
        <row r="3237">
          <cell r="J3237">
            <v>57203022971</v>
          </cell>
          <cell r="K3237" t="str">
            <v>SENAI Innovation Institute for Embedded Systems</v>
          </cell>
        </row>
        <row r="3238">
          <cell r="J3238">
            <v>57201802198</v>
          </cell>
          <cell r="K3238" t="str">
            <v>Universidade Federal do Rio Grande do Norte</v>
          </cell>
        </row>
        <row r="3239">
          <cell r="J3239">
            <v>56946489700</v>
          </cell>
          <cell r="K3239" t="str">
            <v>University of Campinas (+2 more)</v>
          </cell>
        </row>
        <row r="3240">
          <cell r="J3240">
            <v>9335178600</v>
          </cell>
          <cell r="K3240" t="str">
            <v>Universidade Federal Rural do Rio de Janeiro (+1 more)</v>
          </cell>
        </row>
        <row r="3241">
          <cell r="J3241">
            <v>57742856400</v>
          </cell>
          <cell r="K3241" t="str">
            <v>Universidade Tecnológica Federal do Paraná</v>
          </cell>
        </row>
        <row r="3242">
          <cell r="J3242">
            <v>57196993326</v>
          </cell>
          <cell r="K3242" t="str">
            <v>University of Campinas</v>
          </cell>
        </row>
        <row r="3243">
          <cell r="J3243">
            <v>57210218025</v>
          </cell>
          <cell r="K3243" t="str">
            <v>Universidade de Caxias do Sul</v>
          </cell>
        </row>
        <row r="3244">
          <cell r="J3244">
            <v>57214801756</v>
          </cell>
          <cell r="K3244" t="str">
            <v>Intelie</v>
          </cell>
        </row>
        <row r="3245">
          <cell r="J3245">
            <v>6603357612</v>
          </cell>
          <cell r="K3245" t="str">
            <v>Universidade de São Paulo</v>
          </cell>
        </row>
        <row r="3246">
          <cell r="J3246">
            <v>57195230233</v>
          </cell>
          <cell r="K3246" t="str">
            <v>Instituto Federal Catarinense (+2 more)</v>
          </cell>
        </row>
        <row r="3247">
          <cell r="J3247">
            <v>59560892700</v>
          </cell>
          <cell r="K3247" t="str">
            <v>Universidade Federal de Uberlândia</v>
          </cell>
        </row>
        <row r="3248">
          <cell r="J3248">
            <v>57224857915</v>
          </cell>
          <cell r="K3248" t="str">
            <v>Pontifical Catholic University of Rio de Janeiro (+1 more)</v>
          </cell>
        </row>
        <row r="3249">
          <cell r="J3249">
            <v>59208486700</v>
          </cell>
          <cell r="K3249" t="str">
            <v>Universidade Federal de Pernambuco</v>
          </cell>
        </row>
        <row r="3250">
          <cell r="J3250">
            <v>56167554100</v>
          </cell>
          <cell r="K3250" t="str">
            <v>Universidade Federal de Minas Gerais</v>
          </cell>
        </row>
        <row r="3251">
          <cell r="J3251">
            <v>7006360099</v>
          </cell>
          <cell r="K3251" t="str">
            <v>Universidade Cidade de São Paulo</v>
          </cell>
        </row>
        <row r="3252">
          <cell r="J3252">
            <v>57015022600</v>
          </cell>
          <cell r="K3252" t="str">
            <v>Pontifical Catholic University of Rio de Janeiro</v>
          </cell>
        </row>
        <row r="3253">
          <cell r="J3253">
            <v>57189618643</v>
          </cell>
          <cell r="K3253" t="str">
            <v>Federal University of Rio de Janeiro</v>
          </cell>
        </row>
        <row r="3254">
          <cell r="J3254">
            <v>56272344800</v>
          </cell>
          <cell r="K3254" t="str">
            <v>Universidade Federal do Rio Grande do Norte</v>
          </cell>
        </row>
        <row r="3255">
          <cell r="J3255">
            <v>57221398443</v>
          </cell>
          <cell r="K3255" t="str">
            <v>Serviço Geológico do Brasil – Brazilian Geological Survey (SGB)</v>
          </cell>
        </row>
        <row r="3256">
          <cell r="J3256">
            <v>6701794222</v>
          </cell>
          <cell r="K3256" t="str">
            <v>Universidade Federal do Rio Grande do Norte (+2 more)</v>
          </cell>
        </row>
        <row r="3257">
          <cell r="J3257">
            <v>59895354600</v>
          </cell>
          <cell r="K3257" t="str">
            <v>Universidade Federal do Rio Grande do Sul</v>
          </cell>
        </row>
        <row r="3258">
          <cell r="J3258">
            <v>59255175100</v>
          </cell>
          <cell r="K3258" t="str">
            <v>Universidade Federal de Viçosa</v>
          </cell>
        </row>
        <row r="3259">
          <cell r="J3259">
            <v>7801613046</v>
          </cell>
          <cell r="K3259" t="str">
            <v>Pontifícia Universidade Católica do Rio Grande do Sul</v>
          </cell>
        </row>
        <row r="3260">
          <cell r="J3260">
            <v>57329077700</v>
          </cell>
          <cell r="K3260" t="str">
            <v>Federal University of Rio de Janeiro</v>
          </cell>
        </row>
        <row r="3261">
          <cell r="J3261">
            <v>7006890090</v>
          </cell>
          <cell r="K3261" t="str">
            <v>University of Campinas</v>
          </cell>
        </row>
        <row r="3262">
          <cell r="J3262">
            <v>7201994486</v>
          </cell>
          <cell r="K3262" t="str">
            <v>University of Blumenau (FURB) (+1 more)</v>
          </cell>
        </row>
        <row r="3263">
          <cell r="J3263">
            <v>59420893000</v>
          </cell>
          <cell r="K3263" t="str">
            <v>Federal University of Rio de Janeiro</v>
          </cell>
        </row>
        <row r="3264">
          <cell r="J3264">
            <v>57205281813</v>
          </cell>
          <cell r="K3264" t="str">
            <v>Pontifical Catholic University of Rio de Janeiro (+1 more)</v>
          </cell>
        </row>
        <row r="3265">
          <cell r="J3265">
            <v>6601952104</v>
          </cell>
          <cell r="K3265" t="str">
            <v>Universidade Federal Rural do Rio de Janeiro</v>
          </cell>
        </row>
        <row r="3266">
          <cell r="J3266">
            <v>55946417900</v>
          </cell>
          <cell r="K3266" t="str">
            <v>University of Campinas</v>
          </cell>
        </row>
        <row r="3267">
          <cell r="J3267">
            <v>58723645800</v>
          </cell>
          <cell r="K3267" t="str">
            <v>Universidade Federal do Espírito Santo</v>
          </cell>
        </row>
        <row r="3268">
          <cell r="J3268">
            <v>56446998900</v>
          </cell>
          <cell r="K3268" t="str">
            <v>Federal University of Rio de Janeiro</v>
          </cell>
        </row>
        <row r="3269">
          <cell r="J3269">
            <v>55876741500</v>
          </cell>
          <cell r="K3269" t="str">
            <v>Brazilian Center of Research in Physics (CBPF)</v>
          </cell>
        </row>
        <row r="3270">
          <cell r="J3270">
            <v>7005061537</v>
          </cell>
          <cell r="K3270" t="str">
            <v>Federal University of Rio de Janeiro</v>
          </cell>
        </row>
        <row r="3271">
          <cell r="J3271">
            <v>56494480300</v>
          </cell>
          <cell r="K3271" t="str">
            <v>Universidade Federal do Espírito Santo</v>
          </cell>
        </row>
        <row r="3272">
          <cell r="J3272">
            <v>57220487722</v>
          </cell>
          <cell r="K3272" t="str">
            <v>Federal University of Rio de Janeiro</v>
          </cell>
        </row>
        <row r="3273">
          <cell r="J3273">
            <v>21739684800</v>
          </cell>
          <cell r="K3273" t="str">
            <v>Universidade Federal de Santa Maria (+1 more)</v>
          </cell>
        </row>
        <row r="3274">
          <cell r="J3274">
            <v>57214730485</v>
          </cell>
          <cell r="K3274" t="str">
            <v>Universidade do Estado do Rio de Janeiro</v>
          </cell>
        </row>
        <row r="3275">
          <cell r="J3275">
            <v>57218657482</v>
          </cell>
          <cell r="K3275" t="str">
            <v>Universidade Federal do Rio Grande do Sul</v>
          </cell>
        </row>
        <row r="3276">
          <cell r="J3276">
            <v>57858374300</v>
          </cell>
          <cell r="K3276" t="str">
            <v>Universidade Federal Rural do Rio de Janeiro (+1 more)</v>
          </cell>
        </row>
        <row r="3277">
          <cell r="J3277">
            <v>57437688400</v>
          </cell>
          <cell r="K3277" t="str">
            <v>Universidade Tiradentes (+2 more)</v>
          </cell>
        </row>
        <row r="3278">
          <cell r="J3278">
            <v>57212393224</v>
          </cell>
          <cell r="K3278" t="str">
            <v>Universidade Federal do Rio Grande do Norte (+1 more)</v>
          </cell>
        </row>
        <row r="3279">
          <cell r="J3279">
            <v>35578339000</v>
          </cell>
          <cell r="K3279" t="str">
            <v>Universidade Federal do Ceará</v>
          </cell>
        </row>
        <row r="3280">
          <cell r="J3280">
            <v>57209856811</v>
          </cell>
          <cell r="K3280" t="str">
            <v>Petróleo Brasileiro S.A. (+1 more)</v>
          </cell>
        </row>
        <row r="3281">
          <cell r="J3281">
            <v>57203571777</v>
          </cell>
          <cell r="K3281" t="str">
            <v>Universidade Federal do Rio Grande do Norte</v>
          </cell>
        </row>
        <row r="3282">
          <cell r="J3282">
            <v>57202546504</v>
          </cell>
          <cell r="K3282" t="str">
            <v>Universidade de Brasília</v>
          </cell>
        </row>
        <row r="3283">
          <cell r="J3283">
            <v>6507141697</v>
          </cell>
          <cell r="K3283" t="str">
            <v>Universidade Federal do Espírito Santo</v>
          </cell>
        </row>
        <row r="3284">
          <cell r="J3284">
            <v>37108030100</v>
          </cell>
          <cell r="K3284" t="str">
            <v>Universidade do Estado do Rio de Janeiro (+2 more)</v>
          </cell>
        </row>
        <row r="3285">
          <cell r="J3285">
            <v>56587559400</v>
          </cell>
          <cell r="K3285" t="str">
            <v>Pontifical Catholic University of Rio de Janeiro (+1 more)</v>
          </cell>
        </row>
        <row r="3286">
          <cell r="J3286">
            <v>9841064200</v>
          </cell>
          <cell r="K3286" t="str">
            <v>Universidade Federal do Rio Grande do Norte</v>
          </cell>
        </row>
        <row r="3287">
          <cell r="J3287">
            <v>59396758900</v>
          </cell>
          <cell r="K3287" t="str">
            <v>Federal University of Rio de Janeiro</v>
          </cell>
        </row>
        <row r="3288">
          <cell r="J3288">
            <v>57214937785</v>
          </cell>
          <cell r="K3288" t="str">
            <v>Universidade Federal de Uberlândia</v>
          </cell>
        </row>
        <row r="3289">
          <cell r="J3289">
            <v>59158056700</v>
          </cell>
          <cell r="K3289" t="str">
            <v>Universidade Federal de Ouro Preto</v>
          </cell>
        </row>
        <row r="3290">
          <cell r="J3290">
            <v>57189214083</v>
          </cell>
          <cell r="K3290" t="str">
            <v>Federal University of Rio de Janeiro</v>
          </cell>
        </row>
        <row r="3291">
          <cell r="J3291">
            <v>54942238400</v>
          </cell>
          <cell r="K3291" t="str">
            <v>Empresa Brasileira de Pesquisa Agropecuária</v>
          </cell>
        </row>
        <row r="3292">
          <cell r="J3292">
            <v>59895002600</v>
          </cell>
          <cell r="K3292" t="str">
            <v>Universidade Federal de Alagoas</v>
          </cell>
        </row>
        <row r="3293">
          <cell r="J3293">
            <v>7102354647</v>
          </cell>
          <cell r="K3293" t="str">
            <v>Universidade Federal do Rio Grande do Norte</v>
          </cell>
        </row>
        <row r="3294">
          <cell r="J3294">
            <v>57045559600</v>
          </cell>
          <cell r="K3294" t="str">
            <v>Federal University of Rio de Janeiro</v>
          </cell>
        </row>
        <row r="3295">
          <cell r="J3295">
            <v>57194618820</v>
          </cell>
          <cell r="K3295" t="str">
            <v>Federal University of Rio de Janeiro (+1 more)</v>
          </cell>
        </row>
        <row r="3296">
          <cell r="J3296">
            <v>57878981000</v>
          </cell>
          <cell r="K3296" t="str">
            <v>Universidade Federal de Uberlândia</v>
          </cell>
        </row>
        <row r="3297">
          <cell r="J3297">
            <v>57202337956</v>
          </cell>
          <cell r="K3297" t="str">
            <v>Universidade Federal de Uberlândia</v>
          </cell>
        </row>
        <row r="3298">
          <cell r="J3298">
            <v>59234074500</v>
          </cell>
          <cell r="K3298" t="str">
            <v>Universidade Federal do Ceará</v>
          </cell>
        </row>
        <row r="3299">
          <cell r="J3299">
            <v>57195903042</v>
          </cell>
          <cell r="K3299" t="str">
            <v>Universidade Federal de Pernambuco</v>
          </cell>
        </row>
        <row r="3300">
          <cell r="J3300">
            <v>35600845900</v>
          </cell>
          <cell r="K3300" t="str">
            <v>Universidade Federal do Ceará</v>
          </cell>
        </row>
        <row r="3301">
          <cell r="J3301">
            <v>56041652600</v>
          </cell>
          <cell r="K3301" t="str">
            <v>Universidade Federal do Rio Grande do Norte</v>
          </cell>
        </row>
        <row r="3302">
          <cell r="J3302">
            <v>57209851543</v>
          </cell>
          <cell r="K3302" t="str">
            <v>Mendel Serviços de Engenharia</v>
          </cell>
        </row>
        <row r="3303">
          <cell r="J3303">
            <v>57208759235</v>
          </cell>
          <cell r="K3303" t="str">
            <v>Universidade Federal de São João del-Rei</v>
          </cell>
        </row>
        <row r="3304">
          <cell r="J3304">
            <v>57436509500</v>
          </cell>
          <cell r="K3304" t="str">
            <v>Federal University of Rio de Janeiro</v>
          </cell>
        </row>
        <row r="3305">
          <cell r="J3305">
            <v>7102443922</v>
          </cell>
          <cell r="K3305" t="str">
            <v>Universidade de São Paulo</v>
          </cell>
        </row>
        <row r="3306">
          <cell r="J3306">
            <v>35240846800</v>
          </cell>
          <cell r="K3306" t="str">
            <v>Universidade Federal de Minas Gerais</v>
          </cell>
        </row>
        <row r="3307">
          <cell r="J3307">
            <v>7005486161</v>
          </cell>
          <cell r="K3307" t="str">
            <v>Ministério da Ciência e Tecnologia (+2 more)</v>
          </cell>
        </row>
        <row r="3308">
          <cell r="J3308">
            <v>59388355700</v>
          </cell>
          <cell r="K3308" t="str">
            <v>ESSS</v>
          </cell>
        </row>
        <row r="3309">
          <cell r="J3309">
            <v>59895025000</v>
          </cell>
          <cell r="K3309" t="str">
            <v>ESSS</v>
          </cell>
        </row>
        <row r="3310">
          <cell r="J3310">
            <v>7006448661</v>
          </cell>
          <cell r="K3310" t="str">
            <v>University of Campinas</v>
          </cell>
        </row>
        <row r="3311">
          <cell r="J3311">
            <v>12769553200</v>
          </cell>
          <cell r="K3311" t="str">
            <v>Federal University of Rio de Janeiro</v>
          </cell>
        </row>
        <row r="3312">
          <cell r="J3312">
            <v>56020673400</v>
          </cell>
          <cell r="K3312" t="str">
            <v>Federal Center of Technological Education (+1 more)</v>
          </cell>
        </row>
        <row r="3313">
          <cell r="J3313">
            <v>57204620398</v>
          </cell>
          <cell r="K3313" t="str">
            <v>Pré-Sal Petróleo S.A.</v>
          </cell>
        </row>
        <row r="3314">
          <cell r="J3314">
            <v>57195724628</v>
          </cell>
          <cell r="K3314" t="str">
            <v>Universidade Federal de Viçosa</v>
          </cell>
        </row>
        <row r="3315">
          <cell r="J3315">
            <v>58370462200</v>
          </cell>
          <cell r="K3315" t="str">
            <v>Federal University of Rio de Janeiro</v>
          </cell>
        </row>
        <row r="3316">
          <cell r="J3316">
            <v>58779148800</v>
          </cell>
          <cell r="K3316" t="str">
            <v>Senior Consultant in Risk and Reliability Engineering</v>
          </cell>
        </row>
        <row r="3317">
          <cell r="J3317">
            <v>55353887700</v>
          </cell>
          <cell r="K3317" t="str">
            <v>Universidade Federal de Viçosa</v>
          </cell>
        </row>
        <row r="3318">
          <cell r="J3318">
            <v>57190047990</v>
          </cell>
          <cell r="K3318" t="str">
            <v>Federal University of Rio de Janeiro</v>
          </cell>
        </row>
        <row r="3319">
          <cell r="J3319">
            <v>55385725000</v>
          </cell>
          <cell r="K3319" t="str">
            <v>Universidade Federal do Rio Grande do Sul</v>
          </cell>
        </row>
        <row r="3320">
          <cell r="J3320">
            <v>12766481400</v>
          </cell>
          <cell r="K3320" t="str">
            <v>Fundação Gorceix (+2 more)</v>
          </cell>
        </row>
        <row r="3321">
          <cell r="J3321">
            <v>57218579933</v>
          </cell>
          <cell r="K3321" t="str">
            <v>Universidade Federal do Espírito Santo</v>
          </cell>
        </row>
        <row r="3322">
          <cell r="J3322">
            <v>60088998900</v>
          </cell>
          <cell r="K3322" t="str">
            <v>Pontifical Catholic University of Rio de Janeiro</v>
          </cell>
        </row>
        <row r="3323">
          <cell r="J3323">
            <v>57219931473</v>
          </cell>
          <cell r="K3323" t="str">
            <v>Universidade Federal da Bahia</v>
          </cell>
        </row>
        <row r="3324">
          <cell r="J3324">
            <v>56549652100</v>
          </cell>
          <cell r="K3324" t="str">
            <v>Universidade Federal de Minas Gerais</v>
          </cell>
        </row>
        <row r="3325">
          <cell r="J3325">
            <v>57193669340</v>
          </cell>
          <cell r="K3325" t="str">
            <v>Universidade Federal Rural do Rio de Janeiro</v>
          </cell>
        </row>
        <row r="3326">
          <cell r="J3326">
            <v>57203410241</v>
          </cell>
          <cell r="K3326" t="str">
            <v>Universidade do Estado do Rio de Janeiro</v>
          </cell>
        </row>
        <row r="3327">
          <cell r="J3327">
            <v>57056458100</v>
          </cell>
          <cell r="K3327" t="str">
            <v>Federal University of Rio de Janeiro</v>
          </cell>
        </row>
        <row r="3328">
          <cell r="J3328">
            <v>36998782400</v>
          </cell>
          <cell r="K3328" t="str">
            <v>Pontifical Catholic University of Rio de Janeiro</v>
          </cell>
        </row>
        <row r="3329">
          <cell r="J3329">
            <v>55959131200</v>
          </cell>
          <cell r="K3329" t="str">
            <v>Universidade Federal Fluminense (+1 more)</v>
          </cell>
        </row>
        <row r="3330">
          <cell r="J3330">
            <v>6602264637</v>
          </cell>
          <cell r="K3330" t="str">
            <v>Laboratório Nacional de Luz Síncrotron (LNLS)</v>
          </cell>
        </row>
        <row r="3331">
          <cell r="J3331">
            <v>6601957697</v>
          </cell>
          <cell r="K3331" t="str">
            <v>Universidade de São Paulo (+1 more)</v>
          </cell>
        </row>
        <row r="3332">
          <cell r="J3332">
            <v>37111086700</v>
          </cell>
          <cell r="K3332" t="str">
            <v>Universidade Estadual de Maringá</v>
          </cell>
        </row>
        <row r="3333">
          <cell r="J3333">
            <v>57388899200</v>
          </cell>
          <cell r="K3333" t="str">
            <v>Universidade Federal do Ceará</v>
          </cell>
        </row>
        <row r="3334">
          <cell r="J3334">
            <v>56373257800</v>
          </cell>
          <cell r="K3334" t="str">
            <v>Universidade Federal de Sergipe</v>
          </cell>
        </row>
        <row r="3335">
          <cell r="J3335">
            <v>59226748600</v>
          </cell>
          <cell r="K3335" t="str">
            <v>Federal University of Rio de Janeiro</v>
          </cell>
        </row>
        <row r="3336">
          <cell r="J3336">
            <v>59503913900</v>
          </cell>
          <cell r="K3336" t="str">
            <v>Universidade Tiradentes (+1 more)</v>
          </cell>
        </row>
        <row r="3337">
          <cell r="J3337">
            <v>35572230600</v>
          </cell>
          <cell r="K3337" t="str">
            <v>Universidade Federal de Minas Gerais</v>
          </cell>
        </row>
        <row r="3338">
          <cell r="J3338">
            <v>57211549682</v>
          </cell>
          <cell r="K3338" t="str">
            <v>Universidade Federal do Rio Grande do Norte (+1 more)</v>
          </cell>
        </row>
        <row r="3339">
          <cell r="J3339">
            <v>57191860495</v>
          </cell>
          <cell r="K3339" t="str">
            <v>Universidade de São Paulo</v>
          </cell>
        </row>
        <row r="3340">
          <cell r="J3340">
            <v>59425565400</v>
          </cell>
          <cell r="K3340" t="str">
            <v>Federal University of Rio de Janeiro</v>
          </cell>
        </row>
        <row r="3341">
          <cell r="J3341">
            <v>57831703700</v>
          </cell>
          <cell r="K3341" t="str">
            <v>Universidade Federal de Pernambuco</v>
          </cell>
        </row>
        <row r="3342">
          <cell r="J3342">
            <v>11440650000</v>
          </cell>
          <cell r="K3342" t="str">
            <v>Federal University of Rio de Janeiro</v>
          </cell>
        </row>
        <row r="3343">
          <cell r="J3343">
            <v>57219943468</v>
          </cell>
          <cell r="K3343" t="str">
            <v>Universidade Tiradentes (+1 more)</v>
          </cell>
        </row>
        <row r="3344">
          <cell r="J3344">
            <v>57202890998</v>
          </cell>
          <cell r="K3344" t="str">
            <v>Federal University of Rio de Janeiro</v>
          </cell>
        </row>
        <row r="3345">
          <cell r="J3345">
            <v>55630616400</v>
          </cell>
          <cell r="K3345" t="str">
            <v>L’Oréal Research &amp; Innovation</v>
          </cell>
        </row>
        <row r="3346">
          <cell r="J3346">
            <v>57211644785</v>
          </cell>
          <cell r="K3346" t="str">
            <v>Universidade de São Paulo</v>
          </cell>
        </row>
        <row r="3347">
          <cell r="J3347">
            <v>57221493428</v>
          </cell>
          <cell r="K3347" t="str">
            <v>Universidade de São Paulo</v>
          </cell>
        </row>
        <row r="3348">
          <cell r="J3348">
            <v>57212272574</v>
          </cell>
          <cell r="K3348" t="str">
            <v>Universidade Federal de Mato Grosso do Sul</v>
          </cell>
        </row>
        <row r="3349">
          <cell r="J3349">
            <v>59023455300</v>
          </cell>
          <cell r="K3349" t="str">
            <v>Federal University of Rio de Janeiro</v>
          </cell>
        </row>
        <row r="3350">
          <cell r="J3350">
            <v>7005556622</v>
          </cell>
          <cell r="K3350" t="str">
            <v>Federal University of Rio de Janeiro</v>
          </cell>
        </row>
        <row r="3351">
          <cell r="J3351">
            <v>57203488263</v>
          </cell>
          <cell r="K3351" t="str">
            <v>Institute of Marine Studies Admiral Paulo Moreira (IEAPM)</v>
          </cell>
        </row>
        <row r="3352">
          <cell r="J3352">
            <v>11739855600</v>
          </cell>
          <cell r="K3352" t="str">
            <v>Universidade Federal do Rio Grande do Sul</v>
          </cell>
        </row>
        <row r="3353">
          <cell r="J3353">
            <v>55905036800</v>
          </cell>
          <cell r="K3353" t="str">
            <v>Universidade Tecnológica Federal do Paraná</v>
          </cell>
        </row>
        <row r="3354">
          <cell r="J3354">
            <v>55392450300</v>
          </cell>
          <cell r="K3354" t="str">
            <v>Universidade de São Paulo</v>
          </cell>
        </row>
        <row r="3355">
          <cell r="J3355">
            <v>56002539100</v>
          </cell>
          <cell r="K3355" t="str">
            <v>Pontifical Catholic University of Rio de Janeiro</v>
          </cell>
        </row>
        <row r="3356">
          <cell r="J3356">
            <v>19640630500</v>
          </cell>
          <cell r="K3356" t="str">
            <v>Universidade Federal do Rio Grande do Sul</v>
          </cell>
        </row>
        <row r="3357">
          <cell r="J3357">
            <v>57965660300</v>
          </cell>
          <cell r="K3357" t="str">
            <v>Universidade de São Paulo</v>
          </cell>
        </row>
        <row r="3358">
          <cell r="J3358">
            <v>57189694726</v>
          </cell>
          <cell r="K3358" t="str">
            <v>Universidade Federal do Rio Grande do Sul</v>
          </cell>
        </row>
        <row r="3359">
          <cell r="J3359">
            <v>57204804900</v>
          </cell>
          <cell r="K3359" t="str">
            <v>Federal University of Santa Catarina</v>
          </cell>
        </row>
        <row r="3360">
          <cell r="J3360">
            <v>56421810900</v>
          </cell>
          <cell r="K3360" t="str">
            <v>Universidade de São Paulo (+2 more)</v>
          </cell>
        </row>
        <row r="3361">
          <cell r="J3361">
            <v>57203415117</v>
          </cell>
          <cell r="K3361" t="str">
            <v>Halliburton</v>
          </cell>
        </row>
        <row r="3362">
          <cell r="J3362">
            <v>57742483500</v>
          </cell>
          <cell r="K3362" t="str">
            <v>Instituto de Pesquisas Tecnologicas</v>
          </cell>
        </row>
        <row r="3363">
          <cell r="J3363">
            <v>56096745700</v>
          </cell>
          <cell r="K3363" t="str">
            <v>Vale S.A. (+1 more)</v>
          </cell>
        </row>
        <row r="3364">
          <cell r="J3364">
            <v>9736923300</v>
          </cell>
          <cell r="K3364" t="str">
            <v>Universidade de São Paulo</v>
          </cell>
        </row>
        <row r="3365">
          <cell r="J3365">
            <v>57191473636</v>
          </cell>
          <cell r="K3365" t="str">
            <v>Universidade Federal do Ceará</v>
          </cell>
        </row>
        <row r="3366">
          <cell r="J3366">
            <v>6508325326</v>
          </cell>
          <cell r="K3366" t="str">
            <v>Federal University of Rio de Janeiro</v>
          </cell>
        </row>
        <row r="3367">
          <cell r="J3367">
            <v>57987975400</v>
          </cell>
          <cell r="K3367" t="str">
            <v>Leopoldo Américo Miguez de Mello (+1 more)</v>
          </cell>
        </row>
        <row r="3368">
          <cell r="J3368">
            <v>10640600000</v>
          </cell>
          <cell r="K3368" t="str">
            <v>Federal University of Rio de Janeiro</v>
          </cell>
        </row>
        <row r="3369">
          <cell r="J3369">
            <v>55482552800</v>
          </cell>
          <cell r="K3369" t="str">
            <v>Federal University of Rio de Janeiro</v>
          </cell>
        </row>
        <row r="3370">
          <cell r="J3370">
            <v>57219237180</v>
          </cell>
          <cell r="K3370" t="str">
            <v>University of Campinas</v>
          </cell>
        </row>
        <row r="3371">
          <cell r="J3371">
            <v>57191409581</v>
          </cell>
          <cell r="K3371" t="str">
            <v>Universidade Tecnológica Federal do Paraná</v>
          </cell>
        </row>
        <row r="3372">
          <cell r="J3372">
            <v>7003816291</v>
          </cell>
          <cell r="K3372" t="str">
            <v>Prooceano</v>
          </cell>
        </row>
        <row r="3373">
          <cell r="J3373">
            <v>57219132701</v>
          </cell>
          <cell r="K3373" t="str">
            <v>Pontifical Catholic University of Rio de Janeiro</v>
          </cell>
        </row>
        <row r="3374">
          <cell r="J3374">
            <v>57188994455</v>
          </cell>
          <cell r="K3374" t="str">
            <v>Pontifical Catholic University of Rio de Janeiro</v>
          </cell>
        </row>
        <row r="3375">
          <cell r="J3375">
            <v>56018161900</v>
          </cell>
          <cell r="K3375" t="str">
            <v>University of Campinas (+1 more)</v>
          </cell>
        </row>
        <row r="3376">
          <cell r="J3376">
            <v>16481305800</v>
          </cell>
          <cell r="K3376" t="str">
            <v>DEMa</v>
          </cell>
        </row>
        <row r="3377">
          <cell r="J3377">
            <v>57204071954</v>
          </cell>
          <cell r="K3377" t="str">
            <v>Universidade Federal do Rio Grande do Sul (+1 more)</v>
          </cell>
        </row>
        <row r="3378">
          <cell r="J3378">
            <v>6602942837</v>
          </cell>
          <cell r="K3378" t="str">
            <v>Universidade Federal do Rio Grande do Sul</v>
          </cell>
        </row>
        <row r="3379">
          <cell r="J3379">
            <v>57194727279</v>
          </cell>
          <cell r="K3379" t="str">
            <v>Universidade Federal do Rio Grande do Norte</v>
          </cell>
        </row>
        <row r="3380">
          <cell r="J3380">
            <v>57190044524</v>
          </cell>
          <cell r="K3380" t="str">
            <v>Federal University of Rio de Janeiro</v>
          </cell>
        </row>
        <row r="3381">
          <cell r="J3381">
            <v>6603652599</v>
          </cell>
          <cell r="K3381" t="str">
            <v>Universidade do Estado do Rio de Janeiro (+2 more)</v>
          </cell>
        </row>
        <row r="3382">
          <cell r="J3382">
            <v>59420582200</v>
          </cell>
          <cell r="K3382" t="str">
            <v>Federal University of Rio de Janeiro</v>
          </cell>
        </row>
        <row r="3383">
          <cell r="J3383">
            <v>57981328000</v>
          </cell>
          <cell r="K3383" t="str">
            <v>Serviço Nacional de Aprendizagem Industrial (+1 more)</v>
          </cell>
        </row>
        <row r="3384">
          <cell r="J3384">
            <v>55957599000</v>
          </cell>
          <cell r="K3384" t="str">
            <v>Universidade Federal da Bahia (+1 more)</v>
          </cell>
        </row>
        <row r="3385">
          <cell r="J3385">
            <v>57203163026</v>
          </cell>
          <cell r="K3385" t="str">
            <v>Federal University of Rio de Janeiro</v>
          </cell>
        </row>
        <row r="3386">
          <cell r="J3386">
            <v>23019142600</v>
          </cell>
          <cell r="K3386" t="str">
            <v>Pontifical Catholic University of Rio de Janeiro</v>
          </cell>
        </row>
        <row r="3387">
          <cell r="J3387">
            <v>7101848908</v>
          </cell>
          <cell r="K3387" t="str">
            <v>Universidade Federal do Rio Grande do Sul</v>
          </cell>
        </row>
        <row r="3388">
          <cell r="J3388">
            <v>55695134200</v>
          </cell>
          <cell r="K3388" t="str">
            <v>Universidade Federal do Espírito Santo</v>
          </cell>
        </row>
        <row r="3389">
          <cell r="J3389">
            <v>24544622800</v>
          </cell>
          <cell r="K3389" t="str">
            <v>Universidade de São Paulo</v>
          </cell>
        </row>
        <row r="3390">
          <cell r="J3390">
            <v>57204417889</v>
          </cell>
          <cell r="K3390" t="str">
            <v>Universidade Federal do Espírito Santo</v>
          </cell>
        </row>
        <row r="3391">
          <cell r="J3391">
            <v>57563504600</v>
          </cell>
          <cell r="K3391" t="str">
            <v>Stratura Asfaltos (+1 more)</v>
          </cell>
        </row>
        <row r="3392">
          <cell r="J3392">
            <v>56708696600</v>
          </cell>
          <cell r="K3392" t="str">
            <v>Instituto Tecnológico da Aeronáutica</v>
          </cell>
        </row>
        <row r="3393">
          <cell r="J3393">
            <v>55831761600</v>
          </cell>
          <cell r="K3393" t="str">
            <v>University of Campinas</v>
          </cell>
        </row>
        <row r="3394">
          <cell r="J3394">
            <v>30567512600</v>
          </cell>
          <cell r="K3394" t="str">
            <v>Universidade Estadual Paulista “Júlio de Mesquita Filho”</v>
          </cell>
        </row>
        <row r="3395">
          <cell r="J3395">
            <v>57205455442</v>
          </cell>
          <cell r="K3395" t="str">
            <v>Universidade Federal Fluminense</v>
          </cell>
        </row>
        <row r="3396">
          <cell r="J3396">
            <v>36911441700</v>
          </cell>
          <cell r="K3396" t="str">
            <v>Universidade Federal Fluminense (+1 more)</v>
          </cell>
        </row>
        <row r="3397">
          <cell r="J3397">
            <v>57838578200</v>
          </cell>
          <cell r="K3397" t="str">
            <v>Universidade Federal de Minas Gerais</v>
          </cell>
        </row>
        <row r="3398">
          <cell r="J3398">
            <v>57194854356</v>
          </cell>
          <cell r="K3398" t="str">
            <v>Federal University of Rio de Janeiro</v>
          </cell>
        </row>
        <row r="3399">
          <cell r="J3399">
            <v>57217059507</v>
          </cell>
          <cell r="K3399" t="str">
            <v>Federal University of Rio de Janeiro</v>
          </cell>
        </row>
        <row r="3400">
          <cell r="J3400">
            <v>6506547093</v>
          </cell>
          <cell r="K3400" t="str">
            <v>Pontifical Catholic University of Rio de Janeiro</v>
          </cell>
        </row>
        <row r="3401">
          <cell r="J3401">
            <v>36684036700</v>
          </cell>
          <cell r="K3401" t="str">
            <v>Universidade Federal Fluminense (+1 more)</v>
          </cell>
        </row>
        <row r="3402">
          <cell r="J3402">
            <v>55577978100</v>
          </cell>
          <cell r="K3402" t="str">
            <v>Universidade Federal Fluminense (+1 more)</v>
          </cell>
        </row>
        <row r="3403">
          <cell r="J3403">
            <v>57200654368</v>
          </cell>
          <cell r="K3403" t="str">
            <v>Universidade Federal Fluminense</v>
          </cell>
        </row>
        <row r="3404">
          <cell r="J3404">
            <v>7103010497</v>
          </cell>
          <cell r="K3404" t="str">
            <v>Universidade de São Paulo</v>
          </cell>
        </row>
        <row r="3405">
          <cell r="J3405">
            <v>7102699474</v>
          </cell>
          <cell r="K3405" t="str">
            <v>Centro de Tecnologia Mineral</v>
          </cell>
        </row>
        <row r="3406">
          <cell r="J3406">
            <v>57211368035</v>
          </cell>
          <cell r="K3406" t="str">
            <v>Universidade Federal do Rio Grande do Norte (+1 more)</v>
          </cell>
        </row>
        <row r="3407">
          <cell r="J3407">
            <v>60105697900</v>
          </cell>
          <cell r="K3407" t="str">
            <v>Science and Technology of Espírito Santo</v>
          </cell>
        </row>
        <row r="3408">
          <cell r="J3408">
            <v>59344097100</v>
          </cell>
          <cell r="K3408" t="str">
            <v>Universidade Federal do Espírito Santo</v>
          </cell>
        </row>
        <row r="3409">
          <cell r="J3409">
            <v>8896320800</v>
          </cell>
          <cell r="K3409" t="str">
            <v>Universidade Federal Fluminense</v>
          </cell>
        </row>
        <row r="3410">
          <cell r="J3410">
            <v>56567664400</v>
          </cell>
          <cell r="K3410" t="str">
            <v>Instituto Nacional de Metrologia, Qualidade e Tecnologia</v>
          </cell>
        </row>
        <row r="3411">
          <cell r="J3411">
            <v>55773290700</v>
          </cell>
          <cell r="K3411" t="str">
            <v>Federal University of Rio de Janeiro</v>
          </cell>
        </row>
        <row r="3412">
          <cell r="J3412">
            <v>56059548100</v>
          </cell>
          <cell r="K3412" t="str">
            <v>Pontifícia Universidade Católica do Rio Grande do Sul</v>
          </cell>
        </row>
        <row r="3413">
          <cell r="J3413">
            <v>56950230700</v>
          </cell>
          <cell r="K3413" t="str">
            <v>Universidade Federal do Espírito Santo</v>
          </cell>
        </row>
        <row r="3414">
          <cell r="J3414">
            <v>7005870447</v>
          </cell>
          <cell r="K3414" t="str">
            <v>DEMa</v>
          </cell>
        </row>
        <row r="3415">
          <cell r="J3415">
            <v>57219947731</v>
          </cell>
          <cell r="K3415" t="str">
            <v>Federal University of Rio de Janeiro</v>
          </cell>
        </row>
        <row r="3416">
          <cell r="J3416">
            <v>56428644200</v>
          </cell>
          <cell r="K3416" t="str">
            <v>WIKKI Brasil LTDA (+1 more)</v>
          </cell>
        </row>
        <row r="3417">
          <cell r="J3417">
            <v>55989421700</v>
          </cell>
          <cell r="K3417" t="str">
            <v>University of Campinas</v>
          </cell>
        </row>
        <row r="3418">
          <cell r="J3418">
            <v>7006434990</v>
          </cell>
          <cell r="K3418" t="str">
            <v>Universidade de São Paulo (+1 more)</v>
          </cell>
        </row>
        <row r="3419">
          <cell r="J3419">
            <v>58677545300</v>
          </cell>
          <cell r="K3419" t="str">
            <v>Universidade Federal de Uberlândia</v>
          </cell>
        </row>
        <row r="3420">
          <cell r="J3420">
            <v>59655782700</v>
          </cell>
          <cell r="K3420" t="str">
            <v>Universidade Federal de Juiz de Fora</v>
          </cell>
        </row>
        <row r="3421">
          <cell r="J3421">
            <v>57189457329</v>
          </cell>
          <cell r="K3421" t="str">
            <v>Universidade Federal de Juiz de Fora</v>
          </cell>
        </row>
        <row r="3422">
          <cell r="J3422">
            <v>56971014600</v>
          </cell>
          <cell r="K3422" t="str">
            <v>Universidade Federal do Rio Grande do Sul (+1 more)</v>
          </cell>
        </row>
        <row r="3423">
          <cell r="J3423">
            <v>56406233700</v>
          </cell>
          <cell r="K3423" t="str">
            <v>Pontifícia Universidade Católica do Rio Grande do Sul</v>
          </cell>
        </row>
        <row r="3424">
          <cell r="J3424">
            <v>57215506595</v>
          </cell>
          <cell r="K3424" t="str">
            <v>Federal University of Rio de Janeiro</v>
          </cell>
        </row>
        <row r="3425">
          <cell r="J3425">
            <v>55350154000</v>
          </cell>
          <cell r="K3425" t="str">
            <v>Universidade de São Paulo</v>
          </cell>
        </row>
        <row r="3426">
          <cell r="J3426">
            <v>57210864197</v>
          </cell>
          <cell r="K3426" t="str">
            <v>Universidade Federal do Rio Grande</v>
          </cell>
        </row>
        <row r="3427">
          <cell r="J3427">
            <v>56943128900</v>
          </cell>
          <cell r="K3427" t="str">
            <v>Universidade de São Paulo (+1 more)</v>
          </cell>
        </row>
        <row r="3428">
          <cell r="J3428">
            <v>57215146624</v>
          </cell>
          <cell r="K3428" t="str">
            <v>Universidade de São Paulo</v>
          </cell>
        </row>
        <row r="3429">
          <cell r="J3429">
            <v>58562510900</v>
          </cell>
          <cell r="K3429" t="str">
            <v>Universidade Federal do Rio Grande do Norte</v>
          </cell>
        </row>
        <row r="3430">
          <cell r="J3430">
            <v>35325262400</v>
          </cell>
          <cell r="K3430" t="str">
            <v>Universidade Estadual Paulista “Júlio de Mesquita Filho” (+1 more)</v>
          </cell>
        </row>
        <row r="3431">
          <cell r="J3431">
            <v>56841144900</v>
          </cell>
          <cell r="K3431" t="str">
            <v>Pontifical Catholic University of Rio de Janeiro</v>
          </cell>
        </row>
        <row r="3432">
          <cell r="J3432">
            <v>15036059800</v>
          </cell>
          <cell r="K3432" t="str">
            <v>Universidade Tecnológica Federal do Paraná (+1 more)</v>
          </cell>
        </row>
        <row r="3433">
          <cell r="J3433">
            <v>57201667163</v>
          </cell>
          <cell r="K3433" t="str">
            <v>Pontifical Catholic University of Rio de Janeiro</v>
          </cell>
        </row>
        <row r="3434">
          <cell r="J3434">
            <v>57203835713</v>
          </cell>
          <cell r="K3434" t="str">
            <v>Universidade Federal Fluminense</v>
          </cell>
        </row>
        <row r="3435">
          <cell r="J3435">
            <v>56092547500</v>
          </cell>
          <cell r="K3435" t="str">
            <v>Universidad Industrial de Santander (+1 more)</v>
          </cell>
        </row>
        <row r="3436">
          <cell r="J3436">
            <v>8668011100</v>
          </cell>
          <cell r="K3436" t="str">
            <v>Universidade Federal Fluminense</v>
          </cell>
        </row>
        <row r="3437">
          <cell r="J3437">
            <v>57209454852</v>
          </cell>
          <cell r="K3437" t="str">
            <v>Universidade Federal do Paraná</v>
          </cell>
        </row>
        <row r="3438">
          <cell r="J3438">
            <v>57343120900</v>
          </cell>
          <cell r="K3438" t="str">
            <v>University of Campinas (+2 more)</v>
          </cell>
        </row>
        <row r="3439">
          <cell r="J3439">
            <v>58982316500</v>
          </cell>
          <cell r="K3439" t="str">
            <v>Universidade Federal Fluminense</v>
          </cell>
        </row>
        <row r="3440">
          <cell r="J3440">
            <v>7201368871</v>
          </cell>
          <cell r="K3440" t="str">
            <v>Universidade do Estado do Rio de Janeiro (+1 more)</v>
          </cell>
        </row>
        <row r="3441">
          <cell r="J3441">
            <v>15745424900</v>
          </cell>
          <cell r="K3441" t="str">
            <v>Federal University of Santa Catarina</v>
          </cell>
        </row>
        <row r="3442">
          <cell r="J3442">
            <v>37048754900</v>
          </cell>
          <cell r="K3442" t="str">
            <v>Instituto de Pesquisas Tecnologicas</v>
          </cell>
        </row>
        <row r="3443">
          <cell r="J3443">
            <v>57210186636</v>
          </cell>
          <cell r="K3443" t="str">
            <v>Instituto Nacional de Tecnologia</v>
          </cell>
        </row>
        <row r="3444">
          <cell r="J3444">
            <v>57931485900</v>
          </cell>
          <cell r="K3444" t="str">
            <v>Universidade Federal de São João del-Rei</v>
          </cell>
        </row>
        <row r="3445">
          <cell r="J3445">
            <v>55861050100</v>
          </cell>
          <cell r="K3445" t="str">
            <v>Universidade de São Paulo (+1 more)</v>
          </cell>
        </row>
        <row r="3446">
          <cell r="J3446">
            <v>35173428500</v>
          </cell>
          <cell r="K3446" t="str">
            <v>Universidade Federal Fluminense</v>
          </cell>
        </row>
        <row r="3447">
          <cell r="J3447">
            <v>57185057400</v>
          </cell>
          <cell r="K3447" t="str">
            <v>Universidade Federal do Rio Grande do Norte</v>
          </cell>
        </row>
        <row r="3448">
          <cell r="J3448">
            <v>58588981100</v>
          </cell>
          <cell r="K3448" t="str">
            <v>Universidade Federal Fluminense</v>
          </cell>
        </row>
        <row r="3449">
          <cell r="J3449">
            <v>57216493721</v>
          </cell>
          <cell r="K3449" t="str">
            <v>Universidade Federal do Rio Grande do Norte</v>
          </cell>
        </row>
        <row r="3450">
          <cell r="J3450">
            <v>59951204600</v>
          </cell>
          <cell r="K3450" t="str">
            <v>Federal University of Santa Catarina</v>
          </cell>
        </row>
        <row r="3451">
          <cell r="J3451">
            <v>35561721100</v>
          </cell>
          <cell r="K3451" t="str">
            <v>Federal University of Santa Catarina</v>
          </cell>
        </row>
        <row r="3452">
          <cell r="J3452">
            <v>7102555028</v>
          </cell>
          <cell r="K3452" t="str">
            <v>LNDC-COPPE-UFRJ (+1 more)</v>
          </cell>
        </row>
        <row r="3453">
          <cell r="J3453">
            <v>56900624400</v>
          </cell>
          <cell r="K3453" t="str">
            <v>Federal University of Rio de Janeiro</v>
          </cell>
        </row>
        <row r="3454">
          <cell r="J3454">
            <v>36053028000</v>
          </cell>
          <cell r="K3454" t="str">
            <v>Universidade Federal Fluminense</v>
          </cell>
        </row>
        <row r="3455">
          <cell r="J3455">
            <v>57205273049</v>
          </cell>
          <cell r="K3455" t="str">
            <v>Pontifical Catholic University of Rio de Janeiro (+3 more)</v>
          </cell>
        </row>
        <row r="3456">
          <cell r="J3456">
            <v>55547016900</v>
          </cell>
          <cell r="K3456" t="str">
            <v>Universidade Estadual Paulista “Júlio de Mesquita Filho”</v>
          </cell>
        </row>
        <row r="3457">
          <cell r="J3457">
            <v>57188973063</v>
          </cell>
          <cell r="K3457" t="str">
            <v>Universidade Federal de Minas Gerais</v>
          </cell>
        </row>
        <row r="3458">
          <cell r="J3458">
            <v>56585557800</v>
          </cell>
          <cell r="K3458" t="str">
            <v>Universidade Federal Fluminense</v>
          </cell>
        </row>
        <row r="3459">
          <cell r="J3459">
            <v>15769964500</v>
          </cell>
          <cell r="K3459" t="str">
            <v>Universidade Federal do Rio Grande do Sul</v>
          </cell>
        </row>
        <row r="3460">
          <cell r="J3460">
            <v>57218618060</v>
          </cell>
          <cell r="K3460" t="str">
            <v>Pontifícia Universidade Católica do Rio Grande do Sul</v>
          </cell>
        </row>
        <row r="3461">
          <cell r="J3461">
            <v>57204432310</v>
          </cell>
          <cell r="K3461" t="str">
            <v>Universidade de São Paulo</v>
          </cell>
        </row>
        <row r="3462">
          <cell r="J3462">
            <v>56729792200</v>
          </cell>
          <cell r="K3462" t="str">
            <v>Universidade Federal do Ceará</v>
          </cell>
        </row>
        <row r="3463">
          <cell r="J3463">
            <v>57218514990</v>
          </cell>
          <cell r="K3463" t="str">
            <v>Federal University of Santa Catarina</v>
          </cell>
        </row>
        <row r="3464">
          <cell r="J3464">
            <v>17435158700</v>
          </cell>
          <cell r="K3464" t="str">
            <v>Federal University of Santa Catarina</v>
          </cell>
        </row>
        <row r="3465">
          <cell r="J3465">
            <v>37102295200</v>
          </cell>
          <cell r="K3465" t="str">
            <v>University of Campinas</v>
          </cell>
        </row>
        <row r="3466">
          <cell r="J3466">
            <v>57119040400</v>
          </cell>
          <cell r="K3466" t="str">
            <v>Universidade Estadual de Maringá</v>
          </cell>
        </row>
        <row r="3467">
          <cell r="J3467">
            <v>26421317200</v>
          </cell>
          <cell r="K3467" t="str">
            <v>Federal University of Rio de Janeiro</v>
          </cell>
        </row>
        <row r="3468">
          <cell r="J3468">
            <v>7404718434</v>
          </cell>
          <cell r="K3468" t="str">
            <v>University of Campinas</v>
          </cell>
        </row>
        <row r="3469">
          <cell r="J3469">
            <v>56095288000</v>
          </cell>
          <cell r="K3469" t="str">
            <v>Paradigm Geophysical (+1 more)</v>
          </cell>
        </row>
        <row r="3470">
          <cell r="J3470">
            <v>57212408220</v>
          </cell>
          <cell r="K3470" t="str">
            <v>Universidade Federal do Espírito Santo (+1 more)</v>
          </cell>
        </row>
        <row r="3471">
          <cell r="J3471">
            <v>57311259800</v>
          </cell>
          <cell r="K3471" t="str">
            <v>Federal University of Santa Catarina</v>
          </cell>
        </row>
        <row r="3472">
          <cell r="J3472">
            <v>56951283200</v>
          </cell>
          <cell r="K3472" t="str">
            <v>Federal University of Santa Catarina</v>
          </cell>
        </row>
        <row r="3473">
          <cell r="J3473">
            <v>56963551500</v>
          </cell>
          <cell r="K3473" t="str">
            <v>Universidade Federal de Minas Gerais (+1 more)</v>
          </cell>
        </row>
        <row r="3474">
          <cell r="J3474">
            <v>57203160922</v>
          </cell>
          <cell r="K3474" t="str">
            <v>Universidade de São Paulo</v>
          </cell>
        </row>
        <row r="3475">
          <cell r="J3475">
            <v>57201341204</v>
          </cell>
          <cell r="K3475" t="str">
            <v>Universidade Federal de Uberlândia</v>
          </cell>
        </row>
        <row r="3476">
          <cell r="J3476">
            <v>14045837100</v>
          </cell>
          <cell r="K3476" t="str">
            <v>Universidade Federal Rural do Semi-Árido</v>
          </cell>
        </row>
        <row r="3477">
          <cell r="J3477">
            <v>57188824957</v>
          </cell>
          <cell r="K3477" t="str">
            <v>Universidade Federal Fluminense</v>
          </cell>
        </row>
        <row r="3478">
          <cell r="J3478">
            <v>57205192947</v>
          </cell>
          <cell r="K3478" t="str">
            <v>Federal University of Rio de Janeiro (+1 more)</v>
          </cell>
        </row>
        <row r="3479">
          <cell r="J3479">
            <v>57203369338</v>
          </cell>
          <cell r="K3479" t="str">
            <v>Federal University of Rio de Janeiro</v>
          </cell>
        </row>
        <row r="3480">
          <cell r="J3480">
            <v>57218868005</v>
          </cell>
          <cell r="K3480" t="str">
            <v>Universidade Federal de Uberlândia</v>
          </cell>
        </row>
        <row r="3481">
          <cell r="J3481">
            <v>56287832600</v>
          </cell>
          <cell r="K3481" t="str">
            <v>Universidade de São Paulo</v>
          </cell>
        </row>
        <row r="3482">
          <cell r="J3482">
            <v>6603789671</v>
          </cell>
          <cell r="K3482" t="str">
            <v>Federal University of Rio de Janeiro</v>
          </cell>
        </row>
        <row r="3483">
          <cell r="J3483">
            <v>24451342800</v>
          </cell>
          <cell r="K3483" t="str">
            <v>Federal University of Rio de Janeiro</v>
          </cell>
        </row>
        <row r="3484">
          <cell r="J3484">
            <v>55991753500</v>
          </cell>
          <cell r="K3484" t="str">
            <v>Universidade do Estado do Rio de Janeiro</v>
          </cell>
        </row>
        <row r="3485">
          <cell r="J3485">
            <v>26026004400</v>
          </cell>
          <cell r="K3485" t="str">
            <v>Universidade Federal Fluminense (+1 more)</v>
          </cell>
        </row>
        <row r="3486">
          <cell r="J3486">
            <v>57224981502</v>
          </cell>
          <cell r="K3486" t="str">
            <v>Universidade Federal Rural do Rio de Janeiro (+1 more)</v>
          </cell>
        </row>
        <row r="3487">
          <cell r="J3487">
            <v>57189459314</v>
          </cell>
          <cell r="K3487" t="str">
            <v>Vizlab - X-Reality and GeoInformatics Lab</v>
          </cell>
        </row>
        <row r="3488">
          <cell r="J3488">
            <v>7004537044</v>
          </cell>
          <cell r="K3488" t="str">
            <v>Federal University of Rio de Janeiro</v>
          </cell>
        </row>
        <row r="3489">
          <cell r="J3489">
            <v>16638563800</v>
          </cell>
          <cell r="K3489" t="str">
            <v>Universidade Federal do Ceará (+2 more)</v>
          </cell>
        </row>
        <row r="3490">
          <cell r="J3490">
            <v>57222284712</v>
          </cell>
          <cell r="K3490" t="str">
            <v>Universidade Federal de Pernambuco</v>
          </cell>
        </row>
        <row r="3491">
          <cell r="J3491">
            <v>57198320445</v>
          </cell>
          <cell r="K3491" t="str">
            <v>Pontifical Catholic University of Rio de Janeiro</v>
          </cell>
        </row>
        <row r="3492">
          <cell r="J3492">
            <v>57089943700</v>
          </cell>
          <cell r="K3492" t="str">
            <v>Universidade Federal do Ceará</v>
          </cell>
        </row>
        <row r="3493">
          <cell r="J3493">
            <v>7007017552</v>
          </cell>
          <cell r="K3493" t="str">
            <v>Federal University of Pará</v>
          </cell>
        </row>
        <row r="3494">
          <cell r="J3494">
            <v>26431032300</v>
          </cell>
          <cell r="K3494" t="str">
            <v>Universidade Federal de Uberlândia</v>
          </cell>
        </row>
        <row r="3495">
          <cell r="J3495">
            <v>56430686300</v>
          </cell>
          <cell r="K3495" t="str">
            <v>Federal University of Santa Catarina</v>
          </cell>
        </row>
        <row r="3496">
          <cell r="J3496">
            <v>57221752834</v>
          </cell>
          <cell r="K3496" t="str">
            <v>Universidade Tecnológica Federal do Paraná</v>
          </cell>
        </row>
        <row r="3497">
          <cell r="J3497">
            <v>36473857600</v>
          </cell>
          <cell r="K3497" t="str">
            <v>University of Campinas</v>
          </cell>
        </row>
        <row r="3498">
          <cell r="J3498">
            <v>56896999000</v>
          </cell>
          <cell r="K3498" t="str">
            <v>Federal University of Rio de Janeiro</v>
          </cell>
        </row>
        <row r="3499">
          <cell r="J3499">
            <v>56340842600</v>
          </cell>
          <cell r="K3499" t="str">
            <v>University of Málaga (+1 more)</v>
          </cell>
        </row>
        <row r="3500">
          <cell r="J3500">
            <v>35730239200</v>
          </cell>
          <cell r="K3500" t="str">
            <v>Universidade de São Paulo</v>
          </cell>
        </row>
        <row r="3501">
          <cell r="J3501">
            <v>57211367881</v>
          </cell>
          <cell r="K3501" t="str">
            <v>Universidade Federal do Rio Grande do Norte (+1 more)</v>
          </cell>
        </row>
        <row r="3502">
          <cell r="J3502">
            <v>59251253200</v>
          </cell>
          <cell r="K3502" t="str">
            <v>Universidade Federal de Minas Gerais</v>
          </cell>
        </row>
        <row r="3503">
          <cell r="J3503">
            <v>6505890105</v>
          </cell>
          <cell r="K3503" t="str">
            <v>KONGSBERG</v>
          </cell>
        </row>
        <row r="3504">
          <cell r="J3504">
            <v>57199147106</v>
          </cell>
          <cell r="K3504" t="str">
            <v>Pontifical Catholic University of Rio de Janeiro</v>
          </cell>
        </row>
        <row r="3505">
          <cell r="J3505">
            <v>7402776560</v>
          </cell>
          <cell r="K3505" t="str">
            <v>Universidade Federal de Santa Maria (+2 more)</v>
          </cell>
        </row>
        <row r="3506">
          <cell r="J3506">
            <v>56042814800</v>
          </cell>
          <cell r="K3506" t="str">
            <v>Federal University of Santa Catarina</v>
          </cell>
        </row>
        <row r="3507">
          <cell r="J3507">
            <v>57217226864</v>
          </cell>
          <cell r="K3507" t="str">
            <v>Vizlab - X-Reality and GeoInformatics Lab</v>
          </cell>
        </row>
        <row r="3508">
          <cell r="J3508">
            <v>36448501900</v>
          </cell>
          <cell r="K3508" t="str">
            <v>DEMa</v>
          </cell>
        </row>
        <row r="3509">
          <cell r="J3509">
            <v>6603250236</v>
          </cell>
          <cell r="K3509" t="str">
            <v>Universidade Federal do Espírito Santo</v>
          </cell>
        </row>
        <row r="3510">
          <cell r="J3510">
            <v>8840167700</v>
          </cell>
          <cell r="K3510" t="str">
            <v>Universidade Federal Fluminense</v>
          </cell>
        </row>
        <row r="3511">
          <cell r="J3511">
            <v>8274373700</v>
          </cell>
          <cell r="K3511" t="str">
            <v>Universidade de São Paulo</v>
          </cell>
        </row>
        <row r="3512">
          <cell r="J3512">
            <v>7004585371</v>
          </cell>
          <cell r="K3512" t="str">
            <v>Instituto Nacional de Pesquisas Espaciais</v>
          </cell>
        </row>
        <row r="3513">
          <cell r="J3513">
            <v>7007037185</v>
          </cell>
          <cell r="K3513" t="str">
            <v>Laboratório Nacional de Computação Científica</v>
          </cell>
        </row>
        <row r="3514">
          <cell r="J3514">
            <v>56243150900</v>
          </cell>
          <cell r="K3514" t="str">
            <v>Laboratório Nacional de Computação Científica (LNCC-MCT) (+1 more)</v>
          </cell>
        </row>
        <row r="3515">
          <cell r="J3515">
            <v>7404135290</v>
          </cell>
          <cell r="K3515" t="str">
            <v>Centro Nacional de Pesquisa em Energia e Materiais</v>
          </cell>
        </row>
        <row r="3516">
          <cell r="J3516">
            <v>57218700820</v>
          </cell>
          <cell r="K3516" t="str">
            <v>Universidade Estadual Paulista “Júlio de Mesquita Filho”</v>
          </cell>
        </row>
        <row r="3517">
          <cell r="J3517">
            <v>57191446394</v>
          </cell>
          <cell r="K3517" t="str">
            <v>Centro Nacional de Pesquisa em Energia e Materiais</v>
          </cell>
        </row>
        <row r="3518">
          <cell r="J3518">
            <v>6603852738</v>
          </cell>
          <cell r="K3518" t="str">
            <v>Pontifical Catholic University of Rio de Janeiro (+3 more)</v>
          </cell>
        </row>
        <row r="3519">
          <cell r="J3519">
            <v>58026150400</v>
          </cell>
          <cell r="K3519" t="str">
            <v>Universidade de São Paulo</v>
          </cell>
        </row>
        <row r="3520">
          <cell r="J3520">
            <v>57191860736</v>
          </cell>
          <cell r="K3520" t="str">
            <v>Universidade Tecnológica Federal do Paraná</v>
          </cell>
        </row>
        <row r="3521">
          <cell r="J3521">
            <v>24074820100</v>
          </cell>
          <cell r="K3521" t="str">
            <v>Universidade Estadual Paulista “Júlio de Mesquita Filho” (+2 more)</v>
          </cell>
        </row>
        <row r="3522">
          <cell r="J3522">
            <v>56469997200</v>
          </cell>
          <cell r="K3522" t="str">
            <v>Universidade Federal de Minas Gerais</v>
          </cell>
        </row>
        <row r="3523">
          <cell r="J3523">
            <v>56729957700</v>
          </cell>
          <cell r="K3523" t="str">
            <v>Centro Nacional de Pesquisa em Energia e Materiais</v>
          </cell>
        </row>
        <row r="3524">
          <cell r="J3524">
            <v>57195447136</v>
          </cell>
          <cell r="K3524" t="str">
            <v>Universidade Federal de Juiz de Fora</v>
          </cell>
        </row>
        <row r="3525">
          <cell r="J3525">
            <v>57215322835</v>
          </cell>
          <cell r="K3525" t="str">
            <v>University of Campinas</v>
          </cell>
        </row>
        <row r="3526">
          <cell r="J3526">
            <v>16686761100</v>
          </cell>
          <cell r="K3526" t="str">
            <v>Pontifical Catholic University of Rio de Janeiro</v>
          </cell>
        </row>
        <row r="3527">
          <cell r="J3527">
            <v>36193014000</v>
          </cell>
          <cell r="K3527" t="str">
            <v>Federal University of Rio de Janeiro</v>
          </cell>
        </row>
        <row r="3528">
          <cell r="J3528">
            <v>56830131000</v>
          </cell>
          <cell r="K3528" t="str">
            <v>DEMa</v>
          </cell>
        </row>
        <row r="3529">
          <cell r="J3529">
            <v>57928753800</v>
          </cell>
          <cell r="K3529" t="str">
            <v>Universidade Federal Fluminense (+1 more)</v>
          </cell>
        </row>
        <row r="3530">
          <cell r="J3530">
            <v>57214465134</v>
          </cell>
          <cell r="K3530" t="str">
            <v>Universidade Federal do Ceará</v>
          </cell>
        </row>
        <row r="3531">
          <cell r="J3531">
            <v>7005511951</v>
          </cell>
          <cell r="K3531" t="str">
            <v>Instituto Tecnológico da Aeronáutica</v>
          </cell>
        </row>
        <row r="3532">
          <cell r="J3532">
            <v>7005511953</v>
          </cell>
          <cell r="K3532" t="str">
            <v>Federal University of Rio de Janeiro</v>
          </cell>
        </row>
        <row r="3533">
          <cell r="J3533">
            <v>57204879363</v>
          </cell>
          <cell r="K3533" t="str">
            <v>Universidade Federal de Campina Grande</v>
          </cell>
        </row>
        <row r="3534">
          <cell r="J3534">
            <v>7005511944</v>
          </cell>
          <cell r="K3534" t="str">
            <v>Universidade de São Paulo</v>
          </cell>
        </row>
        <row r="3535">
          <cell r="J3535">
            <v>57192373428</v>
          </cell>
          <cell r="K3535" t="str">
            <v>Universidade Estadual de Goiás</v>
          </cell>
        </row>
        <row r="3536">
          <cell r="J3536">
            <v>58370544200</v>
          </cell>
          <cell r="K3536" t="str">
            <v>Pontifical Catholic University of Rio de Janeiro</v>
          </cell>
        </row>
        <row r="3537">
          <cell r="J3537">
            <v>57324292800</v>
          </cell>
          <cell r="K3537" t="str">
            <v>Serviço Nacional de Aprendizagem Industrial</v>
          </cell>
        </row>
        <row r="3538">
          <cell r="J3538">
            <v>57202118602</v>
          </cell>
          <cell r="K3538" t="str">
            <v>Votorantim S.A.</v>
          </cell>
        </row>
        <row r="3539">
          <cell r="J3539">
            <v>59910396900</v>
          </cell>
          <cell r="K3539" t="str">
            <v>Universidade Federal de Pernambuco</v>
          </cell>
        </row>
        <row r="3540">
          <cell r="J3540">
            <v>57218457330</v>
          </cell>
          <cell r="K3540" t="str">
            <v>Federal University of Rio de Janeiro</v>
          </cell>
        </row>
        <row r="3541">
          <cell r="J3541">
            <v>56097514800</v>
          </cell>
          <cell r="K3541" t="str">
            <v>Federal University of Rio de Janeiro</v>
          </cell>
        </row>
        <row r="3542">
          <cell r="J3542">
            <v>57219548401</v>
          </cell>
          <cell r="K3542" t="str">
            <v>Federal University of Rio de Janeiro</v>
          </cell>
        </row>
        <row r="3543">
          <cell r="J3543">
            <v>59158246200</v>
          </cell>
          <cell r="K3543" t="str">
            <v>Universidade Federal de Pernambuco</v>
          </cell>
        </row>
        <row r="3544">
          <cell r="J3544">
            <v>57205055293</v>
          </cell>
          <cell r="K3544" t="str">
            <v>INCT-GP (+1 more)</v>
          </cell>
        </row>
        <row r="3545">
          <cell r="J3545">
            <v>7006448167</v>
          </cell>
          <cell r="K3545" t="str">
            <v>Federal University of Rio de Janeiro</v>
          </cell>
        </row>
        <row r="3546">
          <cell r="J3546">
            <v>36452389400</v>
          </cell>
          <cell r="K3546" t="str">
            <v>Universidade Federal Rural de Pernambuco</v>
          </cell>
        </row>
        <row r="3547">
          <cell r="J3547">
            <v>57196004901</v>
          </cell>
          <cell r="K3547" t="str">
            <v>University of Campinas</v>
          </cell>
        </row>
        <row r="3548">
          <cell r="J3548">
            <v>58204203400</v>
          </cell>
          <cell r="K3548" t="str">
            <v>Forza Composites</v>
          </cell>
        </row>
        <row r="3549">
          <cell r="J3549">
            <v>55754467500</v>
          </cell>
          <cell r="K3549" t="str">
            <v>Centro Nacional de Pesquisa em Energia e Materiais</v>
          </cell>
        </row>
        <row r="3550">
          <cell r="J3550">
            <v>57200596497</v>
          </cell>
          <cell r="K3550" t="str">
            <v>Universidade de São Paulo</v>
          </cell>
        </row>
        <row r="3551">
          <cell r="J3551">
            <v>37009221800</v>
          </cell>
          <cell r="K3551" t="str">
            <v>Federal University of Santa Catarina</v>
          </cell>
        </row>
        <row r="3552">
          <cell r="J3552">
            <v>56067886900</v>
          </cell>
          <cell r="K3552" t="str">
            <v>Pontifical Catholic University of Rio de Janeiro</v>
          </cell>
        </row>
        <row r="3553">
          <cell r="J3553">
            <v>57800177700</v>
          </cell>
          <cell r="K3553" t="str">
            <v>Vizlab - X-Reality and GeoInformatics Lab</v>
          </cell>
        </row>
        <row r="3554">
          <cell r="J3554">
            <v>57201408680</v>
          </cell>
          <cell r="K3554" t="str">
            <v>CONSULPRI</v>
          </cell>
        </row>
        <row r="3555">
          <cell r="J3555">
            <v>6603651062</v>
          </cell>
          <cell r="K3555" t="str">
            <v>Universidade Federal do Rio Grande do Sul</v>
          </cell>
        </row>
        <row r="3556">
          <cell r="J3556">
            <v>33167773300</v>
          </cell>
          <cell r="K3556" t="str">
            <v>Federal University of Rio de Janeiro</v>
          </cell>
        </row>
        <row r="3557">
          <cell r="J3557">
            <v>54403687700</v>
          </cell>
          <cell r="K3557" t="str">
            <v>Universidade Federal do Rio Grande do Norte</v>
          </cell>
        </row>
        <row r="3558">
          <cell r="J3558">
            <v>57203513682</v>
          </cell>
          <cell r="K3558" t="str">
            <v>Federal University of Rio de Janeiro</v>
          </cell>
        </row>
        <row r="3559">
          <cell r="J3559">
            <v>57211444917</v>
          </cell>
          <cell r="K3559" t="str">
            <v>Universidade Federal do Espírito Santo</v>
          </cell>
        </row>
        <row r="3560">
          <cell r="J3560">
            <v>6603070125</v>
          </cell>
          <cell r="K3560" t="str">
            <v>Petróleo Brasileiro S.A. (+1 more)</v>
          </cell>
        </row>
        <row r="3561">
          <cell r="J3561">
            <v>59479320100</v>
          </cell>
          <cell r="K3561" t="str">
            <v>Federal University of Rio de Janeiro</v>
          </cell>
        </row>
        <row r="3562">
          <cell r="J3562">
            <v>56017011200</v>
          </cell>
          <cell r="K3562" t="str">
            <v>Petróleo Brasileiro S.A. (+1 more)</v>
          </cell>
        </row>
        <row r="3563">
          <cell r="J3563">
            <v>8583588600</v>
          </cell>
          <cell r="K3563" t="str">
            <v>Universidade Federal do Espírito Santo</v>
          </cell>
        </row>
        <row r="3564">
          <cell r="J3564">
            <v>36911394000</v>
          </cell>
          <cell r="K3564" t="str">
            <v>Universidade Federal de Campina Grande</v>
          </cell>
        </row>
        <row r="3565">
          <cell r="J3565">
            <v>8961231600</v>
          </cell>
          <cell r="K3565" t="str">
            <v>Centro de Tecnologia Mineral</v>
          </cell>
        </row>
        <row r="3566">
          <cell r="J3566">
            <v>59454550800</v>
          </cell>
          <cell r="K3566" t="str">
            <v>Universidade Federal Fluminense</v>
          </cell>
        </row>
        <row r="3567">
          <cell r="J3567">
            <v>57119332800</v>
          </cell>
          <cell r="K3567" t="str">
            <v>Universidade Federal do Espírito Santo</v>
          </cell>
        </row>
        <row r="3568">
          <cell r="J3568">
            <v>57221500381</v>
          </cell>
          <cell r="K3568" t="str">
            <v>Universidade Federal de Uberlândia</v>
          </cell>
        </row>
        <row r="3569">
          <cell r="J3569">
            <v>58678094600</v>
          </cell>
          <cell r="K3569" t="str">
            <v>Universidade Federal Fluminense</v>
          </cell>
        </row>
        <row r="3570">
          <cell r="J3570">
            <v>57207848403</v>
          </cell>
          <cell r="K3570" t="str">
            <v>Faculdade de Tecnologia de São Paulo (+1 more)</v>
          </cell>
        </row>
        <row r="3571">
          <cell r="J3571">
            <v>11240847800</v>
          </cell>
          <cell r="K3571" t="str">
            <v>Universidade Federal Fluminense</v>
          </cell>
        </row>
        <row r="3572">
          <cell r="J3572">
            <v>23028384900</v>
          </cell>
          <cell r="K3572" t="str">
            <v>Universidade Tecnológica Federal do Paraná (+2 more)</v>
          </cell>
        </row>
        <row r="3573">
          <cell r="J3573">
            <v>6508271198</v>
          </cell>
          <cell r="K3573" t="str">
            <v>Universidade Federal de Campina Grande</v>
          </cell>
        </row>
        <row r="3574">
          <cell r="J3574">
            <v>58636136600</v>
          </cell>
          <cell r="K3574" t="str">
            <v>University of Campinas</v>
          </cell>
        </row>
        <row r="3575">
          <cell r="J3575">
            <v>8553878600</v>
          </cell>
          <cell r="K3575" t="str">
            <v>Vizlab - X-Reality and GeoInformatics Lab</v>
          </cell>
        </row>
        <row r="3576">
          <cell r="J3576">
            <v>7004754689</v>
          </cell>
          <cell r="K3576" t="str">
            <v>Federal University of Rio de Janeiro</v>
          </cell>
        </row>
        <row r="3577">
          <cell r="J3577">
            <v>6602092577</v>
          </cell>
          <cell r="K3577" t="str">
            <v>Federal University of Rio de Janeiro</v>
          </cell>
        </row>
        <row r="3578">
          <cell r="J3578">
            <v>58678081900</v>
          </cell>
          <cell r="K3578" t="str">
            <v>Universidade Tecnológica Federal do Paraná</v>
          </cell>
        </row>
        <row r="3579">
          <cell r="J3579">
            <v>7102611378</v>
          </cell>
          <cell r="K3579" t="str">
            <v>Petróleo Brasileiro S.A. (+3 more)</v>
          </cell>
        </row>
        <row r="3580">
          <cell r="J3580">
            <v>57543251200</v>
          </cell>
          <cell r="K3580" t="str">
            <v>Universidade de São Paulo</v>
          </cell>
        </row>
        <row r="3581">
          <cell r="J3581">
            <v>7006784953</v>
          </cell>
          <cell r="K3581" t="str">
            <v>Universidade de Pernambuco (+1 more)</v>
          </cell>
        </row>
        <row r="3582">
          <cell r="J3582">
            <v>56095197100</v>
          </cell>
          <cell r="K3582" t="str">
            <v>Federal University of Rio de Janeiro</v>
          </cell>
        </row>
        <row r="3583">
          <cell r="J3583">
            <v>7007056906</v>
          </cell>
          <cell r="K3583" t="str">
            <v>Federal University of Rio de Janeiro</v>
          </cell>
        </row>
        <row r="3584">
          <cell r="J3584">
            <v>58016833000</v>
          </cell>
          <cell r="K3584" t="str">
            <v>Universidade Federal Fluminense</v>
          </cell>
        </row>
        <row r="3585">
          <cell r="J3585">
            <v>57210105996</v>
          </cell>
          <cell r="K3585" t="str">
            <v>Universidade Federal Fluminense</v>
          </cell>
        </row>
        <row r="3586">
          <cell r="J3586">
            <v>59452038800</v>
          </cell>
          <cell r="K3586" t="str">
            <v>Universidade Federal de Minas Gerais</v>
          </cell>
        </row>
        <row r="3587">
          <cell r="J3587">
            <v>57220187518</v>
          </cell>
          <cell r="K3587" t="str">
            <v>Pontifical Catholic University of Rio de Janeiro</v>
          </cell>
        </row>
        <row r="3588">
          <cell r="J3588">
            <v>56435673300</v>
          </cell>
          <cell r="K3588" t="str">
            <v>Instituto Nacional de Metrologia, Qualidade e Tecnologia (+1 more)</v>
          </cell>
        </row>
        <row r="3589">
          <cell r="J3589">
            <v>57200313928</v>
          </cell>
          <cell r="K3589" t="str">
            <v>Federal University of Rio de Janeiro</v>
          </cell>
        </row>
        <row r="3590">
          <cell r="J3590">
            <v>7004435369</v>
          </cell>
          <cell r="K3590" t="str">
            <v>Universidade Tecnológica Federal do Paraná (+2 more)</v>
          </cell>
        </row>
        <row r="3591">
          <cell r="J3591">
            <v>57967602800</v>
          </cell>
          <cell r="K3591" t="str">
            <v>Laboratório Nacional de Luz Síncrotron (LNLS) (+1 more)</v>
          </cell>
        </row>
        <row r="3592">
          <cell r="J3592">
            <v>55612383600</v>
          </cell>
          <cell r="K3592" t="str">
            <v>Universidade de São Paulo</v>
          </cell>
        </row>
        <row r="3593">
          <cell r="J3593">
            <v>57200282557</v>
          </cell>
          <cell r="K3593" t="str">
            <v>University of Parma (+2 more)</v>
          </cell>
        </row>
        <row r="3594">
          <cell r="J3594">
            <v>36137843300</v>
          </cell>
          <cell r="K3594" t="str">
            <v>Universidade Federal Fluminense (+1 more)</v>
          </cell>
        </row>
        <row r="3595">
          <cell r="J3595">
            <v>7102810710</v>
          </cell>
          <cell r="K3595" t="str">
            <v>Laboratório Nacional de Computação Científica</v>
          </cell>
        </row>
        <row r="3596">
          <cell r="J3596">
            <v>36458826900</v>
          </cell>
          <cell r="K3596" t="str">
            <v>Federal University of Rio de Janeiro</v>
          </cell>
        </row>
        <row r="3597">
          <cell r="J3597">
            <v>6603902516</v>
          </cell>
          <cell r="K3597" t="str">
            <v>Pontifical Catholic University of Rio de Janeiro (+1 more)</v>
          </cell>
        </row>
        <row r="3598">
          <cell r="J3598">
            <v>57202119518</v>
          </cell>
          <cell r="K3598" t="str">
            <v>Pontifical Catholic University of Rio de Janeiro</v>
          </cell>
        </row>
        <row r="3599">
          <cell r="J3599">
            <v>55184936700</v>
          </cell>
          <cell r="K3599" t="str">
            <v>Universidade de São Paulo (+1 more)</v>
          </cell>
        </row>
        <row r="3600">
          <cell r="J3600">
            <v>7006675075</v>
          </cell>
          <cell r="K3600" t="str">
            <v>Universidade de São Paulo</v>
          </cell>
        </row>
        <row r="3601">
          <cell r="J3601">
            <v>57222666594</v>
          </cell>
          <cell r="K3601" t="str">
            <v>Universidade Federal de Itajubá</v>
          </cell>
        </row>
        <row r="3602">
          <cell r="J3602">
            <v>6603728352</v>
          </cell>
          <cell r="K3602" t="str">
            <v>Instituto Nacional de Pesquisas Espaciais</v>
          </cell>
        </row>
        <row r="3603">
          <cell r="J3603">
            <v>36667057800</v>
          </cell>
          <cell r="K3603" t="str">
            <v>Universidade Federal de Campina Grande</v>
          </cell>
        </row>
        <row r="3604">
          <cell r="J3604">
            <v>57193928958</v>
          </cell>
          <cell r="K3604" t="str">
            <v>Brazilian Geological Survey (CRPM)</v>
          </cell>
        </row>
        <row r="3605">
          <cell r="J3605">
            <v>56267704800</v>
          </cell>
          <cell r="K3605" t="str">
            <v>Federal University of Rio de Janeiro</v>
          </cell>
        </row>
        <row r="3606">
          <cell r="J3606">
            <v>56656506000</v>
          </cell>
          <cell r="K3606" t="str">
            <v>Envex Engineering and Consulting</v>
          </cell>
        </row>
        <row r="3607">
          <cell r="J3607">
            <v>6506547586</v>
          </cell>
          <cell r="K3607" t="str">
            <v>Universidade Federal do Paraná</v>
          </cell>
        </row>
        <row r="3608">
          <cell r="J3608">
            <v>57220401992</v>
          </cell>
          <cell r="K3608" t="str">
            <v>DEMa</v>
          </cell>
        </row>
        <row r="3609">
          <cell r="J3609">
            <v>57102778200</v>
          </cell>
          <cell r="K3609" t="str">
            <v>Federal University of Rio de Janeiro</v>
          </cell>
        </row>
        <row r="3610">
          <cell r="J3610">
            <v>7102266172</v>
          </cell>
          <cell r="K3610" t="str">
            <v>Federal University of Pará</v>
          </cell>
        </row>
        <row r="3611">
          <cell r="J3611">
            <v>55891106200</v>
          </cell>
          <cell r="K3611" t="str">
            <v>Federal University of Rio de Janeiro</v>
          </cell>
        </row>
        <row r="3612">
          <cell r="J3612">
            <v>59920109100</v>
          </cell>
          <cell r="K3612" t="str">
            <v>Universidade Federal de Campina Grande</v>
          </cell>
        </row>
        <row r="3613">
          <cell r="J3613">
            <v>56187074800</v>
          </cell>
          <cell r="K3613" t="str">
            <v>Universidade Federal de São Paulo</v>
          </cell>
        </row>
        <row r="3614">
          <cell r="J3614">
            <v>56533523500</v>
          </cell>
          <cell r="K3614" t="str">
            <v>Federal University of Rio de Janeiro</v>
          </cell>
        </row>
        <row r="3615">
          <cell r="J3615">
            <v>15760632600</v>
          </cell>
          <cell r="K3615" t="str">
            <v>Universidade Federal de Campina Grande (+1 more)</v>
          </cell>
        </row>
        <row r="3616">
          <cell r="J3616">
            <v>59539517600</v>
          </cell>
          <cell r="K3616" t="str">
            <v>Universidade Federal Fluminense</v>
          </cell>
        </row>
        <row r="3617">
          <cell r="J3617">
            <v>57212008382</v>
          </cell>
          <cell r="K3617" t="str">
            <v>Federal University of Rio de Janeiro</v>
          </cell>
        </row>
        <row r="3618">
          <cell r="J3618">
            <v>57211299807</v>
          </cell>
          <cell r="K3618" t="str">
            <v>Universidade Tecnológica Federal do Paraná</v>
          </cell>
        </row>
        <row r="3619">
          <cell r="J3619">
            <v>35409957200</v>
          </cell>
          <cell r="K3619" t="str">
            <v>Universidade Federal de Uberlândia</v>
          </cell>
        </row>
        <row r="3620">
          <cell r="J3620">
            <v>6504710819</v>
          </cell>
          <cell r="K3620" t="str">
            <v>University of Campinas (+2 more)</v>
          </cell>
        </row>
        <row r="3621">
          <cell r="J3621">
            <v>6603569530</v>
          </cell>
          <cell r="K3621" t="str">
            <v>Federal University of Santa Catarina</v>
          </cell>
        </row>
        <row r="3622">
          <cell r="J3622">
            <v>55199061300</v>
          </cell>
          <cell r="K3622" t="str">
            <v>Federal University of Rio de Janeiro</v>
          </cell>
        </row>
        <row r="3623">
          <cell r="J3623">
            <v>59396763000</v>
          </cell>
          <cell r="K3623" t="str">
            <v>Universidade Federal de Pernambuco</v>
          </cell>
        </row>
        <row r="3624">
          <cell r="J3624">
            <v>56572940500</v>
          </cell>
          <cell r="K3624" t="str">
            <v>Universidade Federal de Juiz de Fora</v>
          </cell>
        </row>
        <row r="3625">
          <cell r="J3625">
            <v>6602802551</v>
          </cell>
          <cell r="K3625" t="str">
            <v>Universidade de São Paulo</v>
          </cell>
        </row>
        <row r="3626">
          <cell r="J3626">
            <v>57889070200</v>
          </cell>
          <cell r="K3626" t="str">
            <v>Pontifical Catholic University of Rio de Janeiro</v>
          </cell>
        </row>
        <row r="3627">
          <cell r="J3627">
            <v>53064254300</v>
          </cell>
          <cell r="K3627" t="str">
            <v>Universidade Federal de Minas Gerais</v>
          </cell>
        </row>
        <row r="3628">
          <cell r="J3628">
            <v>16023164000</v>
          </cell>
          <cell r="K3628" t="str">
            <v>Pontifical Catholic University of Rio de Janeiro</v>
          </cell>
        </row>
        <row r="3629">
          <cell r="J3629">
            <v>58220278100</v>
          </cell>
          <cell r="K3629" t="str">
            <v>Federal University of Rio de Janeiro</v>
          </cell>
        </row>
        <row r="3630">
          <cell r="J3630">
            <v>57225115048</v>
          </cell>
          <cell r="K3630" t="str">
            <v>University of Campinas</v>
          </cell>
        </row>
        <row r="3631">
          <cell r="J3631">
            <v>57258281600</v>
          </cell>
          <cell r="K3631" t="str">
            <v>Universidade Federal Fluminense</v>
          </cell>
        </row>
        <row r="3632">
          <cell r="J3632">
            <v>58737299800</v>
          </cell>
          <cell r="K3632" t="str">
            <v>Vizlab - X-Reality and GeoInformatics Lab</v>
          </cell>
        </row>
        <row r="3633">
          <cell r="J3633">
            <v>9273304500</v>
          </cell>
          <cell r="K3633" t="str">
            <v>Universidade Federal de Minas Gerais</v>
          </cell>
        </row>
        <row r="3634">
          <cell r="J3634">
            <v>7006497995</v>
          </cell>
          <cell r="K3634" t="str">
            <v>Federal University of Rio de Janeiro</v>
          </cell>
        </row>
        <row r="3635">
          <cell r="J3635">
            <v>55832265600</v>
          </cell>
          <cell r="K3635" t="str">
            <v>Universidade Federal do Rio Grande do Sul</v>
          </cell>
        </row>
        <row r="3636">
          <cell r="J3636">
            <v>58627540500</v>
          </cell>
          <cell r="K3636" t="str">
            <v>Pontifical Catholic University of Rio de Janeiro</v>
          </cell>
        </row>
        <row r="3637">
          <cell r="J3637">
            <v>57222745869</v>
          </cell>
          <cell r="K3637" t="str">
            <v>Umicore</v>
          </cell>
        </row>
        <row r="3638">
          <cell r="J3638">
            <v>35449509400</v>
          </cell>
          <cell r="K3638" t="str">
            <v>Universidade de São Paulo</v>
          </cell>
        </row>
        <row r="3639">
          <cell r="J3639">
            <v>59397437400</v>
          </cell>
          <cell r="K3639" t="str">
            <v>Universidade Tecnológica Federal do Paraná</v>
          </cell>
        </row>
        <row r="3640">
          <cell r="J3640">
            <v>26424758800</v>
          </cell>
          <cell r="K3640" t="str">
            <v>Universidade Federal de Santa Maria</v>
          </cell>
        </row>
        <row r="3641">
          <cell r="J3641">
            <v>7102595499</v>
          </cell>
          <cell r="K3641" t="str">
            <v>Universidade do Estado do Rio de Janeiro (+1 more)</v>
          </cell>
        </row>
        <row r="3642">
          <cell r="J3642">
            <v>35307811200</v>
          </cell>
          <cell r="K3642" t="str">
            <v>Universidade Federal do Rio Grande do Sul</v>
          </cell>
        </row>
        <row r="3643">
          <cell r="J3643">
            <v>56072738000</v>
          </cell>
          <cell r="K3643" t="str">
            <v>Federal University of Rio de Janeiro</v>
          </cell>
        </row>
        <row r="3644">
          <cell r="J3644">
            <v>57203879221</v>
          </cell>
          <cell r="K3644" t="str">
            <v>Federal University of Rio de Janeiro</v>
          </cell>
        </row>
        <row r="3645">
          <cell r="J3645">
            <v>6505514703</v>
          </cell>
          <cell r="K3645" t="str">
            <v>Universidade Federal de Viçosa</v>
          </cell>
        </row>
        <row r="3646">
          <cell r="J3646">
            <v>6603221672</v>
          </cell>
          <cell r="K3646" t="str">
            <v>University of Campinas</v>
          </cell>
        </row>
        <row r="3647">
          <cell r="J3647">
            <v>58581954400</v>
          </cell>
          <cell r="K3647" t="str">
            <v>Universidade Federal do Rio Grande do Sul</v>
          </cell>
        </row>
        <row r="3648">
          <cell r="J3648">
            <v>55266128500</v>
          </cell>
          <cell r="K3648" t="str">
            <v>Federal University of Santa Catarina</v>
          </cell>
        </row>
        <row r="3649">
          <cell r="J3649">
            <v>55388259500</v>
          </cell>
          <cell r="K3649" t="str">
            <v>Universidade Federal Fluminense</v>
          </cell>
        </row>
        <row r="3650">
          <cell r="J3650">
            <v>6701485389</v>
          </cell>
          <cell r="K3650" t="str">
            <v>Universidade de São Paulo</v>
          </cell>
        </row>
        <row r="3651">
          <cell r="J3651">
            <v>57188627999</v>
          </cell>
          <cell r="K3651" t="str">
            <v>Universidade Federal Rural do Rio de Janeiro (+2 more)</v>
          </cell>
        </row>
        <row r="3652">
          <cell r="J3652">
            <v>55921430700</v>
          </cell>
          <cell r="K3652" t="str">
            <v>Universidade Tecnológica Federal do Paraná</v>
          </cell>
        </row>
        <row r="3653">
          <cell r="J3653">
            <v>57210600647</v>
          </cell>
          <cell r="K3653" t="str">
            <v>RJ (+1 more)</v>
          </cell>
        </row>
        <row r="3654">
          <cell r="J3654">
            <v>57270614000</v>
          </cell>
          <cell r="K3654" t="str">
            <v>University of Campinas</v>
          </cell>
        </row>
        <row r="3655">
          <cell r="J3655">
            <v>59197546000</v>
          </cell>
          <cell r="K3655" t="str">
            <v>Universidade Federal do Rio Grande do Sul</v>
          </cell>
        </row>
        <row r="3656">
          <cell r="J3656">
            <v>56717426900</v>
          </cell>
          <cell r="K3656" t="str">
            <v>Universidade Estadual Paulista “Júlio de Mesquita Filho”</v>
          </cell>
        </row>
        <row r="3657">
          <cell r="J3657">
            <v>23012967200</v>
          </cell>
          <cell r="K3657" t="str">
            <v>Universidade do Sul da Bahia – UFSB (+1 more)</v>
          </cell>
        </row>
        <row r="3658">
          <cell r="J3658">
            <v>60027148600</v>
          </cell>
          <cell r="K3658" t="str">
            <v>Instituto de Pesquisas da Marinha (+1 more)</v>
          </cell>
        </row>
        <row r="3659">
          <cell r="J3659">
            <v>56460305500</v>
          </cell>
          <cell r="K3659" t="str">
            <v>Pontifical Catholic University of Rio de Janeiro (+1 more)</v>
          </cell>
        </row>
        <row r="3660">
          <cell r="J3660">
            <v>58682035400</v>
          </cell>
          <cell r="K3660" t="str">
            <v>Universidade Federal Fluminense (+1 more)</v>
          </cell>
        </row>
        <row r="3661">
          <cell r="J3661">
            <v>58493692500</v>
          </cell>
          <cell r="K3661" t="str">
            <v>Universidade Federal de Minas Gerais</v>
          </cell>
        </row>
        <row r="3662">
          <cell r="J3662">
            <v>7201929684</v>
          </cell>
          <cell r="K3662" t="str">
            <v>Federal University of Santa Catarina</v>
          </cell>
        </row>
        <row r="3663">
          <cell r="J3663">
            <v>57204791649</v>
          </cell>
          <cell r="K3663" t="str">
            <v>Universidade de Brasília</v>
          </cell>
        </row>
        <row r="3664">
          <cell r="J3664">
            <v>57888972100</v>
          </cell>
          <cell r="K3664" t="str">
            <v>Universidade do Estado do Rio de Janeiro</v>
          </cell>
        </row>
        <row r="3665">
          <cell r="J3665">
            <v>57190272801</v>
          </cell>
          <cell r="K3665" t="str">
            <v>Universidade Federal do Rio Grande do Norte</v>
          </cell>
        </row>
        <row r="3666">
          <cell r="J3666">
            <v>57216451146</v>
          </cell>
          <cell r="K3666" t="str">
            <v>Federal University of Rio de Janeiro</v>
          </cell>
        </row>
        <row r="3667">
          <cell r="J3667">
            <v>7202298272</v>
          </cell>
          <cell r="K3667" t="str">
            <v>Universidade Federal de Pelotas</v>
          </cell>
        </row>
        <row r="3668">
          <cell r="J3668">
            <v>57210149856</v>
          </cell>
          <cell r="K3668" t="str">
            <v>Universidade Federal Rural do Rio de Janeiro</v>
          </cell>
        </row>
        <row r="3669">
          <cell r="J3669">
            <v>57075981700</v>
          </cell>
          <cell r="K3669" t="str">
            <v>Universidade Federal do Espírito Santo</v>
          </cell>
        </row>
        <row r="3670">
          <cell r="J3670">
            <v>59364174600</v>
          </cell>
          <cell r="K3670" t="str">
            <v>Pontifícia Universidade Católica de Minas Gerais</v>
          </cell>
        </row>
        <row r="3671">
          <cell r="J3671">
            <v>57212221930</v>
          </cell>
          <cell r="K3671" t="str">
            <v>Universidade Federal de Minas Gerais</v>
          </cell>
        </row>
        <row r="3672">
          <cell r="J3672">
            <v>60166478700</v>
          </cell>
          <cell r="K3672" t="str">
            <v>Universidade Federal de Goiás</v>
          </cell>
        </row>
        <row r="3673">
          <cell r="J3673">
            <v>57294760300</v>
          </cell>
          <cell r="K3673" t="str">
            <v>Federal University of Santa Catarina</v>
          </cell>
        </row>
        <row r="3674">
          <cell r="J3674">
            <v>23970972000</v>
          </cell>
          <cell r="K3674" t="str">
            <v>Universidade do Estado do Rio de Janeiro (+1 more)</v>
          </cell>
        </row>
        <row r="3675">
          <cell r="J3675">
            <v>55909470900</v>
          </cell>
          <cell r="K3675" t="str">
            <v>Universidade Federal do Rio Grande do Sul</v>
          </cell>
        </row>
        <row r="3676">
          <cell r="J3676">
            <v>7006807266</v>
          </cell>
          <cell r="K3676" t="str">
            <v>Universidade Regional Integrada do Alto Uruguai e das Missões (+1 more)</v>
          </cell>
        </row>
        <row r="3677">
          <cell r="J3677">
            <v>57420880600</v>
          </cell>
          <cell r="K3677" t="str">
            <v>Universidade Estadual Paulista “Júlio de Mesquita Filho”</v>
          </cell>
        </row>
        <row r="3678">
          <cell r="J3678">
            <v>57202001782</v>
          </cell>
          <cell r="K3678" t="str">
            <v>University of Campinas</v>
          </cell>
        </row>
        <row r="3679">
          <cell r="J3679">
            <v>8567778500</v>
          </cell>
          <cell r="K3679" t="str">
            <v>Universidade Federal Fluminense (+1 more)</v>
          </cell>
        </row>
        <row r="3680">
          <cell r="J3680">
            <v>59159045300</v>
          </cell>
          <cell r="K3680" t="str">
            <v>Centro Federal de Educação Tecnológica - CEFET-RJ (+1 more)</v>
          </cell>
        </row>
        <row r="3681">
          <cell r="J3681">
            <v>7102178796</v>
          </cell>
          <cell r="K3681" t="str">
            <v>University of Campinas</v>
          </cell>
        </row>
        <row r="3682">
          <cell r="J3682">
            <v>59833083100</v>
          </cell>
          <cell r="K3682" t="str">
            <v>Universidade Federal do Espírito Santo</v>
          </cell>
        </row>
        <row r="3683">
          <cell r="J3683">
            <v>55540175400</v>
          </cell>
          <cell r="K3683" t="str">
            <v>Universidade de Brasília (+1 more)</v>
          </cell>
        </row>
        <row r="3684">
          <cell r="J3684">
            <v>57213817215</v>
          </cell>
          <cell r="K3684" t="str">
            <v>Universidade Federal Fluminense (+1 more)</v>
          </cell>
        </row>
        <row r="3685">
          <cell r="J3685">
            <v>57954500500</v>
          </cell>
          <cell r="K3685" t="str">
            <v>Federal University of Rio de Janeiro</v>
          </cell>
        </row>
        <row r="3686">
          <cell r="J3686">
            <v>14045559100</v>
          </cell>
          <cell r="K3686" t="str">
            <v>Federal University of Rio de Janeiro</v>
          </cell>
        </row>
        <row r="3687">
          <cell r="J3687">
            <v>8257786900</v>
          </cell>
          <cell r="K3687" t="str">
            <v>Federal University of Rio de Janeiro</v>
          </cell>
        </row>
        <row r="3688">
          <cell r="J3688">
            <v>57189712355</v>
          </cell>
          <cell r="K3688" t="str">
            <v>Universidade Federal da Paraíba</v>
          </cell>
        </row>
        <row r="3689">
          <cell r="J3689">
            <v>59436682500</v>
          </cell>
          <cell r="K3689" t="str">
            <v>DEMa</v>
          </cell>
        </row>
        <row r="3690">
          <cell r="J3690">
            <v>57203923220</v>
          </cell>
          <cell r="K3690" t="str">
            <v>Universidade Federal Rural do Rio de Janeiro</v>
          </cell>
        </row>
        <row r="3691">
          <cell r="J3691">
            <v>60190269100</v>
          </cell>
          <cell r="K3691" t="str">
            <v>Universidade Federal do Rio Grande do Norte</v>
          </cell>
        </row>
        <row r="3692">
          <cell r="J3692">
            <v>57226646377</v>
          </cell>
          <cell r="K3692" t="str">
            <v>Universidade Federal de Minas Gerais</v>
          </cell>
        </row>
        <row r="3693">
          <cell r="J3693">
            <v>58016821600</v>
          </cell>
          <cell r="K3693" t="str">
            <v>Universidade Federal Fluminense</v>
          </cell>
        </row>
        <row r="3694">
          <cell r="J3694">
            <v>57207107497</v>
          </cell>
          <cell r="K3694" t="str">
            <v>Universidade Federal de Viçosa (+1 more)</v>
          </cell>
        </row>
        <row r="3695">
          <cell r="J3695">
            <v>57221970533</v>
          </cell>
          <cell r="K3695" t="str">
            <v>SENAI Innovation Institute for Manufacturing Systems and Laser Processing</v>
          </cell>
        </row>
        <row r="3696">
          <cell r="J3696">
            <v>57296811000</v>
          </cell>
          <cell r="K3696" t="str">
            <v>Universidade de São Paulo</v>
          </cell>
        </row>
        <row r="3697">
          <cell r="J3697">
            <v>57201426219</v>
          </cell>
          <cell r="K3697" t="str">
            <v>Universidade Federal do Rio Grande do Sul</v>
          </cell>
        </row>
        <row r="3698">
          <cell r="J3698">
            <v>58835858800</v>
          </cell>
          <cell r="K3698" t="str">
            <v>Universidade Federal de Alagoas</v>
          </cell>
        </row>
        <row r="3699">
          <cell r="J3699">
            <v>7005631395</v>
          </cell>
          <cell r="K3699" t="str">
            <v>Centro Brasileiro de Pesquisas Físicas (+1 more)</v>
          </cell>
        </row>
        <row r="3700">
          <cell r="J3700">
            <v>24402777500</v>
          </cell>
          <cell r="K3700" t="str">
            <v>Universidade Federal do Rio Grande do Norte (+1 more)</v>
          </cell>
        </row>
        <row r="3701">
          <cell r="J3701">
            <v>25522346700</v>
          </cell>
          <cell r="K3701" t="str">
            <v>Federal University of Santa Catarina</v>
          </cell>
        </row>
        <row r="3702">
          <cell r="J3702">
            <v>56571971200</v>
          </cell>
          <cell r="K3702" t="str">
            <v>Universidade Federal de Pernambuco</v>
          </cell>
        </row>
        <row r="3703">
          <cell r="J3703">
            <v>59961292900</v>
          </cell>
          <cell r="K3703" t="str">
            <v>Universidade de São Paulo</v>
          </cell>
        </row>
        <row r="3704">
          <cell r="J3704">
            <v>57981310800</v>
          </cell>
          <cell r="K3704" t="str">
            <v>Universidade Federal de Goiás</v>
          </cell>
        </row>
        <row r="3705">
          <cell r="J3705">
            <v>57222495125</v>
          </cell>
          <cell r="K3705" t="str">
            <v>Universidade Federal do Rio Grande</v>
          </cell>
        </row>
        <row r="3706">
          <cell r="J3706">
            <v>25823293800</v>
          </cell>
          <cell r="K3706" t="str">
            <v>Military Institute of Engineering - IME (+2 more)</v>
          </cell>
        </row>
        <row r="3707">
          <cell r="J3707">
            <v>42662201600</v>
          </cell>
          <cell r="K3707" t="str">
            <v>Universidade Federal Rural do Rio de Janeiro</v>
          </cell>
        </row>
        <row r="3708">
          <cell r="J3708">
            <v>58826748000</v>
          </cell>
          <cell r="K3708" t="str">
            <v>Engineering Simulation and Scientific Software (ESSS) (+1 more)</v>
          </cell>
        </row>
        <row r="3709">
          <cell r="J3709">
            <v>57211968815</v>
          </cell>
          <cell r="K3709" t="str">
            <v>Universidade Federal do Rio Grande do Norte</v>
          </cell>
        </row>
        <row r="3710">
          <cell r="J3710">
            <v>58782041500</v>
          </cell>
          <cell r="K3710" t="str">
            <v>Universidade Federal de Campina Grande</v>
          </cell>
        </row>
        <row r="3711">
          <cell r="J3711">
            <v>57928912900</v>
          </cell>
          <cell r="K3711" t="str">
            <v>Universidade Federal de Sergipe (+1 more)</v>
          </cell>
        </row>
        <row r="3712">
          <cell r="J3712">
            <v>58117602400</v>
          </cell>
          <cell r="K3712" t="str">
            <v>Universidade Federal da Bahia</v>
          </cell>
        </row>
        <row r="3713">
          <cell r="J3713">
            <v>35727867300</v>
          </cell>
          <cell r="K3713" t="str">
            <v>Universidade Federal da Bahia</v>
          </cell>
        </row>
        <row r="3714">
          <cell r="J3714">
            <v>7402586531</v>
          </cell>
          <cell r="K3714" t="str">
            <v>Pontifical Catholic University of Rio de Janeiro</v>
          </cell>
        </row>
        <row r="3715">
          <cell r="J3715">
            <v>58677024300</v>
          </cell>
          <cell r="K3715" t="str">
            <v>Universidade Federal do Rio Grande do Sul</v>
          </cell>
        </row>
        <row r="3716">
          <cell r="J3716">
            <v>57221272547</v>
          </cell>
          <cell r="K3716" t="str">
            <v>Pontifícia Universidade Católica do Rio Grande do Sul</v>
          </cell>
        </row>
        <row r="3717">
          <cell r="J3717">
            <v>57194493993</v>
          </cell>
          <cell r="K3717" t="str">
            <v>Universidade Tiradentes (+2 more)</v>
          </cell>
        </row>
        <row r="3718">
          <cell r="J3718">
            <v>57216840061</v>
          </cell>
          <cell r="K3718" t="str">
            <v>Electronics and Biomedical Department (+1 more)</v>
          </cell>
        </row>
        <row r="3719">
          <cell r="J3719">
            <v>55314519400</v>
          </cell>
          <cell r="K3719" t="str">
            <v>Federal University of Rio de Janeiro</v>
          </cell>
        </row>
        <row r="3720">
          <cell r="J3720">
            <v>59101733300</v>
          </cell>
          <cell r="K3720" t="str">
            <v>Universidade Federal Fluminense</v>
          </cell>
        </row>
        <row r="3721">
          <cell r="J3721">
            <v>57204054846</v>
          </cell>
          <cell r="K3721" t="str">
            <v>Pontifícia Universidade Católica do Rio Grande do Sul (+1 more)</v>
          </cell>
        </row>
        <row r="3722">
          <cell r="J3722">
            <v>57224724707</v>
          </cell>
          <cell r="K3722" t="str">
            <v>SECA</v>
          </cell>
        </row>
        <row r="3723">
          <cell r="J3723">
            <v>57198900534</v>
          </cell>
          <cell r="K3723" t="str">
            <v>Universidade Federal do Ceará</v>
          </cell>
        </row>
        <row r="3724">
          <cell r="J3724">
            <v>57200265464</v>
          </cell>
          <cell r="K3724" t="str">
            <v>Universidade Federal de Minas Gerais</v>
          </cell>
        </row>
        <row r="3725">
          <cell r="J3725">
            <v>25623655300</v>
          </cell>
          <cell r="K3725" t="str">
            <v>Universidade Federal de Uberlândia</v>
          </cell>
        </row>
        <row r="3726">
          <cell r="J3726">
            <v>22952045900</v>
          </cell>
          <cell r="K3726" t="str">
            <v>Universidade do Estado do Rio de Janeiro</v>
          </cell>
        </row>
        <row r="3727">
          <cell r="J3727">
            <v>56315980000</v>
          </cell>
          <cell r="K3727" t="str">
            <v>Universidade de São Paulo</v>
          </cell>
        </row>
        <row r="3728">
          <cell r="J3728">
            <v>47061737800</v>
          </cell>
          <cell r="K3728" t="str">
            <v>Observatório Nacional</v>
          </cell>
        </row>
        <row r="3729">
          <cell r="J3729">
            <v>57542104700</v>
          </cell>
          <cell r="K3729" t="str">
            <v>URFJ</v>
          </cell>
        </row>
        <row r="3730">
          <cell r="J3730">
            <v>55835307400</v>
          </cell>
          <cell r="K3730" t="str">
            <v>Universidade Federal do Espírito Santo</v>
          </cell>
        </row>
        <row r="3731">
          <cell r="J3731">
            <v>36814134400</v>
          </cell>
          <cell r="K3731" t="str">
            <v>Universidade Federal do Espírito Santo</v>
          </cell>
        </row>
        <row r="3732">
          <cell r="J3732">
            <v>26658576300</v>
          </cell>
          <cell r="K3732" t="str">
            <v>Pontifical Catholic University of Rio de Janeiro</v>
          </cell>
        </row>
        <row r="3733">
          <cell r="J3733">
            <v>55903223600</v>
          </cell>
          <cell r="K3733" t="str">
            <v>Universidade Federal do ABC (+1 more)</v>
          </cell>
        </row>
        <row r="3734">
          <cell r="J3734">
            <v>57216840348</v>
          </cell>
          <cell r="K3734" t="str">
            <v>Federal University of Santa Catarina</v>
          </cell>
        </row>
        <row r="3735">
          <cell r="J3735">
            <v>7003649931</v>
          </cell>
          <cell r="K3735" t="str">
            <v>Federal University of Rio de Janeiro</v>
          </cell>
        </row>
        <row r="3736">
          <cell r="J3736">
            <v>56368204000</v>
          </cell>
          <cell r="K3736" t="str">
            <v>Instituto de Pesquisas Tecnologicas</v>
          </cell>
        </row>
        <row r="3737">
          <cell r="J3737">
            <v>57274610300</v>
          </cell>
          <cell r="K3737" t="str">
            <v>Universidade Federal de Itajubá</v>
          </cell>
        </row>
        <row r="3738">
          <cell r="J3738">
            <v>58689405400</v>
          </cell>
          <cell r="K3738" t="str">
            <v>Serviço Nacional de Aprendizagem Industrial</v>
          </cell>
        </row>
        <row r="3739">
          <cell r="J3739">
            <v>58722570600</v>
          </cell>
          <cell r="K3739" t="str">
            <v>Pontifical Catholic University of Rio de Janeiro</v>
          </cell>
        </row>
        <row r="3740">
          <cell r="J3740">
            <v>57188555435</v>
          </cell>
          <cell r="K3740" t="str">
            <v>Federal University of Rio de Janeiro</v>
          </cell>
        </row>
        <row r="3741">
          <cell r="J3741">
            <v>56516855700</v>
          </cell>
          <cell r="K3741" t="str">
            <v>DEMa</v>
          </cell>
        </row>
        <row r="3742">
          <cell r="J3742">
            <v>60089525200</v>
          </cell>
          <cell r="K3742" t="str">
            <v>Federal University of Rio de Janeiro</v>
          </cell>
        </row>
        <row r="3743">
          <cell r="J3743">
            <v>57189906239</v>
          </cell>
          <cell r="K3743" t="str">
            <v>Universidade de São Paulo (+1 more)</v>
          </cell>
        </row>
        <row r="3744">
          <cell r="J3744">
            <v>57223136152</v>
          </cell>
          <cell r="K3744" t="str">
            <v>Federal University of Rio de Janeiro</v>
          </cell>
        </row>
        <row r="3745">
          <cell r="J3745">
            <v>55967371500</v>
          </cell>
          <cell r="K3745" t="str">
            <v>Universidade Federal do Rio Grande do Sul</v>
          </cell>
        </row>
        <row r="3746">
          <cell r="J3746">
            <v>57221338070</v>
          </cell>
          <cell r="K3746" t="str">
            <v>Federal University of Rio de Janeiro</v>
          </cell>
        </row>
        <row r="3747">
          <cell r="J3747">
            <v>56667749600</v>
          </cell>
          <cell r="K3747" t="str">
            <v>DEMa</v>
          </cell>
        </row>
        <row r="3748">
          <cell r="J3748">
            <v>23390585200</v>
          </cell>
          <cell r="K3748" t="str">
            <v>Grupo de Estudos de Mamíferos Aquáticos Do RS (GEMARS)</v>
          </cell>
        </row>
        <row r="3749">
          <cell r="J3749">
            <v>59655255700</v>
          </cell>
          <cell r="K3749" t="str">
            <v>Universidade Federal de Juiz de Fora</v>
          </cell>
        </row>
        <row r="3750">
          <cell r="J3750">
            <v>25822542600</v>
          </cell>
          <cell r="K3750" t="str">
            <v>Federal University of Rio de Janeiro</v>
          </cell>
        </row>
        <row r="3751">
          <cell r="J3751">
            <v>57327621000</v>
          </cell>
          <cell r="K3751" t="str">
            <v>Pontifical Catholic University of Rio de Janeiro</v>
          </cell>
        </row>
        <row r="3752">
          <cell r="J3752">
            <v>56556210800</v>
          </cell>
          <cell r="K3752" t="str">
            <v>Universidade de Brasília</v>
          </cell>
        </row>
        <row r="3753">
          <cell r="J3753">
            <v>57195966880</v>
          </cell>
          <cell r="K3753" t="str">
            <v>Federal University of Santa Catarina</v>
          </cell>
        </row>
        <row r="3754">
          <cell r="J3754">
            <v>58028225700</v>
          </cell>
          <cell r="K3754" t="str">
            <v>Federal University of Santa Catarina</v>
          </cell>
        </row>
        <row r="3755">
          <cell r="J3755">
            <v>56694119600</v>
          </cell>
          <cell r="K3755" t="str">
            <v>Universidade Federal Fluminense (+1 more)</v>
          </cell>
        </row>
        <row r="3756">
          <cell r="J3756">
            <v>36093343200</v>
          </cell>
          <cell r="K3756" t="str">
            <v>Universidade do Estado do Rio de Janeiro (+2 more)</v>
          </cell>
        </row>
        <row r="3757">
          <cell r="J3757">
            <v>13204456400</v>
          </cell>
          <cell r="K3757" t="str">
            <v>Empresa Brasileira de Pesquisa Agropecuária</v>
          </cell>
        </row>
        <row r="3758">
          <cell r="J3758">
            <v>35609894700</v>
          </cell>
          <cell r="K3758" t="str">
            <v>Federal University of Rio de Janeiro</v>
          </cell>
        </row>
        <row r="3759">
          <cell r="J3759">
            <v>56370817700</v>
          </cell>
          <cell r="K3759" t="str">
            <v>Universidade Federal de Pernambuco</v>
          </cell>
        </row>
        <row r="3760">
          <cell r="J3760">
            <v>25926526700</v>
          </cell>
          <cell r="K3760" t="str">
            <v>Pontifical Catholic University of Rio de Janeiro (+2 more)</v>
          </cell>
        </row>
        <row r="3761">
          <cell r="J3761">
            <v>55311752500</v>
          </cell>
          <cell r="K3761" t="str">
            <v>Universidade de São Paulo (+1 more)</v>
          </cell>
        </row>
        <row r="3762">
          <cell r="J3762">
            <v>57218417083</v>
          </cell>
          <cell r="K3762" t="str">
            <v>Federal University of Rio de Janeiro</v>
          </cell>
        </row>
        <row r="3763">
          <cell r="J3763">
            <v>57195947828</v>
          </cell>
          <cell r="K3763" t="str">
            <v>Universidade Federal Fluminense</v>
          </cell>
        </row>
        <row r="3764">
          <cell r="J3764">
            <v>8068566100</v>
          </cell>
          <cell r="K3764" t="str">
            <v>Universidade Federal Rural da Amazônia</v>
          </cell>
        </row>
        <row r="3765">
          <cell r="J3765">
            <v>57274923800</v>
          </cell>
          <cell r="K3765" t="str">
            <v>Science and Technology of Sao Paulo (IFSP)</v>
          </cell>
        </row>
        <row r="3766">
          <cell r="J3766">
            <v>58117435500</v>
          </cell>
          <cell r="K3766" t="str">
            <v>Universidade Federal da Bahia</v>
          </cell>
        </row>
        <row r="3767">
          <cell r="J3767">
            <v>13106290000</v>
          </cell>
          <cell r="K3767" t="str">
            <v>Universidade de Caxias do Sul</v>
          </cell>
        </row>
        <row r="3768">
          <cell r="J3768">
            <v>54780364100</v>
          </cell>
          <cell r="K3768" t="str">
            <v>Universidade Federal Fluminense (+1 more)</v>
          </cell>
        </row>
        <row r="3769">
          <cell r="J3769">
            <v>6507632697</v>
          </cell>
          <cell r="K3769" t="str">
            <v>Vizlab - X-Reality and GeoInformatics Lab</v>
          </cell>
        </row>
        <row r="3770">
          <cell r="J3770">
            <v>7102683785</v>
          </cell>
          <cell r="K3770" t="str">
            <v>Oceanographic Modeling and Observation Network (REMO) (+1 more)</v>
          </cell>
        </row>
        <row r="3771">
          <cell r="J3771">
            <v>57203136193</v>
          </cell>
          <cell r="K3771" t="str">
            <v>Federal University of Rio de Janeiro</v>
          </cell>
        </row>
        <row r="3772">
          <cell r="J3772">
            <v>57155983200</v>
          </cell>
          <cell r="K3772" t="str">
            <v>Universidade Federal do Rio Grande do Norte (+1 more)</v>
          </cell>
        </row>
        <row r="3773">
          <cell r="J3773">
            <v>57188015800</v>
          </cell>
          <cell r="K3773" t="str">
            <v>Pontifical Catholic University of Rio de Janeiro (+1 more)</v>
          </cell>
        </row>
        <row r="3774">
          <cell r="J3774">
            <v>57513292900</v>
          </cell>
          <cell r="K3774" t="str">
            <v>Umicore</v>
          </cell>
        </row>
        <row r="3775">
          <cell r="J3775">
            <v>58904279700</v>
          </cell>
          <cell r="K3775" t="str">
            <v>SENAI Innovation Institute for Embedded Systems</v>
          </cell>
        </row>
        <row r="3776">
          <cell r="J3776">
            <v>57932690400</v>
          </cell>
          <cell r="K3776" t="str">
            <v>Universidade Tecnológica Federal do Paraná</v>
          </cell>
        </row>
        <row r="3777">
          <cell r="J3777">
            <v>57205732434</v>
          </cell>
          <cell r="K3777" t="str">
            <v>Universidade Tecnológica Federal do Paraná (+1 more)</v>
          </cell>
        </row>
        <row r="3778">
          <cell r="J3778">
            <v>58024189000</v>
          </cell>
          <cell r="K3778" t="str">
            <v>Universidade Federal do Rio Grande do Norte (+1 more)</v>
          </cell>
        </row>
        <row r="3779">
          <cell r="J3779">
            <v>6701568165</v>
          </cell>
          <cell r="K3779" t="str">
            <v>Universidade Federal de Minas Gerais</v>
          </cell>
        </row>
        <row r="3780">
          <cell r="J3780">
            <v>56530638800</v>
          </cell>
          <cell r="K3780" t="str">
            <v>Universidade de São Paulo</v>
          </cell>
        </row>
        <row r="3781">
          <cell r="J3781">
            <v>55982915300</v>
          </cell>
          <cell r="K3781" t="str">
            <v>Instituto SENAI de Inovação em Engenharia de Superfícies – Centro de Inovação e Tecnologia CIT SENAI</v>
          </cell>
        </row>
        <row r="3782">
          <cell r="J3782">
            <v>7005911314</v>
          </cell>
          <cell r="K3782" t="str">
            <v>DEMa</v>
          </cell>
        </row>
        <row r="3783">
          <cell r="J3783">
            <v>6504193131</v>
          </cell>
          <cell r="K3783" t="str">
            <v>University of Genoa (+1 more)</v>
          </cell>
        </row>
        <row r="3784">
          <cell r="J3784">
            <v>59199694600</v>
          </cell>
          <cell r="K3784" t="str">
            <v>Universidade Estadual Paulista “Júlio de Mesquita Filho”</v>
          </cell>
        </row>
        <row r="3785">
          <cell r="J3785">
            <v>20436676300</v>
          </cell>
          <cell r="K3785" t="str">
            <v>Instituto Tecnológico da Aeronáutica</v>
          </cell>
        </row>
        <row r="3786">
          <cell r="J3786">
            <v>55886162200</v>
          </cell>
          <cell r="K3786" t="str">
            <v>Universidade Federal de Minas Gerais</v>
          </cell>
        </row>
        <row r="3787">
          <cell r="J3787">
            <v>6507296308</v>
          </cell>
          <cell r="K3787" t="str">
            <v>Leopoldo Américo Miguez de Mello (+1 more)</v>
          </cell>
        </row>
        <row r="3788">
          <cell r="J3788">
            <v>12759361500</v>
          </cell>
          <cell r="K3788" t="str">
            <v>Universidade de São Paulo (+1 more)</v>
          </cell>
        </row>
        <row r="3789">
          <cell r="J3789">
            <v>55499083500</v>
          </cell>
          <cell r="K3789" t="str">
            <v>Universidade de São Paulo</v>
          </cell>
        </row>
        <row r="3790">
          <cell r="J3790">
            <v>57221599903</v>
          </cell>
          <cell r="K3790" t="str">
            <v>Saaõ Paulo State University</v>
          </cell>
        </row>
        <row r="3791">
          <cell r="J3791">
            <v>23397842300</v>
          </cell>
          <cell r="K3791" t="str">
            <v>Universidade Estadual Paulista “Júlio de Mesquita Filho” (+1 more)</v>
          </cell>
        </row>
        <row r="3792">
          <cell r="J3792">
            <v>57203415976</v>
          </cell>
          <cell r="K3792" t="str">
            <v>Universidade Federal Rural do Rio de Janeiro (+1 more)</v>
          </cell>
        </row>
        <row r="3793">
          <cell r="J3793">
            <v>6602752011</v>
          </cell>
          <cell r="K3793" t="str">
            <v>Federal University of Rio de Janeiro</v>
          </cell>
        </row>
        <row r="3794">
          <cell r="J3794">
            <v>59654444600</v>
          </cell>
          <cell r="K3794" t="str">
            <v>Universidade Federal de Juiz de Fora</v>
          </cell>
        </row>
        <row r="3795">
          <cell r="J3795">
            <v>7006957860</v>
          </cell>
          <cell r="K3795" t="str">
            <v>Universidade do Estado do Rio de Janeiro (+1 more)</v>
          </cell>
        </row>
        <row r="3796">
          <cell r="J3796">
            <v>35611804900</v>
          </cell>
          <cell r="K3796" t="str">
            <v>Federal University of Rio de Janeiro</v>
          </cell>
        </row>
        <row r="3797">
          <cell r="J3797">
            <v>14322295300</v>
          </cell>
          <cell r="K3797" t="str">
            <v>Universidade Federal do Ceará</v>
          </cell>
        </row>
        <row r="3798">
          <cell r="J3798">
            <v>57407553500</v>
          </cell>
          <cell r="K3798" t="str">
            <v>Universidade de São Paulo</v>
          </cell>
        </row>
        <row r="3799">
          <cell r="J3799">
            <v>58573986800</v>
          </cell>
          <cell r="K3799" t="str">
            <v>SENAI Innovation Institute for Embedded Systems</v>
          </cell>
        </row>
        <row r="3800">
          <cell r="J3800">
            <v>36198519900</v>
          </cell>
          <cell r="K3800" t="str">
            <v>Federal University of Santa Catarina</v>
          </cell>
        </row>
        <row r="3801">
          <cell r="J3801">
            <v>6602947855</v>
          </cell>
          <cell r="K3801" t="str">
            <v>Federal University of Rio de Janeiro</v>
          </cell>
        </row>
        <row r="3802">
          <cell r="J3802">
            <v>57221221146</v>
          </cell>
          <cell r="K3802" t="str">
            <v>Federal University of Santa Catarina</v>
          </cell>
        </row>
        <row r="3803">
          <cell r="J3803">
            <v>57219131711</v>
          </cell>
          <cell r="K3803" t="str">
            <v>Pontifical Catholic University of Rio de Janeiro</v>
          </cell>
        </row>
        <row r="3804">
          <cell r="J3804">
            <v>55228702400</v>
          </cell>
          <cell r="K3804" t="str">
            <v>Centro Nacional de Pesquisa em Energia e Materiais</v>
          </cell>
        </row>
        <row r="3805">
          <cell r="J3805">
            <v>57188994657</v>
          </cell>
          <cell r="K3805" t="str">
            <v>SINTEF (+3 more)</v>
          </cell>
        </row>
        <row r="3806">
          <cell r="J3806">
            <v>6602398053</v>
          </cell>
          <cell r="K3806" t="str">
            <v>Subsea 7 (+1 more)</v>
          </cell>
        </row>
        <row r="3807">
          <cell r="J3807">
            <v>57200514708</v>
          </cell>
          <cell r="K3807" t="str">
            <v>Universidade Tecnológica Federal do Paraná</v>
          </cell>
        </row>
        <row r="3808">
          <cell r="J3808">
            <v>58334711500</v>
          </cell>
          <cell r="K3808" t="str">
            <v>Federal University of Rio de Janeiro</v>
          </cell>
        </row>
        <row r="3809">
          <cell r="J3809">
            <v>56272300200</v>
          </cell>
          <cell r="K3809" t="str">
            <v>Universidade Federal de Itajubá</v>
          </cell>
        </row>
        <row r="3810">
          <cell r="J3810">
            <v>37561944900</v>
          </cell>
          <cell r="K3810" t="str">
            <v>Federal University of Pará</v>
          </cell>
        </row>
        <row r="3811">
          <cell r="J3811">
            <v>57221317962</v>
          </cell>
          <cell r="K3811" t="str">
            <v>Federal University of Rio de Janeiro</v>
          </cell>
        </row>
        <row r="3812">
          <cell r="J3812">
            <v>57200281531</v>
          </cell>
          <cell r="K3812" t="str">
            <v>University of Campinas</v>
          </cell>
        </row>
        <row r="3813">
          <cell r="J3813">
            <v>58024848800</v>
          </cell>
          <cell r="K3813" t="str">
            <v>Comissão Nacional de Energia Nuclear</v>
          </cell>
        </row>
        <row r="3814">
          <cell r="J3814">
            <v>57203925735</v>
          </cell>
          <cell r="K3814" t="str">
            <v>Universidade Federal Rural do Rio de Janeiro</v>
          </cell>
        </row>
        <row r="3815">
          <cell r="J3815">
            <v>57190757764</v>
          </cell>
          <cell r="K3815" t="str">
            <v>Federal University of Rio de Janeiro</v>
          </cell>
        </row>
        <row r="3816">
          <cell r="J3816">
            <v>58865731900</v>
          </cell>
          <cell r="K3816" t="str">
            <v>Federal University of Rio de Janeiro</v>
          </cell>
        </row>
        <row r="3817">
          <cell r="J3817">
            <v>57209718337</v>
          </cell>
          <cell r="K3817" t="str">
            <v>Universidade Federal de Minas Gerais</v>
          </cell>
        </row>
        <row r="3818">
          <cell r="J3818">
            <v>55889197500</v>
          </cell>
          <cell r="K3818" t="str">
            <v>Universidade de São Paulo (+1 more)</v>
          </cell>
        </row>
        <row r="3819">
          <cell r="J3819">
            <v>55629407600</v>
          </cell>
          <cell r="K3819" t="str">
            <v>Universidade Federal de Viçosa</v>
          </cell>
        </row>
        <row r="3820">
          <cell r="J3820">
            <v>57189053361</v>
          </cell>
          <cell r="K3820" t="str">
            <v>Pontifical Catholic University of Rio de Janeiro</v>
          </cell>
        </row>
        <row r="3821">
          <cell r="J3821">
            <v>57219632480</v>
          </cell>
          <cell r="K3821" t="str">
            <v>Universidade Estadual Paulista “Júlio de Mesquita Filho”</v>
          </cell>
        </row>
        <row r="3822">
          <cell r="J3822">
            <v>59397019700</v>
          </cell>
          <cell r="K3822" t="str">
            <v>Federal University of Rio de Janeiro</v>
          </cell>
        </row>
        <row r="3823">
          <cell r="J3823">
            <v>57205120089</v>
          </cell>
          <cell r="K3823" t="str">
            <v>Universidade de São Paulo</v>
          </cell>
        </row>
        <row r="3824">
          <cell r="J3824">
            <v>57207984261</v>
          </cell>
          <cell r="K3824" t="str">
            <v>Federal University of Rio de Janeiro</v>
          </cell>
        </row>
        <row r="3825">
          <cell r="J3825">
            <v>59317120700</v>
          </cell>
          <cell r="K3825" t="str">
            <v>Universidade de São Paulo</v>
          </cell>
        </row>
        <row r="3826">
          <cell r="J3826">
            <v>7003359246</v>
          </cell>
          <cell r="K3826" t="str">
            <v>University of Campinas</v>
          </cell>
        </row>
        <row r="3827">
          <cell r="J3827">
            <v>6506051914</v>
          </cell>
          <cell r="K3827" t="str">
            <v>URFJ (+1 more)</v>
          </cell>
        </row>
        <row r="3828">
          <cell r="J3828">
            <v>56735826400</v>
          </cell>
          <cell r="K3828" t="str">
            <v>Federal University of Rio de Janeiro</v>
          </cell>
        </row>
        <row r="3829">
          <cell r="J3829">
            <v>6603137799</v>
          </cell>
          <cell r="K3829" t="str">
            <v>Federal University of Rio de Janeiro</v>
          </cell>
        </row>
        <row r="3830">
          <cell r="J3830">
            <v>55982475300</v>
          </cell>
          <cell r="K3830" t="str">
            <v>Pontifical Catholic University of Rio de Janeiro</v>
          </cell>
        </row>
        <row r="3831">
          <cell r="J3831">
            <v>6506736837</v>
          </cell>
          <cell r="K3831" t="str">
            <v>University of Campinas</v>
          </cell>
        </row>
        <row r="3832">
          <cell r="J3832">
            <v>57217064753</v>
          </cell>
          <cell r="K3832" t="str">
            <v>DEMa</v>
          </cell>
        </row>
        <row r="3833">
          <cell r="J3833">
            <v>57201858199</v>
          </cell>
          <cell r="K3833" t="str">
            <v>Universidade do Estado do Rio de Janeiro (+1 more)</v>
          </cell>
        </row>
        <row r="3834">
          <cell r="J3834">
            <v>36700317400</v>
          </cell>
          <cell r="K3834" t="str">
            <v>Universidade Estadual Paulista “Júlio de Mesquita Filho”</v>
          </cell>
        </row>
        <row r="3835">
          <cell r="J3835">
            <v>59158417300</v>
          </cell>
          <cell r="K3835" t="str">
            <v>Universidade Federal de Pernambuco</v>
          </cell>
        </row>
        <row r="3836">
          <cell r="J3836">
            <v>6507101845</v>
          </cell>
          <cell r="K3836" t="str">
            <v>Universidade Federal de Minas Gerais</v>
          </cell>
        </row>
        <row r="3837">
          <cell r="J3837">
            <v>57210995031</v>
          </cell>
          <cell r="K3837" t="str">
            <v>Federal University of Rio de Janeiro</v>
          </cell>
        </row>
        <row r="3838">
          <cell r="J3838">
            <v>57205623347</v>
          </cell>
          <cell r="K3838" t="str">
            <v>Pontifical Catholic University of Rio de Janeiro</v>
          </cell>
        </row>
        <row r="3839">
          <cell r="J3839">
            <v>56227180600</v>
          </cell>
          <cell r="K3839" t="str">
            <v>Universidade Tecnológica Federal do Paraná</v>
          </cell>
        </row>
        <row r="3840">
          <cell r="J3840">
            <v>37075414300</v>
          </cell>
          <cell r="K3840" t="str">
            <v>Pontifical Catholic University of Rio de Janeiro</v>
          </cell>
        </row>
        <row r="3841">
          <cell r="J3841">
            <v>7005594417</v>
          </cell>
          <cell r="K3841" t="str">
            <v>Federal University of Rio de Janeiro</v>
          </cell>
        </row>
        <row r="3842">
          <cell r="J3842">
            <v>54983584500</v>
          </cell>
          <cell r="K3842" t="str">
            <v>Universidade Federal do Ceará</v>
          </cell>
        </row>
        <row r="3843">
          <cell r="J3843">
            <v>57214947122</v>
          </cell>
          <cell r="K3843" t="str">
            <v>Pontifical Catholic University of Rio de Janeiro</v>
          </cell>
        </row>
        <row r="3844">
          <cell r="J3844">
            <v>57190975632</v>
          </cell>
          <cell r="K3844" t="str">
            <v>Universidade Federal de Minas Gerais (+1 more)</v>
          </cell>
        </row>
        <row r="3845">
          <cell r="J3845">
            <v>59863871800</v>
          </cell>
          <cell r="K3845" t="str">
            <v>Universidade Federal de Minas Gerais (+2 more)</v>
          </cell>
        </row>
        <row r="3846">
          <cell r="J3846">
            <v>6701414754</v>
          </cell>
          <cell r="K3846" t="str">
            <v>King Abdullah University of Science and Technology (+3 more)</v>
          </cell>
        </row>
        <row r="3847">
          <cell r="J3847">
            <v>56940804000</v>
          </cell>
          <cell r="K3847" t="str">
            <v>University of Campinas</v>
          </cell>
        </row>
        <row r="3848">
          <cell r="J3848">
            <v>57219597144</v>
          </cell>
          <cell r="K3848" t="str">
            <v>Federal University of Rio de Janeiro</v>
          </cell>
        </row>
        <row r="3849">
          <cell r="J3849">
            <v>58724542800</v>
          </cell>
          <cell r="K3849" t="str">
            <v>Serviço Nacional de Aprendizagem Industrial</v>
          </cell>
        </row>
        <row r="3850">
          <cell r="J3850">
            <v>36608957000</v>
          </cell>
          <cell r="K3850" t="str">
            <v>Prooceano</v>
          </cell>
        </row>
        <row r="3851">
          <cell r="J3851">
            <v>6506877129</v>
          </cell>
          <cell r="K3851" t="str">
            <v>Universidade de São Paulo</v>
          </cell>
        </row>
        <row r="3852">
          <cell r="J3852">
            <v>57225041469</v>
          </cell>
          <cell r="K3852" t="str">
            <v>Instituto Tecnológico da Aeronáutica</v>
          </cell>
        </row>
        <row r="3853">
          <cell r="J3853">
            <v>57211471371</v>
          </cell>
          <cell r="K3853" t="str">
            <v>Pontifical Catholic University of Rio de Janeiro</v>
          </cell>
        </row>
        <row r="3854">
          <cell r="J3854">
            <v>57204519422</v>
          </cell>
          <cell r="K3854" t="str">
            <v>Federal University of Rio de Janeiro</v>
          </cell>
        </row>
        <row r="3855">
          <cell r="J3855">
            <v>59654414000</v>
          </cell>
          <cell r="K3855" t="str">
            <v>Universidade Federal do Rio Grande do Norte</v>
          </cell>
        </row>
        <row r="3856">
          <cell r="J3856">
            <v>35211389100</v>
          </cell>
          <cell r="K3856" t="str">
            <v>Universidade Estadual Paulista “Júlio de Mesquita Filho”</v>
          </cell>
        </row>
        <row r="3857">
          <cell r="J3857">
            <v>57189870236</v>
          </cell>
          <cell r="K3857" t="str">
            <v>University of Campinas</v>
          </cell>
        </row>
        <row r="3858">
          <cell r="J3858">
            <v>7006086740</v>
          </cell>
          <cell r="K3858" t="str">
            <v>Universidade Federal da Bahia (+1 more)</v>
          </cell>
        </row>
        <row r="3859">
          <cell r="J3859">
            <v>6507040606</v>
          </cell>
          <cell r="K3859" t="str">
            <v>Universidade Federal do Rio Grande do Sul</v>
          </cell>
        </row>
        <row r="3860">
          <cell r="J3860">
            <v>26435503600</v>
          </cell>
          <cell r="K3860" t="str">
            <v>Pontifical Catholic University of Rio de Janeiro</v>
          </cell>
        </row>
        <row r="3861">
          <cell r="J3861">
            <v>24282923400</v>
          </cell>
          <cell r="K3861" t="str">
            <v>Federal University of Rio de Janeiro</v>
          </cell>
        </row>
        <row r="3862">
          <cell r="J3862">
            <v>57202310066</v>
          </cell>
          <cell r="K3862" t="str">
            <v>Institute of Technology and Research</v>
          </cell>
        </row>
        <row r="3863">
          <cell r="J3863">
            <v>58654420100</v>
          </cell>
          <cell r="K3863" t="str">
            <v>Universidade de São Paulo</v>
          </cell>
        </row>
        <row r="3864">
          <cell r="J3864">
            <v>57208544936</v>
          </cell>
          <cell r="K3864" t="str">
            <v>Universidade Federal Rural do Rio de Janeiro</v>
          </cell>
        </row>
        <row r="3865">
          <cell r="J3865">
            <v>57221872358</v>
          </cell>
          <cell r="K3865" t="str">
            <v>Federal University of Rio de Janeiro</v>
          </cell>
        </row>
        <row r="3866">
          <cell r="J3866">
            <v>59403821300</v>
          </cell>
          <cell r="K3866" t="str">
            <v>Federal University of Rio de Janeiro</v>
          </cell>
        </row>
        <row r="3867">
          <cell r="J3867">
            <v>35203814300</v>
          </cell>
          <cell r="K3867" t="str">
            <v>Universidade Federal Fluminense (+1 more)</v>
          </cell>
        </row>
        <row r="3868">
          <cell r="J3868">
            <v>36452482500</v>
          </cell>
          <cell r="K3868" t="str">
            <v>DEMa</v>
          </cell>
        </row>
        <row r="3869">
          <cell r="J3869">
            <v>38663096600</v>
          </cell>
          <cell r="K3869" t="str">
            <v>Universidade Estadual Paulista “Júlio de Mesquita Filho” (+1 more)</v>
          </cell>
        </row>
        <row r="3870">
          <cell r="J3870">
            <v>57203412486</v>
          </cell>
          <cell r="K3870" t="str">
            <v>Universidade Federal Rural do Rio de Janeiro</v>
          </cell>
        </row>
        <row r="3871">
          <cell r="J3871">
            <v>57211792589</v>
          </cell>
          <cell r="K3871" t="str">
            <v>Federal University of Rio de Janeiro</v>
          </cell>
        </row>
        <row r="3872">
          <cell r="J3872">
            <v>56735566900</v>
          </cell>
          <cell r="K3872" t="str">
            <v>Forza Composites</v>
          </cell>
        </row>
        <row r="3873">
          <cell r="J3873">
            <v>37041692000</v>
          </cell>
          <cell r="K3873" t="str">
            <v>University of Western São Paulo</v>
          </cell>
        </row>
        <row r="3874">
          <cell r="J3874">
            <v>36814225800</v>
          </cell>
          <cell r="K3874" t="str">
            <v>Universidade Federal de Santa Maria</v>
          </cell>
        </row>
        <row r="3875">
          <cell r="J3875">
            <v>57195455785</v>
          </cell>
          <cell r="K3875" t="str">
            <v>Universidade Federal de Uberlândia</v>
          </cell>
        </row>
        <row r="3876">
          <cell r="J3876">
            <v>7202834278</v>
          </cell>
          <cell r="K3876" t="str">
            <v>University of Aveiro (+1 more)</v>
          </cell>
        </row>
        <row r="3877">
          <cell r="J3877">
            <v>57201135068</v>
          </cell>
          <cell r="K3877" t="str">
            <v>Universidade Federal do Rio Grande</v>
          </cell>
        </row>
        <row r="3878">
          <cell r="J3878">
            <v>55260249800</v>
          </cell>
          <cell r="K3878" t="str">
            <v>Universidade Federal de Viçosa</v>
          </cell>
        </row>
        <row r="3879">
          <cell r="J3879">
            <v>57196679835</v>
          </cell>
          <cell r="K3879" t="str">
            <v>Universidade Federal do Espírito Santo</v>
          </cell>
        </row>
        <row r="3880">
          <cell r="J3880">
            <v>7201690364</v>
          </cell>
          <cell r="K3880" t="str">
            <v>Universidade Federal do Rio Grande do Sul</v>
          </cell>
        </row>
        <row r="3881">
          <cell r="J3881">
            <v>58430837500</v>
          </cell>
          <cell r="K3881" t="str">
            <v>Universidade Federal do Espírito Santo</v>
          </cell>
        </row>
        <row r="3882">
          <cell r="J3882">
            <v>55574495100</v>
          </cell>
          <cell r="K3882" t="str">
            <v>Pontifical Catholic University of Rio de Janeiro</v>
          </cell>
        </row>
        <row r="3883">
          <cell r="J3883">
            <v>7201690356</v>
          </cell>
          <cell r="K3883" t="str">
            <v>Universidade do Estado do Rio de Janeiro</v>
          </cell>
        </row>
        <row r="3884">
          <cell r="J3884">
            <v>57191077382</v>
          </cell>
          <cell r="K3884" t="str">
            <v>Instituto Nacional de Pesquisas Espaciais</v>
          </cell>
        </row>
        <row r="3885">
          <cell r="J3885">
            <v>57222666358</v>
          </cell>
          <cell r="K3885" t="str">
            <v>Universidade Federal de Itajubá</v>
          </cell>
        </row>
        <row r="3886">
          <cell r="J3886">
            <v>15030411500</v>
          </cell>
          <cell r="K3886" t="str">
            <v>Laboratory of Nondestructive Testing (+1 more)</v>
          </cell>
        </row>
        <row r="3887">
          <cell r="J3887">
            <v>57205742928</v>
          </cell>
          <cell r="K3887" t="str">
            <v>Instituto de Pesquisas Tecnologicas</v>
          </cell>
        </row>
        <row r="3888">
          <cell r="J3888">
            <v>57190606246</v>
          </cell>
          <cell r="K3888" t="str">
            <v>Vancouver Island University (+1 more)</v>
          </cell>
        </row>
        <row r="3889">
          <cell r="J3889">
            <v>57205657248</v>
          </cell>
          <cell r="K3889" t="str">
            <v>Federal University of Rio de Janeiro</v>
          </cell>
        </row>
        <row r="3890">
          <cell r="J3890">
            <v>55426278300</v>
          </cell>
          <cell r="K3890" t="str">
            <v>Universidade Federal da Bahia (+1 more)</v>
          </cell>
        </row>
        <row r="3891">
          <cell r="J3891">
            <v>57191536997</v>
          </cell>
          <cell r="K3891" t="str">
            <v>Federal University of Rio de Janeiro</v>
          </cell>
        </row>
        <row r="3892">
          <cell r="J3892">
            <v>56236782200</v>
          </cell>
          <cell r="K3892" t="str">
            <v>Universidade Federal do Paraná</v>
          </cell>
        </row>
        <row r="3893">
          <cell r="J3893">
            <v>56023378200</v>
          </cell>
          <cell r="K3893" t="str">
            <v>Pontifical Catholic University of Rio de Janeiro</v>
          </cell>
        </row>
        <row r="3894">
          <cell r="J3894">
            <v>21739593000</v>
          </cell>
          <cell r="K3894" t="str">
            <v>Universidade Federal do Rio Grande do Sul (+2 more)</v>
          </cell>
        </row>
        <row r="3895">
          <cell r="J3895">
            <v>57215696150</v>
          </cell>
          <cell r="K3895" t="str">
            <v>Federal University of Rio de Janeiro</v>
          </cell>
        </row>
        <row r="3896">
          <cell r="J3896">
            <v>49964359900</v>
          </cell>
          <cell r="K3896" t="str">
            <v>Universidade Federal de Santa Maria</v>
          </cell>
        </row>
        <row r="3897">
          <cell r="J3897">
            <v>58496877500</v>
          </cell>
          <cell r="K3897" t="str">
            <v>Pontifícia Universidade Católica do Rio Grande do Sul</v>
          </cell>
        </row>
        <row r="3898">
          <cell r="J3898">
            <v>57245777900</v>
          </cell>
          <cell r="K3898" t="str">
            <v>Universidade Federal do Rio Grande do Sul</v>
          </cell>
        </row>
        <row r="3899">
          <cell r="J3899">
            <v>57206584762</v>
          </cell>
          <cell r="K3899" t="str">
            <v>Universidade Federal da Bahia</v>
          </cell>
        </row>
        <row r="3900">
          <cell r="J3900">
            <v>55489420100</v>
          </cell>
          <cell r="K3900" t="str">
            <v>Universidade Federal de Uberlândia</v>
          </cell>
        </row>
        <row r="3901">
          <cell r="J3901">
            <v>7401842607</v>
          </cell>
          <cell r="K3901" t="str">
            <v>Federal University of Rio de Janeiro (+1 more)</v>
          </cell>
        </row>
        <row r="3902">
          <cell r="J3902">
            <v>56155076300</v>
          </cell>
          <cell r="K3902" t="str">
            <v>University of Campinas</v>
          </cell>
        </row>
        <row r="3903">
          <cell r="J3903">
            <v>56403864900</v>
          </cell>
          <cell r="K3903" t="str">
            <v>Federal University of Santa Catarina</v>
          </cell>
        </row>
        <row r="3904">
          <cell r="J3904">
            <v>57224464130</v>
          </cell>
          <cell r="K3904" t="str">
            <v>Universidade Federal Rural do Rio de Janeiro</v>
          </cell>
        </row>
        <row r="3905">
          <cell r="J3905">
            <v>57208385761</v>
          </cell>
          <cell r="K3905" t="str">
            <v>Universidade Estadual de Maringá</v>
          </cell>
        </row>
        <row r="3906">
          <cell r="J3906">
            <v>59234253400</v>
          </cell>
          <cell r="K3906" t="str">
            <v>Universidade Federal do Ceará</v>
          </cell>
        </row>
        <row r="3907">
          <cell r="J3907">
            <v>57219613120</v>
          </cell>
          <cell r="K3907" t="str">
            <v>Universidade Tecnológica Federal do Paraná</v>
          </cell>
        </row>
        <row r="3908">
          <cell r="J3908">
            <v>7005220413</v>
          </cell>
          <cell r="K3908" t="str">
            <v>White Martins Gases Industriais LTDA (+1 more)</v>
          </cell>
        </row>
        <row r="3909">
          <cell r="J3909">
            <v>56393836600</v>
          </cell>
          <cell r="K3909" t="str">
            <v>Universidade Federal do Rio Grande do Norte (+2 more)</v>
          </cell>
        </row>
        <row r="3910">
          <cell r="J3910">
            <v>56708094900</v>
          </cell>
          <cell r="K3910" t="str">
            <v>Universidade Federal Rural de Pernambuco</v>
          </cell>
        </row>
        <row r="3911">
          <cell r="J3911">
            <v>57220035301</v>
          </cell>
          <cell r="K3911" t="str">
            <v>Universidade Federal Fluminense (+1 more)</v>
          </cell>
        </row>
        <row r="3912">
          <cell r="J3912">
            <v>55536967400</v>
          </cell>
          <cell r="K3912" t="str">
            <v>Universidade Federal do Espírito Santo</v>
          </cell>
        </row>
        <row r="3913">
          <cell r="J3913">
            <v>56343377400</v>
          </cell>
          <cell r="K3913" t="str">
            <v>University of Campinas (+1 more)</v>
          </cell>
        </row>
        <row r="3914">
          <cell r="J3914">
            <v>56074972600</v>
          </cell>
          <cell r="K3914" t="str">
            <v>Federal University of Rio de Janeiro</v>
          </cell>
        </row>
        <row r="3915">
          <cell r="J3915">
            <v>58729006000</v>
          </cell>
          <cell r="K3915" t="str">
            <v>Radiopharmacy Committee</v>
          </cell>
        </row>
        <row r="3916">
          <cell r="J3916">
            <v>55256877200</v>
          </cell>
          <cell r="K3916" t="str">
            <v>Universidade Federal Rural do Rio de Janeiro</v>
          </cell>
        </row>
        <row r="3917">
          <cell r="J3917">
            <v>57221280437</v>
          </cell>
          <cell r="K3917" t="str">
            <v>Pontifical Catholic University of Rio de Janeiro</v>
          </cell>
        </row>
        <row r="3918">
          <cell r="J3918">
            <v>56902644700</v>
          </cell>
          <cell r="K3918" t="str">
            <v>Universidade Federal do Amazonas</v>
          </cell>
        </row>
        <row r="3919">
          <cell r="J3919">
            <v>57253862000</v>
          </cell>
          <cell r="K3919" t="str">
            <v>Federal University of Rio de Janeiro</v>
          </cell>
        </row>
        <row r="3920">
          <cell r="J3920">
            <v>57201673227</v>
          </cell>
          <cell r="K3920" t="str">
            <v>Federal University of Rio de Janeiro</v>
          </cell>
        </row>
        <row r="3921">
          <cell r="J3921">
            <v>11739727400</v>
          </cell>
          <cell r="K3921" t="str">
            <v>Universidade Federal de Ciências da Saúde de Porto Alegre</v>
          </cell>
        </row>
        <row r="3922">
          <cell r="J3922">
            <v>57212440123</v>
          </cell>
          <cell r="K3922" t="str">
            <v>Universidade Federal do Rio Grande do Sul</v>
          </cell>
        </row>
        <row r="3923">
          <cell r="J3923">
            <v>57804799100</v>
          </cell>
          <cell r="K3923" t="str">
            <v>Universidade Federal de Minas Gerais</v>
          </cell>
        </row>
        <row r="3924">
          <cell r="J3924">
            <v>57729518300</v>
          </cell>
          <cell r="K3924" t="str">
            <v>Universidade de São Paulo (+1 more)</v>
          </cell>
        </row>
        <row r="3925">
          <cell r="J3925">
            <v>22986345400</v>
          </cell>
          <cell r="K3925" t="str">
            <v>Universidade Federal do Rio Grande do Norte</v>
          </cell>
        </row>
        <row r="3926">
          <cell r="J3926">
            <v>16317478700</v>
          </cell>
          <cell r="K3926" t="str">
            <v>Pontifical Catholic University of Rio de Janeiro</v>
          </cell>
        </row>
        <row r="3927">
          <cell r="J3927">
            <v>6603107199</v>
          </cell>
          <cell r="K3927" t="str">
            <v>Universidade Federal do Rio Grande do Norte</v>
          </cell>
        </row>
        <row r="3928">
          <cell r="J3928">
            <v>57214139761</v>
          </cell>
          <cell r="K3928" t="str">
            <v>Universidade de São Paulo (+1 more)</v>
          </cell>
        </row>
        <row r="3929">
          <cell r="J3929">
            <v>6504209331</v>
          </cell>
          <cell r="K3929" t="str">
            <v>Universidade Federal do Rio Grande do Sul</v>
          </cell>
        </row>
        <row r="3930">
          <cell r="J3930">
            <v>57204799069</v>
          </cell>
          <cell r="K3930" t="str">
            <v>Federal University of Santa Catarina</v>
          </cell>
        </row>
        <row r="3931">
          <cell r="J3931">
            <v>57339078800</v>
          </cell>
          <cell r="K3931" t="str">
            <v>Universidade de Caxias do Sul</v>
          </cell>
        </row>
        <row r="3932">
          <cell r="J3932">
            <v>7005773417</v>
          </cell>
          <cell r="K3932" t="str">
            <v>University of São Paulo (+1 more)</v>
          </cell>
        </row>
        <row r="3933">
          <cell r="J3933">
            <v>8359703100</v>
          </cell>
          <cell r="K3933" t="str">
            <v>Pontifical Catholic University of Rio de Janeiro</v>
          </cell>
        </row>
        <row r="3934">
          <cell r="J3934">
            <v>56124078800</v>
          </cell>
          <cell r="K3934" t="str">
            <v>Universidade Federal Fluminense</v>
          </cell>
        </row>
        <row r="3935">
          <cell r="J3935">
            <v>6701396880</v>
          </cell>
          <cell r="K3935" t="str">
            <v>Serviço Nacional de Aprendizagem Industrial (+4 more)</v>
          </cell>
        </row>
        <row r="3936">
          <cell r="J3936">
            <v>57208214044</v>
          </cell>
          <cell r="K3936" t="str">
            <v>Federal University of Rio de Janeiro</v>
          </cell>
        </row>
        <row r="3937">
          <cell r="J3937">
            <v>57190867379</v>
          </cell>
          <cell r="K3937" t="str">
            <v>Universidade de São Paulo</v>
          </cell>
        </row>
        <row r="3938">
          <cell r="J3938">
            <v>6506678393</v>
          </cell>
          <cell r="K3938" t="str">
            <v>Universidade Federal da Bahia (+2 more)</v>
          </cell>
        </row>
        <row r="3939">
          <cell r="J3939">
            <v>32867920900</v>
          </cell>
          <cell r="K3939" t="str">
            <v>LAMEMO - Modelling Methods in Engineering and Geophysics Laboratory (+1 more)</v>
          </cell>
        </row>
        <row r="3940">
          <cell r="J3940">
            <v>36700118900</v>
          </cell>
          <cell r="K3940" t="str">
            <v>Universidade Federal de Uberlândia (+2 more)</v>
          </cell>
        </row>
        <row r="3941">
          <cell r="J3941">
            <v>59132946800</v>
          </cell>
          <cell r="K3941" t="str">
            <v>Universidade Federal do Espírito Santo</v>
          </cell>
        </row>
        <row r="3942">
          <cell r="J3942">
            <v>14036281400</v>
          </cell>
          <cell r="K3942" t="str">
            <v>Universidade Federal do Rio Grande do Sul (+1 more)</v>
          </cell>
        </row>
        <row r="3943">
          <cell r="J3943">
            <v>6603385976</v>
          </cell>
          <cell r="K3943" t="str">
            <v>Universidade Federal do Rio Grande do Sul</v>
          </cell>
        </row>
        <row r="3944">
          <cell r="J3944">
            <v>7005420908</v>
          </cell>
          <cell r="K3944" t="str">
            <v>Universidade Federal do Rio Grande do Sul</v>
          </cell>
        </row>
        <row r="3945">
          <cell r="J3945">
            <v>55220031900</v>
          </cell>
          <cell r="K3945" t="str">
            <v>Federal University of Rio de Janeiro</v>
          </cell>
        </row>
        <row r="3946">
          <cell r="J3946">
            <v>6504780383</v>
          </cell>
          <cell r="K3946" t="str">
            <v>Centro Nacional de Pesquisa em Energia e Materiais</v>
          </cell>
        </row>
        <row r="3947">
          <cell r="J3947">
            <v>55303761600</v>
          </cell>
          <cell r="K3947" t="str">
            <v>University of Campinas</v>
          </cell>
        </row>
        <row r="3948">
          <cell r="J3948">
            <v>17346579100</v>
          </cell>
          <cell r="K3948" t="str">
            <v>Universidade Estadual do Norte Fluminense (+1 more)</v>
          </cell>
        </row>
        <row r="3949">
          <cell r="J3949">
            <v>57742955700</v>
          </cell>
          <cell r="K3949" t="str">
            <v>NIDF</v>
          </cell>
        </row>
        <row r="3950">
          <cell r="J3950">
            <v>57481614500</v>
          </cell>
          <cell r="K3950" t="str">
            <v>Pontifical Catholic University of Rio de Janeiro</v>
          </cell>
        </row>
        <row r="3951">
          <cell r="J3951">
            <v>57216782345</v>
          </cell>
          <cell r="K3951" t="str">
            <v>Pontifical Catholic University of Rio de Janeiro</v>
          </cell>
        </row>
        <row r="3952">
          <cell r="J3952">
            <v>25929524400</v>
          </cell>
          <cell r="K3952" t="str">
            <v>Pontifical Catholic University of Rio de Janeiro</v>
          </cell>
        </row>
        <row r="3953">
          <cell r="J3953">
            <v>56332634700</v>
          </cell>
          <cell r="K3953" t="str">
            <v>Universidade Federal de Minas Gerais</v>
          </cell>
        </row>
        <row r="3954">
          <cell r="J3954">
            <v>57200734539</v>
          </cell>
          <cell r="K3954" t="str">
            <v>Petróleo Brasileiro S.A. (+1 more)</v>
          </cell>
        </row>
        <row r="3955">
          <cell r="J3955">
            <v>7003566202</v>
          </cell>
          <cell r="K3955" t="str">
            <v>Pontifical Catholic University of Rio de Janeiro</v>
          </cell>
        </row>
        <row r="3956">
          <cell r="J3956">
            <v>59674309100</v>
          </cell>
          <cell r="K3956" t="str">
            <v>Universidade Federal do Rio Grande do Sul</v>
          </cell>
        </row>
        <row r="3957">
          <cell r="J3957">
            <v>60166359700</v>
          </cell>
          <cell r="K3957" t="str">
            <v>Universidade Federal de Goiás</v>
          </cell>
        </row>
        <row r="3958">
          <cell r="J3958">
            <v>57216790749</v>
          </cell>
          <cell r="K3958" t="str">
            <v>Pontifical Catholic University of Rio de Janeiro</v>
          </cell>
        </row>
        <row r="3959">
          <cell r="J3959">
            <v>23980839500</v>
          </cell>
          <cell r="K3959" t="str">
            <v>Universidade Federal de Pernambuco</v>
          </cell>
        </row>
        <row r="3960">
          <cell r="J3960">
            <v>35218286800</v>
          </cell>
          <cell r="K3960" t="str">
            <v>Universidade de Brasília</v>
          </cell>
        </row>
        <row r="3961">
          <cell r="J3961">
            <v>7006799228</v>
          </cell>
          <cell r="K3961" t="str">
            <v>Universidade Federal de Pernambuco</v>
          </cell>
        </row>
        <row r="3962">
          <cell r="J3962">
            <v>60166390200</v>
          </cell>
          <cell r="K3962" t="str">
            <v>Universidade Estadual do Oeste do Paraná</v>
          </cell>
        </row>
        <row r="3963">
          <cell r="J3963">
            <v>59210046600</v>
          </cell>
          <cell r="K3963" t="str">
            <v>Pesquisador</v>
          </cell>
        </row>
        <row r="3964">
          <cell r="J3964">
            <v>35956926200</v>
          </cell>
          <cell r="K3964" t="str">
            <v>Universidade do Estado do Rio de Janeiro (+1 more)</v>
          </cell>
        </row>
        <row r="3965">
          <cell r="J3965">
            <v>57208786780</v>
          </cell>
          <cell r="K3965" t="str">
            <v>Universidade Federal de Uberlândia</v>
          </cell>
        </row>
        <row r="3966">
          <cell r="J3966">
            <v>57205734324</v>
          </cell>
          <cell r="K3966" t="str">
            <v>Federal University of Rio de Janeiro</v>
          </cell>
        </row>
        <row r="3967">
          <cell r="J3967">
            <v>56018475800</v>
          </cell>
          <cell r="K3967" t="str">
            <v>Federal University of Rio de Janeiro</v>
          </cell>
        </row>
        <row r="3968">
          <cell r="J3968">
            <v>57221201200</v>
          </cell>
          <cell r="K3968" t="str">
            <v>Universidade do Estado do Rio de Janeiro</v>
          </cell>
        </row>
        <row r="3969">
          <cell r="J3969">
            <v>57200374882</v>
          </cell>
          <cell r="K3969" t="str">
            <v>Universidade Federal Fluminense</v>
          </cell>
        </row>
        <row r="3970">
          <cell r="J3970">
            <v>58296557900</v>
          </cell>
          <cell r="K3970" t="str">
            <v>Pontifical Catholic University of Rio de Janeiro</v>
          </cell>
        </row>
        <row r="3971">
          <cell r="J3971">
            <v>57204728391</v>
          </cell>
          <cell r="K3971" t="str">
            <v>Universidade Federal de Goiás</v>
          </cell>
        </row>
        <row r="3972">
          <cell r="J3972">
            <v>57304530100</v>
          </cell>
          <cell r="K3972" t="str">
            <v>Universidade Federal Fluminense</v>
          </cell>
        </row>
        <row r="3973">
          <cell r="J3973">
            <v>59188131900</v>
          </cell>
          <cell r="K3973" t="str">
            <v>Federal University of Rio de Janeiro</v>
          </cell>
        </row>
        <row r="3974">
          <cell r="J3974">
            <v>58579789900</v>
          </cell>
          <cell r="K3974" t="str">
            <v>Universidade Federal de Mato Grosso</v>
          </cell>
        </row>
        <row r="3975">
          <cell r="J3975">
            <v>55625044700</v>
          </cell>
          <cell r="K3975" t="str">
            <v>Federal University of Rio de Janeiro</v>
          </cell>
        </row>
        <row r="3976">
          <cell r="J3976">
            <v>24461229500</v>
          </cell>
          <cell r="K3976" t="str">
            <v>Universidade Federal Fluminense (+1 more)</v>
          </cell>
        </row>
        <row r="3977">
          <cell r="J3977">
            <v>58692147900</v>
          </cell>
          <cell r="K3977" t="str">
            <v>Federal University of Rio de Janeiro</v>
          </cell>
        </row>
        <row r="3978">
          <cell r="J3978">
            <v>46062397100</v>
          </cell>
          <cell r="K3978" t="str">
            <v>Universidade Federal do Espírito Santo</v>
          </cell>
        </row>
        <row r="3979">
          <cell r="J3979">
            <v>57221193176</v>
          </cell>
          <cell r="K3979" t="str">
            <v>Universidade do Estado do Rio de Janeiro</v>
          </cell>
        </row>
        <row r="3980">
          <cell r="J3980">
            <v>57197571181</v>
          </cell>
          <cell r="K3980" t="str">
            <v>Universidade Federal de Pernambuco</v>
          </cell>
        </row>
        <row r="3981">
          <cell r="J3981">
            <v>24336226100</v>
          </cell>
          <cell r="K3981" t="str">
            <v>Universidade Federal de Mato Grosso do Sul</v>
          </cell>
        </row>
        <row r="3982">
          <cell r="J3982">
            <v>35465490100</v>
          </cell>
          <cell r="K3982" t="str">
            <v>OPTIMATECH LTDA (+2 more)</v>
          </cell>
        </row>
        <row r="3983">
          <cell r="J3983">
            <v>58458560500</v>
          </cell>
          <cell r="K3983" t="str">
            <v>Federal University of Rio de Janeiro</v>
          </cell>
        </row>
        <row r="3984">
          <cell r="J3984">
            <v>56368367700</v>
          </cell>
          <cell r="K3984" t="str">
            <v>Centro Federal de Educação Tecnológica Celso Suckow da Fonseca (CEFET-RJ)</v>
          </cell>
        </row>
        <row r="3985">
          <cell r="J3985">
            <v>57205473670</v>
          </cell>
          <cell r="K3985" t="str">
            <v>Universidade de São Paulo</v>
          </cell>
        </row>
        <row r="3986">
          <cell r="J3986">
            <v>55427792800</v>
          </cell>
          <cell r="K3986" t="str">
            <v>Federal University of Rio de Janeiro</v>
          </cell>
        </row>
        <row r="3987">
          <cell r="J3987">
            <v>26664975100</v>
          </cell>
          <cell r="K3987" t="str">
            <v>Federal University of Rio de Janeiro</v>
          </cell>
        </row>
        <row r="3988">
          <cell r="J3988">
            <v>23005818600</v>
          </cell>
          <cell r="K3988" t="str">
            <v>Federal University of Santa Catarina</v>
          </cell>
        </row>
        <row r="3989">
          <cell r="J3989">
            <v>57193205606</v>
          </cell>
          <cell r="K3989" t="str">
            <v>Universidade Federal Fluminense</v>
          </cell>
        </row>
        <row r="3990">
          <cell r="J3990">
            <v>55269038500</v>
          </cell>
          <cell r="K3990" t="str">
            <v>Universidade Federal do Paraná</v>
          </cell>
        </row>
        <row r="3991">
          <cell r="J3991">
            <v>57200397028</v>
          </cell>
          <cell r="K3991" t="str">
            <v>Universidade Estadual de Maringá</v>
          </cell>
        </row>
        <row r="3992">
          <cell r="J3992">
            <v>35732328500</v>
          </cell>
          <cell r="K3992" t="str">
            <v>Vizlab - X-Reality and GeoInformatics Lab (+1 more)</v>
          </cell>
        </row>
        <row r="3993">
          <cell r="J3993">
            <v>58117281200</v>
          </cell>
          <cell r="K3993" t="str">
            <v>Técnico Mecânico CTDUT</v>
          </cell>
        </row>
        <row r="3994">
          <cell r="J3994">
            <v>24390962000</v>
          </cell>
          <cell r="K3994" t="str">
            <v>Universidade Tecnológica Federal do Paraná (+1 more)</v>
          </cell>
        </row>
        <row r="3995">
          <cell r="J3995">
            <v>8642046500</v>
          </cell>
          <cell r="K3995" t="str">
            <v>Universidade Estadual do Norte Fluminense</v>
          </cell>
        </row>
        <row r="3996">
          <cell r="J3996">
            <v>16242470400</v>
          </cell>
          <cell r="K3996" t="str">
            <v>Universidade Federal do Espírito Santo (+1 more)</v>
          </cell>
        </row>
        <row r="3997">
          <cell r="J3997">
            <v>57192911366</v>
          </cell>
          <cell r="K3997" t="str">
            <v>Pontifícia Universidade Católica do Rio Grande do Sul</v>
          </cell>
        </row>
        <row r="3998">
          <cell r="J3998">
            <v>8408410100</v>
          </cell>
          <cell r="K3998" t="str">
            <v>Pontifical Catholic University of Rio de Janeiro</v>
          </cell>
        </row>
        <row r="3999">
          <cell r="J3999">
            <v>7006556583</v>
          </cell>
          <cell r="K3999" t="str">
            <v>Universidade Estadual de Ponta Grossa</v>
          </cell>
        </row>
        <row r="4000">
          <cell r="J4000">
            <v>36117814800</v>
          </cell>
          <cell r="K4000" t="str">
            <v>Universidade Estadual Paulista “Júlio de Mesquita Filho” (+1 more)</v>
          </cell>
        </row>
        <row r="4001">
          <cell r="J4001">
            <v>56452609400</v>
          </cell>
          <cell r="K4001" t="str">
            <v>Universidade Federal de Uberlândia</v>
          </cell>
        </row>
        <row r="4002">
          <cell r="J4002">
            <v>8318308100</v>
          </cell>
          <cell r="K4002" t="str">
            <v>Federal University of Rio de Janeiro</v>
          </cell>
        </row>
        <row r="4003">
          <cell r="J4003">
            <v>57191203765</v>
          </cell>
          <cell r="K4003" t="str">
            <v>Universidade Federal do Rio Grande do Sul (+2 more)</v>
          </cell>
        </row>
        <row r="4004">
          <cell r="J4004">
            <v>58204192900</v>
          </cell>
          <cell r="K4004" t="str">
            <v>Parque Tecnológico</v>
          </cell>
        </row>
        <row r="4005">
          <cell r="J4005">
            <v>16317422400</v>
          </cell>
          <cell r="K4005" t="str">
            <v>Universidade Federal do Rio Grande do Sul</v>
          </cell>
        </row>
        <row r="4006">
          <cell r="J4006">
            <v>6506228231</v>
          </cell>
          <cell r="K4006" t="str">
            <v>Pontifical Catholic University of Rio de Janeiro (+1 more)</v>
          </cell>
        </row>
        <row r="4007">
          <cell r="J4007">
            <v>23981099000</v>
          </cell>
          <cell r="K4007" t="str">
            <v>Firenze-Consulting in Engineering and IT (+1 more)</v>
          </cell>
        </row>
        <row r="4008">
          <cell r="J4008">
            <v>56383831000</v>
          </cell>
          <cell r="K4008" t="str">
            <v>Federal University of Rio de Janeiro</v>
          </cell>
        </row>
        <row r="4009">
          <cell r="J4009">
            <v>57218684141</v>
          </cell>
          <cell r="K4009" t="str">
            <v>Pontifical Catholic University of Rio de Janeiro</v>
          </cell>
        </row>
        <row r="4010">
          <cell r="J4010">
            <v>6701502069</v>
          </cell>
          <cell r="K4010" t="str">
            <v>Universidade Estadual Paulista “Júlio de Mesquita Filho”</v>
          </cell>
        </row>
        <row r="4011">
          <cell r="J4011">
            <v>57188865433</v>
          </cell>
          <cell r="K4011" t="str">
            <v>Pontifícia Universidade Católica do Rio Grande do Sul</v>
          </cell>
        </row>
        <row r="4012">
          <cell r="J4012">
            <v>57192249378</v>
          </cell>
          <cell r="K4012" t="str">
            <v>Universidade Tecnológica Federal do Paraná (+1 more)</v>
          </cell>
        </row>
        <row r="4013">
          <cell r="J4013">
            <v>60069033800</v>
          </cell>
          <cell r="K4013" t="str">
            <v>Universidade de São Paulo</v>
          </cell>
        </row>
        <row r="4014">
          <cell r="J4014">
            <v>57225224012</v>
          </cell>
          <cell r="K4014" t="str">
            <v>Universidade de São Paulo</v>
          </cell>
        </row>
        <row r="4015">
          <cell r="J4015">
            <v>56281452000</v>
          </cell>
          <cell r="K4015" t="str">
            <v>Universidade Tiradentes</v>
          </cell>
        </row>
        <row r="4016">
          <cell r="J4016">
            <v>7003649557</v>
          </cell>
          <cell r="K4016" t="str">
            <v>Universidade de São Paulo</v>
          </cell>
        </row>
        <row r="4017">
          <cell r="J4017">
            <v>55179528200</v>
          </cell>
          <cell r="K4017" t="str">
            <v>Universidade Tecnológica Federal do Paraná (+1 more)</v>
          </cell>
        </row>
        <row r="4018">
          <cell r="J4018">
            <v>55367090400</v>
          </cell>
          <cell r="K4018" t="str">
            <v>University of Campinas (+1 more)</v>
          </cell>
        </row>
        <row r="4019">
          <cell r="J4019">
            <v>58126137900</v>
          </cell>
          <cell r="K4019" t="str">
            <v>Simeros Technologies (+1 more)</v>
          </cell>
        </row>
        <row r="4020">
          <cell r="J4020">
            <v>57205728732</v>
          </cell>
          <cell r="K4020" t="str">
            <v>Federal University of Santa Catarina</v>
          </cell>
        </row>
        <row r="4021">
          <cell r="J4021">
            <v>57225818129</v>
          </cell>
          <cell r="K4021" t="str">
            <v>Federal University of Rio de Janeiro</v>
          </cell>
        </row>
        <row r="4022">
          <cell r="J4022">
            <v>57226383417</v>
          </cell>
          <cell r="K4022" t="str">
            <v>Universidade Federal do Rio Grande do Sul</v>
          </cell>
        </row>
        <row r="4023">
          <cell r="J4023">
            <v>57207995701</v>
          </cell>
          <cell r="K4023" t="str">
            <v>Federal University of Rio de Janeiro</v>
          </cell>
        </row>
        <row r="4024">
          <cell r="J4024">
            <v>57205347780</v>
          </cell>
          <cell r="K4024" t="str">
            <v>Universidade Federal do Rio Grande do Norte</v>
          </cell>
        </row>
        <row r="4025">
          <cell r="J4025">
            <v>25723796400</v>
          </cell>
          <cell r="K4025" t="str">
            <v>Federal University of Rio de Janeiro (+1 more)</v>
          </cell>
        </row>
        <row r="4026">
          <cell r="J4026">
            <v>57226163433</v>
          </cell>
          <cell r="K4026" t="str">
            <v>Instituto Federal de Educação, Ciência e Tecnologia do Piauí</v>
          </cell>
        </row>
        <row r="4027">
          <cell r="J4027">
            <v>57220036482</v>
          </cell>
          <cell r="K4027" t="str">
            <v>Federal University of Rio de Janeiro</v>
          </cell>
        </row>
        <row r="4028">
          <cell r="J4028">
            <v>57211406420</v>
          </cell>
          <cell r="K4028" t="str">
            <v>Universidade Federal Fluminense (+1 more)</v>
          </cell>
        </row>
        <row r="4029">
          <cell r="J4029">
            <v>57216592338</v>
          </cell>
          <cell r="K4029" t="str">
            <v>Pontifícia Universidade Católica do Rio Grande do Sul</v>
          </cell>
        </row>
        <row r="4030">
          <cell r="J4030">
            <v>56059505700</v>
          </cell>
          <cell r="K4030" t="str">
            <v>Pontifical Catholic University of Rio de Janeiro (+1 more)</v>
          </cell>
        </row>
        <row r="4031">
          <cell r="J4031">
            <v>57216993636</v>
          </cell>
          <cell r="K4031" t="str">
            <v>Pontifícia Universidade Católica do Rio Grande do Sul</v>
          </cell>
        </row>
        <row r="4032">
          <cell r="J4032">
            <v>6506091008</v>
          </cell>
          <cell r="K4032" t="str">
            <v>Universidade Federal Fluminense</v>
          </cell>
        </row>
        <row r="4033">
          <cell r="J4033">
            <v>7004573622</v>
          </cell>
          <cell r="K4033" t="str">
            <v>University of Campinas</v>
          </cell>
        </row>
        <row r="4034">
          <cell r="J4034">
            <v>6701675304</v>
          </cell>
          <cell r="K4034" t="str">
            <v>Universidade Federal do Rio Grande do Sul</v>
          </cell>
        </row>
        <row r="4035">
          <cell r="J4035">
            <v>6603927489</v>
          </cell>
          <cell r="K4035" t="str">
            <v>Universidade Federal da Bahia</v>
          </cell>
        </row>
        <row r="4036">
          <cell r="J4036">
            <v>56950977800</v>
          </cell>
          <cell r="K4036" t="str">
            <v>Universidade Federal do Espírito Santo</v>
          </cell>
        </row>
        <row r="4037">
          <cell r="J4037">
            <v>57210378336</v>
          </cell>
          <cell r="K4037" t="str">
            <v>Universidade Federal do Espírito Santo (+1 more)</v>
          </cell>
        </row>
        <row r="4038">
          <cell r="J4038">
            <v>22734715900</v>
          </cell>
          <cell r="K4038" t="str">
            <v>Laboratório Nacional de Computação Científica</v>
          </cell>
        </row>
        <row r="4039">
          <cell r="J4039">
            <v>57208088761</v>
          </cell>
          <cell r="K4039" t="str">
            <v>University of Campinas</v>
          </cell>
        </row>
        <row r="4040">
          <cell r="J4040">
            <v>59552878000</v>
          </cell>
          <cell r="K4040" t="str">
            <v>University of Campinas</v>
          </cell>
        </row>
        <row r="4041">
          <cell r="J4041">
            <v>59552986400</v>
          </cell>
          <cell r="K4041" t="str">
            <v>University of Campinas</v>
          </cell>
        </row>
        <row r="4042">
          <cell r="J4042">
            <v>55266659900</v>
          </cell>
          <cell r="K4042" t="str">
            <v>Federal University of Santa Catarina</v>
          </cell>
        </row>
        <row r="4043">
          <cell r="J4043">
            <v>57219742096</v>
          </cell>
          <cell r="K4043" t="str">
            <v>Pontifical Catholic University of Rio de Janeiro</v>
          </cell>
        </row>
        <row r="4044">
          <cell r="J4044">
            <v>57221110487</v>
          </cell>
          <cell r="K4044" t="str">
            <v>Instituto Nacional de Tecnologia</v>
          </cell>
        </row>
        <row r="4045">
          <cell r="J4045">
            <v>57224517536</v>
          </cell>
          <cell r="K4045" t="str">
            <v>Universidade Federal de São João del-Rei (+1 more)</v>
          </cell>
        </row>
        <row r="4046">
          <cell r="J4046">
            <v>60214129700</v>
          </cell>
          <cell r="K4046" t="str">
            <v>Universidade Federal de Minas Gerais</v>
          </cell>
        </row>
        <row r="4047">
          <cell r="J4047">
            <v>57213698377</v>
          </cell>
          <cell r="K4047" t="str">
            <v>Universidade de São Paulo</v>
          </cell>
        </row>
        <row r="4048">
          <cell r="J4048">
            <v>59963895900</v>
          </cell>
          <cell r="K4048" t="str">
            <v>DEMa</v>
          </cell>
        </row>
        <row r="4049">
          <cell r="J4049">
            <v>60129263800</v>
          </cell>
          <cell r="K4049" t="str">
            <v>DEMa</v>
          </cell>
        </row>
        <row r="4050">
          <cell r="J4050">
            <v>57205125542</v>
          </cell>
          <cell r="K4050" t="str">
            <v>Universidade Regional do Cariri</v>
          </cell>
        </row>
        <row r="4051">
          <cell r="J4051">
            <v>56179579400</v>
          </cell>
          <cell r="K4051" t="str">
            <v>Pontifical Catholic University of Rio de Janeiro</v>
          </cell>
        </row>
        <row r="4052">
          <cell r="J4052">
            <v>57221740474</v>
          </cell>
          <cell r="K4052" t="str">
            <v>Universidade Tecnológica Federal do Paraná</v>
          </cell>
        </row>
        <row r="4053">
          <cell r="J4053">
            <v>15833226000</v>
          </cell>
          <cell r="K4053" t="str">
            <v>Universidade Federal Fluminense</v>
          </cell>
        </row>
        <row r="4054">
          <cell r="J4054">
            <v>58758125300</v>
          </cell>
          <cell r="K4054" t="str">
            <v>Federal University of Santa Catarina</v>
          </cell>
        </row>
        <row r="4055">
          <cell r="J4055">
            <v>56663171400</v>
          </cell>
          <cell r="K4055" t="str">
            <v>Pontifícia Universidade Católica do Rio Grande do Sul</v>
          </cell>
        </row>
        <row r="4056">
          <cell r="J4056">
            <v>36634648700</v>
          </cell>
          <cell r="K4056" t="str">
            <v>Universidade Federal do Rio Grande do Sul</v>
          </cell>
        </row>
        <row r="4057">
          <cell r="J4057">
            <v>57219555394</v>
          </cell>
          <cell r="K4057" t="str">
            <v>Federal University of Rio de Janeiro</v>
          </cell>
        </row>
        <row r="4058">
          <cell r="J4058">
            <v>57248692600</v>
          </cell>
          <cell r="K4058" t="str">
            <v>Federal University of Rio de Janeiro</v>
          </cell>
        </row>
        <row r="4059">
          <cell r="J4059">
            <v>57211169917</v>
          </cell>
          <cell r="K4059" t="str">
            <v>Universidade Estadual Paulista “Júlio de Mesquita Filho”</v>
          </cell>
        </row>
        <row r="4060">
          <cell r="J4060">
            <v>26031055200</v>
          </cell>
          <cell r="K4060" t="str">
            <v>DEMa</v>
          </cell>
        </row>
        <row r="4061">
          <cell r="J4061">
            <v>6602083645</v>
          </cell>
          <cell r="K4061" t="str">
            <v>IFP Énergies nouvelles (+1 more)</v>
          </cell>
        </row>
        <row r="4062">
          <cell r="J4062">
            <v>57204649421</v>
          </cell>
          <cell r="K4062" t="str">
            <v>Universidade Estadual Paulista “Júlio de Mesquita Filho”</v>
          </cell>
        </row>
        <row r="4063">
          <cell r="J4063">
            <v>57219932317</v>
          </cell>
          <cell r="K4063" t="str">
            <v>Vizlab - X-Reality and GeoInformatics Lab</v>
          </cell>
        </row>
        <row r="4064">
          <cell r="J4064">
            <v>57091524400</v>
          </cell>
          <cell r="K4064" t="str">
            <v>Pontifícia Universidade Católica do Rio Grande do Sul</v>
          </cell>
        </row>
        <row r="4065">
          <cell r="J4065">
            <v>57194168040</v>
          </cell>
          <cell r="K4065" t="str">
            <v>Geoteric</v>
          </cell>
        </row>
        <row r="4066">
          <cell r="J4066">
            <v>55936544400</v>
          </cell>
          <cell r="K4066" t="str">
            <v>Federal University of Santa Catarina</v>
          </cell>
        </row>
        <row r="4067">
          <cell r="J4067">
            <v>57204426261</v>
          </cell>
          <cell r="K4067" t="str">
            <v>Federal University of Rio de Janeiro</v>
          </cell>
        </row>
        <row r="4068">
          <cell r="J4068">
            <v>53881820500</v>
          </cell>
          <cell r="K4068" t="str">
            <v>Universidade de São Paulo</v>
          </cell>
        </row>
        <row r="4069">
          <cell r="J4069">
            <v>60094347500</v>
          </cell>
          <cell r="K4069" t="str">
            <v>Universidade Federal de Mato Grosso</v>
          </cell>
        </row>
        <row r="4070">
          <cell r="J4070">
            <v>6603363265</v>
          </cell>
          <cell r="K4070" t="str">
            <v>University of Campinas</v>
          </cell>
        </row>
        <row r="4071">
          <cell r="J4071">
            <v>59940188000</v>
          </cell>
          <cell r="K4071" t="str">
            <v>Universidade Federal do Rio Grande do Sul</v>
          </cell>
        </row>
        <row r="4072">
          <cell r="J4072">
            <v>21934995000</v>
          </cell>
          <cell r="K4072" t="str">
            <v>DEMa</v>
          </cell>
        </row>
        <row r="4073">
          <cell r="J4073">
            <v>7003974277</v>
          </cell>
          <cell r="K4073" t="str">
            <v>Federal University of Santa Catarina (+1 more)</v>
          </cell>
        </row>
        <row r="4074">
          <cell r="J4074">
            <v>57203408980</v>
          </cell>
          <cell r="K4074" t="str">
            <v>PUC-Rio/Tecgraf</v>
          </cell>
        </row>
        <row r="4075">
          <cell r="J4075">
            <v>7801672972</v>
          </cell>
          <cell r="K4075" t="str">
            <v>Universidade Federal do Espírito Santo</v>
          </cell>
        </row>
        <row r="4076">
          <cell r="J4076">
            <v>56096992800</v>
          </cell>
          <cell r="K4076" t="str">
            <v>Universidade Federal de Viçosa</v>
          </cell>
        </row>
        <row r="4077">
          <cell r="J4077">
            <v>46461710600</v>
          </cell>
          <cell r="K4077" t="str">
            <v>Universidade de São Paulo</v>
          </cell>
        </row>
        <row r="4078">
          <cell r="J4078">
            <v>7003488884</v>
          </cell>
          <cell r="K4078" t="str">
            <v>Petróleo Brasileiro S.A. (+2 more)</v>
          </cell>
        </row>
        <row r="4079">
          <cell r="J4079">
            <v>57203043020</v>
          </cell>
          <cell r="K4079" t="str">
            <v>Federal University of Rio de Janeiro</v>
          </cell>
        </row>
        <row r="4080">
          <cell r="J4080">
            <v>57188655139</v>
          </cell>
          <cell r="K4080" t="str">
            <v>Universidade Estadual Paulista “Júlio de Mesquita Filho”</v>
          </cell>
        </row>
        <row r="4081">
          <cell r="J4081">
            <v>57205677091</v>
          </cell>
          <cell r="K4081" t="str">
            <v>University of Campinas</v>
          </cell>
        </row>
        <row r="4082">
          <cell r="J4082">
            <v>8623781600</v>
          </cell>
          <cell r="K4082" t="str">
            <v>Universidade Federal de Mato Grosso do Sul</v>
          </cell>
        </row>
        <row r="4083">
          <cell r="J4083">
            <v>57202308766</v>
          </cell>
          <cell r="K4083" t="str">
            <v>Pontifical Catholic University of Rio de Janeiro (+1 more)</v>
          </cell>
        </row>
        <row r="4084">
          <cell r="J4084">
            <v>57211452300</v>
          </cell>
          <cell r="K4084" t="str">
            <v>Universidade Federal do Rio Grande do Sul</v>
          </cell>
        </row>
        <row r="4085">
          <cell r="J4085">
            <v>57214491681</v>
          </cell>
          <cell r="K4085" t="str">
            <v>Universidade de São Paulo (+1 more)</v>
          </cell>
        </row>
        <row r="4086">
          <cell r="J4086">
            <v>60087006700</v>
          </cell>
          <cell r="K4086" t="str">
            <v>Federal University of Rio de Janeiro</v>
          </cell>
        </row>
        <row r="4087">
          <cell r="J4087">
            <v>57204436820</v>
          </cell>
          <cell r="K4087" t="str">
            <v>Federal University of Rio de Janeiro</v>
          </cell>
        </row>
        <row r="4088">
          <cell r="J4088">
            <v>56203447500</v>
          </cell>
          <cell r="K4088" t="str">
            <v>ALIS-Engineering and Systems Solutions (+1 more)</v>
          </cell>
        </row>
        <row r="4089">
          <cell r="J4089">
            <v>57266528500</v>
          </cell>
          <cell r="K4089" t="str">
            <v>Universidade Federal Rural do Rio de Janeiro (+1 more)</v>
          </cell>
        </row>
        <row r="4090">
          <cell r="J4090">
            <v>56928269400</v>
          </cell>
          <cell r="K4090" t="str">
            <v>Universidade Federal de Goiás</v>
          </cell>
        </row>
        <row r="4091">
          <cell r="J4091">
            <v>56819140900</v>
          </cell>
          <cell r="K4091" t="str">
            <v>Universidade Federal do Rio Grande do Norte</v>
          </cell>
        </row>
        <row r="4092">
          <cell r="J4092">
            <v>59164762100</v>
          </cell>
          <cell r="K4092" t="str">
            <v>Federal University of Rio de Janeiro</v>
          </cell>
        </row>
        <row r="4093">
          <cell r="J4093">
            <v>57204240671</v>
          </cell>
          <cell r="K4093" t="str">
            <v>Universidade Federal Fluminense (+2 more)</v>
          </cell>
        </row>
        <row r="4094">
          <cell r="J4094">
            <v>57239191100</v>
          </cell>
          <cell r="K4094" t="str">
            <v>Vizlab - X-Reality and GeoInformatics Lab</v>
          </cell>
        </row>
        <row r="4095">
          <cell r="J4095">
            <v>6701889091</v>
          </cell>
          <cell r="K4095" t="str">
            <v>Instituto Tecnológico da Aeronáutica</v>
          </cell>
        </row>
        <row r="4096">
          <cell r="J4096">
            <v>57193716215</v>
          </cell>
          <cell r="K4096" t="str">
            <v>Pontifical Catholic University of Rio de Janeiro</v>
          </cell>
        </row>
        <row r="4097">
          <cell r="J4097">
            <v>58639030400</v>
          </cell>
          <cell r="K4097" t="str">
            <v>Universidade Federal do Rio Grande do Sul</v>
          </cell>
        </row>
        <row r="4098">
          <cell r="J4098">
            <v>56780185800</v>
          </cell>
          <cell r="K4098" t="str">
            <v>Universidade Federal do Espírito Santo</v>
          </cell>
        </row>
        <row r="4099">
          <cell r="J4099">
            <v>56462389700</v>
          </cell>
          <cell r="K4099" t="str">
            <v>Universidade Federal de Goiás</v>
          </cell>
        </row>
        <row r="4100">
          <cell r="J4100">
            <v>57192928723</v>
          </cell>
          <cell r="K4100" t="str">
            <v>Federal University of Rio de Janeiro</v>
          </cell>
        </row>
        <row r="4101">
          <cell r="J4101">
            <v>8514451300</v>
          </cell>
          <cell r="K4101" t="str">
            <v>Federal University of Rio de Janeiro</v>
          </cell>
        </row>
        <row r="4102">
          <cell r="J4102">
            <v>57480014900</v>
          </cell>
          <cell r="K4102" t="str">
            <v>Pontifical Catholic University of Rio de Janeiro</v>
          </cell>
        </row>
        <row r="4103">
          <cell r="J4103">
            <v>57209644099</v>
          </cell>
          <cell r="K4103" t="str">
            <v>Universidade Federal de Sergipe</v>
          </cell>
        </row>
        <row r="4104">
          <cell r="J4104">
            <v>59895153400</v>
          </cell>
          <cell r="K4104" t="str">
            <v>Universidade Federal de Alagoas</v>
          </cell>
        </row>
        <row r="4105">
          <cell r="J4105">
            <v>57221123674</v>
          </cell>
          <cell r="K4105" t="str">
            <v>Universidade Federal de Campina Grande</v>
          </cell>
        </row>
        <row r="4106">
          <cell r="J4106">
            <v>57200823244</v>
          </cell>
          <cell r="K4106" t="str">
            <v>Centro Nacional de Pesquisa em Energia e Materiais</v>
          </cell>
        </row>
        <row r="4107">
          <cell r="J4107">
            <v>57203555427</v>
          </cell>
          <cell r="K4107" t="str">
            <v>Universidade Federal de Pernambuco</v>
          </cell>
        </row>
        <row r="4108">
          <cell r="J4108">
            <v>57220863604</v>
          </cell>
          <cell r="K4108" t="str">
            <v>Universidade Federal do Rio Grande do Norte</v>
          </cell>
        </row>
        <row r="4109">
          <cell r="J4109">
            <v>57218292528</v>
          </cell>
          <cell r="K4109" t="str">
            <v>Federal University of Rio de Janeiro</v>
          </cell>
        </row>
        <row r="4110">
          <cell r="J4110">
            <v>59326844200</v>
          </cell>
          <cell r="K4110" t="str">
            <v>Universidade Federal do Rio Grande do Sul (+1 more)</v>
          </cell>
        </row>
        <row r="4111">
          <cell r="J4111">
            <v>57654313300</v>
          </cell>
          <cell r="K4111" t="str">
            <v>Universidade Federal de Viçosa</v>
          </cell>
        </row>
        <row r="4112">
          <cell r="J4112">
            <v>57220167095</v>
          </cell>
          <cell r="K4112" t="str">
            <v>Federal University of Rio de Janeiro</v>
          </cell>
        </row>
        <row r="4113">
          <cell r="J4113">
            <v>57212137547</v>
          </cell>
          <cell r="K4113" t="str">
            <v>Universidade de Brasília</v>
          </cell>
        </row>
        <row r="4114">
          <cell r="J4114">
            <v>57322350100</v>
          </cell>
          <cell r="K4114" t="str">
            <v>Federal University of Rio de Janeiro</v>
          </cell>
        </row>
        <row r="4115">
          <cell r="J4115">
            <v>56430569600</v>
          </cell>
          <cell r="K4115" t="str">
            <v>Universidade de São Paulo (+1 more)</v>
          </cell>
        </row>
        <row r="4116">
          <cell r="J4116">
            <v>57212066011</v>
          </cell>
          <cell r="K4116" t="str">
            <v>Federal University of Rio de Janeiro</v>
          </cell>
        </row>
        <row r="4117">
          <cell r="J4117">
            <v>55437935500</v>
          </cell>
          <cell r="K4117" t="str">
            <v>Federal University of Rio de Janeiro</v>
          </cell>
        </row>
        <row r="4118">
          <cell r="J4118">
            <v>57197964630</v>
          </cell>
          <cell r="K4118" t="str">
            <v>Universidade Federal do Espírito Santo</v>
          </cell>
        </row>
        <row r="4119">
          <cell r="J4119">
            <v>59812398100</v>
          </cell>
          <cell r="K4119" t="str">
            <v>Federal University of Pará</v>
          </cell>
        </row>
        <row r="4120">
          <cell r="J4120">
            <v>57201418526</v>
          </cell>
          <cell r="K4120" t="str">
            <v>Instituto de Pesquisas Tecnologicas</v>
          </cell>
        </row>
        <row r="4121">
          <cell r="J4121">
            <v>57015196200</v>
          </cell>
          <cell r="K4121" t="str">
            <v>Universidade Federal Fluminense</v>
          </cell>
        </row>
        <row r="4122">
          <cell r="J4122">
            <v>6603721426</v>
          </cell>
          <cell r="K4122" t="str">
            <v>Tecgraf/DI/PUC-Rio (+3 more)</v>
          </cell>
        </row>
        <row r="4123">
          <cell r="J4123">
            <v>57218949342</v>
          </cell>
          <cell r="K4123" t="str">
            <v>Federal University of Rio de Janeiro</v>
          </cell>
        </row>
        <row r="4124">
          <cell r="J4124">
            <v>55992147100</v>
          </cell>
          <cell r="K4124" t="str">
            <v>University of Lausanne (+1 more)</v>
          </cell>
        </row>
        <row r="4125">
          <cell r="J4125">
            <v>36560245500</v>
          </cell>
          <cell r="K4125" t="str">
            <v>Universidade de São Paulo</v>
          </cell>
        </row>
        <row r="4126">
          <cell r="J4126">
            <v>57213800741</v>
          </cell>
          <cell r="K4126" t="str">
            <v>Universidade Federal do Espírito Santo</v>
          </cell>
        </row>
        <row r="4127">
          <cell r="J4127">
            <v>58312202400</v>
          </cell>
          <cell r="K4127" t="str">
            <v>Pontifical Catholic University of Rio de Janeiro</v>
          </cell>
        </row>
        <row r="4128">
          <cell r="J4128">
            <v>7003776380</v>
          </cell>
          <cell r="K4128" t="str">
            <v>Federal University of Rio de Janeiro</v>
          </cell>
        </row>
        <row r="4129">
          <cell r="J4129">
            <v>6602602203</v>
          </cell>
          <cell r="K4129" t="str">
            <v>Universidade Federal Fluminense</v>
          </cell>
        </row>
        <row r="4130">
          <cell r="J4130">
            <v>57196150805</v>
          </cell>
          <cell r="K4130" t="str">
            <v>Federal University of Rio de Janeiro</v>
          </cell>
        </row>
        <row r="4131">
          <cell r="J4131">
            <v>56644804400</v>
          </cell>
          <cell r="K4131" t="str">
            <v>Universidade Federal da Bahia (+1 more)</v>
          </cell>
        </row>
        <row r="4132">
          <cell r="J4132">
            <v>57213015539</v>
          </cell>
          <cell r="K4132" t="str">
            <v>Universidade de São Paulo</v>
          </cell>
        </row>
        <row r="4133">
          <cell r="J4133">
            <v>36133606500</v>
          </cell>
          <cell r="K4133" t="str">
            <v>National Institute of Science and Technology of Petroleum Geophysics–INCT-GP (+3 more)</v>
          </cell>
        </row>
        <row r="4134">
          <cell r="J4134">
            <v>57416546600</v>
          </cell>
          <cell r="K4134" t="str">
            <v>Federal University of Santa Catarina</v>
          </cell>
        </row>
        <row r="4135">
          <cell r="J4135">
            <v>57203956560</v>
          </cell>
          <cell r="K4135" t="str">
            <v>Federal University of Santa Catarina</v>
          </cell>
        </row>
        <row r="4136">
          <cell r="J4136">
            <v>6505809257</v>
          </cell>
          <cell r="K4136" t="str">
            <v>Universidade Federal do Rio Grande do Sul</v>
          </cell>
        </row>
        <row r="4137">
          <cell r="J4137">
            <v>7004158776</v>
          </cell>
          <cell r="K4137" t="str">
            <v>Federal University of Rio de Janeiro</v>
          </cell>
        </row>
        <row r="4138">
          <cell r="J4138">
            <v>58928298100</v>
          </cell>
          <cell r="K4138" t="str">
            <v>Universidade Federal do Espírito Santo</v>
          </cell>
        </row>
        <row r="4139">
          <cell r="J4139">
            <v>57719470500</v>
          </cell>
          <cell r="K4139" t="str">
            <v>Universidade Federal do Rio Grande do Sul</v>
          </cell>
        </row>
        <row r="4140">
          <cell r="J4140">
            <v>57190125607</v>
          </cell>
          <cell r="K4140" t="str">
            <v>Federal University of Rio de Janeiro</v>
          </cell>
        </row>
        <row r="4141">
          <cell r="J4141">
            <v>7202574379</v>
          </cell>
          <cell r="K4141" t="str">
            <v>Universidade de Brasília</v>
          </cell>
        </row>
        <row r="4142">
          <cell r="J4142">
            <v>36164991400</v>
          </cell>
          <cell r="K4142" t="str">
            <v>Universidade Federal de Pernambuco</v>
          </cell>
        </row>
        <row r="4143">
          <cell r="J4143">
            <v>57188881090</v>
          </cell>
          <cell r="K4143" t="str">
            <v>Universidade Federal de Minas Gerais</v>
          </cell>
        </row>
        <row r="4144">
          <cell r="J4144">
            <v>58641171600</v>
          </cell>
          <cell r="K4144" t="str">
            <v>Universidade Estadual do Norte Fluminense</v>
          </cell>
        </row>
        <row r="4145">
          <cell r="J4145">
            <v>55851114100</v>
          </cell>
          <cell r="K4145" t="str">
            <v>Universidade Federal de Minas Gerais (+1 more)</v>
          </cell>
        </row>
        <row r="4146">
          <cell r="J4146">
            <v>7102906331</v>
          </cell>
          <cell r="K4146" t="str">
            <v>Universidade Federal Fluminense</v>
          </cell>
        </row>
        <row r="4147">
          <cell r="J4147">
            <v>59210932000</v>
          </cell>
          <cell r="K4147" t="str">
            <v>ICTS</v>
          </cell>
        </row>
        <row r="4148">
          <cell r="J4148">
            <v>57189223120</v>
          </cell>
          <cell r="K4148" t="str">
            <v>Federal University of Rio de Janeiro</v>
          </cell>
        </row>
        <row r="4149">
          <cell r="J4149">
            <v>56895750100</v>
          </cell>
          <cell r="K4149" t="str">
            <v>Instituto Nacional de Tecnologia</v>
          </cell>
        </row>
        <row r="4150">
          <cell r="J4150">
            <v>56644001300</v>
          </cell>
          <cell r="K4150" t="str">
            <v>Universidade Federal da Bahia</v>
          </cell>
        </row>
        <row r="4151">
          <cell r="J4151">
            <v>35570900900</v>
          </cell>
          <cell r="K4151" t="str">
            <v>Universidade do Estado do Rio de Janeiro (+1 more)</v>
          </cell>
        </row>
        <row r="4152">
          <cell r="J4152">
            <v>15521078000</v>
          </cell>
          <cell r="K4152" t="str">
            <v>Universidade Estadual do Norte Fluminense</v>
          </cell>
        </row>
        <row r="4153">
          <cell r="J4153">
            <v>37007788500</v>
          </cell>
          <cell r="K4153" t="str">
            <v>Universidade Federal de Uberlândia</v>
          </cell>
        </row>
        <row r="4154">
          <cell r="J4154">
            <v>12801388300</v>
          </cell>
          <cell r="K4154" t="str">
            <v>Universidade de Brasília</v>
          </cell>
        </row>
        <row r="4155">
          <cell r="J4155">
            <v>57163640400</v>
          </cell>
          <cell r="K4155" t="str">
            <v>SINTEF (+1 more)</v>
          </cell>
        </row>
        <row r="4156">
          <cell r="J4156">
            <v>57210997940</v>
          </cell>
          <cell r="K4156" t="str">
            <v>UFRJ</v>
          </cell>
        </row>
        <row r="4157">
          <cell r="J4157">
            <v>57203398553</v>
          </cell>
          <cell r="K4157" t="str">
            <v>Universidade Federal do Espírito Santo</v>
          </cell>
        </row>
        <row r="4158">
          <cell r="J4158">
            <v>56010845100</v>
          </cell>
          <cell r="K4158" t="str">
            <v>Universidade Federal de Viçosa</v>
          </cell>
        </row>
        <row r="4159">
          <cell r="J4159">
            <v>6507022962</v>
          </cell>
          <cell r="K4159" t="str">
            <v>Universidade Federal do Rio Grande do Sul (+1 more)</v>
          </cell>
        </row>
        <row r="4160">
          <cell r="J4160">
            <v>57224472876</v>
          </cell>
          <cell r="K4160" t="str">
            <v>Federal University of Rio de Janeiro</v>
          </cell>
        </row>
        <row r="4161">
          <cell r="J4161">
            <v>14026024600</v>
          </cell>
          <cell r="K4161" t="str">
            <v>Universidade de São Paulo (+1 more)</v>
          </cell>
        </row>
        <row r="4162">
          <cell r="J4162">
            <v>59380219900</v>
          </cell>
          <cell r="K4162" t="str">
            <v>Universidade Federal de São João del-Rei</v>
          </cell>
        </row>
        <row r="4163">
          <cell r="J4163">
            <v>56389527500</v>
          </cell>
          <cell r="K4163" t="str">
            <v>Universidade Federal do Espírito Santo</v>
          </cell>
        </row>
        <row r="4164">
          <cell r="J4164">
            <v>8356316900</v>
          </cell>
          <cell r="K4164" t="str">
            <v>Pontifical Catholic University of Rio de Janeiro</v>
          </cell>
        </row>
        <row r="4165">
          <cell r="J4165">
            <v>57226353193</v>
          </cell>
          <cell r="K4165" t="str">
            <v>Universidade de São Paulo</v>
          </cell>
        </row>
        <row r="4166">
          <cell r="J4166">
            <v>56608936100</v>
          </cell>
          <cell r="K4166" t="str">
            <v>LABTOX-Environmental Analysis Laboratory</v>
          </cell>
        </row>
        <row r="4167">
          <cell r="J4167">
            <v>57209800124</v>
          </cell>
          <cell r="K4167" t="str">
            <v>Universidade Federal de Uberlândia</v>
          </cell>
        </row>
        <row r="4168">
          <cell r="J4168">
            <v>7004919328</v>
          </cell>
          <cell r="K4168" t="str">
            <v>Universidade Estadual do Norte Fluminense (+1 more)</v>
          </cell>
        </row>
        <row r="4169">
          <cell r="J4169">
            <v>57039798100</v>
          </cell>
          <cell r="K4169" t="str">
            <v>University of Campinas</v>
          </cell>
        </row>
        <row r="4170">
          <cell r="J4170">
            <v>57191709199</v>
          </cell>
          <cell r="K4170" t="str">
            <v>Universidade Federal de Minas Gerais</v>
          </cell>
        </row>
        <row r="4171">
          <cell r="J4171">
            <v>57221501315</v>
          </cell>
          <cell r="K4171" t="str">
            <v>Federal University of Rio de Janeiro</v>
          </cell>
        </row>
        <row r="4172">
          <cell r="J4172">
            <v>59388258100</v>
          </cell>
          <cell r="K4172" t="str">
            <v>ESSS</v>
          </cell>
        </row>
        <row r="4173">
          <cell r="J4173">
            <v>57140101300</v>
          </cell>
          <cell r="K4173" t="str">
            <v>Federal University of Rio de Janeiro</v>
          </cell>
        </row>
        <row r="4174">
          <cell r="J4174">
            <v>57216981767</v>
          </cell>
          <cell r="K4174" t="str">
            <v>Universidade Federal de Alagoas</v>
          </cell>
        </row>
        <row r="4175">
          <cell r="J4175">
            <v>58816419600</v>
          </cell>
          <cell r="K4175" t="str">
            <v>Federal University of Rio de Janeiro</v>
          </cell>
        </row>
        <row r="4176">
          <cell r="J4176">
            <v>14014005500</v>
          </cell>
          <cell r="K4176" t="str">
            <v>Universidade Federal de Mato Grosso</v>
          </cell>
        </row>
        <row r="4177">
          <cell r="J4177">
            <v>7201676168</v>
          </cell>
          <cell r="K4177" t="str">
            <v>Pontifical Catholic University of Rio de Janeiro (+2 more)</v>
          </cell>
        </row>
        <row r="4178">
          <cell r="J4178">
            <v>36027029700</v>
          </cell>
          <cell r="K4178" t="str">
            <v>Federal University of Rio de Janeiro</v>
          </cell>
        </row>
        <row r="4179">
          <cell r="J4179">
            <v>56678273500</v>
          </cell>
          <cell r="K4179" t="str">
            <v>Universidade do Estado do Rio de Janeiro (+1 more)</v>
          </cell>
        </row>
        <row r="4180">
          <cell r="J4180">
            <v>36648008700</v>
          </cell>
          <cell r="K4180" t="str">
            <v>Federal University of Rio de Janeiro</v>
          </cell>
        </row>
        <row r="4181">
          <cell r="J4181">
            <v>18635482600</v>
          </cell>
          <cell r="K4181" t="str">
            <v>Universidade Federal do Espírito Santo (+2 more)</v>
          </cell>
        </row>
        <row r="4182">
          <cell r="J4182">
            <v>57217439627</v>
          </cell>
          <cell r="K4182" t="str">
            <v>Federal University of Rio de Janeiro</v>
          </cell>
        </row>
        <row r="4183">
          <cell r="J4183">
            <v>60151773600</v>
          </cell>
          <cell r="K4183" t="str">
            <v>Universidade do Estado do Rio de Janeiro (+1 more)</v>
          </cell>
        </row>
        <row r="4184">
          <cell r="J4184">
            <v>7102417823</v>
          </cell>
          <cell r="K4184" t="str">
            <v>University of Campinas</v>
          </cell>
        </row>
        <row r="4185">
          <cell r="J4185">
            <v>7102417832</v>
          </cell>
          <cell r="K4185" t="str">
            <v>Federal University of Rio de Janeiro</v>
          </cell>
        </row>
        <row r="4186">
          <cell r="J4186">
            <v>36905262800</v>
          </cell>
          <cell r="K4186" t="str">
            <v>Instituto Tecnológico da Aeronáutica</v>
          </cell>
        </row>
        <row r="4187">
          <cell r="J4187">
            <v>58677927200</v>
          </cell>
          <cell r="K4187" t="str">
            <v>Universidade Federal Fluminense</v>
          </cell>
        </row>
        <row r="4188">
          <cell r="J4188">
            <v>60158037800</v>
          </cell>
          <cell r="K4188" t="str">
            <v>Universidade Federal Rural do Rio de Janeiro</v>
          </cell>
        </row>
        <row r="4189">
          <cell r="J4189">
            <v>59269514300</v>
          </cell>
          <cell r="K4189" t="str">
            <v>Federal University of Rio de Janeiro</v>
          </cell>
        </row>
        <row r="4190">
          <cell r="J4190">
            <v>57216897860</v>
          </cell>
          <cell r="K4190" t="str">
            <v>Universidade Federal Rural do Rio de Janeiro</v>
          </cell>
        </row>
        <row r="4191">
          <cell r="J4191">
            <v>59895419100</v>
          </cell>
          <cell r="K4191" t="str">
            <v>Universidade Federal do Rio Grande do Sul</v>
          </cell>
        </row>
        <row r="4192">
          <cell r="J4192">
            <v>57218395821</v>
          </cell>
          <cell r="K4192" t="str">
            <v>Universidade Federal do Ceará</v>
          </cell>
        </row>
        <row r="4193">
          <cell r="J4193">
            <v>57207111892</v>
          </cell>
          <cell r="K4193" t="str">
            <v>Universidade Estadual Paulista “Júlio de Mesquita Filho”</v>
          </cell>
        </row>
        <row r="4194">
          <cell r="J4194">
            <v>58125573800</v>
          </cell>
          <cell r="K4194" t="str">
            <v>GALP/Petrogal Brasil</v>
          </cell>
        </row>
        <row r="4195">
          <cell r="J4195">
            <v>57211079470</v>
          </cell>
          <cell r="K4195" t="str">
            <v>Federal University of Rio de Janeiro</v>
          </cell>
        </row>
        <row r="4196">
          <cell r="J4196">
            <v>58409049600</v>
          </cell>
          <cell r="K4196" t="str">
            <v>University of Campinas (+2 more)</v>
          </cell>
        </row>
        <row r="4197">
          <cell r="J4197">
            <v>59872013800</v>
          </cell>
          <cell r="K4197" t="str">
            <v>Centro de Tecnologia Mineral</v>
          </cell>
        </row>
        <row r="4198">
          <cell r="J4198">
            <v>57210265602</v>
          </cell>
          <cell r="K4198" t="str">
            <v>Federal University of Rio de Janeiro</v>
          </cell>
        </row>
        <row r="4199">
          <cell r="J4199">
            <v>57221493327</v>
          </cell>
          <cell r="K4199" t="str">
            <v>Federal University of Rio de Janeiro</v>
          </cell>
        </row>
        <row r="4200">
          <cell r="J4200">
            <v>57305792300</v>
          </cell>
          <cell r="K4200" t="str">
            <v>Pontifical Catholic University of Rio de Janeiro</v>
          </cell>
        </row>
        <row r="4201">
          <cell r="J4201">
            <v>57204006091</v>
          </cell>
          <cell r="K4201" t="str">
            <v>Instituto Federal da Bahia</v>
          </cell>
        </row>
        <row r="4202">
          <cell r="J4202">
            <v>57190967506</v>
          </cell>
          <cell r="K4202" t="str">
            <v>Federal University of Rio de Janeiro</v>
          </cell>
        </row>
        <row r="4203">
          <cell r="J4203">
            <v>57203416630</v>
          </cell>
          <cell r="K4203" t="str">
            <v>Universidade Federal Rural do Rio de Janeiro</v>
          </cell>
        </row>
        <row r="4204">
          <cell r="J4204">
            <v>57205661066</v>
          </cell>
          <cell r="K4204" t="str">
            <v>Universidade Federal Rural do Rio de Janeiro</v>
          </cell>
        </row>
        <row r="4205">
          <cell r="J4205">
            <v>57189215816</v>
          </cell>
          <cell r="K4205" t="str">
            <v>Federal University of Rio de Janeiro</v>
          </cell>
        </row>
        <row r="4206">
          <cell r="J4206">
            <v>26654418900</v>
          </cell>
          <cell r="K4206" t="str">
            <v>Fundação Oswaldo Cruz</v>
          </cell>
        </row>
        <row r="4207">
          <cell r="J4207">
            <v>57195278931</v>
          </cell>
          <cell r="K4207" t="str">
            <v>Federal University of Rio de Janeiro</v>
          </cell>
        </row>
        <row r="4208">
          <cell r="J4208">
            <v>55542340900</v>
          </cell>
          <cell r="K4208" t="str">
            <v>Regional University of Blumenau - FURB</v>
          </cell>
        </row>
        <row r="4209">
          <cell r="J4209">
            <v>57218573142</v>
          </cell>
          <cell r="K4209" t="str">
            <v>Federal University of Santa Catarina</v>
          </cell>
        </row>
        <row r="4210">
          <cell r="J4210">
            <v>56305640700</v>
          </cell>
          <cell r="K4210" t="str">
            <v>Universidade Federal de Minas Gerais (+1 more)</v>
          </cell>
        </row>
        <row r="4211">
          <cell r="J4211">
            <v>57191707782</v>
          </cell>
          <cell r="K4211" t="str">
            <v>Universidade Federal de Minas Gerais</v>
          </cell>
        </row>
        <row r="4212">
          <cell r="J4212">
            <v>55962364100</v>
          </cell>
          <cell r="K4212" t="str">
            <v>Universidade de São Paulo</v>
          </cell>
        </row>
        <row r="4213">
          <cell r="J4213">
            <v>57194323193</v>
          </cell>
          <cell r="K4213" t="str">
            <v>LABSOLDA Welding Institute (+1 more)</v>
          </cell>
        </row>
        <row r="4214">
          <cell r="J4214">
            <v>57411845000</v>
          </cell>
          <cell r="K4214" t="str">
            <v>Universidade Federal de Minas Gerais</v>
          </cell>
        </row>
        <row r="4215">
          <cell r="J4215">
            <v>54414704500</v>
          </cell>
          <cell r="K4215" t="str">
            <v>Pontifical Catholic University of Rio de Janeiro</v>
          </cell>
        </row>
        <row r="4216">
          <cell r="J4216">
            <v>57191605344</v>
          </cell>
          <cell r="K4216" t="str">
            <v>University of Campinas</v>
          </cell>
        </row>
        <row r="4217">
          <cell r="J4217">
            <v>58126140700</v>
          </cell>
          <cell r="K4217" t="str">
            <v>SIMEROS</v>
          </cell>
        </row>
        <row r="4218">
          <cell r="J4218">
            <v>58900159400</v>
          </cell>
          <cell r="K4218" t="str">
            <v>Universidade Federal do Rio Grande do Sul</v>
          </cell>
        </row>
        <row r="4219">
          <cell r="J4219">
            <v>59519558700</v>
          </cell>
          <cell r="K4219" t="str">
            <v>Universidade Federal do Rio Grande do Sul</v>
          </cell>
        </row>
        <row r="4220">
          <cell r="J4220">
            <v>57884695700</v>
          </cell>
          <cell r="K4220" t="str">
            <v>Universidade Federal de Pernambuco</v>
          </cell>
        </row>
        <row r="4221">
          <cell r="J4221">
            <v>6507373427</v>
          </cell>
          <cell r="K4221" t="str">
            <v>Federal University of Rio de Janeiro</v>
          </cell>
        </row>
        <row r="4222">
          <cell r="J4222">
            <v>58682507300</v>
          </cell>
          <cell r="K4222" t="str">
            <v>Universidade de São Paulo</v>
          </cell>
        </row>
        <row r="4223">
          <cell r="J4223">
            <v>59227511200</v>
          </cell>
          <cell r="K4223" t="str">
            <v>Pontifical Catholic University of Rio de Janeiro</v>
          </cell>
        </row>
        <row r="4224">
          <cell r="J4224">
            <v>57201092133</v>
          </cell>
          <cell r="K4224" t="str">
            <v>Federal University of Rio de Janeiro</v>
          </cell>
        </row>
        <row r="4225">
          <cell r="J4225">
            <v>26031736100</v>
          </cell>
          <cell r="K4225" t="str">
            <v>Federal University of Rio de Janeiro</v>
          </cell>
        </row>
        <row r="4226">
          <cell r="J4226">
            <v>57205722999</v>
          </cell>
          <cell r="K4226" t="str">
            <v>Universidade Federal Fluminense</v>
          </cell>
        </row>
        <row r="4227">
          <cell r="J4227">
            <v>56480680200</v>
          </cell>
          <cell r="K4227" t="str">
            <v>Universidade Federal Fluminense</v>
          </cell>
        </row>
        <row r="4228">
          <cell r="J4228">
            <v>7102660020</v>
          </cell>
          <cell r="K4228" t="str">
            <v>Pontifical Catholic University of Rio de Janeiro</v>
          </cell>
        </row>
        <row r="4229">
          <cell r="J4229">
            <v>58677901300</v>
          </cell>
          <cell r="K4229" t="str">
            <v>SENAI Innovation Institute of Green Chemistry</v>
          </cell>
        </row>
        <row r="4230">
          <cell r="J4230">
            <v>57213199518</v>
          </cell>
          <cell r="K4230" t="str">
            <v>Vizlab - X-Reality and GeoInformatics Lab</v>
          </cell>
        </row>
        <row r="4231">
          <cell r="J4231">
            <v>36987223300</v>
          </cell>
          <cell r="K4231" t="str">
            <v>Pontifical Catholic University of Rio de Janeiro</v>
          </cell>
        </row>
        <row r="4232">
          <cell r="J4232">
            <v>59235400700</v>
          </cell>
          <cell r="K4232" t="str">
            <v>Pontifícia Universidade Católica do Rio Grande do Sul</v>
          </cell>
        </row>
        <row r="4233">
          <cell r="J4233">
            <v>57192959717</v>
          </cell>
          <cell r="K4233" t="str">
            <v>Senior Researcher</v>
          </cell>
        </row>
        <row r="4234">
          <cell r="J4234">
            <v>59243383900</v>
          </cell>
          <cell r="K4234" t="str">
            <v>Geological Survey of Brazil (SGB)</v>
          </cell>
        </row>
        <row r="4235">
          <cell r="J4235">
            <v>7102196564</v>
          </cell>
          <cell r="K4235" t="str">
            <v>Universidade Federal Fluminense (+2 more)</v>
          </cell>
        </row>
        <row r="4236">
          <cell r="J4236">
            <v>57223402983</v>
          </cell>
          <cell r="K4236" t="str">
            <v>Federal University of Santa Catarina</v>
          </cell>
        </row>
        <row r="4237">
          <cell r="J4237">
            <v>36977450200</v>
          </cell>
          <cell r="K4237" t="str">
            <v>Federal University of Rio de Janeiro</v>
          </cell>
        </row>
        <row r="4238">
          <cell r="J4238">
            <v>57189385718</v>
          </cell>
          <cell r="K4238" t="str">
            <v>Universidade Federal do Rio Grande do Norte (+1 more)</v>
          </cell>
        </row>
        <row r="4239">
          <cell r="J4239">
            <v>57216792419</v>
          </cell>
          <cell r="K4239" t="str">
            <v>Universidade Federal de Viçosa</v>
          </cell>
        </row>
        <row r="4240">
          <cell r="J4240">
            <v>37059669500</v>
          </cell>
          <cell r="K4240" t="str">
            <v>University of Campinas</v>
          </cell>
        </row>
        <row r="4241">
          <cell r="J4241">
            <v>59266968800</v>
          </cell>
          <cell r="K4241" t="str">
            <v>Empresa Brasileira de Pesquisa Agropecuária</v>
          </cell>
        </row>
        <row r="4242">
          <cell r="J4242">
            <v>57214990298</v>
          </cell>
          <cell r="K4242" t="str">
            <v>WIKKI Brasil LTDA</v>
          </cell>
        </row>
        <row r="4243">
          <cell r="J4243">
            <v>57204937616</v>
          </cell>
          <cell r="K4243" t="str">
            <v>Universidade Federal do Espírito Santo</v>
          </cell>
        </row>
        <row r="4244">
          <cell r="J4244">
            <v>57075743900</v>
          </cell>
          <cell r="K4244" t="str">
            <v>Universidade Federal do Espírito Santo (+1 more)</v>
          </cell>
        </row>
        <row r="4245">
          <cell r="J4245">
            <v>8697291000</v>
          </cell>
          <cell r="K4245" t="str">
            <v>Universidade Federal do Rio Grande do Sul</v>
          </cell>
        </row>
        <row r="4246">
          <cell r="J4246">
            <v>55534974900</v>
          </cell>
          <cell r="K4246" t="str">
            <v>Universidade Federal do Piauí</v>
          </cell>
        </row>
        <row r="4247">
          <cell r="J4247">
            <v>57219272295</v>
          </cell>
          <cell r="K4247" t="str">
            <v>Federal University of Rio de Janeiro</v>
          </cell>
        </row>
        <row r="4248">
          <cell r="J4248">
            <v>7102481288</v>
          </cell>
          <cell r="K4248" t="str">
            <v>Universidade do Estado do Rio de Janeiro (+1 more)</v>
          </cell>
        </row>
        <row r="4249">
          <cell r="J4249">
            <v>56306538700</v>
          </cell>
          <cell r="K4249" t="str">
            <v>Universidade Federal de Ouro Preto</v>
          </cell>
        </row>
        <row r="4250">
          <cell r="J4250">
            <v>59893320300</v>
          </cell>
          <cell r="K4250" t="str">
            <v>Universidade Federal de Campina Grande (+1 more)</v>
          </cell>
        </row>
        <row r="4251">
          <cell r="J4251">
            <v>57196327571</v>
          </cell>
          <cell r="K4251" t="str">
            <v>Universidade Federal de Viçosa</v>
          </cell>
        </row>
        <row r="4252">
          <cell r="J4252">
            <v>56494431100</v>
          </cell>
          <cell r="K4252" t="str">
            <v>Universidade Federal do Espírito Santo</v>
          </cell>
        </row>
        <row r="4253">
          <cell r="J4253">
            <v>35148526600</v>
          </cell>
          <cell r="K4253" t="str">
            <v>Universidade Federal da Bahia</v>
          </cell>
        </row>
        <row r="4254">
          <cell r="J4254">
            <v>54892041700</v>
          </cell>
          <cell r="K4254" t="str">
            <v>Federal University of Rio de Janeiro</v>
          </cell>
        </row>
        <row r="4255">
          <cell r="J4255">
            <v>6603447785</v>
          </cell>
          <cell r="K4255" t="str">
            <v>Federal University of Rio de Janeiro</v>
          </cell>
        </row>
        <row r="4256">
          <cell r="J4256">
            <v>57191092056</v>
          </cell>
          <cell r="K4256" t="str">
            <v>Serviço Nacional de Aprendizagem Industrial</v>
          </cell>
        </row>
        <row r="4257">
          <cell r="J4257">
            <v>6603501503</v>
          </cell>
          <cell r="K4257" t="str">
            <v>Laboratório Nacional de Luz Síncrotron (LNLS)</v>
          </cell>
        </row>
        <row r="4258">
          <cell r="J4258">
            <v>57214182178</v>
          </cell>
          <cell r="K4258" t="str">
            <v>University of Campinas (+1 more)</v>
          </cell>
        </row>
        <row r="4259">
          <cell r="J4259">
            <v>56113385300</v>
          </cell>
          <cell r="K4259" t="str">
            <v>DEMa</v>
          </cell>
        </row>
        <row r="4260">
          <cell r="J4260">
            <v>57191982452</v>
          </cell>
          <cell r="K4260" t="str">
            <v>UFRB</v>
          </cell>
        </row>
        <row r="4261">
          <cell r="J4261">
            <v>57214721911</v>
          </cell>
          <cell r="K4261" t="str">
            <v>Universidade Federal de Goiás</v>
          </cell>
        </row>
        <row r="4262">
          <cell r="J4262">
            <v>57934474500</v>
          </cell>
          <cell r="K4262" t="str">
            <v>Universidade Federal do Piauí</v>
          </cell>
        </row>
        <row r="4263">
          <cell r="J4263">
            <v>24172397800</v>
          </cell>
          <cell r="K4263" t="str">
            <v>Universidade Federal do Espírito Santo</v>
          </cell>
        </row>
        <row r="4264">
          <cell r="J4264">
            <v>56447790600</v>
          </cell>
          <cell r="K4264" t="str">
            <v>Universidade Federal do Rio Grande do Sul</v>
          </cell>
        </row>
        <row r="4265">
          <cell r="J4265">
            <v>36180252700</v>
          </cell>
          <cell r="K4265" t="str">
            <v>Instituto Evandro Chagas</v>
          </cell>
        </row>
        <row r="4266">
          <cell r="J4266">
            <v>36598955600</v>
          </cell>
          <cell r="K4266" t="str">
            <v>Universidade Federal do Espírito Santo</v>
          </cell>
        </row>
        <row r="4267">
          <cell r="J4267">
            <v>57202284338</v>
          </cell>
          <cell r="K4267" t="str">
            <v>Pontifical Catholic University of Rio de Janeiro</v>
          </cell>
        </row>
        <row r="4268">
          <cell r="J4268">
            <v>7202269863</v>
          </cell>
          <cell r="K4268" t="str">
            <v>Universidade Federal do Rio Grande do Sul</v>
          </cell>
        </row>
        <row r="4269">
          <cell r="J4269">
            <v>58700391700</v>
          </cell>
          <cell r="K4269" t="str">
            <v>Universidade Federal de Sergipe</v>
          </cell>
        </row>
        <row r="4270">
          <cell r="J4270">
            <v>57196483025</v>
          </cell>
          <cell r="K4270" t="str">
            <v>Universidade Tecnológica Federal do Paraná</v>
          </cell>
        </row>
        <row r="4271">
          <cell r="J4271">
            <v>57196039560</v>
          </cell>
          <cell r="K4271" t="str">
            <v>Universidade Federal de Mato Grosso</v>
          </cell>
        </row>
        <row r="4272">
          <cell r="J4272">
            <v>55851153400</v>
          </cell>
          <cell r="K4272" t="str">
            <v>Federal University of Santa Catarina</v>
          </cell>
        </row>
        <row r="4273">
          <cell r="J4273">
            <v>55776457000</v>
          </cell>
          <cell r="K4273" t="str">
            <v>Federal University of Rio de Janeiro</v>
          </cell>
        </row>
        <row r="4274">
          <cell r="J4274">
            <v>59420470000</v>
          </cell>
          <cell r="K4274" t="str">
            <v>Universidade de São Paulo</v>
          </cell>
        </row>
        <row r="4275">
          <cell r="J4275">
            <v>55971980200</v>
          </cell>
          <cell r="K4275" t="str">
            <v>Universidade Federal do Rio Grande do Sul</v>
          </cell>
        </row>
        <row r="4276">
          <cell r="J4276">
            <v>57204352322</v>
          </cell>
          <cell r="K4276" t="str">
            <v>Pontifícia Universidade Católica do Rio Grande do Sul</v>
          </cell>
        </row>
        <row r="4277">
          <cell r="J4277">
            <v>57221462431</v>
          </cell>
          <cell r="K4277" t="str">
            <v>Universidade Federal de Uberlândia</v>
          </cell>
        </row>
        <row r="4278">
          <cell r="J4278">
            <v>57534037300</v>
          </cell>
          <cell r="K4278" t="str">
            <v>Federal University of Santa Catarina</v>
          </cell>
        </row>
        <row r="4279">
          <cell r="J4279">
            <v>26032325600</v>
          </cell>
          <cell r="K4279" t="str">
            <v>DEMa</v>
          </cell>
        </row>
        <row r="4280">
          <cell r="J4280">
            <v>55244385200</v>
          </cell>
          <cell r="K4280" t="str">
            <v>DEMa</v>
          </cell>
        </row>
        <row r="4281">
          <cell r="J4281">
            <v>59874440100</v>
          </cell>
          <cell r="K4281" t="str">
            <v>Universidade Federal de Minas Gerais</v>
          </cell>
        </row>
        <row r="4282">
          <cell r="J4282">
            <v>57204571431</v>
          </cell>
          <cell r="K4282" t="str">
            <v>Universidade Federal do Rio Grande do Sul</v>
          </cell>
        </row>
        <row r="4283">
          <cell r="J4283">
            <v>59435496600</v>
          </cell>
          <cell r="K4283" t="str">
            <v>Universidade Federal do Rio Grande do Sul</v>
          </cell>
        </row>
        <row r="4284">
          <cell r="J4284">
            <v>21739820000</v>
          </cell>
          <cell r="K4284" t="str">
            <v>Universidade Federal do Rio Grande (+2 more)</v>
          </cell>
        </row>
        <row r="4285">
          <cell r="J4285">
            <v>57195979577</v>
          </cell>
          <cell r="K4285" t="str">
            <v>Universidade Federal de Goiás</v>
          </cell>
        </row>
        <row r="4286">
          <cell r="J4286">
            <v>35146691800</v>
          </cell>
          <cell r="K4286" t="str">
            <v>Universidade Federal do Rio Grande do Norte</v>
          </cell>
        </row>
        <row r="4287">
          <cell r="J4287">
            <v>7202521198</v>
          </cell>
          <cell r="K4287" t="str">
            <v>Protimiza Consulting and Training in Experimental Design and Process Optimization</v>
          </cell>
        </row>
        <row r="4288">
          <cell r="J4288">
            <v>57212554189</v>
          </cell>
          <cell r="K4288" t="str">
            <v>Universidade Federal do Ceará</v>
          </cell>
        </row>
        <row r="4289">
          <cell r="J4289">
            <v>55911066200</v>
          </cell>
          <cell r="K4289" t="str">
            <v>Pontifícia Universidade Católica do Rio Grande do Sul</v>
          </cell>
        </row>
        <row r="4290">
          <cell r="J4290">
            <v>59895467900</v>
          </cell>
          <cell r="K4290" t="str">
            <v>Laboratory of Scientific Computing and Visualization</v>
          </cell>
        </row>
        <row r="4291">
          <cell r="J4291">
            <v>56049376800</v>
          </cell>
          <cell r="K4291" t="str">
            <v>Federal University of Santa Catarina</v>
          </cell>
        </row>
        <row r="4292">
          <cell r="J4292">
            <v>57225768244</v>
          </cell>
          <cell r="K4292" t="str">
            <v>Universidade Estadual Paulista “Júlio de Mesquita Filho”</v>
          </cell>
        </row>
        <row r="4293">
          <cell r="J4293">
            <v>24339451300</v>
          </cell>
          <cell r="K4293" t="str">
            <v>Universidade Federal do Rio Grande do Sul</v>
          </cell>
        </row>
        <row r="4294">
          <cell r="J4294">
            <v>56949906300</v>
          </cell>
          <cell r="K4294" t="str">
            <v>Universidade Federal do Espírito Santo</v>
          </cell>
        </row>
        <row r="4295">
          <cell r="J4295">
            <v>7103188194</v>
          </cell>
          <cell r="K4295" t="str">
            <v>Universidade do Estado do Rio de Janeiro (+1 more)</v>
          </cell>
        </row>
        <row r="4296">
          <cell r="J4296">
            <v>26321902700</v>
          </cell>
          <cell r="K4296" t="str">
            <v>University of Campinas</v>
          </cell>
        </row>
        <row r="4297">
          <cell r="J4297">
            <v>56711614400</v>
          </cell>
          <cell r="K4297" t="str">
            <v>Universidade Tecnológica Federal do Paraná</v>
          </cell>
        </row>
        <row r="4298">
          <cell r="J4298">
            <v>49261261700</v>
          </cell>
          <cell r="K4298" t="str">
            <v>Universidade Federal de Goiás</v>
          </cell>
        </row>
        <row r="4299">
          <cell r="J4299">
            <v>7005341741</v>
          </cell>
          <cell r="K4299" t="str">
            <v>Universidade Federal Fluminense</v>
          </cell>
        </row>
        <row r="4300">
          <cell r="J4300">
            <v>57203372006</v>
          </cell>
          <cell r="K4300" t="str">
            <v>Federal University of Rio de Janeiro</v>
          </cell>
        </row>
        <row r="4301">
          <cell r="J4301">
            <v>58713393300</v>
          </cell>
          <cell r="K4301" t="str">
            <v>Federal University of Rio de Janeiro</v>
          </cell>
        </row>
        <row r="4302">
          <cell r="J4302">
            <v>56344550700</v>
          </cell>
          <cell r="K4302" t="str">
            <v>Universidade do Estado do Rio de Janeiro</v>
          </cell>
        </row>
        <row r="4303">
          <cell r="J4303">
            <v>23482858300</v>
          </cell>
          <cell r="K4303" t="str">
            <v>Federal University of Rio de Janeiro</v>
          </cell>
        </row>
        <row r="4304">
          <cell r="J4304">
            <v>57190445504</v>
          </cell>
          <cell r="K4304" t="str">
            <v>Technical University of Denmark (+1 more)</v>
          </cell>
        </row>
        <row r="4305">
          <cell r="J4305">
            <v>54953352100</v>
          </cell>
          <cell r="K4305" t="str">
            <v>Federal University of Rio de Janeiro</v>
          </cell>
        </row>
        <row r="4306">
          <cell r="J4306">
            <v>57096068300</v>
          </cell>
          <cell r="K4306" t="str">
            <v>Universidade Federal do Rio Grande do Sul</v>
          </cell>
        </row>
        <row r="4307">
          <cell r="J4307">
            <v>56016575300</v>
          </cell>
          <cell r="K4307" t="str">
            <v>Federal University of Rio de Janeiro</v>
          </cell>
        </row>
        <row r="4308">
          <cell r="J4308">
            <v>7103218937</v>
          </cell>
          <cell r="K4308" t="str">
            <v>Universidade de São Paulo</v>
          </cell>
        </row>
        <row r="4309">
          <cell r="J4309">
            <v>55337451100</v>
          </cell>
          <cell r="K4309" t="str">
            <v>Federal University of Rio de Janeiro</v>
          </cell>
        </row>
        <row r="4310">
          <cell r="J4310">
            <v>6602114865</v>
          </cell>
          <cell r="K4310" t="str">
            <v>Pontifical Catholic University of Rio de Janeiro (+1 more)</v>
          </cell>
        </row>
        <row r="4311">
          <cell r="J4311">
            <v>57189576681</v>
          </cell>
          <cell r="K4311" t="str">
            <v>Fluminense Federal Institute - IFF</v>
          </cell>
        </row>
        <row r="4312">
          <cell r="J4312">
            <v>59157794800</v>
          </cell>
          <cell r="K4312" t="str">
            <v>Universidade Estadual Paulista “Júlio de Mesquita Filho”</v>
          </cell>
        </row>
        <row r="4313">
          <cell r="J4313">
            <v>6506279924</v>
          </cell>
          <cell r="K4313" t="str">
            <v>Universidade de Lisboa (+2 more)</v>
          </cell>
        </row>
        <row r="4314">
          <cell r="J4314">
            <v>6701832597</v>
          </cell>
          <cell r="K4314" t="str">
            <v>Federal University of Rio de Janeiro</v>
          </cell>
        </row>
        <row r="4315">
          <cell r="J4315">
            <v>59147937500</v>
          </cell>
          <cell r="K4315" t="str">
            <v>Geological Survey of Brazil (SGB)</v>
          </cell>
        </row>
        <row r="4316">
          <cell r="J4316">
            <v>56184425400</v>
          </cell>
          <cell r="K4316" t="str">
            <v>Universidad Industrial de Santander (+3 more)</v>
          </cell>
        </row>
        <row r="4317">
          <cell r="J4317">
            <v>55022790100</v>
          </cell>
          <cell r="K4317" t="str">
            <v>Federal University of Pará</v>
          </cell>
        </row>
        <row r="4318">
          <cell r="J4318">
            <v>6602410968</v>
          </cell>
          <cell r="K4318" t="str">
            <v>Pontifía Universidade Católica do Rio de Janeiro (+1 more)</v>
          </cell>
        </row>
        <row r="4319">
          <cell r="J4319">
            <v>55031678900</v>
          </cell>
          <cell r="K4319" t="str">
            <v>SENAI</v>
          </cell>
        </row>
        <row r="4320">
          <cell r="J4320">
            <v>56363143000</v>
          </cell>
          <cell r="K4320" t="str">
            <v>University of Liverpool (+1 more)</v>
          </cell>
        </row>
        <row r="4321">
          <cell r="J4321">
            <v>56785958600</v>
          </cell>
          <cell r="K4321" t="str">
            <v>Universidade Federal de Goiás</v>
          </cell>
        </row>
        <row r="4322">
          <cell r="J4322">
            <v>57198083811</v>
          </cell>
          <cell r="K4322" t="str">
            <v>Universidade Federal do Espírito Santo (+10 more)</v>
          </cell>
        </row>
        <row r="4323">
          <cell r="J4323">
            <v>58678244900</v>
          </cell>
          <cell r="K4323" t="str">
            <v>Universidade Federal de Pernambuco</v>
          </cell>
        </row>
        <row r="4324">
          <cell r="J4324">
            <v>57192129281</v>
          </cell>
          <cell r="K4324" t="str">
            <v>Université de Pau et des Pays de l'Adour (+1 more)</v>
          </cell>
        </row>
        <row r="4325">
          <cell r="J4325">
            <v>7004543210</v>
          </cell>
          <cell r="K4325" t="str">
            <v>Universidade Federal do Espírito Santo</v>
          </cell>
        </row>
        <row r="4326">
          <cell r="J4326">
            <v>58065421800</v>
          </cell>
          <cell r="K4326" t="str">
            <v>Universidade Estadual de Feira de Santana</v>
          </cell>
        </row>
        <row r="4327">
          <cell r="J4327">
            <v>6506814108</v>
          </cell>
          <cell r="K4327" t="str">
            <v>Universidade Federal do Rio Grande do Sul (+2 more)</v>
          </cell>
        </row>
        <row r="4328">
          <cell r="J4328">
            <v>57339465300</v>
          </cell>
          <cell r="K4328" t="str">
            <v>Universidade Federal Rural do Rio de Janeiro</v>
          </cell>
        </row>
        <row r="4329">
          <cell r="J4329">
            <v>60229719500</v>
          </cell>
          <cell r="K4329" t="str">
            <v>Universidade Federal do Espírito Santo</v>
          </cell>
        </row>
        <row r="4330">
          <cell r="J4330">
            <v>60041953700</v>
          </cell>
          <cell r="K4330" t="str">
            <v>Universidade Federal de Campina Grande</v>
          </cell>
        </row>
        <row r="4331">
          <cell r="J4331">
            <v>56441617700</v>
          </cell>
          <cell r="K4331" t="str">
            <v>Federal University of Rio de Janeiro</v>
          </cell>
        </row>
        <row r="4332">
          <cell r="J4332">
            <v>57194775390</v>
          </cell>
          <cell r="K4332" t="str">
            <v>Universidade Federal de Goiás</v>
          </cell>
        </row>
        <row r="4333">
          <cell r="J4333">
            <v>58638593600</v>
          </cell>
          <cell r="K4333" t="str">
            <v>Universidade Federal do Rio Grande do Sul</v>
          </cell>
        </row>
        <row r="4334">
          <cell r="J4334">
            <v>57221784997</v>
          </cell>
          <cell r="K4334" t="str">
            <v>University of Campinas</v>
          </cell>
        </row>
        <row r="4335">
          <cell r="J4335">
            <v>57196421785</v>
          </cell>
          <cell r="K4335" t="str">
            <v>Pontifical Catholic University of Rio de Janeiro</v>
          </cell>
        </row>
        <row r="4336">
          <cell r="J4336">
            <v>7004952714</v>
          </cell>
          <cell r="K4336" t="str">
            <v>University of Campinas</v>
          </cell>
        </row>
        <row r="4337">
          <cell r="J4337">
            <v>56511330700</v>
          </cell>
          <cell r="K4337" t="str">
            <v>Universidade Federal de Santa Maria</v>
          </cell>
        </row>
        <row r="4338">
          <cell r="J4338">
            <v>57252619900</v>
          </cell>
          <cell r="K4338" t="str">
            <v>Universidade Federal de Uberlândia</v>
          </cell>
        </row>
        <row r="4339">
          <cell r="J4339">
            <v>58678245300</v>
          </cell>
          <cell r="K4339" t="str">
            <v>Universidade Federal de Uberlândia</v>
          </cell>
        </row>
        <row r="4340">
          <cell r="J4340">
            <v>58525716800</v>
          </cell>
          <cell r="K4340" t="str">
            <v>Pontifical Catholic University of Rio de Janeiro</v>
          </cell>
        </row>
        <row r="4341">
          <cell r="J4341">
            <v>57195511208</v>
          </cell>
          <cell r="K4341" t="str">
            <v>Universidade Federal de Santa Maria</v>
          </cell>
        </row>
        <row r="4342">
          <cell r="J4342">
            <v>57208408260</v>
          </cell>
          <cell r="K4342" t="str">
            <v>University of Campinas</v>
          </cell>
        </row>
        <row r="4343">
          <cell r="J4343">
            <v>57210666381</v>
          </cell>
          <cell r="K4343" t="str">
            <v>Federal University of Rio de Janeiro</v>
          </cell>
        </row>
        <row r="4344">
          <cell r="J4344">
            <v>7102720385</v>
          </cell>
          <cell r="K4344" t="str">
            <v>IMAM-AquaRio – Rio de Janeiro Aquarium Research Center (+1 more)</v>
          </cell>
        </row>
        <row r="4345">
          <cell r="J4345">
            <v>57208664281</v>
          </cell>
          <cell r="K4345" t="str">
            <v>Federal University of Rio de Janeiro</v>
          </cell>
        </row>
        <row r="4346">
          <cell r="J4346">
            <v>57193795302</v>
          </cell>
          <cell r="K4346" t="str">
            <v>Federal University of Rio de Janeiro</v>
          </cell>
        </row>
        <row r="4347">
          <cell r="J4347">
            <v>15045644600</v>
          </cell>
          <cell r="K4347" t="str">
            <v>Prima-7S</v>
          </cell>
        </row>
        <row r="4348">
          <cell r="J4348">
            <v>57924190000</v>
          </cell>
          <cell r="K4348" t="str">
            <v>Engineering Simulation and Scientific Software (ESSS) (+1 more)</v>
          </cell>
        </row>
        <row r="4349">
          <cell r="J4349">
            <v>57880875800</v>
          </cell>
          <cell r="K4349" t="str">
            <v>Universidade de São Paulo (+1 more)</v>
          </cell>
        </row>
        <row r="4350">
          <cell r="J4350">
            <v>36085032100</v>
          </cell>
          <cell r="K4350" t="str">
            <v>Universidade de São Paulo</v>
          </cell>
        </row>
        <row r="4351">
          <cell r="J4351">
            <v>57191039262</v>
          </cell>
          <cell r="K4351" t="str">
            <v>X-Reality GeoInformatics Lab Unisinos University (+1 more)</v>
          </cell>
        </row>
        <row r="4352">
          <cell r="J4352">
            <v>57510108500</v>
          </cell>
          <cell r="K4352" t="str">
            <v>Universidade Tecnológica Federal do Paraná</v>
          </cell>
        </row>
        <row r="4353">
          <cell r="J4353">
            <v>58677199100</v>
          </cell>
          <cell r="K4353" t="str">
            <v>Universidade Federal do Rio Grande do Sul</v>
          </cell>
        </row>
        <row r="4354">
          <cell r="J4354">
            <v>56404242000</v>
          </cell>
          <cell r="K4354" t="str">
            <v>Universidade Federal do Rio Grande do Sul (+1 more)</v>
          </cell>
        </row>
        <row r="4355">
          <cell r="J4355">
            <v>59911883500</v>
          </cell>
          <cell r="K4355" t="str">
            <v>Universidade Federal de Mato Grosso</v>
          </cell>
        </row>
        <row r="4356">
          <cell r="J4356">
            <v>59912269300</v>
          </cell>
          <cell r="K4356" t="str">
            <v>Laboratório de Geologia Sedimentar - Lagesed (+1 more)</v>
          </cell>
        </row>
        <row r="4357">
          <cell r="J4357">
            <v>58090948800</v>
          </cell>
          <cell r="K4357" t="str">
            <v>Federal University of Rio de Janeiro</v>
          </cell>
        </row>
        <row r="4358">
          <cell r="J4358">
            <v>56996893900</v>
          </cell>
          <cell r="K4358" t="str">
            <v>Federal University of Rio de Janeiro</v>
          </cell>
        </row>
        <row r="4359">
          <cell r="J4359">
            <v>57644106300</v>
          </cell>
          <cell r="K4359" t="str">
            <v>University of Campinas</v>
          </cell>
        </row>
        <row r="4360">
          <cell r="J4360">
            <v>59012193100</v>
          </cell>
          <cell r="K4360" t="str">
            <v>Universidade Federal do Rio Grande do Sul (+1 more)</v>
          </cell>
        </row>
        <row r="4361">
          <cell r="J4361">
            <v>57679132300</v>
          </cell>
          <cell r="K4361" t="str">
            <v>Vizlab - X-Reality and GeoInformatics Lab</v>
          </cell>
        </row>
        <row r="4362">
          <cell r="J4362">
            <v>6506448921</v>
          </cell>
          <cell r="K4362" t="str">
            <v>Pontifícia Universidade Católica do Rio Grande do Sul</v>
          </cell>
        </row>
        <row r="4363">
          <cell r="J4363">
            <v>57193411579</v>
          </cell>
          <cell r="K4363" t="str">
            <v>Federal University of Rio de Janeiro</v>
          </cell>
        </row>
        <row r="4364">
          <cell r="J4364">
            <v>55809927300</v>
          </cell>
          <cell r="K4364" t="str">
            <v>Universidade de São Paulo</v>
          </cell>
        </row>
        <row r="4365">
          <cell r="J4365">
            <v>55670697500</v>
          </cell>
          <cell r="K4365" t="str">
            <v>Universidade Federal de Ouro Preto</v>
          </cell>
        </row>
        <row r="4366">
          <cell r="J4366">
            <v>57211472617</v>
          </cell>
          <cell r="K4366" t="str">
            <v>Pontifical Catholic University of Rio de Janeiro</v>
          </cell>
        </row>
        <row r="4367">
          <cell r="J4367">
            <v>57205320500</v>
          </cell>
          <cell r="K4367" t="str">
            <v>Pontifical Catholic University of Rio de Janeiro</v>
          </cell>
        </row>
        <row r="4368">
          <cell r="J4368">
            <v>56017641900</v>
          </cell>
          <cell r="K4368" t="str">
            <v>Universidade de São Paulo (+2 more)</v>
          </cell>
        </row>
        <row r="4369">
          <cell r="J4369">
            <v>7004079050</v>
          </cell>
          <cell r="K4369" t="str">
            <v>Universidade de São Paulo (+1 more)</v>
          </cell>
        </row>
        <row r="4370">
          <cell r="J4370">
            <v>16200237200</v>
          </cell>
          <cell r="K4370" t="str">
            <v>Instituto Nacional de Tecnologia (+1 more)</v>
          </cell>
        </row>
        <row r="4371">
          <cell r="J4371">
            <v>57225342960</v>
          </cell>
          <cell r="K4371" t="str">
            <v>Pontifical Catholic University of Rio de Janeiro</v>
          </cell>
        </row>
        <row r="4372">
          <cell r="J4372">
            <v>8068368400</v>
          </cell>
          <cell r="K4372" t="str">
            <v>Centro Nacional de Pesquisa em Energia e Materiais</v>
          </cell>
        </row>
        <row r="4373">
          <cell r="J4373">
            <v>57224979553</v>
          </cell>
          <cell r="K4373" t="str">
            <v>Federal University of Rio de Janeiro</v>
          </cell>
        </row>
        <row r="4374">
          <cell r="J4374">
            <v>57201403674</v>
          </cell>
          <cell r="K4374" t="str">
            <v>Universidade Santa Cecília</v>
          </cell>
        </row>
        <row r="4375">
          <cell r="J4375">
            <v>57193738826</v>
          </cell>
          <cell r="K4375" t="str">
            <v>Universidade Federal Rural do Rio de Janeiro</v>
          </cell>
        </row>
        <row r="4376">
          <cell r="J4376">
            <v>57201408285</v>
          </cell>
          <cell r="K4376" t="str">
            <v>IMC Saste</v>
          </cell>
        </row>
        <row r="4377">
          <cell r="J4377">
            <v>57983379100</v>
          </cell>
          <cell r="K4377" t="str">
            <v>SIMWORX</v>
          </cell>
        </row>
        <row r="4378">
          <cell r="J4378">
            <v>56572933300</v>
          </cell>
          <cell r="K4378" t="str">
            <v>Universidade Federal de Juiz de Fora</v>
          </cell>
        </row>
        <row r="4379">
          <cell r="J4379">
            <v>56606020600</v>
          </cell>
          <cell r="K4379" t="str">
            <v>Pontifical Catholic University of Rio de Janeiro (+1 more)</v>
          </cell>
        </row>
        <row r="4380">
          <cell r="J4380">
            <v>57218168949</v>
          </cell>
          <cell r="K4380" t="str">
            <v>Federal University of Rio de Janeiro</v>
          </cell>
        </row>
        <row r="4381">
          <cell r="J4381">
            <v>57222114845</v>
          </cell>
          <cell r="K4381" t="str">
            <v>Universidade de São Paulo</v>
          </cell>
        </row>
        <row r="4382">
          <cell r="J4382">
            <v>57188553894</v>
          </cell>
          <cell r="K4382" t="str">
            <v>Federal University of Rio de Janeiro</v>
          </cell>
        </row>
        <row r="4383">
          <cell r="J4383">
            <v>36922842400</v>
          </cell>
          <cell r="K4383" t="str">
            <v>Federal University of Rio de Janeiro</v>
          </cell>
        </row>
        <row r="4384">
          <cell r="J4384">
            <v>7004225897</v>
          </cell>
          <cell r="K4384" t="str">
            <v>University of Campinas</v>
          </cell>
        </row>
        <row r="4385">
          <cell r="J4385">
            <v>57224527786</v>
          </cell>
          <cell r="K4385" t="str">
            <v>Universidade Federal de São João del-Rei (+1 more)</v>
          </cell>
        </row>
        <row r="4386">
          <cell r="J4386">
            <v>57218871830</v>
          </cell>
          <cell r="K4386" t="str">
            <v>Universidade Federal de São João del-Rei (+1 more)</v>
          </cell>
        </row>
        <row r="4387">
          <cell r="J4387">
            <v>16317079900</v>
          </cell>
          <cell r="K4387" t="str">
            <v>Universidade de São Paulo</v>
          </cell>
        </row>
        <row r="4388">
          <cell r="J4388">
            <v>6603462472</v>
          </cell>
          <cell r="K4388" t="str">
            <v>Federal University of Rio de Janeiro</v>
          </cell>
        </row>
        <row r="4389">
          <cell r="J4389">
            <v>56209151500</v>
          </cell>
          <cell r="K4389" t="str">
            <v>Federal University of Santa Catarina</v>
          </cell>
        </row>
        <row r="4390">
          <cell r="J4390">
            <v>53986506900</v>
          </cell>
          <cell r="K4390" t="str">
            <v>Federal University of Rio de Janeiro</v>
          </cell>
        </row>
        <row r="4391">
          <cell r="J4391">
            <v>56403176500</v>
          </cell>
          <cell r="K4391" t="str">
            <v>Universidade Estadual do Norte Fluminense</v>
          </cell>
        </row>
        <row r="4392">
          <cell r="J4392">
            <v>45161720500</v>
          </cell>
          <cell r="K4392" t="str">
            <v>Universidade Federal do Espírito Santo</v>
          </cell>
        </row>
        <row r="4393">
          <cell r="J4393">
            <v>59773187100</v>
          </cell>
          <cell r="K4393" t="str">
            <v>Universidade Federal de Pernambuco</v>
          </cell>
        </row>
        <row r="4394">
          <cell r="J4394">
            <v>6602813709</v>
          </cell>
          <cell r="K4394" t="str">
            <v>Federal University of Rio de Janeiro</v>
          </cell>
        </row>
        <row r="4395">
          <cell r="J4395">
            <v>57211438380</v>
          </cell>
          <cell r="K4395" t="str">
            <v>Universidade Federal do Espírito Santo</v>
          </cell>
        </row>
        <row r="4396">
          <cell r="J4396">
            <v>6602901601</v>
          </cell>
          <cell r="K4396" t="str">
            <v>Pontifical Catholic University of Rio de Janeiro</v>
          </cell>
        </row>
        <row r="4397">
          <cell r="J4397">
            <v>56940183900</v>
          </cell>
          <cell r="K4397" t="str">
            <v>Pesquisa e Inovação em Energia Eólica-NIEPIEE (+1 more)</v>
          </cell>
        </row>
        <row r="4398">
          <cell r="J4398">
            <v>57197835515</v>
          </cell>
          <cell r="K4398" t="str">
            <v>Fundação Gorceix</v>
          </cell>
        </row>
        <row r="4399">
          <cell r="J4399">
            <v>56857342100</v>
          </cell>
          <cell r="K4399" t="str">
            <v>Federal University of Santa Catarina</v>
          </cell>
        </row>
        <row r="4400">
          <cell r="J4400">
            <v>57219028914</v>
          </cell>
          <cell r="K4400" t="str">
            <v>Federal University of Santa Catarina</v>
          </cell>
        </row>
        <row r="4401">
          <cell r="J4401">
            <v>12795285500</v>
          </cell>
          <cell r="K4401" t="str">
            <v>Universidade Tiradentes</v>
          </cell>
        </row>
        <row r="4402">
          <cell r="J4402">
            <v>59921334800</v>
          </cell>
          <cell r="K4402" t="str">
            <v>Universidade de Brasília</v>
          </cell>
        </row>
        <row r="4403">
          <cell r="J4403">
            <v>7003399486</v>
          </cell>
          <cell r="K4403" t="str">
            <v>Comissão Nacional de Energia Nuclear</v>
          </cell>
        </row>
        <row r="4404">
          <cell r="J4404">
            <v>8427901500</v>
          </cell>
          <cell r="K4404" t="str">
            <v>Universidade de São Paulo</v>
          </cell>
        </row>
        <row r="4405">
          <cell r="J4405">
            <v>57219025546</v>
          </cell>
          <cell r="K4405" t="str">
            <v>Federal University of Santa Catarina</v>
          </cell>
        </row>
        <row r="4406">
          <cell r="J4406">
            <v>7102456231</v>
          </cell>
          <cell r="K4406" t="str">
            <v>LabOceano Wave Basin (+2 more)</v>
          </cell>
        </row>
        <row r="4407">
          <cell r="J4407">
            <v>57190568594</v>
          </cell>
          <cell r="K4407" t="str">
            <v>Federal University of Rio de Janeiro</v>
          </cell>
        </row>
        <row r="4408">
          <cell r="J4408">
            <v>12141669900</v>
          </cell>
          <cell r="K4408" t="str">
            <v>Universidade Federal de Goiás</v>
          </cell>
        </row>
        <row r="4409">
          <cell r="J4409">
            <v>57219140687</v>
          </cell>
          <cell r="K4409" t="str">
            <v>Pontifical Catholic University of Rio de Janeiro</v>
          </cell>
        </row>
        <row r="4410">
          <cell r="J4410">
            <v>57222239826</v>
          </cell>
          <cell r="K4410" t="str">
            <v>Vizlab - X-Reality and GeoInformatics Lab</v>
          </cell>
        </row>
        <row r="4411">
          <cell r="J4411">
            <v>8291605100</v>
          </cell>
          <cell r="K4411" t="str">
            <v>Universidade Federal de Alfenas</v>
          </cell>
        </row>
        <row r="4412">
          <cell r="J4412">
            <v>37662185100</v>
          </cell>
          <cell r="K4412" t="str">
            <v>Universidade de São Paulo</v>
          </cell>
        </row>
        <row r="4413">
          <cell r="J4413">
            <v>36144587800</v>
          </cell>
          <cell r="K4413" t="str">
            <v>Universidade Federal Fluminense (+1 more)</v>
          </cell>
        </row>
        <row r="4414">
          <cell r="J4414">
            <v>55915692000</v>
          </cell>
          <cell r="K4414" t="str">
            <v>Universidade Estadual Paulista “Júlio de Mesquita Filho”</v>
          </cell>
        </row>
        <row r="4415">
          <cell r="J4415">
            <v>57833419300</v>
          </cell>
          <cell r="K4415" t="str">
            <v>Federal University of Rio de Janeiro</v>
          </cell>
        </row>
        <row r="4416">
          <cell r="J4416">
            <v>57195035139</v>
          </cell>
          <cell r="K4416" t="str">
            <v>Federal University of Santa Catarina</v>
          </cell>
        </row>
        <row r="4417">
          <cell r="J4417">
            <v>60069134200</v>
          </cell>
          <cell r="K4417" t="str">
            <v>Universidade de São Paulo</v>
          </cell>
        </row>
        <row r="4418">
          <cell r="J4418">
            <v>26031672000</v>
          </cell>
          <cell r="K4418" t="str">
            <v>Universidade de São Paulo (+1 more)</v>
          </cell>
        </row>
        <row r="4419">
          <cell r="J4419">
            <v>57222279838</v>
          </cell>
          <cell r="K4419" t="str">
            <v>Universidade do Estado do Rio de Janeiro</v>
          </cell>
        </row>
        <row r="4420">
          <cell r="J4420">
            <v>55014687300</v>
          </cell>
          <cell r="K4420" t="str">
            <v>Universidade de São Paulo</v>
          </cell>
        </row>
        <row r="4421">
          <cell r="J4421">
            <v>57194774675</v>
          </cell>
          <cell r="K4421" t="str">
            <v>University of Campinas (+1 more)</v>
          </cell>
        </row>
        <row r="4422">
          <cell r="J4422">
            <v>35580866800</v>
          </cell>
          <cell r="K4422" t="str">
            <v>Federal University of Rio de Janeiro</v>
          </cell>
        </row>
        <row r="4423">
          <cell r="J4423">
            <v>57191245936</v>
          </cell>
          <cell r="K4423" t="str">
            <v>University of Campinas (+1 more)</v>
          </cell>
        </row>
        <row r="4424">
          <cell r="J4424">
            <v>57195804533</v>
          </cell>
          <cell r="K4424" t="str">
            <v>Universidade Federal de Goiás</v>
          </cell>
        </row>
        <row r="4425">
          <cell r="J4425">
            <v>50961625400</v>
          </cell>
          <cell r="K4425" t="str">
            <v>Pontifical Catholic University of Rio de Janeiro</v>
          </cell>
        </row>
        <row r="4426">
          <cell r="J4426">
            <v>57210324864</v>
          </cell>
          <cell r="K4426" t="str">
            <v>Ergostech Renewable Energy Solutions</v>
          </cell>
        </row>
        <row r="4427">
          <cell r="J4427">
            <v>55497430800</v>
          </cell>
          <cell r="K4427" t="str">
            <v>Universidade Federal dos Vales do Jequitinhonha e Mucuri</v>
          </cell>
        </row>
        <row r="4428">
          <cell r="J4428">
            <v>58677927000</v>
          </cell>
          <cell r="K4428" t="str">
            <v>Universidade Federal Fluminense</v>
          </cell>
        </row>
        <row r="4429">
          <cell r="J4429">
            <v>57044432000</v>
          </cell>
          <cell r="K4429" t="str">
            <v>Wood Group Engineering and Production Facilities Brasil LTDA (+3 more)</v>
          </cell>
        </row>
        <row r="4430">
          <cell r="J4430">
            <v>57032358800</v>
          </cell>
          <cell r="K4430" t="str">
            <v>Yazd University (+1 more)</v>
          </cell>
        </row>
        <row r="4431">
          <cell r="J4431">
            <v>37104923800</v>
          </cell>
          <cell r="K4431" t="str">
            <v>Universidade Federal Rural do Rio de Janeiro</v>
          </cell>
        </row>
        <row r="4432">
          <cell r="J4432">
            <v>56993764100</v>
          </cell>
          <cell r="K4432" t="str">
            <v>Federal University of Rio de Janeiro</v>
          </cell>
        </row>
        <row r="4433">
          <cell r="J4433">
            <v>57196444514</v>
          </cell>
          <cell r="K4433" t="str">
            <v>Universidade Federal de Juiz de Fora</v>
          </cell>
        </row>
        <row r="4434">
          <cell r="J4434">
            <v>6506942528</v>
          </cell>
          <cell r="K4434" t="str">
            <v>Universidade de São Paulo</v>
          </cell>
        </row>
        <row r="4435">
          <cell r="J4435">
            <v>58204893900</v>
          </cell>
          <cell r="K4435" t="str">
            <v>Universidade Estadual Paulista “Júlio de Mesquita Filho” (+1 more)</v>
          </cell>
        </row>
        <row r="4436">
          <cell r="J4436">
            <v>55936632700</v>
          </cell>
          <cell r="K4436" t="str">
            <v>Universidade de Brasília (+1 more)</v>
          </cell>
        </row>
        <row r="4437">
          <cell r="J4437">
            <v>57218543384</v>
          </cell>
          <cell r="K4437" t="str">
            <v>Universidade Tecnológica Federal do Paraná</v>
          </cell>
        </row>
        <row r="4438">
          <cell r="J4438">
            <v>7006604401</v>
          </cell>
          <cell r="K4438" t="str">
            <v>Universidade Tiradentes (+1 more)</v>
          </cell>
        </row>
        <row r="4439">
          <cell r="J4439">
            <v>55220701200</v>
          </cell>
          <cell r="K4439" t="str">
            <v>PRH-229 - UFRN</v>
          </cell>
        </row>
        <row r="4440">
          <cell r="J4440">
            <v>57218209054</v>
          </cell>
          <cell r="K4440" t="str">
            <v>Universidade Federal da Paraíba</v>
          </cell>
        </row>
        <row r="4441">
          <cell r="J4441">
            <v>57222331724</v>
          </cell>
          <cell r="K4441" t="str">
            <v>Universidade Federal de Pernambuco</v>
          </cell>
        </row>
        <row r="4442">
          <cell r="J4442">
            <v>57203130960</v>
          </cell>
          <cell r="K4442" t="str">
            <v>Vizlab - X-Reality and GeoInformatics Lab (+1 more)</v>
          </cell>
        </row>
        <row r="4443">
          <cell r="J4443">
            <v>57194209860</v>
          </cell>
          <cell r="K4443" t="str">
            <v>Universidade Federal do Rio Grande do Sul (+1 more)</v>
          </cell>
        </row>
        <row r="4444">
          <cell r="J4444">
            <v>59267097900</v>
          </cell>
          <cell r="K4444" t="str">
            <v>IFSP</v>
          </cell>
        </row>
        <row r="4445">
          <cell r="J4445">
            <v>57215863719</v>
          </cell>
          <cell r="K4445" t="str">
            <v>Universidade Estadual Paulista “Júlio de Mesquita Filho”</v>
          </cell>
        </row>
        <row r="4446">
          <cell r="J4446">
            <v>57329110800</v>
          </cell>
          <cell r="K4446" t="str">
            <v>DEMa</v>
          </cell>
        </row>
        <row r="4447">
          <cell r="J4447">
            <v>51864525000</v>
          </cell>
          <cell r="K4447" t="str">
            <v>Universidade Federal de Viçosa</v>
          </cell>
        </row>
        <row r="4448">
          <cell r="J4448">
            <v>57204177098</v>
          </cell>
          <cell r="K4448" t="str">
            <v>Universidade Federal do Rio Grande do Norte</v>
          </cell>
        </row>
        <row r="4449">
          <cell r="J4449">
            <v>57213194398</v>
          </cell>
          <cell r="K4449" t="str">
            <v>Vizlab - X-Reality and GeoInformatics Lab</v>
          </cell>
        </row>
        <row r="4450">
          <cell r="J4450">
            <v>7004904250</v>
          </cell>
          <cell r="K4450" t="str">
            <v>Federal University of Rio de Janeiro</v>
          </cell>
        </row>
        <row r="4451">
          <cell r="J4451">
            <v>6701831470</v>
          </cell>
          <cell r="K4451" t="str">
            <v>Instituto Nacional de Pesquisas Espaciais</v>
          </cell>
        </row>
        <row r="4452">
          <cell r="J4452">
            <v>55583943500</v>
          </cell>
          <cell r="K4452" t="str">
            <v>Universidade de São Paulo</v>
          </cell>
        </row>
        <row r="4453">
          <cell r="J4453">
            <v>7004725516</v>
          </cell>
          <cell r="K4453" t="str">
            <v>Universidade Federal Fluminense (+1 more)</v>
          </cell>
        </row>
        <row r="4454">
          <cell r="J4454">
            <v>57201419832</v>
          </cell>
          <cell r="K4454" t="str">
            <v>Transpetro (+1 more)</v>
          </cell>
        </row>
        <row r="4455">
          <cell r="J4455">
            <v>57208781741</v>
          </cell>
          <cell r="K4455" t="str">
            <v>Universidade Federal do Ceará</v>
          </cell>
        </row>
        <row r="4456">
          <cell r="J4456">
            <v>57204004815</v>
          </cell>
          <cell r="K4456" t="str">
            <v>Universidade Federal da Bahia</v>
          </cell>
        </row>
        <row r="4457">
          <cell r="J4457">
            <v>57205218599</v>
          </cell>
          <cell r="K4457" t="str">
            <v>Federal University of Rio de Janeiro</v>
          </cell>
        </row>
        <row r="4458">
          <cell r="J4458">
            <v>57217869682</v>
          </cell>
          <cell r="K4458" t="str">
            <v>Universidade Federal de Minas Gerais</v>
          </cell>
        </row>
        <row r="4459">
          <cell r="J4459">
            <v>57214721772</v>
          </cell>
          <cell r="K4459" t="str">
            <v>Universidade Federal de Goiás</v>
          </cell>
        </row>
        <row r="4460">
          <cell r="J4460">
            <v>56871036100</v>
          </cell>
          <cell r="K4460" t="str">
            <v>São Paulo State Secretariat of Environment (+1 more)</v>
          </cell>
        </row>
        <row r="4461">
          <cell r="J4461">
            <v>59243802100</v>
          </cell>
          <cell r="K4461" t="str">
            <v>Universidade Federal de Ouro Preto</v>
          </cell>
        </row>
        <row r="4462">
          <cell r="J4462">
            <v>57203904092</v>
          </cell>
          <cell r="K4462" t="str">
            <v>Pontifical Catholic University of Rio de Janeiro</v>
          </cell>
        </row>
        <row r="4463">
          <cell r="J4463">
            <v>58625875000</v>
          </cell>
          <cell r="K4463" t="str">
            <v>Universidade Federal de Viçosa</v>
          </cell>
        </row>
        <row r="4464">
          <cell r="J4464">
            <v>24077235900</v>
          </cell>
          <cell r="K4464" t="str">
            <v>Universidade Santa Cecília</v>
          </cell>
        </row>
        <row r="4465">
          <cell r="J4465">
            <v>55920027600</v>
          </cell>
          <cell r="K4465" t="str">
            <v>Vizlab - X-Reality and GeoInformatics Lab (+1 more)</v>
          </cell>
        </row>
        <row r="4466">
          <cell r="J4466">
            <v>26424813300</v>
          </cell>
          <cell r="K4466" t="str">
            <v>Serviço Nacional de Aprendizagem Industrial</v>
          </cell>
        </row>
        <row r="4467">
          <cell r="J4467">
            <v>35461542200</v>
          </cell>
          <cell r="K4467" t="str">
            <v>Universidade Tiradentes (+1 more)</v>
          </cell>
        </row>
        <row r="4468">
          <cell r="J4468">
            <v>56262325500</v>
          </cell>
          <cell r="K4468" t="str">
            <v>Universidade do Estado do Rio de Janeiro</v>
          </cell>
        </row>
        <row r="4469">
          <cell r="J4469">
            <v>37102684800</v>
          </cell>
          <cell r="K4469" t="str">
            <v>Federal University of Rio de Janeiro</v>
          </cell>
        </row>
        <row r="4470">
          <cell r="J4470">
            <v>58741320400</v>
          </cell>
          <cell r="K4470" t="str">
            <v>Universidade Federal de Alagoas</v>
          </cell>
        </row>
        <row r="4471">
          <cell r="J4471">
            <v>57195976411</v>
          </cell>
          <cell r="K4471" t="str">
            <v>Universidade Federal de São João del-Rei</v>
          </cell>
        </row>
        <row r="4472">
          <cell r="J4472">
            <v>57214387252</v>
          </cell>
          <cell r="K4472" t="str">
            <v>Federal University of Rio de Janeiro</v>
          </cell>
        </row>
        <row r="4473">
          <cell r="J4473">
            <v>56432028800</v>
          </cell>
          <cell r="K4473" t="str">
            <v>Universidade de São Paulo</v>
          </cell>
        </row>
        <row r="4474">
          <cell r="J4474">
            <v>57192807868</v>
          </cell>
          <cell r="K4474" t="str">
            <v>Federal University of Rio de Janeiro</v>
          </cell>
        </row>
        <row r="4475">
          <cell r="J4475">
            <v>55778441600</v>
          </cell>
          <cell r="K4475" t="str">
            <v>Fudan University (+1 more)</v>
          </cell>
        </row>
        <row r="4476">
          <cell r="J4476">
            <v>57211253598</v>
          </cell>
          <cell r="K4476" t="str">
            <v>DEMa</v>
          </cell>
        </row>
        <row r="4477">
          <cell r="J4477">
            <v>57204015151</v>
          </cell>
          <cell r="K4477" t="str">
            <v>Federal University of Rio de Janeiro</v>
          </cell>
        </row>
        <row r="4478">
          <cell r="J4478">
            <v>57196024441</v>
          </cell>
          <cell r="K4478" t="str">
            <v>Universidade Estadual Paulista “Júlio de Mesquita Filho” (+1 more)</v>
          </cell>
        </row>
        <row r="4479">
          <cell r="J4479">
            <v>55892460200</v>
          </cell>
          <cell r="K4479" t="str">
            <v>Universidade Tiradentes</v>
          </cell>
        </row>
        <row r="4480">
          <cell r="J4480">
            <v>55486051100</v>
          </cell>
          <cell r="K4480" t="str">
            <v>Universidade Tecnológica Federal do Paraná</v>
          </cell>
        </row>
        <row r="4481">
          <cell r="J4481">
            <v>57201401445</v>
          </cell>
          <cell r="K4481" t="str">
            <v>Universidade de São Paulo (+1 more)</v>
          </cell>
        </row>
        <row r="4482">
          <cell r="J4482">
            <v>58677923100</v>
          </cell>
          <cell r="K4482" t="str">
            <v>SIMWORX</v>
          </cell>
        </row>
        <row r="4483">
          <cell r="J4483">
            <v>37075656100</v>
          </cell>
          <cell r="K4483" t="str">
            <v>Laboratório Nacional Agropecuário (LANAGRO)</v>
          </cell>
        </row>
        <row r="4484">
          <cell r="J4484">
            <v>57118899800</v>
          </cell>
          <cell r="K4484" t="str">
            <v>Universidade Federal do Espírito Santo</v>
          </cell>
        </row>
        <row r="4485">
          <cell r="J4485">
            <v>57843418100</v>
          </cell>
          <cell r="K4485" t="str">
            <v>Federal University of Rio de Janeiro</v>
          </cell>
        </row>
        <row r="4486">
          <cell r="J4486">
            <v>36160615200</v>
          </cell>
          <cell r="K4486" t="str">
            <v>Universidade Federal Fluminense (+1 more)</v>
          </cell>
        </row>
        <row r="4487">
          <cell r="J4487">
            <v>32868178300</v>
          </cell>
          <cell r="K4487" t="str">
            <v>Universidade Federal Fluminense</v>
          </cell>
        </row>
        <row r="4488">
          <cell r="J4488">
            <v>57221100282</v>
          </cell>
          <cell r="K4488" t="str">
            <v>Federal University of Rio de Janeiro (+1 more)</v>
          </cell>
        </row>
        <row r="4489">
          <cell r="J4489">
            <v>57155864600</v>
          </cell>
          <cell r="K4489" t="str">
            <v>Universidade Federal do Espírito Santo</v>
          </cell>
        </row>
        <row r="4490">
          <cell r="J4490">
            <v>57193064242</v>
          </cell>
          <cell r="K4490" t="str">
            <v>Universidade Tecnológica Federal do Paraná (+1 more)</v>
          </cell>
        </row>
        <row r="4491">
          <cell r="J4491">
            <v>20434807900</v>
          </cell>
          <cell r="K4491" t="str">
            <v>SENAI Innovation Institute of Green Chemistry</v>
          </cell>
        </row>
        <row r="4492">
          <cell r="J4492">
            <v>59234804900</v>
          </cell>
          <cell r="K4492" t="str">
            <v>Universidade Federal do Espírito Santo</v>
          </cell>
        </row>
        <row r="4493">
          <cell r="J4493">
            <v>8911742100</v>
          </cell>
          <cell r="K4493" t="str">
            <v>Universidade Federal de Alagoas</v>
          </cell>
        </row>
        <row r="4494">
          <cell r="J4494">
            <v>57194452160</v>
          </cell>
          <cell r="K4494" t="str">
            <v>University of Campinas</v>
          </cell>
        </row>
        <row r="4495">
          <cell r="J4495">
            <v>57199986535</v>
          </cell>
          <cell r="K4495" t="str">
            <v>UniversidadeFederal de Alagoas (+1 more)</v>
          </cell>
        </row>
        <row r="4496">
          <cell r="J4496">
            <v>56313591900</v>
          </cell>
          <cell r="K4496" t="str">
            <v>University of Campinas</v>
          </cell>
        </row>
        <row r="4497">
          <cell r="J4497">
            <v>59548430400</v>
          </cell>
          <cell r="K4497" t="str">
            <v>Universidade Federal da Paraíba</v>
          </cell>
        </row>
        <row r="4498">
          <cell r="J4498">
            <v>59158049200</v>
          </cell>
          <cell r="K4498" t="str">
            <v>Universidade de São Paulo</v>
          </cell>
        </row>
        <row r="4499">
          <cell r="J4499">
            <v>57210642731</v>
          </cell>
          <cell r="K4499" t="str">
            <v>Pontifícia Universidade Católica do Rio Grande do Sul</v>
          </cell>
        </row>
        <row r="4500">
          <cell r="J4500">
            <v>57671324000</v>
          </cell>
          <cell r="K4500" t="str">
            <v>Universidade Federal de Minas Gerais</v>
          </cell>
        </row>
        <row r="4501">
          <cell r="J4501">
            <v>57210527839</v>
          </cell>
          <cell r="K4501" t="str">
            <v>Universidade Federal de Viçosa</v>
          </cell>
        </row>
        <row r="4502">
          <cell r="J4502">
            <v>56742905900</v>
          </cell>
          <cell r="K4502" t="str">
            <v>Universidade Tiradentes (+1 more)</v>
          </cell>
        </row>
        <row r="4503">
          <cell r="J4503">
            <v>57203282348</v>
          </cell>
          <cell r="K4503" t="str">
            <v>Núcleo de Estudo em Sistemas Coloidais (NUESC) / Instituto de Tecnologia e Pesquisa (ITP) (+1 more)</v>
          </cell>
        </row>
        <row r="4504">
          <cell r="J4504">
            <v>57214914685</v>
          </cell>
          <cell r="K4504" t="str">
            <v>Pontifical Catholic University of Rio de Janeiro</v>
          </cell>
        </row>
        <row r="4505">
          <cell r="J4505">
            <v>35757796600</v>
          </cell>
          <cell r="K4505" t="str">
            <v>Universidade Federal Fluminense</v>
          </cell>
        </row>
        <row r="4506">
          <cell r="J4506">
            <v>57218499029</v>
          </cell>
          <cell r="K4506" t="str">
            <v>Universidade Federal do Espírito Santo</v>
          </cell>
        </row>
        <row r="4507">
          <cell r="J4507">
            <v>57224519421</v>
          </cell>
          <cell r="K4507" t="str">
            <v>Universidade Federal de São João del-Rei (+1 more)</v>
          </cell>
        </row>
        <row r="4508">
          <cell r="J4508">
            <v>57202763834</v>
          </cell>
          <cell r="K4508" t="str">
            <v>Pontifical Catholic University of Rio de Janeiro</v>
          </cell>
        </row>
        <row r="4509">
          <cell r="J4509">
            <v>59299639600</v>
          </cell>
          <cell r="K4509" t="str">
            <v>Universidade do Estado do Rio de Janeiro</v>
          </cell>
        </row>
        <row r="4510">
          <cell r="J4510">
            <v>57200640556</v>
          </cell>
          <cell r="K4510" t="str">
            <v>Universidade Federal da Paraíba</v>
          </cell>
        </row>
        <row r="4511">
          <cell r="J4511">
            <v>57217474320</v>
          </cell>
          <cell r="K4511" t="str">
            <v>Empresa Brasileira de Pesquisa Agropecuária</v>
          </cell>
        </row>
        <row r="4512">
          <cell r="J4512">
            <v>35508548500</v>
          </cell>
          <cell r="K4512" t="str">
            <v>Federal University of Santa Catarina</v>
          </cell>
        </row>
        <row r="4513">
          <cell r="J4513">
            <v>59234433800</v>
          </cell>
          <cell r="K4513" t="str">
            <v>Federal University of Pará</v>
          </cell>
        </row>
        <row r="4514">
          <cell r="J4514">
            <v>59158302000</v>
          </cell>
          <cell r="K4514" t="str">
            <v>Universidade Federal Fluminense</v>
          </cell>
        </row>
        <row r="4515">
          <cell r="J4515">
            <v>55470260900</v>
          </cell>
          <cell r="K4515" t="str">
            <v>Universidade Federal do Espírito Santo (+3 more)</v>
          </cell>
        </row>
        <row r="4516">
          <cell r="J4516">
            <v>59509629600</v>
          </cell>
          <cell r="K4516" t="str">
            <v>Federal University of Rio de Janeiro</v>
          </cell>
        </row>
        <row r="4517">
          <cell r="J4517">
            <v>57199695548</v>
          </cell>
          <cell r="K4517" t="str">
            <v>Universidade Federal de Uberlândia</v>
          </cell>
        </row>
        <row r="4518">
          <cell r="J4518">
            <v>57220083742</v>
          </cell>
          <cell r="K4518" t="str">
            <v>Pontifícia Universidade Católica do Rio Grande do Sul</v>
          </cell>
        </row>
        <row r="4519">
          <cell r="J4519">
            <v>36009196900</v>
          </cell>
          <cell r="K4519" t="str">
            <v>Universidade Tecnológica Federal do Paraná</v>
          </cell>
        </row>
        <row r="4520">
          <cell r="J4520">
            <v>57220551149</v>
          </cell>
          <cell r="K4520" t="str">
            <v>Federal University of Rio de Janeiro</v>
          </cell>
        </row>
        <row r="4521">
          <cell r="J4521">
            <v>55990700500</v>
          </cell>
          <cell r="K4521" t="str">
            <v>Universidade Federal de Pernambuco</v>
          </cell>
        </row>
        <row r="4522">
          <cell r="J4522">
            <v>60151496100</v>
          </cell>
          <cell r="K4522" t="str">
            <v>Universidade Federal Fluminense</v>
          </cell>
        </row>
        <row r="4523">
          <cell r="J4523">
            <v>7201374995</v>
          </cell>
          <cell r="K4523" t="str">
            <v>Universidade de Brasília</v>
          </cell>
        </row>
        <row r="4524">
          <cell r="J4524">
            <v>57944127200</v>
          </cell>
          <cell r="K4524" t="str">
            <v>Universidade de São Paulo</v>
          </cell>
        </row>
        <row r="4525">
          <cell r="J4525">
            <v>55491136200</v>
          </cell>
          <cell r="K4525" t="str">
            <v>DEMa</v>
          </cell>
        </row>
        <row r="4526">
          <cell r="J4526">
            <v>55900714900</v>
          </cell>
          <cell r="K4526" t="str">
            <v>Universidade de São Paulo (+2 more)</v>
          </cell>
        </row>
        <row r="4527">
          <cell r="J4527">
            <v>55983274800</v>
          </cell>
          <cell r="K4527" t="str">
            <v>Petrosoft Design</v>
          </cell>
        </row>
        <row r="4528">
          <cell r="J4528">
            <v>36081061300</v>
          </cell>
          <cell r="K4528" t="str">
            <v>University of Campinas</v>
          </cell>
        </row>
        <row r="4529">
          <cell r="J4529">
            <v>57189593526</v>
          </cell>
          <cell r="K4529" t="str">
            <v>Pontifícia Universidade Católica do Rio Grande do Sul</v>
          </cell>
        </row>
        <row r="4530">
          <cell r="J4530">
            <v>57192208478</v>
          </cell>
          <cell r="K4530" t="str">
            <v>University of Campinas</v>
          </cell>
        </row>
        <row r="4531">
          <cell r="J4531">
            <v>57219128909</v>
          </cell>
          <cell r="K4531" t="str">
            <v>Universidade Federal Rural do Rio de Janeiro</v>
          </cell>
        </row>
        <row r="4532">
          <cell r="J4532">
            <v>57224992511</v>
          </cell>
          <cell r="K4532" t="str">
            <v>Universidade Federal do Rio Grande do Norte</v>
          </cell>
        </row>
        <row r="4533">
          <cell r="J4533">
            <v>57202707200</v>
          </cell>
          <cell r="K4533" t="str">
            <v>Universidade do Estado do Rio de Janeiro (+3 more)</v>
          </cell>
        </row>
        <row r="4534">
          <cell r="J4534">
            <v>57217155322</v>
          </cell>
          <cell r="K4534" t="str">
            <v>University of Campinas</v>
          </cell>
        </row>
        <row r="4535">
          <cell r="J4535">
            <v>57200631203</v>
          </cell>
          <cell r="K4535" t="str">
            <v>Federal University of Rio de Janeiro</v>
          </cell>
        </row>
        <row r="4536">
          <cell r="J4536">
            <v>14833107600</v>
          </cell>
          <cell r="K4536" t="str">
            <v>DEMa</v>
          </cell>
        </row>
        <row r="4537">
          <cell r="J4537">
            <v>6602450919</v>
          </cell>
          <cell r="K4537" t="str">
            <v>Centro Brasileiro de Pesquisas Físicas</v>
          </cell>
        </row>
        <row r="4538">
          <cell r="J4538">
            <v>6506305946</v>
          </cell>
          <cell r="K4538" t="str">
            <v>University of Campinas</v>
          </cell>
        </row>
        <row r="4539">
          <cell r="J4539">
            <v>57225318219</v>
          </cell>
          <cell r="K4539" t="str">
            <v>Universidade Federal do Rio Grande do Sul</v>
          </cell>
        </row>
        <row r="4540">
          <cell r="J4540">
            <v>56115264500</v>
          </cell>
          <cell r="K4540" t="str">
            <v>Federal University of Santa Catarina</v>
          </cell>
        </row>
        <row r="4541">
          <cell r="J4541">
            <v>55382965000</v>
          </cell>
          <cell r="K4541" t="str">
            <v>Universidade de São Paulo</v>
          </cell>
        </row>
        <row r="4542">
          <cell r="J4542">
            <v>54394184300</v>
          </cell>
          <cell r="K4542" t="str">
            <v>Universidade de São Paulo</v>
          </cell>
        </row>
        <row r="4543">
          <cell r="J4543">
            <v>7410397953</v>
          </cell>
          <cell r="K4543" t="str">
            <v>Universidade Federal da Bahia</v>
          </cell>
        </row>
        <row r="4544">
          <cell r="J4544">
            <v>37098938600</v>
          </cell>
          <cell r="K4544" t="str">
            <v>Universidade Regional Integrada do Alto Uruguai e das Missões</v>
          </cell>
        </row>
        <row r="4545">
          <cell r="J4545">
            <v>55256048000</v>
          </cell>
          <cell r="K4545" t="str">
            <v>Universidade de São Paulo (+1 more)</v>
          </cell>
        </row>
        <row r="4546">
          <cell r="J4546">
            <v>56940104900</v>
          </cell>
          <cell r="K4546" t="str">
            <v>University of Campinas</v>
          </cell>
        </row>
        <row r="4547">
          <cell r="J4547">
            <v>36521737000</v>
          </cell>
          <cell r="K4547" t="str">
            <v>University of Campinas</v>
          </cell>
        </row>
        <row r="4548">
          <cell r="J4548">
            <v>55489013500</v>
          </cell>
          <cell r="K4548" t="str">
            <v>Universidade de São Paulo (+1 more)</v>
          </cell>
        </row>
        <row r="4549">
          <cell r="J4549">
            <v>15840884400</v>
          </cell>
          <cell r="K4549" t="str">
            <v>Universidade de São Paulo</v>
          </cell>
        </row>
        <row r="4550">
          <cell r="J4550">
            <v>49261174500</v>
          </cell>
          <cell r="K4550" t="str">
            <v>Pontifícia Universidade Católica do Rio Grande do Sul</v>
          </cell>
        </row>
        <row r="4551">
          <cell r="J4551">
            <v>57188711784</v>
          </cell>
          <cell r="K4551" t="str">
            <v>University of Campinas</v>
          </cell>
        </row>
        <row r="4552">
          <cell r="J4552">
            <v>58736189600</v>
          </cell>
          <cell r="K4552" t="str">
            <v>Vizlab - X-Reality and GeoInformatics Lab</v>
          </cell>
        </row>
        <row r="4553">
          <cell r="J4553">
            <v>57202288468</v>
          </cell>
          <cell r="K4553" t="str">
            <v>Pontifical Catholic University of Rio de Janeiro</v>
          </cell>
        </row>
        <row r="4554">
          <cell r="J4554">
            <v>7004534376</v>
          </cell>
          <cell r="K4554" t="str">
            <v>Universidade Federal do Rio Grande do Sul (+1 more)</v>
          </cell>
        </row>
        <row r="4555">
          <cell r="J4555">
            <v>7005706428</v>
          </cell>
          <cell r="K4555" t="str">
            <v>Universidade Federal Rural do Rio de Janeiro (+3 more)</v>
          </cell>
        </row>
        <row r="4556">
          <cell r="J4556">
            <v>58562153200</v>
          </cell>
          <cell r="K4556" t="str">
            <v>Universidade Federal do Rio Grande do Sul</v>
          </cell>
        </row>
        <row r="4557">
          <cell r="J4557">
            <v>60151766100</v>
          </cell>
          <cell r="K4557" t="str">
            <v>Pontifical Catholic University of Rio de Janeiro</v>
          </cell>
        </row>
        <row r="4558">
          <cell r="J4558">
            <v>35866473000</v>
          </cell>
          <cell r="K4558" t="str">
            <v>Universidade Federal do Rio Grande do Sul</v>
          </cell>
        </row>
        <row r="4559">
          <cell r="J4559">
            <v>16176505900</v>
          </cell>
          <cell r="K4559" t="str">
            <v>Universidade Federal do Espírito Santo</v>
          </cell>
        </row>
        <row r="4560">
          <cell r="J4560">
            <v>55907009500</v>
          </cell>
          <cell r="K4560" t="str">
            <v>University of Campinas</v>
          </cell>
        </row>
        <row r="4561">
          <cell r="J4561">
            <v>57202285141</v>
          </cell>
          <cell r="K4561" t="str">
            <v>Pontifical Catholic University of Rio de Janeiro</v>
          </cell>
        </row>
        <row r="4562">
          <cell r="J4562">
            <v>39362327200</v>
          </cell>
          <cell r="K4562" t="str">
            <v>Universidade de São Paulo (+1 more)</v>
          </cell>
        </row>
        <row r="4563">
          <cell r="J4563">
            <v>7005088724</v>
          </cell>
          <cell r="K4563" t="str">
            <v>University of Campinas (+1 more)</v>
          </cell>
        </row>
        <row r="4564">
          <cell r="J4564">
            <v>57198846320</v>
          </cell>
          <cell r="K4564" t="str">
            <v>University of Campinas (+1 more)</v>
          </cell>
        </row>
        <row r="4565">
          <cell r="J4565">
            <v>57193120301</v>
          </cell>
          <cell r="K4565" t="str">
            <v>Universidade Federal do Paraná</v>
          </cell>
        </row>
        <row r="4566">
          <cell r="J4566">
            <v>7201439365</v>
          </cell>
          <cell r="K4566" t="str">
            <v>Federal University of Rio de Janeiro</v>
          </cell>
        </row>
        <row r="4567">
          <cell r="J4567">
            <v>59574178200</v>
          </cell>
          <cell r="K4567" t="str">
            <v>Federal University of Rio de Janeiro</v>
          </cell>
        </row>
        <row r="4568">
          <cell r="J4568">
            <v>6602492499</v>
          </cell>
          <cell r="K4568" t="str">
            <v>Universidade Federal do Rio Grande do Sul</v>
          </cell>
        </row>
        <row r="4569">
          <cell r="J4569">
            <v>59861742300</v>
          </cell>
          <cell r="K4569" t="str">
            <v>Universidade de Brasília</v>
          </cell>
        </row>
        <row r="4570">
          <cell r="J4570">
            <v>55640494500</v>
          </cell>
          <cell r="K4570" t="str">
            <v>Universidade Tiradentes (+1 more)</v>
          </cell>
        </row>
        <row r="4571">
          <cell r="J4571">
            <v>7404423519</v>
          </cell>
          <cell r="K4571" t="str">
            <v>Universidade de São Paulo</v>
          </cell>
        </row>
        <row r="4572">
          <cell r="J4572">
            <v>37089301000</v>
          </cell>
          <cell r="K4572" t="str">
            <v>Federal University of Santa Catarina</v>
          </cell>
        </row>
        <row r="4573">
          <cell r="J4573">
            <v>57214536244</v>
          </cell>
          <cell r="K4573" t="str">
            <v>Federal University of Santa Catarina</v>
          </cell>
        </row>
        <row r="4574">
          <cell r="J4574">
            <v>57188701356</v>
          </cell>
          <cell r="K4574" t="str">
            <v>Universidade Federal do Rio Grande do Sul</v>
          </cell>
        </row>
        <row r="4575">
          <cell r="J4575">
            <v>56001470700</v>
          </cell>
          <cell r="K4575" t="str">
            <v>Universidade Federal da Bahia</v>
          </cell>
        </row>
        <row r="4576">
          <cell r="J4576">
            <v>58904207300</v>
          </cell>
          <cell r="K4576" t="str">
            <v>SENAI Innovation Institute for Embedded Systems</v>
          </cell>
        </row>
        <row r="4577">
          <cell r="J4577">
            <v>57222115235</v>
          </cell>
          <cell r="K4577" t="str">
            <v>Universidade de São Paulo</v>
          </cell>
        </row>
        <row r="4578">
          <cell r="J4578">
            <v>57224503227</v>
          </cell>
          <cell r="K4578" t="str">
            <v>Federal University of Rio de Janeiro</v>
          </cell>
        </row>
        <row r="4579">
          <cell r="J4579">
            <v>7202476487</v>
          </cell>
          <cell r="K4579" t="str">
            <v>Universidade Federal do Rio Grande do Sul</v>
          </cell>
        </row>
        <row r="4580">
          <cell r="J4580">
            <v>58900339800</v>
          </cell>
          <cell r="K4580" t="str">
            <v>Universidade Federal do Rio Grande do Sul</v>
          </cell>
        </row>
        <row r="4581">
          <cell r="J4581">
            <v>57217782610</v>
          </cell>
          <cell r="K4581" t="str">
            <v>Universidade Federal de Santa Maria</v>
          </cell>
        </row>
        <row r="4582">
          <cell r="J4582">
            <v>55856682800</v>
          </cell>
          <cell r="K4582" t="str">
            <v>Pontifícia Universidade Católica do Rio Grande do Sul</v>
          </cell>
        </row>
        <row r="4583">
          <cell r="J4583">
            <v>57205513127</v>
          </cell>
          <cell r="K4583" t="str">
            <v>Pontifícia Universidade Católica do Rio Grande do Sul</v>
          </cell>
        </row>
        <row r="4584">
          <cell r="J4584">
            <v>55672910200</v>
          </cell>
          <cell r="K4584" t="str">
            <v>Universidade Federal do Rio Grande do Norte</v>
          </cell>
        </row>
        <row r="4585">
          <cell r="J4585">
            <v>7201885423</v>
          </cell>
          <cell r="K4585" t="str">
            <v>Universidade Federal de Minas Gerais</v>
          </cell>
        </row>
        <row r="4586">
          <cell r="J4586">
            <v>54895155800</v>
          </cell>
          <cell r="K4586" t="str">
            <v>Federal University of Santa Catarina</v>
          </cell>
        </row>
        <row r="4587">
          <cell r="J4587">
            <v>6603835448</v>
          </cell>
          <cell r="K4587" t="str">
            <v>Pontifical Catholic University of Rio de Janeiro (+1 more)</v>
          </cell>
        </row>
        <row r="4588">
          <cell r="J4588">
            <v>60095841800</v>
          </cell>
          <cell r="K4588" t="str">
            <v>Universidade Tecnológica Federal do Paraná</v>
          </cell>
        </row>
        <row r="4589">
          <cell r="J4589">
            <v>56244653000</v>
          </cell>
          <cell r="K4589" t="str">
            <v>Universidade Federal do Rio Grande do Sul (+1 more)</v>
          </cell>
        </row>
        <row r="4590">
          <cell r="J4590">
            <v>6508195763</v>
          </cell>
          <cell r="K4590" t="str">
            <v>Pontifícia Universidade Católica do Rio Grande do Sul (+1 more)</v>
          </cell>
        </row>
        <row r="4591">
          <cell r="J4591">
            <v>56925594100</v>
          </cell>
          <cell r="K4591" t="str">
            <v>Federal University of Rio de Janeiro</v>
          </cell>
        </row>
        <row r="4592">
          <cell r="J4592">
            <v>57253861900</v>
          </cell>
          <cell r="K4592" t="str">
            <v>Federal University of Rio de Janeiro</v>
          </cell>
        </row>
        <row r="4593">
          <cell r="J4593">
            <v>13605426000</v>
          </cell>
          <cell r="K4593" t="str">
            <v>Federal University of Rio de Janeiro</v>
          </cell>
        </row>
        <row r="4594">
          <cell r="J4594">
            <v>58757686700</v>
          </cell>
          <cell r="K4594" t="str">
            <v>Federal University of Santa Catarina</v>
          </cell>
        </row>
        <row r="4595">
          <cell r="J4595">
            <v>59270240500</v>
          </cell>
          <cell r="K4595" t="str">
            <v>Federal University of Santa Catarina</v>
          </cell>
        </row>
        <row r="4596">
          <cell r="J4596">
            <v>55608292500</v>
          </cell>
          <cell r="K4596" t="str">
            <v>University of Vale Itajaí (+3 more)</v>
          </cell>
        </row>
        <row r="4597">
          <cell r="J4597">
            <v>59006920800</v>
          </cell>
          <cell r="K4597" t="str">
            <v>Federal University of Rio de Janeiro</v>
          </cell>
        </row>
        <row r="4598">
          <cell r="J4598">
            <v>57205376371</v>
          </cell>
          <cell r="K4598" t="str">
            <v>Universidade Federal de Minas Gerais</v>
          </cell>
        </row>
        <row r="4599">
          <cell r="J4599">
            <v>57224521840</v>
          </cell>
          <cell r="K4599" t="str">
            <v>Universidade Federal de São João del-Rei</v>
          </cell>
        </row>
        <row r="4600">
          <cell r="J4600">
            <v>57208322308</v>
          </cell>
          <cell r="K4600" t="str">
            <v>Universidade Federal de Santa Maria</v>
          </cell>
        </row>
        <row r="4601">
          <cell r="J4601">
            <v>8319774000</v>
          </cell>
          <cell r="K4601" t="str">
            <v>Federal University of Rio de Janeiro</v>
          </cell>
        </row>
        <row r="4602">
          <cell r="J4602">
            <v>57208510829</v>
          </cell>
          <cell r="K4602" t="str">
            <v>Universidade Federal de São João del-Rei</v>
          </cell>
        </row>
        <row r="4603">
          <cell r="J4603">
            <v>57208569414</v>
          </cell>
          <cell r="K4603" t="str">
            <v>Federal University of Rio de Janeiro</v>
          </cell>
        </row>
        <row r="4604">
          <cell r="J4604">
            <v>55968243400</v>
          </cell>
          <cell r="K4604" t="str">
            <v>Universidade Tiradentes (+2 more)</v>
          </cell>
        </row>
        <row r="4605">
          <cell r="J4605">
            <v>57201400664</v>
          </cell>
          <cell r="K4605" t="str">
            <v>Petróleo Brasileiro S.A. (+1 more)</v>
          </cell>
        </row>
        <row r="4606">
          <cell r="J4606">
            <v>58577686800</v>
          </cell>
          <cell r="K4606" t="str">
            <v>Pontifical Catholic University of Rio de Janeiro</v>
          </cell>
        </row>
        <row r="4607">
          <cell r="J4607">
            <v>7006464535</v>
          </cell>
          <cell r="K4607" t="str">
            <v>Universidade Estadual Paulista “Júlio de Mesquita Filho” (+1 more)</v>
          </cell>
        </row>
        <row r="4608">
          <cell r="J4608">
            <v>6507984178</v>
          </cell>
          <cell r="K4608" t="str">
            <v>Federal University of Rio de Janeiro</v>
          </cell>
        </row>
        <row r="4609">
          <cell r="J4609">
            <v>56560123400</v>
          </cell>
          <cell r="K4609" t="str">
            <v>Universidade Federal Rural do Rio de Janeiro</v>
          </cell>
        </row>
        <row r="4610">
          <cell r="J4610">
            <v>55639193400</v>
          </cell>
          <cell r="K4610" t="str">
            <v>Universidade Federal de Goiás</v>
          </cell>
        </row>
        <row r="4611">
          <cell r="J4611">
            <v>55861473200</v>
          </cell>
          <cell r="K4611" t="str">
            <v>Federal University of Rio de Janeiro</v>
          </cell>
        </row>
        <row r="4612">
          <cell r="J4612">
            <v>56040192300</v>
          </cell>
          <cell r="K4612" t="str">
            <v>University of Campinas</v>
          </cell>
        </row>
        <row r="4613">
          <cell r="J4613">
            <v>59748642300</v>
          </cell>
          <cell r="K4613" t="str">
            <v>PUC-Rio</v>
          </cell>
        </row>
        <row r="4614">
          <cell r="J4614">
            <v>54791365700</v>
          </cell>
          <cell r="K4614" t="str">
            <v>Universidade de São Paulo</v>
          </cell>
        </row>
        <row r="4615">
          <cell r="J4615">
            <v>56393969400</v>
          </cell>
          <cell r="K4615" t="str">
            <v>Centro Nacional de Pesquisa em Energia e Materiais</v>
          </cell>
        </row>
        <row r="4616">
          <cell r="J4616">
            <v>7004048108</v>
          </cell>
          <cell r="K4616" t="str">
            <v>Universidade Federal do Pernambuco Departamento de Geologia (+1 more)</v>
          </cell>
        </row>
        <row r="4617">
          <cell r="J4617">
            <v>16319849900</v>
          </cell>
          <cell r="K4617" t="str">
            <v>Universidade Federal Fluminense</v>
          </cell>
        </row>
        <row r="4618">
          <cell r="J4618">
            <v>57209108341</v>
          </cell>
          <cell r="K4618" t="str">
            <v>Federal University of Rio de Janeiro</v>
          </cell>
        </row>
        <row r="4619">
          <cell r="J4619">
            <v>17346476400</v>
          </cell>
          <cell r="K4619" t="str">
            <v>Universidade do Estado de Santa Catarina (+1 more)</v>
          </cell>
        </row>
        <row r="4620">
          <cell r="J4620">
            <v>56070997300</v>
          </cell>
          <cell r="K4620" t="str">
            <v>University of Campinas (+1 more)</v>
          </cell>
        </row>
        <row r="4621">
          <cell r="J4621">
            <v>55489860400</v>
          </cell>
          <cell r="K4621" t="str">
            <v>Universidade de São Paulo</v>
          </cell>
        </row>
        <row r="4622">
          <cell r="J4622">
            <v>56326319800</v>
          </cell>
          <cell r="K4622" t="str">
            <v>Federal University of Rio de Janeiro</v>
          </cell>
        </row>
        <row r="4623">
          <cell r="J4623">
            <v>56578716300</v>
          </cell>
          <cell r="K4623" t="str">
            <v>Universidade Federal do Rio Grande do Sul</v>
          </cell>
        </row>
        <row r="4624">
          <cell r="J4624">
            <v>59449145700</v>
          </cell>
          <cell r="K4624" t="str">
            <v>Pontifical Catholic University of Rio de Janeiro</v>
          </cell>
        </row>
        <row r="4625">
          <cell r="J4625">
            <v>60086785500</v>
          </cell>
          <cell r="K4625" t="str">
            <v>Universidade de São Paulo</v>
          </cell>
        </row>
        <row r="4626">
          <cell r="J4626">
            <v>59895491900</v>
          </cell>
          <cell r="K4626" t="str">
            <v>Universidade Federal de Alagoas</v>
          </cell>
        </row>
        <row r="4627">
          <cell r="J4627">
            <v>57198695159</v>
          </cell>
          <cell r="K4627" t="str">
            <v>Universidade Federal Fluminense (+1 more)</v>
          </cell>
        </row>
        <row r="4628">
          <cell r="J4628">
            <v>25634934600</v>
          </cell>
          <cell r="K4628" t="str">
            <v>Federal University of Rio de Janeiro</v>
          </cell>
        </row>
        <row r="4629">
          <cell r="J4629">
            <v>55826393300</v>
          </cell>
          <cell r="K4629" t="str">
            <v>Universidade de São Paulo (+1 more)</v>
          </cell>
        </row>
        <row r="4630">
          <cell r="J4630">
            <v>57578219400</v>
          </cell>
          <cell r="K4630" t="str">
            <v>Universidade de São Paulo</v>
          </cell>
        </row>
        <row r="4631">
          <cell r="J4631">
            <v>57225937195</v>
          </cell>
          <cell r="K4631" t="str">
            <v>Universidade Federal de Campina Grande</v>
          </cell>
        </row>
        <row r="4632">
          <cell r="J4632">
            <v>56828550500</v>
          </cell>
          <cell r="K4632" t="str">
            <v>Federal University of Rio de Janeiro</v>
          </cell>
        </row>
        <row r="4633">
          <cell r="J4633">
            <v>57207964267</v>
          </cell>
          <cell r="K4633" t="str">
            <v>Universidade Federal do Piauí</v>
          </cell>
        </row>
        <row r="4634">
          <cell r="J4634">
            <v>57214829731</v>
          </cell>
          <cell r="K4634" t="str">
            <v>Senai-SC (+1 more)</v>
          </cell>
        </row>
        <row r="4635">
          <cell r="J4635">
            <v>59961526300</v>
          </cell>
          <cell r="K4635" t="str">
            <v>Universidade Federal Fluminense–UFF/PGMEC (+1 more)</v>
          </cell>
        </row>
        <row r="4636">
          <cell r="J4636">
            <v>58730548600</v>
          </cell>
          <cell r="K4636" t="str">
            <v>Instituto Nacional de Tecnologia</v>
          </cell>
        </row>
        <row r="4637">
          <cell r="J4637">
            <v>57220715773</v>
          </cell>
          <cell r="K4637" t="str">
            <v>Universidade Federal do Rio Grande do Sul</v>
          </cell>
        </row>
        <row r="4638">
          <cell r="J4638">
            <v>59466738300</v>
          </cell>
          <cell r="K4638" t="str">
            <v>University of Campinas (+1 more)</v>
          </cell>
        </row>
        <row r="4639">
          <cell r="J4639">
            <v>57200935667</v>
          </cell>
          <cell r="K4639" t="str">
            <v>Universidade Federal de Juiz de Fora</v>
          </cell>
        </row>
        <row r="4640">
          <cell r="J4640">
            <v>57217725652</v>
          </cell>
          <cell r="K4640" t="str">
            <v>Universidade Federal de Minas Gerais</v>
          </cell>
        </row>
        <row r="4641">
          <cell r="J4641">
            <v>57444427600</v>
          </cell>
          <cell r="K4641" t="str">
            <v>Federal University of Pará</v>
          </cell>
        </row>
        <row r="4642">
          <cell r="J4642">
            <v>57196423255</v>
          </cell>
          <cell r="K4642" t="str">
            <v>DEMa</v>
          </cell>
        </row>
        <row r="4643">
          <cell r="J4643">
            <v>57197275908</v>
          </cell>
          <cell r="K4643" t="str">
            <v>Federal University of Rio de Janeiro</v>
          </cell>
        </row>
        <row r="4644">
          <cell r="J4644">
            <v>57212431597</v>
          </cell>
          <cell r="K4644" t="str">
            <v>Universidade Federal da Bahia (+1 more)</v>
          </cell>
        </row>
        <row r="4645">
          <cell r="J4645">
            <v>57199742975</v>
          </cell>
          <cell r="K4645" t="str">
            <v>Federal University of Rio de Janeiro</v>
          </cell>
        </row>
        <row r="4646">
          <cell r="J4646">
            <v>56396065400</v>
          </cell>
          <cell r="K4646" t="str">
            <v>Universidade de São Paulo</v>
          </cell>
        </row>
        <row r="4647">
          <cell r="J4647">
            <v>57188881188</v>
          </cell>
          <cell r="K4647" t="str">
            <v>Federal University of Rio de Janeiro</v>
          </cell>
        </row>
        <row r="4648">
          <cell r="J4648">
            <v>21644478300</v>
          </cell>
          <cell r="K4648" t="str">
            <v>University of Campinas</v>
          </cell>
        </row>
        <row r="4649">
          <cell r="J4649">
            <v>57196393894</v>
          </cell>
          <cell r="K4649" t="str">
            <v>Federal University of Rio de Janeiro</v>
          </cell>
        </row>
        <row r="4650">
          <cell r="J4650">
            <v>7201387222</v>
          </cell>
          <cell r="K4650" t="str">
            <v>Universidade Federal de Viçosa</v>
          </cell>
        </row>
        <row r="4651">
          <cell r="J4651">
            <v>56314981400</v>
          </cell>
          <cell r="K4651" t="str">
            <v>Universidade Federal do Ceará (+1 more)</v>
          </cell>
        </row>
        <row r="4652">
          <cell r="J4652">
            <v>56314981600</v>
          </cell>
          <cell r="K4652" t="str">
            <v>Universidade Federal Fluminense</v>
          </cell>
        </row>
        <row r="4653">
          <cell r="J4653">
            <v>55324027700</v>
          </cell>
          <cell r="K4653" t="str">
            <v>University of Campinas (+3 more)</v>
          </cell>
        </row>
        <row r="4654">
          <cell r="J4654">
            <v>57253094100</v>
          </cell>
          <cell r="K4654" t="str">
            <v>Universidade Federal de Campina Grande</v>
          </cell>
        </row>
        <row r="4655">
          <cell r="J4655">
            <v>57212174505</v>
          </cell>
          <cell r="K4655" t="str">
            <v>Federal University of Pará</v>
          </cell>
        </row>
        <row r="4656">
          <cell r="J4656">
            <v>56163445600</v>
          </cell>
          <cell r="K4656" t="str">
            <v>Universidade Federal do Rio Grande do Norte</v>
          </cell>
        </row>
        <row r="4657">
          <cell r="J4657">
            <v>55158520800</v>
          </cell>
          <cell r="K4657" t="str">
            <v>Federal University of Rio de Janeiro</v>
          </cell>
        </row>
        <row r="4658">
          <cell r="J4658">
            <v>57198848067</v>
          </cell>
          <cell r="K4658" t="str">
            <v>Universidade Federal de Alagoas</v>
          </cell>
        </row>
        <row r="4659">
          <cell r="J4659">
            <v>55189471500</v>
          </cell>
          <cell r="K4659" t="str">
            <v>FIEMG</v>
          </cell>
        </row>
        <row r="4660">
          <cell r="J4660">
            <v>57204571338</v>
          </cell>
          <cell r="K4660" t="str">
            <v>LNDC-COPPE-UFRJ (+1 more)</v>
          </cell>
        </row>
        <row r="4661">
          <cell r="J4661">
            <v>57190582829</v>
          </cell>
          <cell r="K4661" t="str">
            <v>Federal University of Santa Catarina</v>
          </cell>
        </row>
        <row r="4662">
          <cell r="J4662">
            <v>56427065100</v>
          </cell>
          <cell r="K4662" t="str">
            <v>Universidade Federal Fluminense</v>
          </cell>
        </row>
        <row r="4663">
          <cell r="J4663">
            <v>12646175000</v>
          </cell>
          <cell r="K4663" t="str">
            <v>University of Campinas</v>
          </cell>
        </row>
        <row r="4664">
          <cell r="J4664">
            <v>57194523971</v>
          </cell>
          <cell r="K4664" t="str">
            <v>MAN Latin America</v>
          </cell>
        </row>
        <row r="4665">
          <cell r="J4665">
            <v>58588094600</v>
          </cell>
          <cell r="K4665" t="str">
            <v>Federal University of Rio de Janeiro</v>
          </cell>
        </row>
        <row r="4666">
          <cell r="J4666">
            <v>57211367508</v>
          </cell>
          <cell r="K4666" t="str">
            <v>Universidade Federal do Rio Grande do Norte</v>
          </cell>
        </row>
        <row r="4667">
          <cell r="J4667">
            <v>57647558000</v>
          </cell>
          <cell r="K4667" t="str">
            <v>Federal University of Rio de Janeiro</v>
          </cell>
        </row>
        <row r="4668">
          <cell r="J4668">
            <v>57437257600</v>
          </cell>
          <cell r="K4668" t="str">
            <v>Center for Studies in Colloidal Systems (NUESC)/Institute of Technology and Research (ITP)</v>
          </cell>
        </row>
        <row r="4669">
          <cell r="J4669">
            <v>23011701100</v>
          </cell>
          <cell r="K4669" t="str">
            <v>Federal University of Rio de Janeiro</v>
          </cell>
        </row>
        <row r="4670">
          <cell r="J4670">
            <v>15846617300</v>
          </cell>
          <cell r="K4670" t="str">
            <v>Universidade Federal de Minas Gerais</v>
          </cell>
        </row>
        <row r="4671">
          <cell r="J4671">
            <v>57075736000</v>
          </cell>
          <cell r="K4671" t="str">
            <v>Federal University of Rio de Janeiro</v>
          </cell>
        </row>
        <row r="4672">
          <cell r="J4672">
            <v>59962760900</v>
          </cell>
          <cell r="K4672" t="str">
            <v>Pontifícia Universidade Católica de Campinas</v>
          </cell>
        </row>
        <row r="4673">
          <cell r="J4673">
            <v>57201944899</v>
          </cell>
          <cell r="K4673" t="str">
            <v>Universidade Federal de Campina Grande</v>
          </cell>
        </row>
        <row r="4674">
          <cell r="J4674">
            <v>57220093199</v>
          </cell>
          <cell r="K4674" t="str">
            <v>Universidade Federal de Campina Grande</v>
          </cell>
        </row>
        <row r="4675">
          <cell r="J4675">
            <v>57200080635</v>
          </cell>
          <cell r="K4675" t="str">
            <v>Universidade Federal do Piauí</v>
          </cell>
        </row>
        <row r="4676">
          <cell r="J4676">
            <v>57226367841</v>
          </cell>
          <cell r="K4676" t="str">
            <v>Universidade Federal do Rio Grande do Norte</v>
          </cell>
        </row>
        <row r="4677">
          <cell r="J4677">
            <v>59380832600</v>
          </cell>
          <cell r="K4677" t="str">
            <v>Universidade Federal de São João del-Rei</v>
          </cell>
        </row>
        <row r="4678">
          <cell r="J4678">
            <v>57223814367</v>
          </cell>
          <cell r="K4678" t="str">
            <v>Universidade de Brasília</v>
          </cell>
        </row>
        <row r="4679">
          <cell r="J4679">
            <v>59957215800</v>
          </cell>
          <cell r="K4679" t="str">
            <v>Universidade Federal do Rio Grande do Sul (+1 more)</v>
          </cell>
        </row>
        <row r="4680">
          <cell r="J4680">
            <v>57217590633</v>
          </cell>
          <cell r="K4680" t="str">
            <v>Federal University of Santa Catarina</v>
          </cell>
        </row>
        <row r="4681">
          <cell r="J4681">
            <v>26427816800</v>
          </cell>
          <cell r="K4681" t="str">
            <v>Instituto Federal de Educação, Ciência e Tecnologia de Santa Catarina (+1 more)</v>
          </cell>
        </row>
        <row r="4682">
          <cell r="J4682">
            <v>57219695577</v>
          </cell>
          <cell r="K4682" t="str">
            <v>Universidade Federal de Viçosa</v>
          </cell>
        </row>
        <row r="4683">
          <cell r="J4683">
            <v>7403023241</v>
          </cell>
          <cell r="K4683" t="str">
            <v>Federal University of Rio de Janeiro</v>
          </cell>
        </row>
        <row r="4684">
          <cell r="J4684">
            <v>56990617500</v>
          </cell>
          <cell r="K4684" t="str">
            <v>Universidade do Estado do Rio de Janeiro</v>
          </cell>
        </row>
        <row r="4685">
          <cell r="J4685">
            <v>57194940369</v>
          </cell>
          <cell r="K4685" t="str">
            <v>Universidade Federal de Uberlândia</v>
          </cell>
        </row>
        <row r="4686">
          <cell r="J4686">
            <v>55447847200</v>
          </cell>
          <cell r="K4686" t="str">
            <v>Universidade Federal de Pernambuco (+1 more)</v>
          </cell>
        </row>
        <row r="4687">
          <cell r="J4687">
            <v>57226402775</v>
          </cell>
          <cell r="K4687" t="str">
            <v>Instituto Tecnológico da Aeronáutica</v>
          </cell>
        </row>
        <row r="4688">
          <cell r="J4688">
            <v>57201404739</v>
          </cell>
          <cell r="K4688" t="str">
            <v>Vallourec Soluções Tubulares do Brasil (+1 more)</v>
          </cell>
        </row>
        <row r="4689">
          <cell r="J4689">
            <v>57203093502</v>
          </cell>
          <cell r="K4689" t="str">
            <v>Federal University of Rio de Janeiro</v>
          </cell>
        </row>
        <row r="4690">
          <cell r="J4690">
            <v>57666484200</v>
          </cell>
          <cell r="K4690" t="str">
            <v>Universidade Federal de Goiás</v>
          </cell>
        </row>
        <row r="4691">
          <cell r="J4691">
            <v>55946278900</v>
          </cell>
          <cell r="K4691" t="str">
            <v>Universidade Federal de Viçosa</v>
          </cell>
        </row>
        <row r="4692">
          <cell r="J4692">
            <v>57872049900</v>
          </cell>
          <cell r="K4692" t="str">
            <v>Universidade Federal do Espírito Santo</v>
          </cell>
        </row>
        <row r="4693">
          <cell r="J4693">
            <v>59235177600</v>
          </cell>
          <cell r="K4693" t="str">
            <v>Universidade de São Paulo</v>
          </cell>
        </row>
        <row r="4694">
          <cell r="J4694">
            <v>57208194065</v>
          </cell>
          <cell r="K4694" t="str">
            <v>Universidade Federal do Rio Grande do Sul</v>
          </cell>
        </row>
        <row r="4695">
          <cell r="J4695">
            <v>55415974100</v>
          </cell>
          <cell r="K4695" t="str">
            <v>Federal University of Rio de Janeiro</v>
          </cell>
        </row>
        <row r="4696">
          <cell r="J4696">
            <v>57212421264</v>
          </cell>
          <cell r="K4696" t="str">
            <v>Universidade do Estado do Rio de Janeiro</v>
          </cell>
        </row>
        <row r="4697">
          <cell r="J4697">
            <v>57324291000</v>
          </cell>
          <cell r="K4697" t="str">
            <v>Universidade Federal de Campina Grande (+1 more)</v>
          </cell>
        </row>
        <row r="4698">
          <cell r="J4698">
            <v>57201404475</v>
          </cell>
          <cell r="K4698" t="str">
            <v>ATNAS</v>
          </cell>
        </row>
        <row r="4699">
          <cell r="J4699">
            <v>57219842889</v>
          </cell>
          <cell r="K4699" t="str">
            <v>Universidade Federal de Ouro Preto</v>
          </cell>
        </row>
        <row r="4700">
          <cell r="J4700">
            <v>56984962400</v>
          </cell>
          <cell r="K4700" t="str">
            <v>Federal University of Rio de Janeiro</v>
          </cell>
        </row>
        <row r="4701">
          <cell r="J4701">
            <v>59062207400</v>
          </cell>
          <cell r="K4701" t="str">
            <v>Universidade Federal do Rio Grande do Norte</v>
          </cell>
        </row>
        <row r="4702">
          <cell r="J4702">
            <v>57573985000</v>
          </cell>
          <cell r="K4702" t="str">
            <v>Pontifical Catholic University of Rio de Janeiro</v>
          </cell>
        </row>
        <row r="4703">
          <cell r="J4703">
            <v>57210339657</v>
          </cell>
          <cell r="K4703" t="str">
            <v>Federal University of Santa Catarina</v>
          </cell>
        </row>
        <row r="4704">
          <cell r="J4704">
            <v>60201384700</v>
          </cell>
          <cell r="K4704" t="str">
            <v>Pontifical Catholic University of Rio de Janeiro</v>
          </cell>
        </row>
        <row r="4705">
          <cell r="J4705">
            <v>57191268392</v>
          </cell>
          <cell r="K4705" t="str">
            <v>Universidade Federal do Espírito Santo</v>
          </cell>
        </row>
        <row r="4706">
          <cell r="J4706">
            <v>57221466674</v>
          </cell>
          <cell r="K4706" t="str">
            <v>Universidade de São Paulo</v>
          </cell>
        </row>
        <row r="4707">
          <cell r="J4707">
            <v>53867306500</v>
          </cell>
          <cell r="K4707" t="str">
            <v>Universidade Federal de Viçosa</v>
          </cell>
        </row>
        <row r="4708">
          <cell r="J4708">
            <v>57213637769</v>
          </cell>
          <cell r="K4708" t="str">
            <v>Universidade de São Paulo</v>
          </cell>
        </row>
        <row r="4709">
          <cell r="J4709">
            <v>55438002400</v>
          </cell>
          <cell r="K4709" t="str">
            <v>Federal University of Santa Catarina</v>
          </cell>
        </row>
        <row r="4710">
          <cell r="J4710">
            <v>57195368339</v>
          </cell>
          <cell r="K4710" t="str">
            <v>Universidade Federal do Rio Grande do Norte (+1 more)</v>
          </cell>
        </row>
        <row r="4711">
          <cell r="J4711">
            <v>57213138407</v>
          </cell>
          <cell r="K4711" t="str">
            <v>Federal University of Rio de Janeiro</v>
          </cell>
        </row>
        <row r="4712">
          <cell r="J4712">
            <v>58551600000</v>
          </cell>
          <cell r="K4712" t="str">
            <v>Federal University of Rio de Janeiro</v>
          </cell>
        </row>
        <row r="4713">
          <cell r="J4713">
            <v>56024367300</v>
          </cell>
          <cell r="K4713" t="str">
            <v>Instituto Nacional de Metrologia, Qualidade e Tecnologia</v>
          </cell>
        </row>
        <row r="4714">
          <cell r="J4714">
            <v>57199965912</v>
          </cell>
          <cell r="K4714" t="str">
            <v>Federal University of Rio de Janeiro</v>
          </cell>
        </row>
        <row r="4715">
          <cell r="J4715">
            <v>57203010438</v>
          </cell>
          <cell r="K4715" t="str">
            <v>Universidade Federal Fluminense</v>
          </cell>
        </row>
        <row r="4716">
          <cell r="J4716">
            <v>57203059454</v>
          </cell>
          <cell r="K4716" t="str">
            <v>Federal University of Rio de Janeiro</v>
          </cell>
        </row>
        <row r="4717">
          <cell r="J4717">
            <v>7202594259</v>
          </cell>
          <cell r="K4717" t="str">
            <v>SENAI (+3 more)</v>
          </cell>
        </row>
        <row r="4718">
          <cell r="J4718">
            <v>57204332072</v>
          </cell>
          <cell r="K4718" t="str">
            <v>Federal University of Santa Catarina</v>
          </cell>
        </row>
        <row r="4719">
          <cell r="J4719">
            <v>57203959659</v>
          </cell>
          <cell r="K4719" t="str">
            <v>Universidade Federal de Ouro Preto</v>
          </cell>
        </row>
        <row r="4720">
          <cell r="J4720">
            <v>57210917795</v>
          </cell>
          <cell r="K4720" t="str">
            <v>Universidade Federal do Ceará</v>
          </cell>
        </row>
        <row r="4721">
          <cell r="J4721">
            <v>59912020200</v>
          </cell>
          <cell r="K4721" t="str">
            <v>Universidade Federal de Campina Grande</v>
          </cell>
        </row>
        <row r="4722">
          <cell r="J4722">
            <v>12764962500</v>
          </cell>
          <cell r="K4722" t="str">
            <v>Federal University of Rio de Janeiro</v>
          </cell>
        </row>
        <row r="4723">
          <cell r="J4723">
            <v>59775191100</v>
          </cell>
          <cell r="K4723" t="str">
            <v>Universidade Federal do Espírito Santo (+2 more)</v>
          </cell>
        </row>
        <row r="4724">
          <cell r="J4724">
            <v>57198497853</v>
          </cell>
          <cell r="K4724" t="str">
            <v>Laboratório Nacional de Computação Científica (+1 more)</v>
          </cell>
        </row>
        <row r="4725">
          <cell r="J4725">
            <v>57208408716</v>
          </cell>
          <cell r="K4725" t="str">
            <v>Federal University of Rio de Janeiro</v>
          </cell>
        </row>
        <row r="4726">
          <cell r="J4726">
            <v>7201604817</v>
          </cell>
          <cell r="K4726" t="str">
            <v>Tenaris Group (+2 more)</v>
          </cell>
        </row>
        <row r="4727">
          <cell r="J4727">
            <v>56106028800</v>
          </cell>
          <cell r="K4727" t="str">
            <v>Universidade Federal do Espírito Santo</v>
          </cell>
        </row>
        <row r="4728">
          <cell r="J4728">
            <v>35606982400</v>
          </cell>
          <cell r="K4728" t="str">
            <v>Universidade Federal de Minas Gerais (+2 more)</v>
          </cell>
        </row>
        <row r="4729">
          <cell r="J4729">
            <v>57200499626</v>
          </cell>
          <cell r="K4729" t="str">
            <v>Universidade Federal de Campina Grande</v>
          </cell>
        </row>
        <row r="4730">
          <cell r="J4730">
            <v>57201417511</v>
          </cell>
          <cell r="K4730" t="str">
            <v>TransPetro (+1 more)</v>
          </cell>
        </row>
        <row r="4731">
          <cell r="J4731">
            <v>9250401500</v>
          </cell>
          <cell r="K4731" t="str">
            <v>Universidade Federal de Pernambuco</v>
          </cell>
        </row>
        <row r="4732">
          <cell r="J4732">
            <v>58713858200</v>
          </cell>
          <cell r="K4732" t="str">
            <v>Universidade Federal de Alagoas</v>
          </cell>
        </row>
        <row r="4733">
          <cell r="J4733">
            <v>57301150200</v>
          </cell>
          <cell r="K4733" t="str">
            <v>Universidade Federal de Minas Gerais</v>
          </cell>
        </row>
        <row r="4734">
          <cell r="J4734">
            <v>59363842500</v>
          </cell>
          <cell r="K4734" t="str">
            <v>Universidade Federal de Minas Gerais</v>
          </cell>
        </row>
        <row r="4735">
          <cell r="J4735">
            <v>57640724400</v>
          </cell>
          <cell r="K4735" t="str">
            <v>Universidade Tiradentes (+1 more)</v>
          </cell>
        </row>
        <row r="4736">
          <cell r="J4736">
            <v>57199294817</v>
          </cell>
          <cell r="K4736" t="str">
            <v>Universidade Federal de Alagoas</v>
          </cell>
        </row>
        <row r="4737">
          <cell r="J4737">
            <v>57217320543</v>
          </cell>
          <cell r="K4737" t="str">
            <v>Federal University of Rio de Janeiro</v>
          </cell>
        </row>
        <row r="4738">
          <cell r="J4738">
            <v>55356335800</v>
          </cell>
          <cell r="K4738" t="str">
            <v>SINTEF (+2 more)</v>
          </cell>
        </row>
        <row r="4739">
          <cell r="J4739">
            <v>57191442610</v>
          </cell>
          <cell r="K4739" t="str">
            <v>Pontifical Catholic University of Rio de Janeiro</v>
          </cell>
        </row>
        <row r="4740">
          <cell r="J4740">
            <v>57203548461</v>
          </cell>
          <cell r="K4740" t="str">
            <v>Universidade Federal da Bahia</v>
          </cell>
        </row>
        <row r="4741">
          <cell r="J4741">
            <v>59672961100</v>
          </cell>
          <cell r="K4741" t="str">
            <v>ESSS</v>
          </cell>
        </row>
        <row r="4742">
          <cell r="J4742">
            <v>57734643000</v>
          </cell>
          <cell r="K4742" t="str">
            <v>Universidade Veiga de Almeida (+1 more)</v>
          </cell>
        </row>
        <row r="4743">
          <cell r="J4743">
            <v>57213116813</v>
          </cell>
          <cell r="K4743" t="str">
            <v>Federal University of Rio de Janeiro</v>
          </cell>
        </row>
        <row r="4744">
          <cell r="J4744">
            <v>57221374411</v>
          </cell>
          <cell r="K4744" t="str">
            <v>Serviço Nacional de Aprendizagem Industrial</v>
          </cell>
        </row>
        <row r="4745">
          <cell r="J4745">
            <v>57204422954</v>
          </cell>
          <cell r="K4745" t="str">
            <v>Universidade Federal de Goiás</v>
          </cell>
        </row>
        <row r="4746">
          <cell r="J4746">
            <v>57190486989</v>
          </cell>
          <cell r="K4746" t="str">
            <v>Federal University of Rio de Janeiro</v>
          </cell>
        </row>
        <row r="4747">
          <cell r="J4747">
            <v>59159256900</v>
          </cell>
          <cell r="K4747" t="str">
            <v>Universidade Federal de Uberlândia</v>
          </cell>
        </row>
        <row r="4748">
          <cell r="J4748">
            <v>57201736509</v>
          </cell>
          <cell r="K4748" t="str">
            <v>Fundação Gorceix</v>
          </cell>
        </row>
        <row r="4749">
          <cell r="J4749">
            <v>57221460069</v>
          </cell>
          <cell r="K4749" t="str">
            <v>Universidade de São Paulo</v>
          </cell>
        </row>
        <row r="4750">
          <cell r="J4750">
            <v>57196692785</v>
          </cell>
          <cell r="K4750" t="str">
            <v>Universidade Federal de Alagoas</v>
          </cell>
        </row>
        <row r="4751">
          <cell r="J4751">
            <v>57191873441</v>
          </cell>
          <cell r="K4751" t="str">
            <v>Universidade do Estado do Rio de Janeiro (+2 more)</v>
          </cell>
        </row>
        <row r="4752">
          <cell r="J4752">
            <v>59529808100</v>
          </cell>
          <cell r="K4752" t="str">
            <v>Vale S.A.</v>
          </cell>
        </row>
        <row r="4753">
          <cell r="J4753">
            <v>59673388700</v>
          </cell>
          <cell r="K4753" t="str">
            <v>University of Campinas</v>
          </cell>
        </row>
        <row r="4754">
          <cell r="J4754">
            <v>57222242098</v>
          </cell>
          <cell r="K4754" t="str">
            <v>X-Reality GeoInformatics Lab Unisinos University (+2 more)</v>
          </cell>
        </row>
        <row r="4755">
          <cell r="J4755">
            <v>57223382405</v>
          </cell>
          <cell r="K4755" t="str">
            <v>Universidade Federal do Rio Grande do Sul</v>
          </cell>
        </row>
        <row r="4756">
          <cell r="J4756">
            <v>7006383631</v>
          </cell>
          <cell r="K4756" t="str">
            <v>Universidade Federal de Itajubá</v>
          </cell>
        </row>
        <row r="4757">
          <cell r="J4757">
            <v>57200794384</v>
          </cell>
          <cell r="K4757" t="str">
            <v>Federal University of Rio de Janeiro</v>
          </cell>
        </row>
        <row r="4758">
          <cell r="J4758">
            <v>57211788732</v>
          </cell>
          <cell r="K4758" t="str">
            <v>Federal University of Rio de Janeiro</v>
          </cell>
        </row>
        <row r="4759">
          <cell r="J4759">
            <v>54933069800</v>
          </cell>
          <cell r="K4759" t="str">
            <v>Federal University of Rio de Janeiro</v>
          </cell>
        </row>
        <row r="4760">
          <cell r="J4760">
            <v>37027178400</v>
          </cell>
          <cell r="K4760" t="str">
            <v>Pontifícia Universidade Católica do Rio Grande do Sul</v>
          </cell>
        </row>
        <row r="4761">
          <cell r="J4761">
            <v>35369385700</v>
          </cell>
          <cell r="K4761" t="str">
            <v>University of Campinas (+2 more)</v>
          </cell>
        </row>
        <row r="4762">
          <cell r="J4762">
            <v>55839022200</v>
          </cell>
          <cell r="K4762" t="str">
            <v>Federal University of Rio de Janeiro</v>
          </cell>
        </row>
        <row r="4763">
          <cell r="J4763">
            <v>57192931932</v>
          </cell>
          <cell r="K4763" t="str">
            <v>Geological Survey of Brazil (SGB)</v>
          </cell>
        </row>
        <row r="4764">
          <cell r="J4764">
            <v>56369922100</v>
          </cell>
          <cell r="K4764" t="str">
            <v>Universidade Federal do Pampa</v>
          </cell>
        </row>
        <row r="4765">
          <cell r="J4765">
            <v>57189712405</v>
          </cell>
          <cell r="K4765" t="str">
            <v>Universidade Federal de São João del-Rei (+1 more)</v>
          </cell>
        </row>
        <row r="4766">
          <cell r="J4766">
            <v>57221790994</v>
          </cell>
          <cell r="K4766" t="str">
            <v>Federal University of Rio de Janeiro</v>
          </cell>
        </row>
        <row r="4767">
          <cell r="J4767">
            <v>57216184169</v>
          </cell>
          <cell r="K4767" t="str">
            <v>Federal University of Rio de Janeiro</v>
          </cell>
        </row>
        <row r="4768">
          <cell r="J4768">
            <v>57193335391</v>
          </cell>
          <cell r="K4768" t="str">
            <v>Universidade Federal do Rio Grande do Sul (+2 more)</v>
          </cell>
        </row>
        <row r="4769">
          <cell r="J4769">
            <v>6603793530</v>
          </cell>
          <cell r="K4769" t="str">
            <v>Universidade de São Paulo</v>
          </cell>
        </row>
        <row r="4770">
          <cell r="J4770">
            <v>57196475549</v>
          </cell>
          <cell r="K4770" t="str">
            <v>Pontifícia Universidade Católica do Rio Grande do Sul</v>
          </cell>
        </row>
        <row r="4771">
          <cell r="J4771">
            <v>58086183400</v>
          </cell>
          <cell r="K4771" t="str">
            <v>Centro Brasileiro de Pesquisas Físicas</v>
          </cell>
        </row>
        <row r="4772">
          <cell r="J4772">
            <v>57196232480</v>
          </cell>
          <cell r="K4772" t="str">
            <v>Centro Brasileiro de Pesquisas Físicas (+1 more)</v>
          </cell>
        </row>
        <row r="4773">
          <cell r="J4773">
            <v>57311130900</v>
          </cell>
          <cell r="K4773" t="str">
            <v>Universidade Federal de Pernambuco</v>
          </cell>
        </row>
        <row r="4774">
          <cell r="J4774">
            <v>36889529100</v>
          </cell>
          <cell r="K4774" t="str">
            <v>Universidade Federal de Minas Gerais</v>
          </cell>
        </row>
        <row r="4775">
          <cell r="J4775">
            <v>23568336100</v>
          </cell>
          <cell r="K4775" t="str">
            <v>Universidade de São Paulo</v>
          </cell>
        </row>
        <row r="4776">
          <cell r="J4776">
            <v>36464390100</v>
          </cell>
          <cell r="K4776" t="str">
            <v>University of Campinas</v>
          </cell>
        </row>
        <row r="4777">
          <cell r="J4777">
            <v>36955900400</v>
          </cell>
          <cell r="K4777" t="str">
            <v>Universidade Estadual do Norte Fluminense</v>
          </cell>
        </row>
        <row r="4778">
          <cell r="J4778">
            <v>59714884300</v>
          </cell>
          <cell r="K4778" t="str">
            <v>Universidade Federal Fluminense (+1 more)</v>
          </cell>
        </row>
        <row r="4779">
          <cell r="J4779">
            <v>57195728158</v>
          </cell>
          <cell r="K4779" t="str">
            <v>Universidade Federal do Ceará</v>
          </cell>
        </row>
        <row r="4780">
          <cell r="J4780">
            <v>17433997600</v>
          </cell>
          <cell r="K4780" t="str">
            <v>Instituto Federal do Espírito Santo</v>
          </cell>
        </row>
        <row r="4781">
          <cell r="J4781">
            <v>59543915700</v>
          </cell>
          <cell r="K4781" t="str">
            <v>Instituto Federal do Espírito Santo</v>
          </cell>
        </row>
        <row r="4782">
          <cell r="J4782">
            <v>24721433600</v>
          </cell>
          <cell r="K4782" t="str">
            <v>University of Campinas</v>
          </cell>
        </row>
        <row r="4783">
          <cell r="J4783">
            <v>12788631600</v>
          </cell>
          <cell r="K4783" t="str">
            <v>Federal University of Rio de Janeiro</v>
          </cell>
        </row>
        <row r="4784">
          <cell r="J4784">
            <v>56015420800</v>
          </cell>
          <cell r="K4784" t="str">
            <v>Universidade Tecnológica Federal do Paraná</v>
          </cell>
        </row>
        <row r="4785">
          <cell r="J4785">
            <v>57203570188</v>
          </cell>
          <cell r="K4785" t="str">
            <v>FIEMG</v>
          </cell>
        </row>
        <row r="4786">
          <cell r="J4786">
            <v>57214778110</v>
          </cell>
          <cell r="K4786" t="str">
            <v>Universidade Tecnológica Federal do Paraná (+1 more)</v>
          </cell>
        </row>
        <row r="4787">
          <cell r="J4787">
            <v>57213192989</v>
          </cell>
          <cell r="K4787" t="str">
            <v>Vizlab - X-Reality and GeoInformatics Lab</v>
          </cell>
        </row>
        <row r="4788">
          <cell r="J4788">
            <v>6602338551</v>
          </cell>
          <cell r="K4788" t="str">
            <v>Instituto de Pesquisas da Marinha</v>
          </cell>
        </row>
        <row r="4789">
          <cell r="J4789">
            <v>55692811500</v>
          </cell>
          <cell r="K4789" t="str">
            <v>Universidade Federal de Sergipe (+3 more)</v>
          </cell>
        </row>
        <row r="4790">
          <cell r="J4790">
            <v>7102762325</v>
          </cell>
          <cell r="K4790" t="str">
            <v>Applied Computational Intelligence Laboratory - Pontifical Catholic University (ICA – PUC Rio)</v>
          </cell>
        </row>
        <row r="4791">
          <cell r="J4791">
            <v>7102762372</v>
          </cell>
          <cell r="K4791" t="str">
            <v>Universidade de Lisboa (+2 more)</v>
          </cell>
        </row>
        <row r="4792">
          <cell r="J4792">
            <v>56421365000</v>
          </cell>
          <cell r="K4792" t="str">
            <v>Federal University of Rio de Janeiro</v>
          </cell>
        </row>
        <row r="4793">
          <cell r="J4793">
            <v>7102762421</v>
          </cell>
          <cell r="K4793" t="str">
            <v>Universidade Federal Fluminense (+2 more)</v>
          </cell>
        </row>
        <row r="4794">
          <cell r="J4794">
            <v>35497256600</v>
          </cell>
          <cell r="K4794" t="str">
            <v>INSTITUTO DE MACROMOLÉCULAS PROFESSORA ELOISA MANO – UFRJ (+1 more)</v>
          </cell>
        </row>
        <row r="4795">
          <cell r="J4795">
            <v>57212389112</v>
          </cell>
          <cell r="K4795" t="str">
            <v>Universidade Federal de Juiz de Fora</v>
          </cell>
        </row>
        <row r="4796">
          <cell r="J4796">
            <v>57203417470</v>
          </cell>
          <cell r="K4796" t="str">
            <v>Halliburton</v>
          </cell>
        </row>
        <row r="4797">
          <cell r="J4797">
            <v>8414349800</v>
          </cell>
          <cell r="K4797" t="str">
            <v>Universidade Federal do Espírito Santo (+1 more)</v>
          </cell>
        </row>
        <row r="4798">
          <cell r="J4798">
            <v>36603529600</v>
          </cell>
          <cell r="K4798" t="str">
            <v>Universidade Federal do Amazonas</v>
          </cell>
        </row>
        <row r="4799">
          <cell r="J4799">
            <v>57200789570</v>
          </cell>
          <cell r="K4799" t="str">
            <v>Federal University of Rio de Janeiro</v>
          </cell>
        </row>
        <row r="4800">
          <cell r="J4800">
            <v>25639268200</v>
          </cell>
          <cell r="K4800" t="str">
            <v>Universidade de Brasília</v>
          </cell>
        </row>
        <row r="4801">
          <cell r="J4801">
            <v>57199153990</v>
          </cell>
          <cell r="K4801" t="str">
            <v>Universidade Federal de Viçosa</v>
          </cell>
        </row>
        <row r="4802">
          <cell r="J4802">
            <v>8311197700</v>
          </cell>
          <cell r="K4802" t="str">
            <v>Universidade Federal do Ceará</v>
          </cell>
        </row>
        <row r="4803">
          <cell r="J4803">
            <v>57610831400</v>
          </cell>
          <cell r="K4803" t="str">
            <v>Federal University of Rio de Janeiro</v>
          </cell>
        </row>
        <row r="4804">
          <cell r="J4804">
            <v>56941462500</v>
          </cell>
          <cell r="K4804" t="str">
            <v>Federal University of Rio de Janeiro</v>
          </cell>
        </row>
        <row r="4805">
          <cell r="J4805">
            <v>57201435448</v>
          </cell>
          <cell r="K4805" t="str">
            <v>Universidade Federal da Bahia (+2 more)</v>
          </cell>
        </row>
        <row r="4806">
          <cell r="J4806">
            <v>36961182400</v>
          </cell>
          <cell r="K4806" t="str">
            <v>Pontifical Catholic University of Rio de Janeiro (+2 more)</v>
          </cell>
        </row>
        <row r="4807">
          <cell r="J4807">
            <v>8068566200</v>
          </cell>
          <cell r="K4807" t="str">
            <v>Universidade do Estado do Rio de Janeiro</v>
          </cell>
        </row>
        <row r="4808">
          <cell r="J4808">
            <v>57194526397</v>
          </cell>
          <cell r="K4808" t="str">
            <v>Universidade de São Paulo</v>
          </cell>
        </row>
        <row r="4809">
          <cell r="J4809">
            <v>57210719284</v>
          </cell>
          <cell r="K4809" t="str">
            <v>Universidade Federal do Paraná</v>
          </cell>
        </row>
        <row r="4810">
          <cell r="J4810">
            <v>57205631068</v>
          </cell>
          <cell r="K4810" t="str">
            <v>Universidade Federal do Rio Grande do Sul</v>
          </cell>
        </row>
        <row r="4811">
          <cell r="J4811">
            <v>56810552300</v>
          </cell>
          <cell r="K4811" t="str">
            <v>Federal University of Rio de Janeiro (+1 more)</v>
          </cell>
        </row>
        <row r="4812">
          <cell r="J4812">
            <v>57214358952</v>
          </cell>
          <cell r="K4812" t="str">
            <v>Universidade Federal de Uberlândia</v>
          </cell>
        </row>
        <row r="4813">
          <cell r="J4813">
            <v>57220486594</v>
          </cell>
          <cell r="K4813" t="str">
            <v>Federal University of Santa Catarina</v>
          </cell>
        </row>
        <row r="4814">
          <cell r="J4814">
            <v>11140032100</v>
          </cell>
          <cell r="K4814" t="str">
            <v>UWI Geologia &amp; Geofísica</v>
          </cell>
        </row>
        <row r="4815">
          <cell r="J4815">
            <v>7006398354</v>
          </cell>
          <cell r="K4815" t="str">
            <v>Federal University of Rio de Janeiro</v>
          </cell>
        </row>
        <row r="4816">
          <cell r="J4816">
            <v>57190128044</v>
          </cell>
          <cell r="K4816" t="str">
            <v>DEMa</v>
          </cell>
        </row>
        <row r="4817">
          <cell r="J4817">
            <v>59011548100</v>
          </cell>
          <cell r="K4817" t="str">
            <v>Universidade Federal do Rio Grande do Sul</v>
          </cell>
        </row>
        <row r="4818">
          <cell r="J4818">
            <v>57226063475</v>
          </cell>
          <cell r="K4818" t="str">
            <v>Universidade Federal de Alagoas</v>
          </cell>
        </row>
        <row r="4819">
          <cell r="J4819">
            <v>59474072100</v>
          </cell>
          <cell r="K4819" t="str">
            <v>Universidade Federal Fluminense</v>
          </cell>
        </row>
        <row r="4820">
          <cell r="J4820">
            <v>57224575096</v>
          </cell>
          <cell r="K4820" t="str">
            <v>Universidade Federal de Santa Maria</v>
          </cell>
        </row>
        <row r="4821">
          <cell r="J4821">
            <v>57190746619</v>
          </cell>
          <cell r="K4821" t="str">
            <v>Federal University of Rio de Janeiro</v>
          </cell>
        </row>
        <row r="4822">
          <cell r="J4822">
            <v>7007033047</v>
          </cell>
          <cell r="K4822" t="str">
            <v>Universidade de São Paulo</v>
          </cell>
        </row>
        <row r="4823">
          <cell r="J4823">
            <v>8580126700</v>
          </cell>
          <cell r="K4823" t="str">
            <v>Universidade Federal Fluminense</v>
          </cell>
        </row>
        <row r="4824">
          <cell r="J4824">
            <v>60152494000</v>
          </cell>
          <cell r="K4824" t="str">
            <v>Universidade Federal de Goiás</v>
          </cell>
        </row>
        <row r="4825">
          <cell r="J4825">
            <v>57196041320</v>
          </cell>
          <cell r="K4825" t="str">
            <v>Universidade de Brasília</v>
          </cell>
        </row>
        <row r="4826">
          <cell r="J4826">
            <v>57190258392</v>
          </cell>
          <cell r="K4826" t="str">
            <v>University of Campinas (+1 more)</v>
          </cell>
        </row>
        <row r="4827">
          <cell r="J4827">
            <v>56227443700</v>
          </cell>
          <cell r="K4827" t="str">
            <v>Universidade do Estado do Rio de Janeiro (+2 more)</v>
          </cell>
        </row>
        <row r="4828">
          <cell r="J4828">
            <v>58904916400</v>
          </cell>
          <cell r="K4828" t="str">
            <v>Federal University of Rio de Janeiro</v>
          </cell>
        </row>
        <row r="4829">
          <cell r="J4829">
            <v>57200408090</v>
          </cell>
          <cell r="K4829" t="str">
            <v>Universidade Estadual Paulista “Júlio de Mesquita Filho”</v>
          </cell>
        </row>
        <row r="4830">
          <cell r="J4830">
            <v>56599809600</v>
          </cell>
          <cell r="K4830" t="str">
            <v>Federal University of Rio de Janeiro</v>
          </cell>
        </row>
        <row r="4831">
          <cell r="J4831">
            <v>36609151700</v>
          </cell>
          <cell r="K4831" t="str">
            <v>Federal University of Rio de Janeiro</v>
          </cell>
        </row>
        <row r="4832">
          <cell r="J4832">
            <v>59234804700</v>
          </cell>
          <cell r="K4832" t="str">
            <v>Universidade Federal do Ceará</v>
          </cell>
        </row>
        <row r="4833">
          <cell r="J4833">
            <v>59224316700</v>
          </cell>
          <cell r="K4833" t="str">
            <v>Universidade Federal de Goiás</v>
          </cell>
        </row>
        <row r="4834">
          <cell r="J4834">
            <v>15823074300</v>
          </cell>
          <cell r="K4834" t="str">
            <v>Universidade Federal do Rio Grande do Norte</v>
          </cell>
        </row>
        <row r="4835">
          <cell r="J4835">
            <v>57206039206</v>
          </cell>
          <cell r="K4835" t="str">
            <v>University of Campinas</v>
          </cell>
        </row>
        <row r="4836">
          <cell r="J4836">
            <v>58126138000</v>
          </cell>
          <cell r="K4836" t="str">
            <v>GALP/Petrogal Brasil</v>
          </cell>
        </row>
        <row r="4837">
          <cell r="J4837">
            <v>6507709088</v>
          </cell>
          <cell r="K4837" t="str">
            <v>Universidade de São Paulo</v>
          </cell>
        </row>
        <row r="4838">
          <cell r="J4838">
            <v>56599836400</v>
          </cell>
          <cell r="K4838" t="str">
            <v>Universidade Federal do Rio Grande do Norte</v>
          </cell>
        </row>
        <row r="4839">
          <cell r="J4839">
            <v>36844670800</v>
          </cell>
          <cell r="K4839" t="str">
            <v>Centro Brasileiro de Pesquisas Físicas</v>
          </cell>
        </row>
        <row r="4840">
          <cell r="J4840">
            <v>56582654300</v>
          </cell>
          <cell r="K4840" t="str">
            <v>Centro Brasileiro de Pesquisas Físicas</v>
          </cell>
        </row>
        <row r="4841">
          <cell r="J4841">
            <v>57192939998</v>
          </cell>
          <cell r="K4841" t="str">
            <v>Universidade Federal do Piauí</v>
          </cell>
        </row>
        <row r="4842">
          <cell r="J4842">
            <v>60094722700</v>
          </cell>
          <cell r="K4842" t="str">
            <v>Universidade Federal de Mato Grosso</v>
          </cell>
        </row>
        <row r="4843">
          <cell r="J4843">
            <v>35606876700</v>
          </cell>
          <cell r="K4843" t="str">
            <v>LTS/COPPE/UFRJ (+1 more)</v>
          </cell>
        </row>
        <row r="4844">
          <cell r="J4844">
            <v>58025889000</v>
          </cell>
          <cell r="K4844" t="str">
            <v>Universidade de São Paulo</v>
          </cell>
        </row>
        <row r="4845">
          <cell r="J4845">
            <v>57236305500</v>
          </cell>
          <cell r="K4845" t="str">
            <v>Universidade de São Paulo (+1 more)</v>
          </cell>
        </row>
        <row r="4846">
          <cell r="J4846">
            <v>57201946807</v>
          </cell>
          <cell r="K4846" t="str">
            <v>Instituto Federal de Educação Ciência e Tecnologia da Paraíba</v>
          </cell>
        </row>
        <row r="4847">
          <cell r="J4847">
            <v>57202285083</v>
          </cell>
          <cell r="K4847" t="str">
            <v>Pontifical Catholic University of Rio de Janeiro</v>
          </cell>
        </row>
        <row r="4848">
          <cell r="J4848">
            <v>57742378700</v>
          </cell>
          <cell r="K4848" t="str">
            <v>NIDF (+1 more)</v>
          </cell>
        </row>
        <row r="4849">
          <cell r="J4849">
            <v>57804366700</v>
          </cell>
          <cell r="K4849" t="str">
            <v>Federal University of Rio de Janeiro</v>
          </cell>
        </row>
        <row r="4850">
          <cell r="J4850">
            <v>55362724200</v>
          </cell>
          <cell r="K4850" t="str">
            <v>Federal University of Rio de Janeiro</v>
          </cell>
        </row>
        <row r="4851">
          <cell r="J4851">
            <v>57276649300</v>
          </cell>
          <cell r="K4851" t="str">
            <v>Universidade Federal de Minas Gerais</v>
          </cell>
        </row>
        <row r="4852">
          <cell r="J4852">
            <v>23986179500</v>
          </cell>
          <cell r="K4852" t="str">
            <v>Instituto Nacional de Tecnologia (+1 more)</v>
          </cell>
        </row>
        <row r="4853">
          <cell r="J4853">
            <v>57560854200</v>
          </cell>
          <cell r="K4853" t="str">
            <v>Universidade Federal de Pernambuco</v>
          </cell>
        </row>
        <row r="4854">
          <cell r="J4854">
            <v>57572661300</v>
          </cell>
          <cell r="K4854" t="str">
            <v>Universidade Federal Fluminense</v>
          </cell>
        </row>
        <row r="4855">
          <cell r="J4855">
            <v>57225385149</v>
          </cell>
          <cell r="K4855" t="str">
            <v>Federal University of Santa Catarina</v>
          </cell>
        </row>
        <row r="4856">
          <cell r="J4856">
            <v>57209883049</v>
          </cell>
          <cell r="K4856" t="str">
            <v>Universidade Federal da Paraíba</v>
          </cell>
        </row>
        <row r="4857">
          <cell r="J4857">
            <v>57205124409</v>
          </cell>
          <cell r="K4857" t="str">
            <v>Federal University of Rio de Janeiro</v>
          </cell>
        </row>
        <row r="4858">
          <cell r="J4858">
            <v>57196602574</v>
          </cell>
          <cell r="K4858" t="str">
            <v>Universidade do Estado do Rio de Janeiro</v>
          </cell>
        </row>
        <row r="4859">
          <cell r="J4859">
            <v>56180791200</v>
          </cell>
          <cell r="K4859" t="str">
            <v>Universidade Federal do Espírito Santo</v>
          </cell>
        </row>
        <row r="4860">
          <cell r="J4860">
            <v>57207453239</v>
          </cell>
          <cell r="K4860" t="str">
            <v>IFG (+1 more)</v>
          </cell>
        </row>
        <row r="4861">
          <cell r="J4861">
            <v>60123928800</v>
          </cell>
          <cell r="K4861" t="str">
            <v>Universidade Federal do Espírito Santo</v>
          </cell>
        </row>
        <row r="4862">
          <cell r="J4862">
            <v>60086900000</v>
          </cell>
          <cell r="K4862" t="str">
            <v>Federal University of Rio de Janeiro</v>
          </cell>
        </row>
        <row r="4863">
          <cell r="J4863">
            <v>58716839900</v>
          </cell>
          <cell r="K4863" t="str">
            <v>Federal University of Rio de Janeiro</v>
          </cell>
        </row>
        <row r="4864">
          <cell r="J4864">
            <v>57195287763</v>
          </cell>
          <cell r="K4864" t="str">
            <v>Universidade Federal de Ouro Preto</v>
          </cell>
        </row>
        <row r="4865">
          <cell r="J4865">
            <v>7102354540</v>
          </cell>
          <cell r="K4865" t="str">
            <v>Federal University of Rio de Janeiro</v>
          </cell>
        </row>
        <row r="4866">
          <cell r="J4866">
            <v>59147937400</v>
          </cell>
          <cell r="K4866" t="str">
            <v>Geological Survey of Brazil (SGB)</v>
          </cell>
        </row>
        <row r="4867">
          <cell r="J4867">
            <v>56241180100</v>
          </cell>
          <cell r="K4867" t="str">
            <v>Universidade Federal do Ceará</v>
          </cell>
        </row>
        <row r="4868">
          <cell r="J4868">
            <v>57202136292</v>
          </cell>
          <cell r="K4868" t="str">
            <v>Universidade Federal de Minas Gerais</v>
          </cell>
        </row>
        <row r="4869">
          <cell r="J4869">
            <v>59896616100</v>
          </cell>
          <cell r="K4869" t="str">
            <v>Universidade Federal do Rio Grande do Sul</v>
          </cell>
        </row>
        <row r="4870">
          <cell r="J4870">
            <v>10439076900</v>
          </cell>
          <cell r="K4870" t="str">
            <v>Universidade Federal do Rio Grande do Sul</v>
          </cell>
        </row>
        <row r="4871">
          <cell r="J4871">
            <v>56417197400</v>
          </cell>
          <cell r="K4871" t="str">
            <v>University of Campinas</v>
          </cell>
        </row>
        <row r="4872">
          <cell r="J4872">
            <v>57200724012</v>
          </cell>
          <cell r="K4872" t="str">
            <v>Universidade Federal de São João del-Rei (+1 more)</v>
          </cell>
        </row>
        <row r="4873">
          <cell r="J4873">
            <v>59414892300</v>
          </cell>
          <cell r="K4873" t="str">
            <v>Instituto Militar de Engenharia</v>
          </cell>
        </row>
        <row r="4874">
          <cell r="J4874">
            <v>57214935137</v>
          </cell>
          <cell r="K4874" t="str">
            <v>Serviço Nacional de Aprendizagem Industrial</v>
          </cell>
        </row>
        <row r="4875">
          <cell r="J4875">
            <v>58678094500</v>
          </cell>
          <cell r="K4875" t="str">
            <v>Universidade Federal Fluminense</v>
          </cell>
        </row>
        <row r="4876">
          <cell r="J4876">
            <v>56346683300</v>
          </cell>
          <cell r="K4876" t="str">
            <v>Universidade Federal de Minas Gerais</v>
          </cell>
        </row>
        <row r="4877">
          <cell r="J4877">
            <v>54911117000</v>
          </cell>
          <cell r="K4877" t="str">
            <v>DEMa</v>
          </cell>
        </row>
        <row r="4878">
          <cell r="J4878">
            <v>57221217541</v>
          </cell>
          <cell r="K4878" t="str">
            <v>Universidade de Brasília (+1 more)</v>
          </cell>
        </row>
        <row r="4879">
          <cell r="J4879">
            <v>57221492632</v>
          </cell>
          <cell r="K4879" t="str">
            <v>Universidade de São Paulo</v>
          </cell>
        </row>
        <row r="4880">
          <cell r="J4880">
            <v>25631554000</v>
          </cell>
          <cell r="K4880" t="str">
            <v>Universidade Federal do Espírito Santo</v>
          </cell>
        </row>
        <row r="4881">
          <cell r="J4881">
            <v>58117605800</v>
          </cell>
          <cell r="K4881" t="str">
            <v>TRANSPETRO</v>
          </cell>
        </row>
        <row r="4882">
          <cell r="J4882">
            <v>56139455300</v>
          </cell>
          <cell r="K4882" t="str">
            <v>Federal University of Rio de Janeiro</v>
          </cell>
        </row>
        <row r="4883">
          <cell r="J4883">
            <v>58458500500</v>
          </cell>
          <cell r="K4883" t="str">
            <v>Universidade do Estado do Rio de Janeiro (+1 more)</v>
          </cell>
        </row>
        <row r="4884">
          <cell r="J4884">
            <v>56548788200</v>
          </cell>
          <cell r="K4884" t="str">
            <v>Universidade Federal do Rio Grande do Norte</v>
          </cell>
        </row>
        <row r="4885">
          <cell r="J4885">
            <v>6503964764</v>
          </cell>
          <cell r="K4885" t="str">
            <v>Universidade Federal de Sergipe (+2 more)</v>
          </cell>
        </row>
        <row r="4886">
          <cell r="J4886">
            <v>58081370400</v>
          </cell>
          <cell r="K4886" t="str">
            <v>Universidade de São Paulo</v>
          </cell>
        </row>
        <row r="4887">
          <cell r="J4887">
            <v>59404944300</v>
          </cell>
          <cell r="K4887" t="str">
            <v>Instituto Militar de Engenharia</v>
          </cell>
        </row>
        <row r="4888">
          <cell r="J4888">
            <v>55029335400</v>
          </cell>
          <cell r="K4888" t="str">
            <v>TRANSPETRO</v>
          </cell>
        </row>
        <row r="4889">
          <cell r="J4889">
            <v>7005383439</v>
          </cell>
          <cell r="K4889" t="str">
            <v>Universidade de São Paulo</v>
          </cell>
        </row>
        <row r="4890">
          <cell r="J4890">
            <v>16403034300</v>
          </cell>
          <cell r="K4890" t="str">
            <v>Universidade Federal de Santa Maria</v>
          </cell>
        </row>
        <row r="4891">
          <cell r="J4891">
            <v>6506755450</v>
          </cell>
          <cell r="K4891" t="str">
            <v>Universidade Federal Fluminense</v>
          </cell>
        </row>
        <row r="4892">
          <cell r="J4892">
            <v>7003785441</v>
          </cell>
          <cell r="K4892" t="str">
            <v>Federal University of Rio de Janeiro</v>
          </cell>
        </row>
        <row r="4893">
          <cell r="J4893">
            <v>57219587278</v>
          </cell>
          <cell r="K4893" t="str">
            <v>Universidade Federal de Minas Gerais</v>
          </cell>
        </row>
        <row r="4894">
          <cell r="J4894">
            <v>58940998800</v>
          </cell>
          <cell r="K4894" t="str">
            <v>Federal University of Rio de Janeiro</v>
          </cell>
        </row>
        <row r="4895">
          <cell r="J4895">
            <v>7006522257</v>
          </cell>
          <cell r="K4895" t="str">
            <v>Federal University of Rio de Janeiro</v>
          </cell>
        </row>
        <row r="4896">
          <cell r="J4896">
            <v>59388332200</v>
          </cell>
          <cell r="K4896" t="str">
            <v>ESSS</v>
          </cell>
        </row>
        <row r="4897">
          <cell r="J4897">
            <v>35099597200</v>
          </cell>
          <cell r="K4897" t="str">
            <v>Universidade Federal do Rio Grande do Norte</v>
          </cell>
        </row>
        <row r="4898">
          <cell r="J4898">
            <v>36667644100</v>
          </cell>
          <cell r="K4898" t="str">
            <v>Universidade Federal Rural do Rio de Janeiro</v>
          </cell>
        </row>
        <row r="4899">
          <cell r="J4899">
            <v>57222088497</v>
          </cell>
          <cell r="K4899" t="str">
            <v>Universidade Tecnológica Federal do Paraná</v>
          </cell>
        </row>
        <row r="4900">
          <cell r="J4900">
            <v>57196424117</v>
          </cell>
          <cell r="K4900" t="str">
            <v>DEMa</v>
          </cell>
        </row>
        <row r="4901">
          <cell r="J4901">
            <v>56418486600</v>
          </cell>
          <cell r="K4901" t="str">
            <v>Federal University of Rio de Janeiro</v>
          </cell>
        </row>
        <row r="4902">
          <cell r="J4902">
            <v>7005944571</v>
          </cell>
          <cell r="K4902" t="str">
            <v>Universidade Federal do Rio Grande do Sul</v>
          </cell>
        </row>
        <row r="4903">
          <cell r="J4903">
            <v>55534257800</v>
          </cell>
          <cell r="K4903" t="str">
            <v>Serviço Nacional de Aprendizagem Industrial</v>
          </cell>
        </row>
        <row r="4904">
          <cell r="J4904">
            <v>22942326300</v>
          </cell>
          <cell r="K4904" t="str">
            <v>Centro Brasileiro de Pesquisas Físicas (+1 more)</v>
          </cell>
        </row>
        <row r="4905">
          <cell r="J4905">
            <v>25029787100</v>
          </cell>
          <cell r="K4905" t="str">
            <v>Universidade Tecnológica Federal do Paraná</v>
          </cell>
        </row>
        <row r="4906">
          <cell r="J4906">
            <v>58089826300</v>
          </cell>
          <cell r="K4906" t="str">
            <v>Universidade do Estado de Santa Catarina</v>
          </cell>
        </row>
        <row r="4907">
          <cell r="J4907">
            <v>58153252400</v>
          </cell>
          <cell r="K4907" t="str">
            <v>Pontifícia Universidade Católica do Rio Grande do Sul</v>
          </cell>
        </row>
        <row r="4908">
          <cell r="J4908">
            <v>58193981100</v>
          </cell>
          <cell r="K4908" t="str">
            <v>Instituto de Pesquisas da Marinha</v>
          </cell>
        </row>
        <row r="4909">
          <cell r="J4909">
            <v>36448722700</v>
          </cell>
          <cell r="K4909" t="str">
            <v>Universidade Tecnológica Federal do Paraná</v>
          </cell>
        </row>
        <row r="4910">
          <cell r="J4910">
            <v>56730333200</v>
          </cell>
          <cell r="K4910" t="str">
            <v>Federal University of Rio de Janeiro</v>
          </cell>
        </row>
        <row r="4911">
          <cell r="J4911">
            <v>8260119600</v>
          </cell>
          <cell r="K4911" t="str">
            <v>Federal University of Santa Catarina</v>
          </cell>
        </row>
        <row r="4912">
          <cell r="J4912">
            <v>57216989701</v>
          </cell>
          <cell r="K4912" t="str">
            <v>Pontifícia Universidade Católica do Rio Grande do Sul</v>
          </cell>
        </row>
        <row r="4913">
          <cell r="J4913">
            <v>57220958654</v>
          </cell>
          <cell r="K4913" t="str">
            <v>Pontifical Catholic University of Rio de Janeiro</v>
          </cell>
        </row>
        <row r="4914">
          <cell r="J4914">
            <v>27667788800</v>
          </cell>
          <cell r="K4914" t="str">
            <v>Universidade Federal do Rio Grande do Sul</v>
          </cell>
        </row>
        <row r="4915">
          <cell r="J4915">
            <v>57221924382</v>
          </cell>
          <cell r="K4915" t="str">
            <v>Universidade Federal de Itajubá</v>
          </cell>
        </row>
        <row r="4916">
          <cell r="J4916">
            <v>57189370702</v>
          </cell>
          <cell r="K4916" t="str">
            <v>Regional University of Blumenau - FURB</v>
          </cell>
        </row>
        <row r="4917">
          <cell r="J4917">
            <v>6602171058</v>
          </cell>
          <cell r="K4917" t="str">
            <v>Universidade Federal do Rio Grande do Sul (+2 more)</v>
          </cell>
        </row>
        <row r="4918">
          <cell r="J4918">
            <v>57223125818</v>
          </cell>
          <cell r="K4918" t="str">
            <v>Vizlab - X-Reality and GeoInformatics Lab (+2 more)</v>
          </cell>
        </row>
        <row r="4919">
          <cell r="J4919">
            <v>6603404652</v>
          </cell>
          <cell r="K4919" t="str">
            <v>DEM - PUC-Rio</v>
          </cell>
        </row>
        <row r="4920">
          <cell r="J4920">
            <v>57150705400</v>
          </cell>
          <cell r="K4920" t="str">
            <v>Universidade Federal do Rio Grande do Sul (+1 more)</v>
          </cell>
        </row>
        <row r="4921">
          <cell r="J4921">
            <v>53980564200</v>
          </cell>
          <cell r="K4921" t="str">
            <v>Federal University of Rio de Janeiro</v>
          </cell>
        </row>
        <row r="4922">
          <cell r="J4922">
            <v>57201421939</v>
          </cell>
          <cell r="K4922" t="str">
            <v>Universidade Federal do Rio Grande do Sul</v>
          </cell>
        </row>
        <row r="4923">
          <cell r="J4923">
            <v>7006063767</v>
          </cell>
          <cell r="K4923" t="str">
            <v>Universidade de Brasília</v>
          </cell>
        </row>
        <row r="4924">
          <cell r="J4924">
            <v>57695455700</v>
          </cell>
          <cell r="K4924" t="str">
            <v>Federal University of Rio de Janeiro</v>
          </cell>
        </row>
        <row r="4925">
          <cell r="J4925">
            <v>6603199696</v>
          </cell>
          <cell r="K4925" t="str">
            <v>Universidade de São Paulo</v>
          </cell>
        </row>
        <row r="4926">
          <cell r="J4926">
            <v>57194258478</v>
          </cell>
          <cell r="K4926" t="str">
            <v>Federal University of Rio de Janeiro</v>
          </cell>
        </row>
        <row r="4927">
          <cell r="J4927">
            <v>15754481800</v>
          </cell>
          <cell r="K4927" t="str">
            <v>University of Campinas</v>
          </cell>
        </row>
        <row r="4928">
          <cell r="J4928">
            <v>55924776700</v>
          </cell>
          <cell r="K4928" t="str">
            <v>Universidade Estadual do Norte Fluminense</v>
          </cell>
        </row>
        <row r="4929">
          <cell r="J4929">
            <v>6603803125</v>
          </cell>
          <cell r="K4929" t="str">
            <v>Graduate School of Engineering (+1 more)</v>
          </cell>
        </row>
        <row r="4930">
          <cell r="J4930">
            <v>57687537100</v>
          </cell>
          <cell r="K4930" t="str">
            <v>Universidade Federal de São Paulo</v>
          </cell>
        </row>
        <row r="4931">
          <cell r="J4931">
            <v>57196151249</v>
          </cell>
          <cell r="K4931" t="str">
            <v>Universidade do Estado do Rio de Janeiro</v>
          </cell>
        </row>
        <row r="4932">
          <cell r="J4932">
            <v>57196123666</v>
          </cell>
          <cell r="K4932" t="str">
            <v>Universidade Federal do Rio Grande do Sul</v>
          </cell>
        </row>
        <row r="4933">
          <cell r="J4933">
            <v>57220123761</v>
          </cell>
          <cell r="K4933" t="str">
            <v>Federal University of Rio de Janeiro</v>
          </cell>
        </row>
        <row r="4934">
          <cell r="J4934">
            <v>6505860871</v>
          </cell>
          <cell r="K4934" t="str">
            <v>SGAN 603</v>
          </cell>
        </row>
        <row r="4935">
          <cell r="J4935">
            <v>23029530400</v>
          </cell>
          <cell r="K4935" t="str">
            <v>Universidade Federal do Paraná</v>
          </cell>
        </row>
        <row r="4936">
          <cell r="J4936">
            <v>37105111000</v>
          </cell>
          <cell r="K4936" t="str">
            <v>Universidade de São Paulo</v>
          </cell>
        </row>
        <row r="4937">
          <cell r="J4937">
            <v>56583919500</v>
          </cell>
          <cell r="K4937" t="str">
            <v>Universidade de São Paulo</v>
          </cell>
        </row>
        <row r="4938">
          <cell r="J4938">
            <v>33467992100</v>
          </cell>
          <cell r="K4938" t="str">
            <v>Universidade Federal do Rio Grande do Sul</v>
          </cell>
        </row>
        <row r="4939">
          <cell r="J4939">
            <v>37075909800</v>
          </cell>
          <cell r="K4939" t="str">
            <v>Universidad del Pacífico (+1 more)</v>
          </cell>
        </row>
        <row r="4940">
          <cell r="J4940">
            <v>60086461300</v>
          </cell>
          <cell r="K4940" t="str">
            <v>Universidade Estadual Paulista “Júlio de Mesquita Filho”</v>
          </cell>
        </row>
        <row r="4941">
          <cell r="J4941">
            <v>57220897455</v>
          </cell>
          <cell r="K4941" t="str">
            <v>Universidade de São Paulo</v>
          </cell>
        </row>
        <row r="4942">
          <cell r="J4942">
            <v>6507369077</v>
          </cell>
          <cell r="K4942" t="str">
            <v>Universidade Federal da Bahia (+1 more)</v>
          </cell>
        </row>
        <row r="4943">
          <cell r="J4943">
            <v>57199644703</v>
          </cell>
          <cell r="K4943" t="str">
            <v>Universidade de São Paulo</v>
          </cell>
        </row>
        <row r="4944">
          <cell r="J4944">
            <v>6603358696</v>
          </cell>
          <cell r="K4944" t="str">
            <v>Universidade de São Paulo (+1 more)</v>
          </cell>
        </row>
        <row r="4945">
          <cell r="J4945">
            <v>8325223000</v>
          </cell>
          <cell r="K4945" t="str">
            <v>Universidade Federal do Paraná</v>
          </cell>
        </row>
        <row r="4946">
          <cell r="J4946">
            <v>6701600084</v>
          </cell>
          <cell r="K4946" t="str">
            <v>Federal University of Rio de Janeiro</v>
          </cell>
        </row>
        <row r="4947">
          <cell r="J4947">
            <v>57219603451</v>
          </cell>
          <cell r="K4947" t="str">
            <v>Federal University of Rio de Janeiro</v>
          </cell>
        </row>
        <row r="4948">
          <cell r="J4948">
            <v>57925095800</v>
          </cell>
          <cell r="K4948" t="str">
            <v>Federal University of Santa Catarina</v>
          </cell>
        </row>
        <row r="4949">
          <cell r="J4949">
            <v>58584070200</v>
          </cell>
          <cell r="K4949" t="str">
            <v>Federal University of Rio de Janeiro</v>
          </cell>
        </row>
        <row r="4950">
          <cell r="J4950">
            <v>57206982661</v>
          </cell>
          <cell r="K4950" t="str">
            <v>Federal University of Rio de Janeiro</v>
          </cell>
        </row>
        <row r="4951">
          <cell r="J4951">
            <v>57211713318</v>
          </cell>
          <cell r="K4951" t="str">
            <v>Universidade Estadual Paulista “Júlio de Mesquita Filho”</v>
          </cell>
        </row>
        <row r="4952">
          <cell r="J4952">
            <v>59343336000</v>
          </cell>
          <cell r="K4952" t="str">
            <v>Centro Federal de Educação Tecnológica Celso Suckow da Fonseca (CEFET-RJ)</v>
          </cell>
        </row>
        <row r="4953">
          <cell r="J4953">
            <v>59157880500</v>
          </cell>
          <cell r="K4953" t="str">
            <v>DEMa</v>
          </cell>
        </row>
        <row r="4954">
          <cell r="J4954">
            <v>7007128379</v>
          </cell>
          <cell r="K4954" t="str">
            <v>Universidade Federal Fluminense (+2 more)</v>
          </cell>
        </row>
        <row r="4955">
          <cell r="J4955">
            <v>56338415300</v>
          </cell>
          <cell r="K4955" t="str">
            <v>Universidade Federal de Juiz de Fora</v>
          </cell>
        </row>
        <row r="4956">
          <cell r="J4956">
            <v>57221112779</v>
          </cell>
          <cell r="K4956" t="str">
            <v>Federal University of Rio de Janeiro</v>
          </cell>
        </row>
        <row r="4957">
          <cell r="J4957">
            <v>57990084500</v>
          </cell>
          <cell r="K4957" t="str">
            <v>Federal University of Rio de Janeiro</v>
          </cell>
        </row>
        <row r="4958">
          <cell r="J4958">
            <v>55801240600</v>
          </cell>
          <cell r="K4958" t="str">
            <v>Instituto Nacional de Tecnologia</v>
          </cell>
        </row>
        <row r="4959">
          <cell r="J4959">
            <v>59396236000</v>
          </cell>
          <cell r="K4959" t="str">
            <v>Centro Brasileiro de Pesquisas Físicas</v>
          </cell>
        </row>
        <row r="4960">
          <cell r="J4960">
            <v>56810352800</v>
          </cell>
          <cell r="K4960" t="str">
            <v>Federal University of Rio de Janeiro</v>
          </cell>
        </row>
        <row r="4961">
          <cell r="J4961">
            <v>57196001529</v>
          </cell>
          <cell r="K4961" t="str">
            <v>Pontifical Catholic University of Rio de Janeiro</v>
          </cell>
        </row>
        <row r="4962">
          <cell r="J4962">
            <v>12765901900</v>
          </cell>
          <cell r="K4962" t="str">
            <v>Universidade Federal de Minas Gerais</v>
          </cell>
        </row>
        <row r="4963">
          <cell r="J4963">
            <v>57221973702</v>
          </cell>
          <cell r="K4963" t="str">
            <v>Universidade de São Paulo</v>
          </cell>
        </row>
        <row r="4964">
          <cell r="J4964">
            <v>57204349370</v>
          </cell>
          <cell r="K4964" t="str">
            <v>University of Campinas (+2 more)</v>
          </cell>
        </row>
        <row r="4965">
          <cell r="J4965">
            <v>57195456803</v>
          </cell>
          <cell r="K4965" t="str">
            <v>Petróleo Brasileiro S.A. (+1 more)</v>
          </cell>
        </row>
        <row r="4966">
          <cell r="J4966">
            <v>57195287694</v>
          </cell>
          <cell r="K4966" t="str">
            <v>Pontifical Catholic University of Rio de Janeiro</v>
          </cell>
        </row>
        <row r="4967">
          <cell r="J4967">
            <v>58667551300</v>
          </cell>
          <cell r="K4967" t="str">
            <v>Universidade Federal do Rio Grande do Sul</v>
          </cell>
        </row>
        <row r="4968">
          <cell r="J4968">
            <v>57210162925</v>
          </cell>
          <cell r="K4968" t="str">
            <v>Universidade Federal da Bahia</v>
          </cell>
        </row>
        <row r="4969">
          <cell r="J4969">
            <v>59488913000</v>
          </cell>
          <cell r="K4969" t="str">
            <v>Federal University of Rio de Janeiro</v>
          </cell>
        </row>
        <row r="4970">
          <cell r="J4970">
            <v>57193055735</v>
          </cell>
          <cell r="K4970" t="str">
            <v>Universidade Tecnológica Federal do Paraná (+1 more)</v>
          </cell>
        </row>
        <row r="4971">
          <cell r="J4971">
            <v>57205429948</v>
          </cell>
          <cell r="K4971" t="str">
            <v>Intelie</v>
          </cell>
        </row>
        <row r="4972">
          <cell r="J4972">
            <v>56526528000</v>
          </cell>
          <cell r="K4972" t="str">
            <v>Universidade Federal do Rio Grande do Norte</v>
          </cell>
        </row>
        <row r="4973">
          <cell r="J4973">
            <v>57216575944</v>
          </cell>
          <cell r="K4973" t="str">
            <v>Universidade de São Paulo</v>
          </cell>
        </row>
        <row r="4974">
          <cell r="J4974">
            <v>36619860900</v>
          </cell>
          <cell r="K4974" t="str">
            <v>Universidade Federal da Bahia (+1 more)</v>
          </cell>
        </row>
        <row r="4975">
          <cell r="J4975">
            <v>34573301800</v>
          </cell>
          <cell r="K4975" t="str">
            <v>Federal University of Rio de Janeiro</v>
          </cell>
        </row>
        <row r="4976">
          <cell r="J4976">
            <v>57218681654</v>
          </cell>
          <cell r="K4976" t="str">
            <v>Federal University of Santa Catarina</v>
          </cell>
        </row>
        <row r="4977">
          <cell r="J4977">
            <v>57217105490</v>
          </cell>
          <cell r="K4977" t="str">
            <v>UniversidadeFederal de Alagoas (+1 more)</v>
          </cell>
        </row>
        <row r="4978">
          <cell r="J4978">
            <v>59895134500</v>
          </cell>
          <cell r="K4978" t="str">
            <v>Universidade Federal de Alagoas</v>
          </cell>
        </row>
        <row r="4979">
          <cell r="J4979">
            <v>57201908367</v>
          </cell>
          <cell r="K4979" t="str">
            <v>Pontifical Catholic University of Rio de Janeiro</v>
          </cell>
        </row>
        <row r="4980">
          <cell r="J4980">
            <v>14826148500</v>
          </cell>
          <cell r="K4980" t="str">
            <v>SENAI Innovation Institute for advanced manufacturing and microfabrication (+1 more)</v>
          </cell>
        </row>
        <row r="4981">
          <cell r="J4981">
            <v>57193011356</v>
          </cell>
          <cell r="K4981" t="str">
            <v>Universidade Estadual Paulista “Júlio de Mesquita Filho” (+1 more)</v>
          </cell>
        </row>
        <row r="4982">
          <cell r="J4982">
            <v>6701381373</v>
          </cell>
          <cell r="K4982" t="str">
            <v>Terra Carbonates (+3 more)</v>
          </cell>
        </row>
        <row r="4983">
          <cell r="J4983">
            <v>55927562600</v>
          </cell>
          <cell r="K4983" t="str">
            <v>University of Campinas</v>
          </cell>
        </row>
        <row r="4984">
          <cell r="J4984">
            <v>57215870875</v>
          </cell>
          <cell r="K4984" t="str">
            <v>Universidade Tecnológica Federal do Paraná (+1 more)</v>
          </cell>
        </row>
        <row r="4985">
          <cell r="J4985">
            <v>57194016858</v>
          </cell>
          <cell r="K4985" t="str">
            <v>Universidade Federal do Paraná</v>
          </cell>
        </row>
        <row r="4986">
          <cell r="J4986">
            <v>55989141000</v>
          </cell>
          <cell r="K4986" t="str">
            <v>Federal University of Rio de Janeiro</v>
          </cell>
        </row>
        <row r="4987">
          <cell r="J4987">
            <v>56274633200</v>
          </cell>
          <cell r="K4987" t="str">
            <v>Federal University of Rio de Janeiro</v>
          </cell>
        </row>
        <row r="4988">
          <cell r="J4988">
            <v>57194345025</v>
          </cell>
          <cell r="K4988" t="str">
            <v>Université de Bordeaux (+2 more)</v>
          </cell>
        </row>
        <row r="4989">
          <cell r="J4989">
            <v>57451997300</v>
          </cell>
          <cell r="K4989" t="str">
            <v>Federal University of Rio de Janeiro</v>
          </cell>
        </row>
        <row r="4990">
          <cell r="J4990">
            <v>59258211400</v>
          </cell>
          <cell r="K4990" t="str">
            <v>Federal University of Santa Catarina</v>
          </cell>
        </row>
        <row r="4991">
          <cell r="J4991">
            <v>8604955400</v>
          </cell>
          <cell r="K4991" t="str">
            <v>Federal University of Rio de Janeiro</v>
          </cell>
        </row>
        <row r="4992">
          <cell r="J4992">
            <v>6508145651</v>
          </cell>
          <cell r="K4992" t="str">
            <v>Universidade do Estado do Rio de Janeiro (+2 more)</v>
          </cell>
        </row>
        <row r="4993">
          <cell r="J4993">
            <v>57220482949</v>
          </cell>
          <cell r="K4993" t="str">
            <v>Federal University of Rio de Janeiro</v>
          </cell>
        </row>
        <row r="4994">
          <cell r="J4994">
            <v>15123501900</v>
          </cell>
          <cell r="K4994" t="str">
            <v>IFSP</v>
          </cell>
        </row>
        <row r="4995">
          <cell r="J4995">
            <v>57219609577</v>
          </cell>
          <cell r="K4995" t="str">
            <v>Universidade Tecnológica Federal do Paraná</v>
          </cell>
        </row>
        <row r="4996">
          <cell r="J4996">
            <v>56785844600</v>
          </cell>
          <cell r="K4996" t="str">
            <v>Universidade de Brasília</v>
          </cell>
        </row>
        <row r="4997">
          <cell r="J4997">
            <v>57056430900</v>
          </cell>
          <cell r="K4997" t="str">
            <v>Universidade Santa Cecília</v>
          </cell>
        </row>
        <row r="4998">
          <cell r="J4998">
            <v>57192985774</v>
          </cell>
          <cell r="K4998" t="str">
            <v>Universidade Federal do Rio Grande do Sul</v>
          </cell>
        </row>
        <row r="4999">
          <cell r="J4999">
            <v>35178642800</v>
          </cell>
          <cell r="K4999" t="str">
            <v>Universidade de Brasília</v>
          </cell>
        </row>
        <row r="5000">
          <cell r="J5000">
            <v>10540689200</v>
          </cell>
          <cell r="K5000" t="str">
            <v>Vizlab - X-Reality and GeoInformatics Lab</v>
          </cell>
        </row>
        <row r="5001">
          <cell r="J5001">
            <v>6508391972</v>
          </cell>
          <cell r="K5001" t="str">
            <v>Universidade Federal do Rio Grande do Sul</v>
          </cell>
        </row>
        <row r="5002">
          <cell r="J5002">
            <v>57219130715</v>
          </cell>
          <cell r="K5002" t="str">
            <v>Universidade Federal do Rio Grande do Sul</v>
          </cell>
        </row>
        <row r="5003">
          <cell r="J5003">
            <v>57220045646</v>
          </cell>
          <cell r="K5003" t="str">
            <v>Federal University of Rio de Janeiro</v>
          </cell>
        </row>
        <row r="5004">
          <cell r="J5004">
            <v>57221224472</v>
          </cell>
          <cell r="K5004" t="str">
            <v>Federal University of Santa Catarina</v>
          </cell>
        </row>
        <row r="5005">
          <cell r="J5005">
            <v>16317694200</v>
          </cell>
          <cell r="K5005" t="str">
            <v>Universidade de São Paulo</v>
          </cell>
        </row>
        <row r="5006">
          <cell r="J5006">
            <v>58172273400</v>
          </cell>
          <cell r="K5006" t="str">
            <v>Universidade Federal de Juiz de Fora</v>
          </cell>
        </row>
        <row r="5007">
          <cell r="J5007">
            <v>57222742182</v>
          </cell>
          <cell r="K5007" t="str">
            <v>Umicore</v>
          </cell>
        </row>
        <row r="5008">
          <cell r="J5008">
            <v>26532123600</v>
          </cell>
          <cell r="K5008" t="str">
            <v>Universidade de São Paulo (+1 more)</v>
          </cell>
        </row>
        <row r="5009">
          <cell r="J5009">
            <v>53870965500</v>
          </cell>
          <cell r="K5009" t="str">
            <v>Universidade Federal de Pernambuco</v>
          </cell>
        </row>
        <row r="5010">
          <cell r="J5010">
            <v>57202162041</v>
          </cell>
          <cell r="K5010" t="str">
            <v>University of Campinas</v>
          </cell>
        </row>
        <row r="5011">
          <cell r="J5011">
            <v>55355151800</v>
          </cell>
          <cell r="K5011" t="str">
            <v>Universidade de São Paulo (+1 more)</v>
          </cell>
        </row>
        <row r="5012">
          <cell r="J5012">
            <v>36054083200</v>
          </cell>
          <cell r="K5012" t="str">
            <v>Pontifical Catholic University of Rio de Janeiro</v>
          </cell>
        </row>
        <row r="5013">
          <cell r="J5013">
            <v>8278688200</v>
          </cell>
          <cell r="K5013" t="str">
            <v>Vizlab - X-Reality and GeoInformatics Lab</v>
          </cell>
        </row>
        <row r="5014">
          <cell r="J5014">
            <v>24069433800</v>
          </cell>
          <cell r="K5014" t="str">
            <v>Fundação Oswaldo Cruz</v>
          </cell>
        </row>
        <row r="5015">
          <cell r="J5015">
            <v>35241008800</v>
          </cell>
          <cell r="K5015" t="str">
            <v>Centro Nacional de Pesquisa em Energia e Materiais</v>
          </cell>
        </row>
        <row r="5016">
          <cell r="J5016">
            <v>57208083947</v>
          </cell>
          <cell r="K5016" t="str">
            <v>Universidade Federal de Pernambuco</v>
          </cell>
        </row>
        <row r="5017">
          <cell r="J5017">
            <v>56449443400</v>
          </cell>
          <cell r="K5017" t="str">
            <v>Universidade de São Paulo (+1 more)</v>
          </cell>
        </row>
        <row r="5018">
          <cell r="J5018">
            <v>57192248959</v>
          </cell>
          <cell r="K5018" t="str">
            <v>Universidade Federal do Ceará</v>
          </cell>
        </row>
        <row r="5019">
          <cell r="J5019">
            <v>59420463500</v>
          </cell>
          <cell r="K5019" t="str">
            <v>Federal University of Rio de Janeiro</v>
          </cell>
        </row>
        <row r="5020">
          <cell r="J5020">
            <v>7401785872</v>
          </cell>
          <cell r="K5020" t="str">
            <v>Federal University of Rio de Janeiro</v>
          </cell>
        </row>
        <row r="5021">
          <cell r="J5021">
            <v>57881347600</v>
          </cell>
          <cell r="K5021" t="str">
            <v>Universidade Federal do Ceará</v>
          </cell>
        </row>
        <row r="5022">
          <cell r="J5022">
            <v>57197189322</v>
          </cell>
          <cell r="K5022" t="str">
            <v>Fundação Gorceix (+1 more)</v>
          </cell>
        </row>
        <row r="5023">
          <cell r="J5023">
            <v>7102336849</v>
          </cell>
          <cell r="K5023" t="str">
            <v>Universidade de Brasília</v>
          </cell>
        </row>
        <row r="5024">
          <cell r="J5024">
            <v>57199783998</v>
          </cell>
          <cell r="K5024" t="str">
            <v>Universidade Federal de Pernambuco</v>
          </cell>
        </row>
        <row r="5025">
          <cell r="J5025">
            <v>58527638500</v>
          </cell>
          <cell r="K5025" t="str">
            <v>Núcleo de Estudo em Sistemas Coloidais (NUESC) / Instituto de Tecnologia e Pesquisa (ITP)</v>
          </cell>
        </row>
        <row r="5026">
          <cell r="J5026">
            <v>55780666200</v>
          </cell>
          <cell r="K5026" t="str">
            <v>Pontifical Catholic University of Rio de Janeiro</v>
          </cell>
        </row>
        <row r="5027">
          <cell r="J5027">
            <v>57204000647</v>
          </cell>
          <cell r="K5027" t="str">
            <v>Pontifical Catholic University of Rio de Janeiro (+2 more)</v>
          </cell>
        </row>
        <row r="5028">
          <cell r="J5028">
            <v>57210156630</v>
          </cell>
          <cell r="K5028" t="str">
            <v>Federal University of Rio de Janeiro</v>
          </cell>
        </row>
        <row r="5029">
          <cell r="J5029">
            <v>56165882500</v>
          </cell>
          <cell r="K5029" t="str">
            <v>Universidade Federal do Espírito Santo (+2 more)</v>
          </cell>
        </row>
        <row r="5030">
          <cell r="J5030">
            <v>38062189900</v>
          </cell>
          <cell r="K5030" t="str">
            <v>Federal University of Rio de Janeiro</v>
          </cell>
        </row>
        <row r="5031">
          <cell r="J5031">
            <v>58413441100</v>
          </cell>
          <cell r="K5031" t="str">
            <v>Universidade Federal Fluminense</v>
          </cell>
        </row>
        <row r="5032">
          <cell r="J5032">
            <v>59204242500</v>
          </cell>
          <cell r="K5032" t="str">
            <v>Pontifical Catholic University of Rio de Janeiro</v>
          </cell>
        </row>
        <row r="5033">
          <cell r="J5033">
            <v>8642376400</v>
          </cell>
          <cell r="K5033" t="str">
            <v>University of Campinas (+1 more)</v>
          </cell>
        </row>
        <row r="5034">
          <cell r="J5034">
            <v>57201682600</v>
          </cell>
          <cell r="K5034" t="str">
            <v>Pontifical Catholic University of Rio de Janeiro</v>
          </cell>
        </row>
        <row r="5035">
          <cell r="J5035">
            <v>50061929600</v>
          </cell>
          <cell r="K5035" t="str">
            <v>DEMa</v>
          </cell>
        </row>
        <row r="5036">
          <cell r="J5036">
            <v>56730350000</v>
          </cell>
          <cell r="K5036" t="str">
            <v>Universidade Federal do Espírito Santo</v>
          </cell>
        </row>
        <row r="5037">
          <cell r="J5037">
            <v>23483040900</v>
          </cell>
          <cell r="K5037" t="str">
            <v>Federal University of Rio de Janeiro</v>
          </cell>
        </row>
        <row r="5038">
          <cell r="J5038">
            <v>57209617575</v>
          </cell>
          <cell r="K5038" t="str">
            <v>Vizlab - X-Reality and GeoInformatics Lab</v>
          </cell>
        </row>
        <row r="5039">
          <cell r="J5039">
            <v>6602495934</v>
          </cell>
          <cell r="K5039" t="str">
            <v>Universidade Federal do Rio Grande do Sul</v>
          </cell>
        </row>
        <row r="5040">
          <cell r="J5040">
            <v>8137953900</v>
          </cell>
          <cell r="K5040" t="str">
            <v>Universidade de São Paulo</v>
          </cell>
        </row>
        <row r="5041">
          <cell r="J5041">
            <v>58493508400</v>
          </cell>
          <cell r="K5041" t="str">
            <v>Universidade Federal de Minas Gerais</v>
          </cell>
        </row>
        <row r="5042">
          <cell r="J5042">
            <v>40662037800</v>
          </cell>
          <cell r="K5042" t="str">
            <v>Pontifical Catholic University of Rio de Janeiro</v>
          </cell>
        </row>
        <row r="5043">
          <cell r="J5043">
            <v>57192661311</v>
          </cell>
          <cell r="K5043" t="str">
            <v>Pontifícia Universidade Católica do Rio Grande do Sul</v>
          </cell>
        </row>
        <row r="5044">
          <cell r="J5044">
            <v>6701594170</v>
          </cell>
          <cell r="K5044" t="str">
            <v>Petróleo Brasileiro S.A. (+1 more)</v>
          </cell>
        </row>
        <row r="5045">
          <cell r="J5045">
            <v>57266859300</v>
          </cell>
          <cell r="K5045" t="str">
            <v>Federal University of Rio de Janeiro</v>
          </cell>
        </row>
        <row r="5046">
          <cell r="J5046">
            <v>6701473993</v>
          </cell>
          <cell r="K5046" t="str">
            <v>Universidade de São Paulo</v>
          </cell>
        </row>
        <row r="5047">
          <cell r="J5047">
            <v>55895199400</v>
          </cell>
          <cell r="K5047" t="str">
            <v>University of Campinas</v>
          </cell>
        </row>
        <row r="5048">
          <cell r="J5048">
            <v>6604025148</v>
          </cell>
          <cell r="K5048" t="str">
            <v>Vallourec South America</v>
          </cell>
        </row>
        <row r="5049">
          <cell r="J5049">
            <v>57914854300</v>
          </cell>
          <cell r="K5049" t="str">
            <v>Universidade Estadual do Norte Fluminense</v>
          </cell>
        </row>
        <row r="5050">
          <cell r="J5050">
            <v>57208229664</v>
          </cell>
          <cell r="K5050" t="str">
            <v>Marinha do Brasil</v>
          </cell>
        </row>
        <row r="5051">
          <cell r="J5051">
            <v>6603192903</v>
          </cell>
          <cell r="K5051" t="str">
            <v>Federal University of Rio de Janeiro</v>
          </cell>
        </row>
        <row r="5052">
          <cell r="J5052">
            <v>6504382134</v>
          </cell>
          <cell r="K5052" t="str">
            <v>Federal University of Rio de Janeiro</v>
          </cell>
        </row>
        <row r="5053">
          <cell r="J5053">
            <v>7004251372</v>
          </cell>
          <cell r="K5053" t="str">
            <v>Universidade de São Paulo (+1 more)</v>
          </cell>
        </row>
        <row r="5054">
          <cell r="J5054">
            <v>23478527200</v>
          </cell>
          <cell r="K5054" t="str">
            <v>Federal University of Rio de Janeiro</v>
          </cell>
        </row>
        <row r="5055">
          <cell r="J5055">
            <v>56596296700</v>
          </cell>
          <cell r="K5055" t="str">
            <v>Universidade de São Paulo (+1 more)</v>
          </cell>
        </row>
        <row r="5056">
          <cell r="J5056">
            <v>57225298818</v>
          </cell>
          <cell r="K5056" t="str">
            <v>Universidade de São Paulo</v>
          </cell>
        </row>
        <row r="5057">
          <cell r="J5057">
            <v>57202774445</v>
          </cell>
          <cell r="K5057" t="str">
            <v>Universidade Federal de Pernambuco</v>
          </cell>
        </row>
        <row r="5058">
          <cell r="J5058">
            <v>58204643700</v>
          </cell>
          <cell r="K5058" t="str">
            <v>Vizlab - X-Reality and GeoInformatics Lab (+1 more)</v>
          </cell>
        </row>
        <row r="5059">
          <cell r="J5059">
            <v>57223392470</v>
          </cell>
          <cell r="K5059" t="str">
            <v>Federal University of Santa Catarina</v>
          </cell>
        </row>
        <row r="5060">
          <cell r="J5060">
            <v>24077225600</v>
          </cell>
          <cell r="K5060" t="str">
            <v>Universidade do Estado do Rio de Janeiro</v>
          </cell>
        </row>
        <row r="5061">
          <cell r="J5061">
            <v>56898940400</v>
          </cell>
          <cell r="K5061" t="str">
            <v>Universidade de São Paulo</v>
          </cell>
        </row>
        <row r="5062">
          <cell r="J5062">
            <v>6603386234</v>
          </cell>
          <cell r="K5062" t="str">
            <v>Federal University of Rio de Janeiro</v>
          </cell>
        </row>
        <row r="5063">
          <cell r="J5063">
            <v>6603778221</v>
          </cell>
          <cell r="K5063" t="str">
            <v>Universidade de São Paulo</v>
          </cell>
        </row>
        <row r="5064">
          <cell r="J5064">
            <v>55972465700</v>
          </cell>
          <cell r="K5064" t="str">
            <v>CPRM</v>
          </cell>
        </row>
        <row r="5065">
          <cell r="J5065">
            <v>55659454200</v>
          </cell>
          <cell r="K5065" t="str">
            <v>Universidade de São Paulo</v>
          </cell>
        </row>
        <row r="5066">
          <cell r="J5066">
            <v>6506663445</v>
          </cell>
          <cell r="K5066" t="str">
            <v>Universidade Federal de Minas Gerais</v>
          </cell>
        </row>
        <row r="5067">
          <cell r="J5067">
            <v>54966721000</v>
          </cell>
          <cell r="K5067" t="str">
            <v>Universidade Federal de Minas Gerais</v>
          </cell>
        </row>
        <row r="5068">
          <cell r="J5068">
            <v>57188643026</v>
          </cell>
          <cell r="K5068" t="str">
            <v>Universidade de São Paulo</v>
          </cell>
        </row>
        <row r="5069">
          <cell r="J5069">
            <v>25225924400</v>
          </cell>
          <cell r="K5069" t="str">
            <v>Universidade de São Paulo</v>
          </cell>
        </row>
        <row r="5070">
          <cell r="J5070">
            <v>35593447900</v>
          </cell>
          <cell r="K5070" t="str">
            <v>Federal University of Santa Catarina</v>
          </cell>
        </row>
        <row r="5071">
          <cell r="J5071">
            <v>57216781448</v>
          </cell>
          <cell r="K5071" t="str">
            <v>Pontifical Catholic University of Rio de Janeiro</v>
          </cell>
        </row>
        <row r="5072">
          <cell r="J5072">
            <v>57423596500</v>
          </cell>
          <cell r="K5072" t="str">
            <v>Pontifical Catholic University of Rio de Janeiro</v>
          </cell>
        </row>
        <row r="5073">
          <cell r="J5073">
            <v>6701872941</v>
          </cell>
          <cell r="K5073" t="str">
            <v>Empresa Brasileira de Pesquisa Agropecuária</v>
          </cell>
        </row>
        <row r="5074">
          <cell r="J5074">
            <v>6602372840</v>
          </cell>
          <cell r="K5074" t="str">
            <v>DEMa</v>
          </cell>
        </row>
        <row r="5075">
          <cell r="J5075">
            <v>7801525765</v>
          </cell>
          <cell r="K5075" t="str">
            <v>Pontifícia Universidade Católica do Rio Grande do Sul</v>
          </cell>
        </row>
        <row r="5076">
          <cell r="J5076">
            <v>55541310700</v>
          </cell>
          <cell r="K5076" t="str">
            <v>University of Blumenau (FURB) (+2 more)</v>
          </cell>
        </row>
        <row r="5077">
          <cell r="J5077">
            <v>35099885700</v>
          </cell>
          <cell r="K5077" t="str">
            <v>Petróleo Brasileiro S.A. (+2 more)</v>
          </cell>
        </row>
        <row r="5078">
          <cell r="J5078">
            <v>26642750100</v>
          </cell>
          <cell r="K5078" t="str">
            <v>Universidade Federal de Juiz de Fora</v>
          </cell>
        </row>
        <row r="5079">
          <cell r="J5079">
            <v>6507911992</v>
          </cell>
          <cell r="K5079" t="str">
            <v>Federal University of Rio de Janeiro</v>
          </cell>
        </row>
        <row r="5080">
          <cell r="J5080">
            <v>57214726125</v>
          </cell>
          <cell r="K5080" t="str">
            <v>Universidade Federal de Goiás</v>
          </cell>
        </row>
        <row r="5081">
          <cell r="J5081">
            <v>56231094500</v>
          </cell>
          <cell r="K5081" t="str">
            <v>Universidade Federal de Viçosa</v>
          </cell>
        </row>
        <row r="5082">
          <cell r="J5082">
            <v>57204825661</v>
          </cell>
          <cell r="K5082" t="str">
            <v>University of Campinas</v>
          </cell>
        </row>
        <row r="5083">
          <cell r="J5083">
            <v>24468889300</v>
          </cell>
          <cell r="K5083" t="str">
            <v>Pontifícia Universidade Católica do Rio Grande do Sul</v>
          </cell>
        </row>
        <row r="5084">
          <cell r="J5084">
            <v>57195488321</v>
          </cell>
          <cell r="K5084" t="str">
            <v>Federal University of Rio de Janeiro</v>
          </cell>
        </row>
        <row r="5085">
          <cell r="J5085">
            <v>57188699720</v>
          </cell>
          <cell r="K5085" t="str">
            <v>Universidade Estadual Paulista “Júlio de Mesquita Filho”</v>
          </cell>
        </row>
        <row r="5086">
          <cell r="J5086">
            <v>58678068400</v>
          </cell>
          <cell r="K5086" t="str">
            <v>Universidade Federal de Alagoas</v>
          </cell>
        </row>
        <row r="5087">
          <cell r="J5087">
            <v>14322814100</v>
          </cell>
          <cell r="K5087" t="str">
            <v>PGS</v>
          </cell>
        </row>
        <row r="5088">
          <cell r="J5088">
            <v>57546278400</v>
          </cell>
          <cell r="K5088" t="str">
            <v>Universidade Federal de Goiás</v>
          </cell>
        </row>
        <row r="5089">
          <cell r="J5089">
            <v>25029058200</v>
          </cell>
          <cell r="K5089" t="str">
            <v>Universidade Federal Rural do Rio de Janeiro</v>
          </cell>
        </row>
        <row r="5090">
          <cell r="J5090">
            <v>57214939158</v>
          </cell>
          <cell r="K5090" t="str">
            <v>Universidade Federal Rural do Rio de Janeiro</v>
          </cell>
        </row>
        <row r="5091">
          <cell r="J5091">
            <v>57200142105</v>
          </cell>
          <cell r="K5091" t="str">
            <v>Centro Brasileiro de Pesquisas Físicas</v>
          </cell>
        </row>
        <row r="5092">
          <cell r="J5092">
            <v>57195757304</v>
          </cell>
          <cell r="K5092" t="str">
            <v>University of Campinas</v>
          </cell>
        </row>
        <row r="5093">
          <cell r="J5093">
            <v>47261477000</v>
          </cell>
          <cell r="K5093" t="str">
            <v>Universidade do Estado do Rio de Janeiro</v>
          </cell>
        </row>
        <row r="5094">
          <cell r="J5094">
            <v>56513637100</v>
          </cell>
          <cell r="K5094" t="str">
            <v>Fundação Gorceix</v>
          </cell>
        </row>
        <row r="5095">
          <cell r="J5095">
            <v>55964559400</v>
          </cell>
          <cell r="K5095" t="str">
            <v>Pontifical Catholic University of Rio de Janeiro</v>
          </cell>
        </row>
        <row r="5096">
          <cell r="J5096">
            <v>58917394700</v>
          </cell>
          <cell r="K5096" t="str">
            <v>Universidade Federal Fluminense</v>
          </cell>
        </row>
        <row r="5097">
          <cell r="J5097">
            <v>57196417090</v>
          </cell>
          <cell r="K5097" t="str">
            <v>University of Campinas</v>
          </cell>
        </row>
        <row r="5098">
          <cell r="J5098">
            <v>56600736000</v>
          </cell>
          <cell r="K5098" t="str">
            <v>University of Campinas</v>
          </cell>
        </row>
        <row r="5099">
          <cell r="J5099">
            <v>55806202000</v>
          </cell>
          <cell r="K5099" t="str">
            <v>Universidade Federal do Espírito Santo (+1 more)</v>
          </cell>
        </row>
        <row r="5100">
          <cell r="J5100">
            <v>59518731400</v>
          </cell>
          <cell r="K5100" t="str">
            <v>Universidade Federal do Rio Grande do Sul</v>
          </cell>
        </row>
        <row r="5101">
          <cell r="J5101">
            <v>59418783600</v>
          </cell>
          <cell r="K5101" t="str">
            <v>Universidade Federal de Alagoas</v>
          </cell>
        </row>
        <row r="5102">
          <cell r="J5102">
            <v>6504769920</v>
          </cell>
          <cell r="K5102" t="str">
            <v>Universidade Federal do Rio Grande do Sul (+2 more)</v>
          </cell>
        </row>
        <row r="5103">
          <cell r="J5103">
            <v>6506091200</v>
          </cell>
          <cell r="K5103" t="str">
            <v>Universidade Federal do Espírito Santo</v>
          </cell>
        </row>
        <row r="5104">
          <cell r="J5104">
            <v>59835348700</v>
          </cell>
          <cell r="K5104" t="str">
            <v>Universidade Federal do Espírito Santo</v>
          </cell>
        </row>
        <row r="5105">
          <cell r="J5105">
            <v>57200286347</v>
          </cell>
          <cell r="K5105" t="str">
            <v>Universidade Federal de Minas Gerais</v>
          </cell>
        </row>
        <row r="5106">
          <cell r="J5106">
            <v>57222062405</v>
          </cell>
          <cell r="K5106" t="str">
            <v>Pontifical Catholic University of Rio de Janeiro</v>
          </cell>
        </row>
        <row r="5107">
          <cell r="J5107">
            <v>58573324900</v>
          </cell>
          <cell r="K5107" t="str">
            <v>Universidade Federal do Rio Grande do Sul</v>
          </cell>
        </row>
        <row r="5108">
          <cell r="J5108">
            <v>57193665042</v>
          </cell>
          <cell r="K5108" t="str">
            <v>Universidade Federal de Goiás</v>
          </cell>
        </row>
        <row r="5109">
          <cell r="J5109">
            <v>57206720367</v>
          </cell>
          <cell r="K5109" t="str">
            <v>Universidade Federal do Rio Grande do Sul</v>
          </cell>
        </row>
        <row r="5110">
          <cell r="J5110">
            <v>57198075322</v>
          </cell>
          <cell r="K5110" t="str">
            <v>Pontifical Catholic University of Rio de Janeiro</v>
          </cell>
        </row>
        <row r="5111">
          <cell r="J5111">
            <v>56435670600</v>
          </cell>
          <cell r="K5111" t="str">
            <v>Pontifical Catholic University of Rio de Janeiro</v>
          </cell>
        </row>
        <row r="5112">
          <cell r="J5112">
            <v>7006397825</v>
          </cell>
          <cell r="K5112" t="str">
            <v>Pontifical Catholic University of Rio de Janeiro (+1 more)</v>
          </cell>
        </row>
        <row r="5113">
          <cell r="J5113">
            <v>57200989446</v>
          </cell>
          <cell r="K5113" t="str">
            <v>Universidade Federal do Espírito Santo</v>
          </cell>
        </row>
        <row r="5114">
          <cell r="J5114">
            <v>57223392518</v>
          </cell>
          <cell r="K5114" t="str">
            <v>Federal University of Santa Catarina</v>
          </cell>
        </row>
        <row r="5115">
          <cell r="J5115">
            <v>57202231424</v>
          </cell>
          <cell r="K5115" t="str">
            <v>Vizlab - X-Reality and GeoInformatics Lab</v>
          </cell>
        </row>
        <row r="5116">
          <cell r="J5116">
            <v>35276221500</v>
          </cell>
          <cell r="K5116" t="str">
            <v>Universidade do Estado do Rio de Janeiro (+1 more)</v>
          </cell>
        </row>
        <row r="5117">
          <cell r="J5117">
            <v>15924643400</v>
          </cell>
          <cell r="K5117" t="str">
            <v>Pontifical Catholic University of Rio de Janeiro</v>
          </cell>
        </row>
        <row r="5118">
          <cell r="J5118">
            <v>57190228134</v>
          </cell>
          <cell r="K5118" t="str">
            <v>Universidade Federal Fluminense</v>
          </cell>
        </row>
        <row r="5119">
          <cell r="J5119">
            <v>57219792856</v>
          </cell>
          <cell r="K5119" t="str">
            <v>Federal University of Rio de Janeiro</v>
          </cell>
        </row>
        <row r="5120">
          <cell r="J5120">
            <v>56274456500</v>
          </cell>
          <cell r="K5120" t="str">
            <v>Federal University of Rio de Janeiro</v>
          </cell>
        </row>
        <row r="5121">
          <cell r="J5121">
            <v>57672453300</v>
          </cell>
          <cell r="K5121" t="str">
            <v>Universidade Federal do Rio Grande do Norte</v>
          </cell>
        </row>
        <row r="5122">
          <cell r="J5122">
            <v>7003501098</v>
          </cell>
          <cell r="K5122" t="str">
            <v>Universidade Federal de Minas Gerais</v>
          </cell>
        </row>
        <row r="5123">
          <cell r="J5123">
            <v>57188852064</v>
          </cell>
          <cell r="K5123" t="str">
            <v>Universidade Federal do Rio Grande do Norte (+2 more)</v>
          </cell>
        </row>
        <row r="5124">
          <cell r="J5124">
            <v>57191093052</v>
          </cell>
          <cell r="K5124" t="str">
            <v>Universidade Federal de Goiás (+1 more)</v>
          </cell>
        </row>
        <row r="5125">
          <cell r="J5125">
            <v>57196042260</v>
          </cell>
          <cell r="K5125" t="str">
            <v>Universidade de Brasília</v>
          </cell>
        </row>
        <row r="5126">
          <cell r="J5126">
            <v>23486897300</v>
          </cell>
          <cell r="K5126" t="str">
            <v>Universidade de São Paulo</v>
          </cell>
        </row>
        <row r="5127">
          <cell r="J5127">
            <v>7005271122</v>
          </cell>
          <cell r="K5127" t="str">
            <v>Universidade Federal de Minas Gerais</v>
          </cell>
        </row>
        <row r="5128">
          <cell r="J5128">
            <v>24831151000</v>
          </cell>
          <cell r="K5128" t="str">
            <v>Welltec S.A.</v>
          </cell>
        </row>
        <row r="5129">
          <cell r="J5129">
            <v>57203579213</v>
          </cell>
          <cell r="K5129" t="str">
            <v>Universidade Federal do Ceará</v>
          </cell>
        </row>
        <row r="5130">
          <cell r="J5130">
            <v>57014558900</v>
          </cell>
          <cell r="K5130" t="str">
            <v>Pontifical Catholic University of Rio de Janeiro (+1 more)</v>
          </cell>
        </row>
        <row r="5131">
          <cell r="J5131">
            <v>11739003300</v>
          </cell>
          <cell r="K5131" t="str">
            <v>Universidade Tiradentes</v>
          </cell>
        </row>
        <row r="5132">
          <cell r="J5132">
            <v>7103061109</v>
          </cell>
          <cell r="K5132" t="str">
            <v>Universidade Estadual do Norte Fluminense</v>
          </cell>
        </row>
        <row r="5133">
          <cell r="J5133">
            <v>57209170765</v>
          </cell>
          <cell r="K5133" t="str">
            <v>University of Campinas (+5 more)</v>
          </cell>
        </row>
        <row r="5134">
          <cell r="J5134">
            <v>58632681000</v>
          </cell>
          <cell r="K5134" t="str">
            <v>Universidade Federal do Rio Grande do Norte</v>
          </cell>
        </row>
        <row r="5135">
          <cell r="J5135">
            <v>57190497358</v>
          </cell>
          <cell r="K5135" t="str">
            <v>Federal University of Rio de Janeiro</v>
          </cell>
        </row>
        <row r="5136">
          <cell r="J5136">
            <v>7101868532</v>
          </cell>
          <cell r="K5136" t="str">
            <v>Federal University of Rio de Janeiro</v>
          </cell>
        </row>
        <row r="5137">
          <cell r="J5137">
            <v>55509921100</v>
          </cell>
          <cell r="K5137" t="str">
            <v>Universidade Federal de Viçosa</v>
          </cell>
        </row>
        <row r="5138">
          <cell r="J5138">
            <v>57191412078</v>
          </cell>
          <cell r="K5138" t="str">
            <v>Federal Institute</v>
          </cell>
        </row>
        <row r="5139">
          <cell r="J5139">
            <v>36563125900</v>
          </cell>
          <cell r="K5139" t="str">
            <v>Universidade Federal de Minas Gerais</v>
          </cell>
        </row>
        <row r="5140">
          <cell r="J5140">
            <v>48462068100</v>
          </cell>
          <cell r="K5140" t="str">
            <v>Universidade Federal de Uberlândia</v>
          </cell>
        </row>
        <row r="5141">
          <cell r="J5141">
            <v>7102943460</v>
          </cell>
          <cell r="K5141" t="str">
            <v>Universidade Federal Rural do Rio de Janeiro (+1 more)</v>
          </cell>
        </row>
        <row r="5142">
          <cell r="J5142">
            <v>57195684856</v>
          </cell>
          <cell r="K5142" t="str">
            <v>Federal University of Santa Catarina</v>
          </cell>
        </row>
        <row r="5143">
          <cell r="J5143">
            <v>56127563300</v>
          </cell>
          <cell r="K5143" t="str">
            <v>Pontifical Catholic University of Rio de Janeiro</v>
          </cell>
        </row>
        <row r="5144">
          <cell r="J5144">
            <v>57189052410</v>
          </cell>
          <cell r="K5144" t="str">
            <v>Pontifical Catholic University of Rio de Janeiro</v>
          </cell>
        </row>
        <row r="5145">
          <cell r="J5145">
            <v>56200580000</v>
          </cell>
          <cell r="K5145" t="str">
            <v>Pontifical Catholic University of Rio de Janeiro (+1 more)</v>
          </cell>
        </row>
        <row r="5146">
          <cell r="J5146">
            <v>59486425800</v>
          </cell>
          <cell r="K5146" t="str">
            <v>Pontifical Catholic University of Rio de Janeiro</v>
          </cell>
        </row>
        <row r="5147">
          <cell r="J5147">
            <v>8091167400</v>
          </cell>
          <cell r="K5147" t="str">
            <v>Pontíficia Universidade Católica (+2 more)</v>
          </cell>
        </row>
        <row r="5148">
          <cell r="J5148">
            <v>57878591000</v>
          </cell>
          <cell r="K5148" t="str">
            <v>Pontifical Catholic University of Rio de Janeiro</v>
          </cell>
        </row>
        <row r="5149">
          <cell r="J5149">
            <v>8983913000</v>
          </cell>
          <cell r="K5149" t="str">
            <v>Universidade do Estado do Rio de Janeiro (+2 more)</v>
          </cell>
        </row>
        <row r="5150">
          <cell r="J5150">
            <v>35548981800</v>
          </cell>
          <cell r="K5150" t="str">
            <v>Universidade Federal Do Estado Do Rio de Janeiro (Unirio)</v>
          </cell>
        </row>
        <row r="5151">
          <cell r="J5151">
            <v>57194492320</v>
          </cell>
          <cell r="K5151" t="str">
            <v>Federal University of Rio de Janeiro</v>
          </cell>
        </row>
        <row r="5152">
          <cell r="J5152">
            <v>56286157200</v>
          </cell>
          <cell r="K5152" t="str">
            <v>University of Bremen (+1 more)</v>
          </cell>
        </row>
        <row r="5153">
          <cell r="J5153">
            <v>56584603000</v>
          </cell>
          <cell r="K5153" t="str">
            <v>Universidade de São Paulo</v>
          </cell>
        </row>
        <row r="5154">
          <cell r="J5154">
            <v>58016810000</v>
          </cell>
          <cell r="K5154" t="str">
            <v>Universidade Federal Fluminense</v>
          </cell>
        </row>
        <row r="5155">
          <cell r="J5155">
            <v>57190181681</v>
          </cell>
          <cell r="K5155" t="str">
            <v>Universidade do Estado do Rio de Janeiro</v>
          </cell>
        </row>
        <row r="5156">
          <cell r="J5156">
            <v>57608583200</v>
          </cell>
          <cell r="K5156" t="str">
            <v>Federal University of Rio de Janeiro</v>
          </cell>
        </row>
        <row r="5157">
          <cell r="J5157">
            <v>36132599600</v>
          </cell>
          <cell r="K5157" t="str">
            <v>Universidade de São Paulo</v>
          </cell>
        </row>
        <row r="5158">
          <cell r="J5158">
            <v>57219941286</v>
          </cell>
          <cell r="K5158" t="str">
            <v>Universidade Federal de Juiz de Fora</v>
          </cell>
        </row>
        <row r="5159">
          <cell r="J5159">
            <v>57189389336</v>
          </cell>
          <cell r="K5159" t="str">
            <v>University of Blumenau (FURB) (+1 more)</v>
          </cell>
        </row>
        <row r="5160">
          <cell r="J5160">
            <v>23092328600</v>
          </cell>
          <cell r="K5160" t="str">
            <v>Universidade Federal de Itajubá</v>
          </cell>
        </row>
        <row r="5161">
          <cell r="J5161">
            <v>57699565000</v>
          </cell>
          <cell r="K5161" t="str">
            <v>Federal University of Rio de Janeiro</v>
          </cell>
        </row>
        <row r="5162">
          <cell r="J5162">
            <v>56940815200</v>
          </cell>
          <cell r="K5162" t="str">
            <v>University of Campinas</v>
          </cell>
        </row>
        <row r="5163">
          <cell r="J5163">
            <v>57200728842</v>
          </cell>
          <cell r="K5163" t="str">
            <v>Federal University of Rio de Janeiro</v>
          </cell>
        </row>
        <row r="5164">
          <cell r="J5164">
            <v>6701599601</v>
          </cell>
          <cell r="K5164" t="str">
            <v>Federal University of Rio de Janeiro</v>
          </cell>
        </row>
        <row r="5165">
          <cell r="J5165">
            <v>26023922300</v>
          </cell>
          <cell r="K5165" t="str">
            <v>X-Reality GeoInformatics Lab Unisinos University (+3 more)</v>
          </cell>
        </row>
        <row r="5166">
          <cell r="J5166">
            <v>57896381600</v>
          </cell>
          <cell r="K5166" t="str">
            <v>Universidade de São Paulo</v>
          </cell>
        </row>
        <row r="5167">
          <cell r="J5167">
            <v>57203408745</v>
          </cell>
          <cell r="K5167" t="str">
            <v>Federal University of Santa Catarina</v>
          </cell>
        </row>
        <row r="5168">
          <cell r="J5168">
            <v>57205054681</v>
          </cell>
          <cell r="K5168" t="str">
            <v>Universidade Federal de Santa Maria</v>
          </cell>
        </row>
        <row r="5169">
          <cell r="J5169">
            <v>57194274798</v>
          </cell>
          <cell r="K5169" t="str">
            <v>University of São Paulo (+2 more)</v>
          </cell>
        </row>
        <row r="5170">
          <cell r="J5170">
            <v>57203400857</v>
          </cell>
          <cell r="K5170" t="str">
            <v>Federal Educational Center</v>
          </cell>
        </row>
        <row r="5171">
          <cell r="J5171">
            <v>57221616745</v>
          </cell>
          <cell r="K5171" t="str">
            <v>Universidade Federal do Rio Grande do Norte</v>
          </cell>
        </row>
        <row r="5172">
          <cell r="J5172">
            <v>7005844512</v>
          </cell>
          <cell r="K5172" t="str">
            <v>Universidade Federal de Minas Gerais</v>
          </cell>
        </row>
        <row r="5173">
          <cell r="J5173">
            <v>55587285400</v>
          </cell>
          <cell r="K5173" t="str">
            <v>Universidade de São Paulo</v>
          </cell>
        </row>
        <row r="5174">
          <cell r="J5174">
            <v>57761674900</v>
          </cell>
          <cell r="K5174" t="str">
            <v>Universidade Federal do Espírito Santo</v>
          </cell>
        </row>
        <row r="5175">
          <cell r="J5175">
            <v>57215687514</v>
          </cell>
          <cell r="K5175" t="str">
            <v>Federal University of Rio de Janeiro</v>
          </cell>
        </row>
        <row r="5176">
          <cell r="J5176">
            <v>56572209600</v>
          </cell>
          <cell r="K5176" t="str">
            <v>Universidade Federal do Espírito Santo</v>
          </cell>
        </row>
        <row r="5177">
          <cell r="J5177">
            <v>55991121700</v>
          </cell>
          <cell r="K5177" t="str">
            <v>Universidade de São Paulo</v>
          </cell>
        </row>
        <row r="5178">
          <cell r="J5178">
            <v>6603329915</v>
          </cell>
          <cell r="K5178" t="str">
            <v>Laboratório Nacional de Luz Síncrotron (LNLS)</v>
          </cell>
        </row>
        <row r="5179">
          <cell r="J5179">
            <v>8344301600</v>
          </cell>
          <cell r="K5179" t="str">
            <v>University of Campinas</v>
          </cell>
        </row>
        <row r="5180">
          <cell r="J5180">
            <v>58759691500</v>
          </cell>
          <cell r="K5180" t="str">
            <v>Pontifical Catholic University of Rio de Janeiro</v>
          </cell>
        </row>
        <row r="5181">
          <cell r="J5181">
            <v>58982316400</v>
          </cell>
          <cell r="K5181" t="str">
            <v>Universidade Federal Fluminense (+1 more)</v>
          </cell>
        </row>
        <row r="5182">
          <cell r="J5182">
            <v>14619829600</v>
          </cell>
          <cell r="K5182" t="str">
            <v>University of Campinas</v>
          </cell>
        </row>
        <row r="5183">
          <cell r="J5183">
            <v>57194377082</v>
          </cell>
          <cell r="K5183" t="str">
            <v>Federal University of Rio de Janeiro</v>
          </cell>
        </row>
        <row r="5184">
          <cell r="J5184">
            <v>58667779200</v>
          </cell>
          <cell r="K5184" t="str">
            <v>Universidade de Brasília</v>
          </cell>
        </row>
        <row r="5185">
          <cell r="J5185">
            <v>55968244400</v>
          </cell>
          <cell r="K5185" t="str">
            <v>Universidade Tiradentes</v>
          </cell>
        </row>
        <row r="5186">
          <cell r="J5186">
            <v>56644984600</v>
          </cell>
          <cell r="K5186" t="str">
            <v>Universidade Federal Fluminense</v>
          </cell>
        </row>
        <row r="5187">
          <cell r="J5187">
            <v>6506656321</v>
          </cell>
          <cell r="K5187" t="str">
            <v>Petróleo Brasileiro S.A. (+1 more)</v>
          </cell>
        </row>
        <row r="5188">
          <cell r="J5188">
            <v>25923216600</v>
          </cell>
          <cell r="K5188" t="str">
            <v>Universidade Federal de Viçosa</v>
          </cell>
        </row>
        <row r="5189">
          <cell r="J5189">
            <v>57195437138</v>
          </cell>
          <cell r="K5189" t="str">
            <v>DEMa</v>
          </cell>
        </row>
        <row r="5190">
          <cell r="J5190">
            <v>57346826100</v>
          </cell>
          <cell r="K5190" t="str">
            <v>Universidade Federal do Espírito Santo</v>
          </cell>
        </row>
        <row r="5191">
          <cell r="J5191">
            <v>6603094206</v>
          </cell>
          <cell r="K5191" t="str">
            <v>Universidade de São Paulo</v>
          </cell>
        </row>
        <row r="5192">
          <cell r="J5192">
            <v>37018814300</v>
          </cell>
          <cell r="K5192" t="str">
            <v>Federal University of Rio de Janeiro</v>
          </cell>
        </row>
        <row r="5193">
          <cell r="J5193">
            <v>60173435300</v>
          </cell>
          <cell r="K5193" t="str">
            <v>Universidade Federal de Minas Gerais</v>
          </cell>
        </row>
        <row r="5194">
          <cell r="J5194">
            <v>57301012300</v>
          </cell>
          <cell r="K5194" t="str">
            <v>Universidade de São Paulo</v>
          </cell>
        </row>
        <row r="5195">
          <cell r="J5195">
            <v>24722034800</v>
          </cell>
          <cell r="K5195" t="str">
            <v>Universidade Federal de Uberlândia</v>
          </cell>
        </row>
        <row r="5196">
          <cell r="J5196">
            <v>60105470600</v>
          </cell>
          <cell r="K5196" t="str">
            <v>Science and Technology of Espírito Santo</v>
          </cell>
        </row>
        <row r="5197">
          <cell r="J5197">
            <v>57193208346</v>
          </cell>
          <cell r="K5197" t="str">
            <v>Universidade Federal Fluminense (+1 more)</v>
          </cell>
        </row>
        <row r="5198">
          <cell r="J5198">
            <v>47161779100</v>
          </cell>
          <cell r="K5198" t="str">
            <v>Universidade Federal Rural do Rio de Janeiro</v>
          </cell>
        </row>
        <row r="5199">
          <cell r="J5199">
            <v>57209399940</v>
          </cell>
          <cell r="K5199" t="str">
            <v>Federal University of Rio de Janeiro</v>
          </cell>
        </row>
        <row r="5200">
          <cell r="J5200">
            <v>60214129600</v>
          </cell>
          <cell r="K5200" t="str">
            <v>Universidade Federal de Minas Gerais</v>
          </cell>
        </row>
        <row r="5201">
          <cell r="J5201">
            <v>16231648500</v>
          </cell>
          <cell r="K5201" t="str">
            <v>Universidade de Brasília</v>
          </cell>
        </row>
        <row r="5202">
          <cell r="J5202">
            <v>56548228100</v>
          </cell>
          <cell r="K5202" t="str">
            <v>Centro Nacional de Pesquisa em Energia e Materiais</v>
          </cell>
        </row>
        <row r="5203">
          <cell r="J5203">
            <v>58699251800</v>
          </cell>
          <cell r="K5203" t="str">
            <v>Universidade Federal de Goiás</v>
          </cell>
        </row>
        <row r="5204">
          <cell r="J5204">
            <v>56450094100</v>
          </cell>
          <cell r="K5204" t="str">
            <v>Pontifícia Universidade Católica do Rio Grande do Sul (+1 more)</v>
          </cell>
        </row>
        <row r="5205">
          <cell r="J5205">
            <v>58064367300</v>
          </cell>
          <cell r="K5205" t="str">
            <v>Pontifical Catholic University of Rio de Janeiro</v>
          </cell>
        </row>
        <row r="5206">
          <cell r="J5206">
            <v>7103235792</v>
          </cell>
          <cell r="K5206" t="str">
            <v>University of Évora (+1 more)</v>
          </cell>
        </row>
        <row r="5207">
          <cell r="J5207">
            <v>7103235935</v>
          </cell>
          <cell r="K5207" t="str">
            <v>Pontifical Catholic University of Rio de Janeiro (+1 more)</v>
          </cell>
        </row>
        <row r="5208">
          <cell r="J5208">
            <v>55968603400</v>
          </cell>
          <cell r="K5208" t="str">
            <v>University of Campinas (+1 more)</v>
          </cell>
        </row>
        <row r="5209">
          <cell r="J5209">
            <v>59433271800</v>
          </cell>
          <cell r="K5209" t="str">
            <v>Universidade Federal de Alagoas</v>
          </cell>
        </row>
        <row r="5210">
          <cell r="J5210">
            <v>59970122500</v>
          </cell>
          <cell r="K5210" t="str">
            <v>Universidade Federal de Alagoas</v>
          </cell>
        </row>
        <row r="5211">
          <cell r="J5211">
            <v>57224985794</v>
          </cell>
          <cell r="K5211" t="str">
            <v>DEMa</v>
          </cell>
        </row>
        <row r="5212">
          <cell r="J5212">
            <v>57204730318</v>
          </cell>
          <cell r="K5212" t="str">
            <v>Federal University of Rio de Janeiro</v>
          </cell>
        </row>
        <row r="5213">
          <cell r="J5213">
            <v>36807112900</v>
          </cell>
          <cell r="K5213" t="str">
            <v>Universidade Federal de São João del-Rei</v>
          </cell>
        </row>
        <row r="5214">
          <cell r="J5214">
            <v>56809542600</v>
          </cell>
          <cell r="K5214" t="str">
            <v>Universidade Federal do Ceará</v>
          </cell>
        </row>
        <row r="5215">
          <cell r="J5215">
            <v>56662864100</v>
          </cell>
          <cell r="K5215" t="str">
            <v>Federal University of Rio de Janeiro</v>
          </cell>
        </row>
        <row r="5216">
          <cell r="J5216">
            <v>7003797092</v>
          </cell>
          <cell r="K5216" t="str">
            <v>Federal University of Rio de Janeiro</v>
          </cell>
        </row>
        <row r="5217">
          <cell r="J5217">
            <v>7003641796</v>
          </cell>
          <cell r="K5217" t="str">
            <v>Universidade Federal de Minas Gerais</v>
          </cell>
        </row>
        <row r="5218">
          <cell r="J5218">
            <v>57207576627</v>
          </cell>
          <cell r="K5218" t="str">
            <v>Universidade Federal de Uberlândia</v>
          </cell>
        </row>
        <row r="5219">
          <cell r="J5219">
            <v>36560807100</v>
          </cell>
          <cell r="K5219" t="str">
            <v>Federal University of Rio de Janeiro</v>
          </cell>
        </row>
        <row r="5220">
          <cell r="J5220">
            <v>57221143130</v>
          </cell>
          <cell r="K5220" t="str">
            <v>Pontifical Catholic University of Rio de Janeiro</v>
          </cell>
        </row>
        <row r="5221">
          <cell r="J5221">
            <v>57204793973</v>
          </cell>
          <cell r="K5221" t="str">
            <v>Pontifical Catholic University of Rio de Janeiro</v>
          </cell>
        </row>
        <row r="5222">
          <cell r="J5222">
            <v>7102570059</v>
          </cell>
          <cell r="K5222" t="str">
            <v>Universidade Federal de Uberlândia</v>
          </cell>
        </row>
        <row r="5223">
          <cell r="J5223">
            <v>57200495678</v>
          </cell>
          <cell r="K5223" t="str">
            <v>Universidade Federal de Campina Grande</v>
          </cell>
        </row>
        <row r="5224">
          <cell r="J5224">
            <v>35106255200</v>
          </cell>
          <cell r="K5224" t="str">
            <v>Serviço Nacional de Aprendizagem Industrial (+1 more)</v>
          </cell>
        </row>
        <row r="5225">
          <cell r="J5225">
            <v>58318614500</v>
          </cell>
          <cell r="K5225" t="str">
            <v>Universidade Federal Rural do Rio de Janeiro</v>
          </cell>
        </row>
        <row r="5226">
          <cell r="J5226">
            <v>23567383600</v>
          </cell>
          <cell r="K5226" t="str">
            <v>University of Campinas</v>
          </cell>
        </row>
        <row r="5227">
          <cell r="J5227">
            <v>55293608000</v>
          </cell>
          <cell r="K5227" t="str">
            <v>Vizlab - X-Reality and GeoInformatics Lab (+1 more)</v>
          </cell>
        </row>
        <row r="5228">
          <cell r="J5228">
            <v>57202197266</v>
          </cell>
          <cell r="K5228" t="str">
            <v>King Abdullah University of Science and Technology (+1 more)</v>
          </cell>
        </row>
        <row r="5229">
          <cell r="J5229">
            <v>57023694300</v>
          </cell>
          <cell r="K5229" t="str">
            <v>Universidade Federal de Pernambuco</v>
          </cell>
        </row>
        <row r="5230">
          <cell r="J5230">
            <v>6505958538</v>
          </cell>
          <cell r="K5230" t="str">
            <v>Universidade Federal de Santa Maria</v>
          </cell>
        </row>
        <row r="5231">
          <cell r="J5231">
            <v>57189212924</v>
          </cell>
          <cell r="K5231" t="str">
            <v>Universidade Federal do Rio Grande do Norte (+1 more)</v>
          </cell>
        </row>
        <row r="5232">
          <cell r="J5232">
            <v>15849485900</v>
          </cell>
          <cell r="K5232" t="str">
            <v>Universidade Estadual Paulista “Júlio de Mesquita Filho”</v>
          </cell>
        </row>
        <row r="5233">
          <cell r="J5233">
            <v>57201741829</v>
          </cell>
          <cell r="K5233" t="str">
            <v>Universidade Federal do Pampa</v>
          </cell>
        </row>
        <row r="5234">
          <cell r="J5234">
            <v>8427992600</v>
          </cell>
          <cell r="K5234" t="str">
            <v>Universidade de Brasília</v>
          </cell>
        </row>
        <row r="5235">
          <cell r="J5235">
            <v>57195722932</v>
          </cell>
          <cell r="K5235" t="str">
            <v>Universidade Estadual Paulista “Júlio de Mesquita Filho”</v>
          </cell>
        </row>
        <row r="5236">
          <cell r="J5236">
            <v>6603306417</v>
          </cell>
          <cell r="K5236" t="str">
            <v>Federal University of Rio de Janeiro</v>
          </cell>
        </row>
        <row r="5237">
          <cell r="J5237">
            <v>7003845959</v>
          </cell>
          <cell r="K5237" t="str">
            <v>Federal University of Rio de Janeiro</v>
          </cell>
        </row>
        <row r="5238">
          <cell r="J5238">
            <v>58317809900</v>
          </cell>
          <cell r="K5238" t="str">
            <v>Shell Brasil Petróleo Ltda</v>
          </cell>
        </row>
        <row r="5239">
          <cell r="J5239">
            <v>26649180300</v>
          </cell>
          <cell r="K5239" t="str">
            <v>Universidade Federal Fluminense</v>
          </cell>
        </row>
        <row r="5240">
          <cell r="J5240">
            <v>57210564976</v>
          </cell>
          <cell r="K5240" t="str">
            <v>Federal University of Rio de Janeiro</v>
          </cell>
        </row>
        <row r="5241">
          <cell r="J5241">
            <v>57194452153</v>
          </cell>
          <cell r="K5241" t="str">
            <v>Fundação Gorceix (+1 more)</v>
          </cell>
        </row>
        <row r="5242">
          <cell r="J5242">
            <v>6505546937</v>
          </cell>
          <cell r="K5242" t="str">
            <v>Federal University of Rio de Janeiro</v>
          </cell>
        </row>
        <row r="5243">
          <cell r="J5243">
            <v>59252104300</v>
          </cell>
          <cell r="K5243" t="str">
            <v>SAIPEM</v>
          </cell>
        </row>
        <row r="5244">
          <cell r="J5244">
            <v>60215112000</v>
          </cell>
          <cell r="K5244" t="str">
            <v>Universidade Federal de Minas Gerais</v>
          </cell>
        </row>
        <row r="5245">
          <cell r="J5245">
            <v>7004422261</v>
          </cell>
          <cell r="K5245" t="str">
            <v>Pontifical Catholic University of Rio de Janeiro</v>
          </cell>
        </row>
        <row r="5246">
          <cell r="J5246">
            <v>36189200000</v>
          </cell>
          <cell r="K5246" t="str">
            <v>Universidade Federal do Amazonas</v>
          </cell>
        </row>
        <row r="5247">
          <cell r="J5247">
            <v>8938680200</v>
          </cell>
          <cell r="K5247" t="str">
            <v>Federal University of Santa Catarina</v>
          </cell>
        </row>
        <row r="5248">
          <cell r="J5248">
            <v>6602406756</v>
          </cell>
          <cell r="K5248" t="str">
            <v>Universidade de Brasília</v>
          </cell>
        </row>
        <row r="5249">
          <cell r="J5249">
            <v>58126137800</v>
          </cell>
          <cell r="K5249" t="str">
            <v>SIMEROS</v>
          </cell>
        </row>
        <row r="5250">
          <cell r="J5250">
            <v>57214939843</v>
          </cell>
          <cell r="K5250" t="str">
            <v>Shell Brasil Ltda (+1 more)</v>
          </cell>
        </row>
        <row r="5251">
          <cell r="J5251">
            <v>18134608100</v>
          </cell>
          <cell r="K5251" t="str">
            <v>Universidade Federal do Rio Grande do Norte</v>
          </cell>
        </row>
        <row r="5252">
          <cell r="J5252">
            <v>59161234000</v>
          </cell>
          <cell r="K5252" t="str">
            <v>Federal University of Rio de Janeiro</v>
          </cell>
        </row>
        <row r="5253">
          <cell r="J5253">
            <v>57205609758</v>
          </cell>
          <cell r="K5253" t="str">
            <v>Federal University of Rio de Janeiro</v>
          </cell>
        </row>
        <row r="5254">
          <cell r="J5254">
            <v>36656740700</v>
          </cell>
          <cell r="K5254" t="str">
            <v>Universidade Estadual Paulista “Júlio de Mesquita Filho”</v>
          </cell>
        </row>
        <row r="5255">
          <cell r="J5255">
            <v>57201944834</v>
          </cell>
          <cell r="K5255" t="str">
            <v>Universidade de São Paulo</v>
          </cell>
        </row>
        <row r="5256">
          <cell r="J5256">
            <v>57194194811</v>
          </cell>
          <cell r="K5256" t="str">
            <v>Universidade Tecnológica Federal do Paraná</v>
          </cell>
        </row>
        <row r="5257">
          <cell r="J5257">
            <v>57192066581</v>
          </cell>
          <cell r="K5257" t="str">
            <v>Universidade Federal do Rio Grande do Sul</v>
          </cell>
        </row>
        <row r="5258">
          <cell r="J5258">
            <v>58639067900</v>
          </cell>
          <cell r="K5258" t="str">
            <v>Federal University of Rio de Janeiro</v>
          </cell>
        </row>
        <row r="5259">
          <cell r="J5259">
            <v>8842522300</v>
          </cell>
          <cell r="K5259" t="str">
            <v>Contestado University</v>
          </cell>
        </row>
        <row r="5260">
          <cell r="J5260">
            <v>57189375767</v>
          </cell>
          <cell r="K5260" t="str">
            <v>Regional University of Blumenau - FURB</v>
          </cell>
        </row>
        <row r="5261">
          <cell r="J5261">
            <v>57214808371</v>
          </cell>
          <cell r="K5261" t="str">
            <v>Senai-SC (+3 more)</v>
          </cell>
        </row>
        <row r="5262">
          <cell r="J5262">
            <v>57678818700</v>
          </cell>
          <cell r="K5262" t="str">
            <v>Vizlab - X-Reality and GeoInformatics Lab</v>
          </cell>
        </row>
        <row r="5263">
          <cell r="J5263">
            <v>57197870787</v>
          </cell>
          <cell r="K5263" t="str">
            <v>Instituto Infinet</v>
          </cell>
        </row>
        <row r="5264">
          <cell r="J5264">
            <v>6603933261</v>
          </cell>
          <cell r="K5264" t="str">
            <v>Petróleo Brasileiro S.A. (+1 more)</v>
          </cell>
        </row>
        <row r="5265">
          <cell r="J5265">
            <v>57370652400</v>
          </cell>
          <cell r="K5265" t="str">
            <v>Vizlab - X-Reality and GeoInformatics Lab</v>
          </cell>
        </row>
        <row r="5266">
          <cell r="J5266">
            <v>26322176300</v>
          </cell>
          <cell r="K5266" t="str">
            <v>University of Blumenau (FURB) (+1 more)</v>
          </cell>
        </row>
        <row r="5267">
          <cell r="J5267">
            <v>56067349300</v>
          </cell>
          <cell r="K5267" t="str">
            <v>Universidade Federal do Rio Grande do Sul</v>
          </cell>
        </row>
        <row r="5268">
          <cell r="J5268">
            <v>6508237821</v>
          </cell>
          <cell r="K5268" t="str">
            <v>University of State of Santa Catarina (UDESC) (+3 more)</v>
          </cell>
        </row>
        <row r="5269">
          <cell r="J5269">
            <v>57195452686</v>
          </cell>
          <cell r="K5269" t="str">
            <v>Universidade de Brasília</v>
          </cell>
        </row>
        <row r="5270">
          <cell r="J5270">
            <v>10438785300</v>
          </cell>
          <cell r="K5270" t="str">
            <v>Universidade Federal de Pernambuco (+1 more)</v>
          </cell>
        </row>
        <row r="5271">
          <cell r="J5271">
            <v>57221621130</v>
          </cell>
          <cell r="K5271" t="str">
            <v>Universidade Federal do Rio Grande do Norte</v>
          </cell>
        </row>
        <row r="5272">
          <cell r="J5272">
            <v>57193639147</v>
          </cell>
          <cell r="K5272" t="str">
            <v>Federal University of Rio de Janeiro</v>
          </cell>
        </row>
        <row r="5273">
          <cell r="J5273">
            <v>57218867595</v>
          </cell>
          <cell r="K5273" t="str">
            <v>Pontifical Catholic University of Rio de Janeiro</v>
          </cell>
        </row>
        <row r="5274">
          <cell r="J5274">
            <v>57205764634</v>
          </cell>
          <cell r="K5274" t="str">
            <v>Vizlab - X-Reality and GeoInformatics Lab</v>
          </cell>
        </row>
        <row r="5275">
          <cell r="J5275">
            <v>6601976136</v>
          </cell>
          <cell r="K5275" t="str">
            <v>University of Campinas</v>
          </cell>
        </row>
        <row r="5276">
          <cell r="J5276">
            <v>9276174200</v>
          </cell>
          <cell r="K5276" t="str">
            <v>Federal University of Santa Catarina</v>
          </cell>
        </row>
        <row r="5277">
          <cell r="J5277">
            <v>58792970700</v>
          </cell>
          <cell r="K5277" t="str">
            <v>Federal University of Santa Catarina</v>
          </cell>
        </row>
        <row r="5278">
          <cell r="J5278">
            <v>57188580441</v>
          </cell>
          <cell r="K5278" t="str">
            <v>Federal University of Rio de Janeiro</v>
          </cell>
        </row>
        <row r="5279">
          <cell r="J5279">
            <v>56094678600</v>
          </cell>
          <cell r="K5279" t="str">
            <v>Federal University of Rio de Janeiro</v>
          </cell>
        </row>
        <row r="5280">
          <cell r="J5280">
            <v>57196120285</v>
          </cell>
          <cell r="K5280" t="str">
            <v>Instituto de Pesquisas da Marinha</v>
          </cell>
        </row>
        <row r="5281">
          <cell r="J5281">
            <v>60089647700</v>
          </cell>
          <cell r="K5281" t="str">
            <v>Pontifical Catholic University of Rio de Janeiro</v>
          </cell>
        </row>
        <row r="5282">
          <cell r="J5282">
            <v>7006636636</v>
          </cell>
          <cell r="K5282" t="str">
            <v>University of Campinas</v>
          </cell>
        </row>
        <row r="5283">
          <cell r="J5283">
            <v>34267940700</v>
          </cell>
          <cell r="K5283" t="str">
            <v>Federal University of Rio de Janeiro</v>
          </cell>
        </row>
        <row r="5284">
          <cell r="J5284">
            <v>8291099000</v>
          </cell>
          <cell r="K5284" t="str">
            <v>Universidade Federal do Paraná</v>
          </cell>
        </row>
        <row r="5285">
          <cell r="J5285">
            <v>54889699100</v>
          </cell>
          <cell r="K5285" t="str">
            <v>Universidade de São Paulo</v>
          </cell>
        </row>
        <row r="5286">
          <cell r="J5286">
            <v>16479323500</v>
          </cell>
          <cell r="K5286" t="str">
            <v>Universidade de São Paulo</v>
          </cell>
        </row>
        <row r="5287">
          <cell r="J5287">
            <v>8966889700</v>
          </cell>
          <cell r="K5287" t="str">
            <v>DEMa</v>
          </cell>
        </row>
        <row r="5288">
          <cell r="J5288">
            <v>7003608389</v>
          </cell>
          <cell r="K5288" t="str">
            <v>Universidade de São Paulo</v>
          </cell>
        </row>
        <row r="5289">
          <cell r="J5289">
            <v>57202683043</v>
          </cell>
          <cell r="K5289" t="str">
            <v>Universidade Federal do Espírito Santo</v>
          </cell>
        </row>
        <row r="5290">
          <cell r="J5290">
            <v>57226399272</v>
          </cell>
          <cell r="K5290" t="str">
            <v>Science and Technology of Sao Paulo (IFSP)</v>
          </cell>
        </row>
        <row r="5291">
          <cell r="J5291">
            <v>8280080400</v>
          </cell>
          <cell r="K5291" t="str">
            <v>Federal University of Rio de Janeiro</v>
          </cell>
        </row>
        <row r="5292">
          <cell r="J5292">
            <v>22036633200</v>
          </cell>
          <cell r="K5292" t="str">
            <v>Universidade de Brasília</v>
          </cell>
        </row>
        <row r="5293">
          <cell r="J5293">
            <v>12778261000</v>
          </cell>
          <cell r="K5293" t="str">
            <v>Federal University of Rio de Janeiro</v>
          </cell>
        </row>
        <row r="5294">
          <cell r="J5294">
            <v>56810101700</v>
          </cell>
          <cell r="K5294" t="str">
            <v>Universidade Federal Fluminense</v>
          </cell>
        </row>
        <row r="5295">
          <cell r="J5295">
            <v>54788472200</v>
          </cell>
          <cell r="K5295" t="str">
            <v>University of Campinas</v>
          </cell>
        </row>
        <row r="5296">
          <cell r="J5296">
            <v>57971886700</v>
          </cell>
          <cell r="K5296" t="str">
            <v>Federal University of Santa Catarina</v>
          </cell>
        </row>
        <row r="5297">
          <cell r="J5297">
            <v>6508049115</v>
          </cell>
          <cell r="K5297" t="str">
            <v>Universidade Estadual do Norte Fluminense</v>
          </cell>
        </row>
        <row r="5298">
          <cell r="J5298">
            <v>36026238700</v>
          </cell>
          <cell r="K5298" t="str">
            <v>Pontifícia Universidade Católica do Rio Grande do Sul</v>
          </cell>
        </row>
        <row r="5299">
          <cell r="J5299">
            <v>50462510200</v>
          </cell>
          <cell r="K5299" t="str">
            <v>University of Campinas (+1 more)</v>
          </cell>
        </row>
        <row r="5300">
          <cell r="J5300">
            <v>57566593300</v>
          </cell>
          <cell r="K5300" t="str">
            <v>Pontifical Catholic University of Rio de Janeiro (+1 more)</v>
          </cell>
        </row>
        <row r="5301">
          <cell r="J5301">
            <v>57222544401</v>
          </cell>
          <cell r="K5301" t="str">
            <v>Universidade Federal do Espírito Santo</v>
          </cell>
        </row>
        <row r="5302">
          <cell r="J5302">
            <v>57336715300</v>
          </cell>
          <cell r="K5302" t="str">
            <v>Universidade Federal do Espírito Santo</v>
          </cell>
        </row>
        <row r="5303">
          <cell r="J5303">
            <v>60094441900</v>
          </cell>
          <cell r="K5303" t="str">
            <v>Universidade Federal de Mato Grosso</v>
          </cell>
        </row>
        <row r="5304">
          <cell r="J5304">
            <v>56511981000</v>
          </cell>
          <cell r="K5304" t="str">
            <v>Pontifical Catholic University of Rio de Janeiro</v>
          </cell>
        </row>
        <row r="5305">
          <cell r="J5305">
            <v>53165456900</v>
          </cell>
          <cell r="K5305" t="str">
            <v>Vizlab - X-Reality and GeoInformatics Lab (+1 more)</v>
          </cell>
        </row>
        <row r="5306">
          <cell r="J5306">
            <v>35486490400</v>
          </cell>
          <cell r="K5306" t="str">
            <v>Centro Nacional de Pesquisa em Energia e Materiais</v>
          </cell>
        </row>
        <row r="5307">
          <cell r="J5307">
            <v>57665462700</v>
          </cell>
          <cell r="K5307" t="str">
            <v>Federal University of Santa Catarina</v>
          </cell>
        </row>
        <row r="5308">
          <cell r="J5308">
            <v>57196483974</v>
          </cell>
          <cell r="K5308" t="str">
            <v>Federal University of Rio de Janeiro</v>
          </cell>
        </row>
        <row r="5309">
          <cell r="J5309">
            <v>59131357100</v>
          </cell>
          <cell r="K5309" t="str">
            <v>Schlumberger Brasil</v>
          </cell>
        </row>
        <row r="5310">
          <cell r="J5310">
            <v>58793144200</v>
          </cell>
          <cell r="K5310" t="str">
            <v>Universidade Federal do Rio Grande do Sul</v>
          </cell>
        </row>
        <row r="5311">
          <cell r="J5311">
            <v>55360794100</v>
          </cell>
          <cell r="K5311" t="str">
            <v>DEMa</v>
          </cell>
        </row>
        <row r="5312">
          <cell r="J5312">
            <v>6602354284</v>
          </cell>
          <cell r="K5312" t="str">
            <v>Zlemlink Ltda (+4 more)</v>
          </cell>
        </row>
        <row r="5313">
          <cell r="J5313">
            <v>57210968585</v>
          </cell>
          <cell r="K5313" t="str">
            <v>Pontifícia Universidade Católica do Rio Grande do Sul</v>
          </cell>
        </row>
        <row r="5314">
          <cell r="J5314">
            <v>57195301056</v>
          </cell>
          <cell r="K5314" t="str">
            <v>Universidade Federal do Rio Grande do Sul</v>
          </cell>
        </row>
        <row r="5315">
          <cell r="J5315">
            <v>57785844500</v>
          </cell>
          <cell r="K5315" t="str">
            <v>Pontifícia Universidade Católica do Rio Grande do Sul</v>
          </cell>
        </row>
        <row r="5316">
          <cell r="J5316">
            <v>58573438100</v>
          </cell>
          <cell r="K5316" t="str">
            <v>Universidade Federal do Rio Grande do Sul</v>
          </cell>
        </row>
        <row r="5317">
          <cell r="J5317">
            <v>6506199902</v>
          </cell>
          <cell r="K5317" t="str">
            <v>Universidade Estadual de Maringá</v>
          </cell>
        </row>
        <row r="5318">
          <cell r="J5318">
            <v>35796751600</v>
          </cell>
          <cell r="K5318" t="str">
            <v>National Institute of Technology (INT) (+2 more)</v>
          </cell>
        </row>
        <row r="5319">
          <cell r="J5319">
            <v>21234495200</v>
          </cell>
          <cell r="K5319" t="str">
            <v>Universidade Federal Rural do Rio de Janeiro (+1 more)</v>
          </cell>
        </row>
        <row r="5320">
          <cell r="J5320">
            <v>22236154700</v>
          </cell>
          <cell r="K5320" t="str">
            <v>Universidade Federal do Rio Grande do Sul</v>
          </cell>
        </row>
        <row r="5321">
          <cell r="J5321">
            <v>8961231800</v>
          </cell>
          <cell r="K5321" t="str">
            <v>Universidade do Estado do Rio de Janeiro (+3 more)</v>
          </cell>
        </row>
        <row r="5322">
          <cell r="J5322">
            <v>6603415025</v>
          </cell>
          <cell r="K5322" t="str">
            <v>Federal University of Rio de Janeiro</v>
          </cell>
        </row>
        <row r="5323">
          <cell r="J5323">
            <v>56192019400</v>
          </cell>
          <cell r="K5323" t="str">
            <v>Universidade Federal da Bahia</v>
          </cell>
        </row>
        <row r="5324">
          <cell r="J5324">
            <v>6603128143</v>
          </cell>
          <cell r="K5324" t="str">
            <v>Universidade de São Paulo</v>
          </cell>
        </row>
        <row r="5325">
          <cell r="J5325">
            <v>58117767300</v>
          </cell>
          <cell r="K5325" t="str">
            <v>Universidade Federal do Rio Grande do Sul</v>
          </cell>
        </row>
        <row r="5326">
          <cell r="J5326">
            <v>57188965373</v>
          </cell>
          <cell r="K5326" t="str">
            <v>Universidade Federal Fluminense</v>
          </cell>
        </row>
        <row r="5327">
          <cell r="J5327">
            <v>57189626359</v>
          </cell>
          <cell r="K5327" t="str">
            <v>Universidade de São Paulo</v>
          </cell>
        </row>
        <row r="5328">
          <cell r="J5328">
            <v>60086889600</v>
          </cell>
          <cell r="K5328" t="str">
            <v>Federal University of Rio de Janeiro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C80C7-0C5F-4244-BD71-A4E9FD605DF9}">
  <sheetPr filterMode="1"/>
  <dimension ref="A1:S5326"/>
  <sheetViews>
    <sheetView tabSelected="1" workbookViewId="0">
      <selection activeCell="E28" sqref="E28"/>
    </sheetView>
  </sheetViews>
  <sheetFormatPr defaultRowHeight="14.5" x14ac:dyDescent="0.35"/>
  <cols>
    <col min="1" max="1" width="13.7265625" customWidth="1"/>
    <col min="2" max="2" width="21.08984375" customWidth="1"/>
    <col min="3" max="3" width="30.81640625" customWidth="1"/>
    <col min="4" max="4" width="16.90625" customWidth="1"/>
    <col min="5" max="5" width="10.81640625" customWidth="1"/>
    <col min="6" max="6" width="12.81640625" customWidth="1"/>
    <col min="8" max="8" width="14.08984375" customWidth="1"/>
    <col min="9" max="9" width="19.26953125" customWidth="1"/>
    <col min="10" max="10" width="18.81640625" customWidth="1"/>
    <col min="11" max="12" width="17" customWidth="1"/>
    <col min="13" max="13" width="17.08984375" customWidth="1"/>
    <col min="14" max="14" width="15" customWidth="1"/>
    <col min="15" max="15" width="3.81640625" customWidth="1"/>
    <col min="16" max="16" width="16.1796875" customWidth="1"/>
    <col min="17" max="17" width="19.08984375" customWidth="1"/>
    <col min="18" max="18" width="15.54296875" customWidth="1"/>
    <col min="19" max="19" width="15.90625" customWidth="1"/>
  </cols>
  <sheetData>
    <row r="1" spans="1:19" s="3" customFormat="1" ht="43" customHeight="1" x14ac:dyDescent="0.35">
      <c r="A1" s="4" t="s">
        <v>5319</v>
      </c>
      <c r="B1" s="4" t="s">
        <v>5318</v>
      </c>
      <c r="C1" s="4" t="s">
        <v>5320</v>
      </c>
      <c r="D1" s="4" t="s">
        <v>5321</v>
      </c>
      <c r="E1" s="4" t="s">
        <v>5322</v>
      </c>
      <c r="F1" s="4" t="s">
        <v>5323</v>
      </c>
      <c r="G1" s="4" t="s">
        <v>5324</v>
      </c>
      <c r="H1" s="4" t="s">
        <v>5325</v>
      </c>
      <c r="I1" s="5" t="s">
        <v>5326</v>
      </c>
      <c r="J1" s="5" t="s">
        <v>5327</v>
      </c>
      <c r="K1" s="5" t="s">
        <v>5328</v>
      </c>
      <c r="L1" s="5" t="s">
        <v>5329</v>
      </c>
      <c r="M1" s="5" t="s">
        <v>5330</v>
      </c>
      <c r="N1" s="5" t="s">
        <v>5331</v>
      </c>
      <c r="O1" s="4"/>
      <c r="P1" s="7" t="s">
        <v>5332</v>
      </c>
      <c r="Q1" s="7" t="s">
        <v>5333</v>
      </c>
      <c r="R1" s="7" t="s">
        <v>5334</v>
      </c>
      <c r="S1" s="7" t="s">
        <v>5335</v>
      </c>
    </row>
    <row r="2" spans="1:19" ht="31.5" customHeight="1" x14ac:dyDescent="0.35">
      <c r="A2" s="1" t="s">
        <v>0</v>
      </c>
      <c r="B2" s="1" t="s">
        <v>1</v>
      </c>
      <c r="C2" s="1" t="s">
        <v>2</v>
      </c>
      <c r="D2" s="2" t="s">
        <v>5336</v>
      </c>
      <c r="E2" s="2" t="s">
        <v>3</v>
      </c>
      <c r="F2" s="2" t="s">
        <v>4</v>
      </c>
      <c r="G2" s="1" t="s">
        <v>5</v>
      </c>
      <c r="H2" s="2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2"/>
      <c r="P2" s="8" t="s">
        <v>13</v>
      </c>
      <c r="Q2" s="8" t="s">
        <v>14</v>
      </c>
      <c r="R2" s="8" t="s">
        <v>15</v>
      </c>
      <c r="S2" s="8" t="s">
        <v>16</v>
      </c>
    </row>
    <row r="3" spans="1:19" hidden="1" x14ac:dyDescent="0.35">
      <c r="A3">
        <v>58678925400</v>
      </c>
      <c r="B3" t="s">
        <v>17</v>
      </c>
      <c r="C3" t="str">
        <f>_xlfn.XLOOKUP(A3,[1]Affiliations!$J$2:$J$5328,[1]Affiliations!$K$2:$K$5328,0)</f>
        <v>Universidade Tecnológica Federal do Paraná</v>
      </c>
      <c r="D3">
        <v>1</v>
      </c>
      <c r="E3">
        <v>8</v>
      </c>
      <c r="F3">
        <v>8</v>
      </c>
      <c r="G3">
        <v>1</v>
      </c>
      <c r="H3">
        <v>1.33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P3">
        <v>0</v>
      </c>
      <c r="Q3">
        <v>0</v>
      </c>
      <c r="R3">
        <v>0</v>
      </c>
      <c r="S3">
        <v>1</v>
      </c>
    </row>
    <row r="4" spans="1:19" x14ac:dyDescent="0.35">
      <c r="A4">
        <v>57208664281</v>
      </c>
      <c r="B4" t="s">
        <v>4343</v>
      </c>
      <c r="C4" t="str">
        <f>_xlfn.XLOOKUP(A4,[1]Affiliations!$J$2:$J$5328,[1]Affiliations!$K$2:$K$5328,0)</f>
        <v>Federal University of Rio de Janeiro</v>
      </c>
      <c r="D4">
        <v>5</v>
      </c>
      <c r="E4">
        <v>273</v>
      </c>
      <c r="F4">
        <v>54.6</v>
      </c>
      <c r="G4">
        <v>5</v>
      </c>
      <c r="H4">
        <v>4.45</v>
      </c>
      <c r="I4">
        <v>0</v>
      </c>
      <c r="J4">
        <v>2</v>
      </c>
      <c r="K4">
        <v>4</v>
      </c>
      <c r="L4">
        <v>5</v>
      </c>
      <c r="M4">
        <v>5</v>
      </c>
      <c r="N4">
        <v>5</v>
      </c>
      <c r="P4">
        <v>1</v>
      </c>
      <c r="Q4">
        <v>2</v>
      </c>
      <c r="R4">
        <v>4</v>
      </c>
      <c r="S4">
        <v>4</v>
      </c>
    </row>
    <row r="5" spans="1:19" x14ac:dyDescent="0.35">
      <c r="A5">
        <v>55499083500</v>
      </c>
      <c r="B5" t="s">
        <v>3789</v>
      </c>
      <c r="C5" t="str">
        <f>_xlfn.XLOOKUP(A5,[1]Affiliations!$J$2:$J$5328,[1]Affiliations!$K$2:$K$5328,0)</f>
        <v>Universidade de São Paulo</v>
      </c>
      <c r="D5">
        <v>23</v>
      </c>
      <c r="E5">
        <v>1973</v>
      </c>
      <c r="F5">
        <v>85.782610000000005</v>
      </c>
      <c r="G5">
        <v>16</v>
      </c>
      <c r="H5">
        <v>4.0599999999999996</v>
      </c>
      <c r="I5">
        <v>5</v>
      </c>
      <c r="J5">
        <v>11</v>
      </c>
      <c r="K5">
        <v>17</v>
      </c>
      <c r="L5">
        <v>18</v>
      </c>
      <c r="M5">
        <v>21</v>
      </c>
      <c r="N5">
        <v>23</v>
      </c>
      <c r="P5">
        <v>4</v>
      </c>
      <c r="Q5">
        <v>10</v>
      </c>
      <c r="R5">
        <v>15</v>
      </c>
      <c r="S5">
        <v>17</v>
      </c>
    </row>
    <row r="6" spans="1:19" hidden="1" x14ac:dyDescent="0.35">
      <c r="A6">
        <v>55629905000</v>
      </c>
      <c r="B6" t="s">
        <v>20</v>
      </c>
      <c r="C6" t="str">
        <f>_xlfn.XLOOKUP(A6,[1]Affiliations!$J$2:$J$5328,[1]Affiliations!$K$2:$K$5328,0)</f>
        <v>Universidade de São Paulo</v>
      </c>
      <c r="D6">
        <v>5</v>
      </c>
      <c r="E6">
        <v>22</v>
      </c>
      <c r="F6">
        <v>4.4000000000000004</v>
      </c>
      <c r="G6">
        <v>3</v>
      </c>
      <c r="H6">
        <v>0.66</v>
      </c>
      <c r="I6">
        <v>0</v>
      </c>
      <c r="J6">
        <v>0</v>
      </c>
      <c r="K6">
        <v>0</v>
      </c>
      <c r="L6">
        <v>0</v>
      </c>
      <c r="M6">
        <v>1</v>
      </c>
      <c r="N6">
        <v>2</v>
      </c>
      <c r="P6">
        <v>0</v>
      </c>
      <c r="Q6">
        <v>0</v>
      </c>
      <c r="R6">
        <v>0</v>
      </c>
      <c r="S6">
        <v>0</v>
      </c>
    </row>
    <row r="7" spans="1:19" hidden="1" x14ac:dyDescent="0.35">
      <c r="A7">
        <v>58578654200</v>
      </c>
      <c r="B7" t="s">
        <v>21</v>
      </c>
      <c r="C7" t="str">
        <f>_xlfn.XLOOKUP(A7,[1]Affiliations!$J$2:$J$5328,[1]Affiliations!$K$2:$K$5328,0)</f>
        <v>Universidade Federal Fluminense</v>
      </c>
      <c r="D7">
        <v>2</v>
      </c>
      <c r="E7">
        <v>14</v>
      </c>
      <c r="F7">
        <v>7</v>
      </c>
      <c r="G7">
        <v>2</v>
      </c>
      <c r="H7">
        <v>0.66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P7">
        <v>0</v>
      </c>
      <c r="Q7">
        <v>0</v>
      </c>
      <c r="R7">
        <v>0</v>
      </c>
      <c r="S7">
        <v>1</v>
      </c>
    </row>
    <row r="8" spans="1:19" hidden="1" x14ac:dyDescent="0.35">
      <c r="A8">
        <v>58640717300</v>
      </c>
      <c r="B8" t="s">
        <v>22</v>
      </c>
      <c r="C8" t="str">
        <f>_xlfn.XLOOKUP(A8,[1]Affiliations!$J$2:$J$5328,[1]Affiliations!$K$2:$K$5328,0)</f>
        <v>Universidade Estadual do Norte Fluminense</v>
      </c>
      <c r="D8">
        <v>1</v>
      </c>
      <c r="E8">
        <v>1</v>
      </c>
      <c r="F8">
        <v>1</v>
      </c>
      <c r="G8">
        <v>1</v>
      </c>
      <c r="H8">
        <v>0.09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P8">
        <v>0</v>
      </c>
      <c r="Q8">
        <v>0</v>
      </c>
      <c r="R8">
        <v>0</v>
      </c>
      <c r="S8">
        <v>0</v>
      </c>
    </row>
    <row r="9" spans="1:19" hidden="1" x14ac:dyDescent="0.35">
      <c r="A9">
        <v>57162660100</v>
      </c>
      <c r="B9" t="s">
        <v>23</v>
      </c>
      <c r="C9" t="str">
        <f>_xlfn.XLOOKUP(A9,[1]Affiliations!$J$2:$J$5328,[1]Affiliations!$K$2:$K$5328,0)</f>
        <v>Pontifical Catholic University of Rio de Janeiro (+1 more)</v>
      </c>
      <c r="D9">
        <v>7</v>
      </c>
      <c r="E9">
        <v>43</v>
      </c>
      <c r="F9">
        <v>6.1428570000000002</v>
      </c>
      <c r="G9">
        <v>5</v>
      </c>
      <c r="H9">
        <v>0.87</v>
      </c>
      <c r="I9">
        <v>0</v>
      </c>
      <c r="J9">
        <v>0</v>
      </c>
      <c r="K9">
        <v>1</v>
      </c>
      <c r="L9">
        <v>2</v>
      </c>
      <c r="M9">
        <v>2</v>
      </c>
      <c r="N9">
        <v>2</v>
      </c>
      <c r="P9">
        <v>0</v>
      </c>
      <c r="Q9">
        <v>0</v>
      </c>
      <c r="R9">
        <v>0</v>
      </c>
      <c r="S9">
        <v>0</v>
      </c>
    </row>
    <row r="10" spans="1:19" x14ac:dyDescent="0.35">
      <c r="A10">
        <v>7004754689</v>
      </c>
      <c r="B10" t="s">
        <v>3577</v>
      </c>
      <c r="C10" t="str">
        <f>_xlfn.XLOOKUP(A10,[1]Affiliations!$J$2:$J$5328,[1]Affiliations!$K$2:$K$5328,0)</f>
        <v>Federal University of Rio de Janeiro</v>
      </c>
      <c r="D10">
        <v>39</v>
      </c>
      <c r="E10">
        <v>2568</v>
      </c>
      <c r="F10">
        <v>65.846149999999994</v>
      </c>
      <c r="G10">
        <v>20</v>
      </c>
      <c r="H10">
        <v>3.69</v>
      </c>
      <c r="I10">
        <v>1</v>
      </c>
      <c r="J10">
        <v>7</v>
      </c>
      <c r="K10">
        <v>7</v>
      </c>
      <c r="L10">
        <v>18</v>
      </c>
      <c r="M10">
        <v>20</v>
      </c>
      <c r="N10">
        <v>22</v>
      </c>
      <c r="P10">
        <v>2</v>
      </c>
      <c r="Q10">
        <v>5</v>
      </c>
      <c r="R10">
        <v>6</v>
      </c>
      <c r="S10">
        <v>16</v>
      </c>
    </row>
    <row r="11" spans="1:19" hidden="1" x14ac:dyDescent="0.35">
      <c r="A11">
        <v>60086431600</v>
      </c>
      <c r="B11" t="s">
        <v>25</v>
      </c>
      <c r="C11" t="str">
        <f>_xlfn.XLOOKUP(A11,[1]Affiliations!$J$2:$J$5328,[1]Affiliations!$K$2:$K$5328,0)</f>
        <v>Universidade de São Paulo</v>
      </c>
      <c r="D11">
        <v>0</v>
      </c>
      <c r="G11">
        <v>0</v>
      </c>
    </row>
    <row r="12" spans="1:19" x14ac:dyDescent="0.35">
      <c r="A12">
        <v>57221317962</v>
      </c>
      <c r="B12" t="s">
        <v>3811</v>
      </c>
      <c r="C12" t="str">
        <f>_xlfn.XLOOKUP(A12,[1]Affiliations!$J$2:$J$5328,[1]Affiliations!$K$2:$K$5328,0)</f>
        <v>Federal University of Rio de Janeiro</v>
      </c>
      <c r="D12">
        <v>9</v>
      </c>
      <c r="E12">
        <v>660</v>
      </c>
      <c r="F12">
        <v>73.333336000000003</v>
      </c>
      <c r="G12">
        <v>5</v>
      </c>
      <c r="H12">
        <v>3.64</v>
      </c>
      <c r="I12">
        <v>1</v>
      </c>
      <c r="J12">
        <v>2</v>
      </c>
      <c r="K12">
        <v>2</v>
      </c>
      <c r="L12">
        <v>4</v>
      </c>
      <c r="M12">
        <v>5</v>
      </c>
      <c r="N12">
        <v>6</v>
      </c>
      <c r="P12">
        <v>1</v>
      </c>
      <c r="Q12">
        <v>1</v>
      </c>
      <c r="R12">
        <v>1</v>
      </c>
      <c r="S12">
        <v>5</v>
      </c>
    </row>
    <row r="13" spans="1:19" hidden="1" x14ac:dyDescent="0.35">
      <c r="A13">
        <v>37008902800</v>
      </c>
      <c r="B13" t="s">
        <v>27</v>
      </c>
      <c r="C13" t="str">
        <f>_xlfn.XLOOKUP(A13,[1]Affiliations!$J$2:$J$5328,[1]Affiliations!$K$2:$K$5328,0)</f>
        <v>Universidade Federal da Bahia (+1 more)</v>
      </c>
      <c r="D13">
        <v>10</v>
      </c>
      <c r="E13">
        <v>111</v>
      </c>
      <c r="F13">
        <v>11.1</v>
      </c>
      <c r="G13">
        <v>6</v>
      </c>
      <c r="H13">
        <v>0.56999999999999995</v>
      </c>
      <c r="I13">
        <v>0</v>
      </c>
      <c r="J13">
        <v>1</v>
      </c>
      <c r="K13">
        <v>3</v>
      </c>
      <c r="L13">
        <v>4</v>
      </c>
      <c r="M13">
        <v>7</v>
      </c>
      <c r="N13">
        <v>8</v>
      </c>
      <c r="P13">
        <v>0</v>
      </c>
      <c r="Q13">
        <v>0</v>
      </c>
      <c r="R13">
        <v>0</v>
      </c>
      <c r="S13">
        <v>3</v>
      </c>
    </row>
    <row r="14" spans="1:19" hidden="1" x14ac:dyDescent="0.35">
      <c r="A14">
        <v>57219871152</v>
      </c>
      <c r="B14" t="s">
        <v>28</v>
      </c>
      <c r="C14" t="str">
        <f>_xlfn.XLOOKUP(A14,[1]Affiliations!$J$2:$J$5328,[1]Affiliations!$K$2:$K$5328,0)</f>
        <v>Universidade Federal da Bahia</v>
      </c>
      <c r="D14">
        <v>1</v>
      </c>
      <c r="E14">
        <v>43</v>
      </c>
      <c r="F14">
        <v>43</v>
      </c>
      <c r="G14">
        <v>1</v>
      </c>
      <c r="H14">
        <v>2.71</v>
      </c>
      <c r="I14">
        <v>0</v>
      </c>
      <c r="J14">
        <v>0</v>
      </c>
      <c r="K14">
        <v>1</v>
      </c>
      <c r="L14">
        <v>1</v>
      </c>
      <c r="M14">
        <v>1</v>
      </c>
      <c r="N14">
        <v>1</v>
      </c>
      <c r="P14">
        <v>0</v>
      </c>
      <c r="Q14">
        <v>0</v>
      </c>
      <c r="R14">
        <v>1</v>
      </c>
      <c r="S14">
        <v>1</v>
      </c>
    </row>
    <row r="15" spans="1:19" hidden="1" x14ac:dyDescent="0.35">
      <c r="A15">
        <v>60151770800</v>
      </c>
      <c r="B15" t="s">
        <v>29</v>
      </c>
      <c r="C15" t="str">
        <f>_xlfn.XLOOKUP(A15,[1]Affiliations!$J$2:$J$5328,[1]Affiliations!$K$2:$K$5328,0)</f>
        <v>Pontifical Catholic University of Rio de Janeiro</v>
      </c>
      <c r="D15">
        <v>0</v>
      </c>
      <c r="G15">
        <v>0</v>
      </c>
    </row>
    <row r="16" spans="1:19" hidden="1" x14ac:dyDescent="0.35">
      <c r="A16">
        <v>57273591100</v>
      </c>
      <c r="B16" t="s">
        <v>30</v>
      </c>
      <c r="C16" t="str">
        <f>_xlfn.XLOOKUP(A16,[1]Affiliations!$J$2:$J$5328,[1]Affiliations!$K$2:$K$5328,0)</f>
        <v>Pontifical Catholic University of Rio de Janeiro</v>
      </c>
      <c r="D16">
        <v>3</v>
      </c>
      <c r="E16">
        <v>30</v>
      </c>
      <c r="F16">
        <v>10</v>
      </c>
      <c r="G16">
        <v>3</v>
      </c>
      <c r="H16">
        <v>0.99</v>
      </c>
      <c r="I16">
        <v>0</v>
      </c>
      <c r="J16">
        <v>0</v>
      </c>
      <c r="K16">
        <v>0</v>
      </c>
      <c r="L16">
        <v>3</v>
      </c>
      <c r="M16">
        <v>3</v>
      </c>
      <c r="N16">
        <v>3</v>
      </c>
      <c r="P16">
        <v>0</v>
      </c>
      <c r="Q16">
        <v>0</v>
      </c>
      <c r="R16">
        <v>0</v>
      </c>
      <c r="S16">
        <v>2</v>
      </c>
    </row>
    <row r="17" spans="1:19" hidden="1" x14ac:dyDescent="0.35">
      <c r="A17">
        <v>17434137200</v>
      </c>
      <c r="B17" t="s">
        <v>31</v>
      </c>
      <c r="C17" t="str">
        <f>_xlfn.XLOOKUP(A17,[1]Affiliations!$J$2:$J$5328,[1]Affiliations!$K$2:$K$5328,0)</f>
        <v>Pontifical Catholic University of Rio de Janeiro</v>
      </c>
      <c r="D17">
        <v>3</v>
      </c>
      <c r="E17">
        <v>30</v>
      </c>
      <c r="F17">
        <v>10</v>
      </c>
      <c r="G17">
        <v>9</v>
      </c>
      <c r="H17">
        <v>0.37</v>
      </c>
      <c r="I17">
        <v>0</v>
      </c>
      <c r="J17">
        <v>2</v>
      </c>
      <c r="K17">
        <v>2</v>
      </c>
      <c r="L17">
        <v>3</v>
      </c>
      <c r="M17">
        <v>3</v>
      </c>
      <c r="N17">
        <v>3</v>
      </c>
      <c r="P17">
        <v>0</v>
      </c>
      <c r="Q17">
        <v>0</v>
      </c>
      <c r="R17">
        <v>0</v>
      </c>
      <c r="S17">
        <v>0</v>
      </c>
    </row>
    <row r="18" spans="1:19" x14ac:dyDescent="0.35">
      <c r="A18">
        <v>24282923400</v>
      </c>
      <c r="B18" t="s">
        <v>3860</v>
      </c>
      <c r="C18" t="str">
        <f>_xlfn.XLOOKUP(A18,[1]Affiliations!$J$2:$J$5328,[1]Affiliations!$K$2:$K$5328,0)</f>
        <v>Federal University of Rio de Janeiro</v>
      </c>
      <c r="D18">
        <v>995</v>
      </c>
      <c r="E18">
        <v>56229</v>
      </c>
      <c r="F18">
        <v>56.511560000000003</v>
      </c>
      <c r="G18">
        <v>135</v>
      </c>
      <c r="H18">
        <v>3.57</v>
      </c>
      <c r="I18">
        <v>3</v>
      </c>
      <c r="J18">
        <v>310</v>
      </c>
      <c r="K18">
        <v>927</v>
      </c>
      <c r="L18">
        <v>958</v>
      </c>
      <c r="M18">
        <v>986</v>
      </c>
      <c r="N18">
        <v>989</v>
      </c>
      <c r="P18">
        <v>47</v>
      </c>
      <c r="Q18">
        <v>248</v>
      </c>
      <c r="R18">
        <v>503</v>
      </c>
      <c r="S18">
        <v>819</v>
      </c>
    </row>
    <row r="19" spans="1:19" hidden="1" x14ac:dyDescent="0.35">
      <c r="A19">
        <v>56811721000</v>
      </c>
      <c r="B19" t="s">
        <v>33</v>
      </c>
      <c r="C19" t="str">
        <f>_xlfn.XLOOKUP(A19,[1]Affiliations!$J$2:$J$5328,[1]Affiliations!$K$2:$K$5328,0)</f>
        <v>Universidade de São Paulo</v>
      </c>
      <c r="D19">
        <v>1</v>
      </c>
      <c r="E19">
        <v>2</v>
      </c>
      <c r="F19">
        <v>2</v>
      </c>
      <c r="G19">
        <v>1</v>
      </c>
      <c r="H19">
        <v>0.57999999999999996</v>
      </c>
      <c r="I19">
        <v>0</v>
      </c>
      <c r="J19">
        <v>0</v>
      </c>
      <c r="K19">
        <v>0</v>
      </c>
      <c r="L19">
        <v>0</v>
      </c>
      <c r="M19">
        <v>0</v>
      </c>
      <c r="N19">
        <v>1</v>
      </c>
      <c r="P19">
        <v>0</v>
      </c>
      <c r="Q19">
        <v>0</v>
      </c>
      <c r="R19">
        <v>0</v>
      </c>
      <c r="S19">
        <v>0</v>
      </c>
    </row>
    <row r="20" spans="1:19" x14ac:dyDescent="0.35">
      <c r="A20">
        <v>57193795302</v>
      </c>
      <c r="B20" t="s">
        <v>4344</v>
      </c>
      <c r="C20" t="str">
        <f>_xlfn.XLOOKUP(A20,[1]Affiliations!$J$2:$J$5328,[1]Affiliations!$K$2:$K$5328,0)</f>
        <v>Federal University of Rio de Janeiro</v>
      </c>
      <c r="D20">
        <v>12</v>
      </c>
      <c r="E20">
        <v>1191</v>
      </c>
      <c r="F20">
        <v>99.25</v>
      </c>
      <c r="G20">
        <v>10</v>
      </c>
      <c r="H20">
        <v>3.54</v>
      </c>
      <c r="I20">
        <v>0</v>
      </c>
      <c r="J20">
        <v>5</v>
      </c>
      <c r="K20">
        <v>6</v>
      </c>
      <c r="L20">
        <v>11</v>
      </c>
      <c r="M20">
        <v>12</v>
      </c>
      <c r="N20">
        <v>12</v>
      </c>
      <c r="P20">
        <v>3</v>
      </c>
      <c r="Q20">
        <v>4</v>
      </c>
      <c r="R20">
        <v>7</v>
      </c>
      <c r="S20">
        <v>9</v>
      </c>
    </row>
    <row r="21" spans="1:19" hidden="1" x14ac:dyDescent="0.35">
      <c r="A21">
        <v>56340722900</v>
      </c>
      <c r="B21" t="s">
        <v>35</v>
      </c>
      <c r="C21" t="str">
        <f>_xlfn.XLOOKUP(A21,[1]Affiliations!$J$2:$J$5328,[1]Affiliations!$K$2:$K$5328,0)</f>
        <v>Universidade Federal da Bahia</v>
      </c>
      <c r="D21">
        <v>4</v>
      </c>
      <c r="E21">
        <v>32</v>
      </c>
      <c r="F21">
        <v>8</v>
      </c>
      <c r="G21">
        <v>3</v>
      </c>
      <c r="H21">
        <v>0.76</v>
      </c>
      <c r="I21">
        <v>0</v>
      </c>
      <c r="J21">
        <v>0</v>
      </c>
      <c r="K21">
        <v>0</v>
      </c>
      <c r="L21">
        <v>1</v>
      </c>
      <c r="M21">
        <v>2</v>
      </c>
      <c r="N21">
        <v>3</v>
      </c>
      <c r="P21">
        <v>0</v>
      </c>
      <c r="Q21">
        <v>0</v>
      </c>
      <c r="R21">
        <v>0</v>
      </c>
      <c r="S21">
        <v>1</v>
      </c>
    </row>
    <row r="22" spans="1:19" hidden="1" x14ac:dyDescent="0.35">
      <c r="A22">
        <v>54947348400</v>
      </c>
      <c r="B22" t="s">
        <v>36</v>
      </c>
      <c r="C22" t="str">
        <f>_xlfn.XLOOKUP(A22,[1]Affiliations!$J$2:$J$5328,[1]Affiliations!$K$2:$K$5328,0)</f>
        <v>Universidade Federal de Campina Grande</v>
      </c>
      <c r="D22">
        <v>5</v>
      </c>
      <c r="E22">
        <v>18</v>
      </c>
      <c r="F22">
        <v>3.6</v>
      </c>
      <c r="G22">
        <v>4</v>
      </c>
      <c r="H22">
        <v>0.33</v>
      </c>
      <c r="I22">
        <v>0</v>
      </c>
      <c r="J22">
        <v>0</v>
      </c>
      <c r="K22">
        <v>0</v>
      </c>
      <c r="L22">
        <v>0</v>
      </c>
      <c r="M22">
        <v>1</v>
      </c>
      <c r="N22">
        <v>4</v>
      </c>
      <c r="P22">
        <v>0</v>
      </c>
      <c r="Q22">
        <v>0</v>
      </c>
      <c r="R22">
        <v>0</v>
      </c>
      <c r="S22">
        <v>0</v>
      </c>
    </row>
    <row r="23" spans="1:19" hidden="1" x14ac:dyDescent="0.35">
      <c r="A23">
        <v>57220721507</v>
      </c>
      <c r="B23" t="s">
        <v>37</v>
      </c>
      <c r="C23" t="str">
        <f>_xlfn.XLOOKUP(A23,[1]Affiliations!$J$2:$J$5328,[1]Affiliations!$K$2:$K$5328,0)</f>
        <v>Halliburton</v>
      </c>
      <c r="D23">
        <v>1</v>
      </c>
      <c r="E23">
        <v>7</v>
      </c>
      <c r="F23">
        <v>7</v>
      </c>
      <c r="G23">
        <v>1</v>
      </c>
      <c r="H23">
        <v>1.52</v>
      </c>
      <c r="P23">
        <v>0</v>
      </c>
      <c r="Q23">
        <v>0</v>
      </c>
      <c r="R23">
        <v>0</v>
      </c>
      <c r="S23">
        <v>0</v>
      </c>
    </row>
    <row r="24" spans="1:19" x14ac:dyDescent="0.35">
      <c r="A24">
        <v>57192072722</v>
      </c>
      <c r="B24" t="s">
        <v>724</v>
      </c>
      <c r="C24" t="str">
        <f>_xlfn.XLOOKUP(A24,[1]Affiliations!$J$2:$J$5328,[1]Affiliations!$K$2:$K$5328,0)</f>
        <v>Federal University of Santa Catarina</v>
      </c>
      <c r="D24">
        <v>5</v>
      </c>
      <c r="E24">
        <v>392</v>
      </c>
      <c r="F24">
        <v>78.400000000000006</v>
      </c>
      <c r="G24">
        <v>4</v>
      </c>
      <c r="H24">
        <v>3.51</v>
      </c>
      <c r="I24">
        <v>0</v>
      </c>
      <c r="J24">
        <v>1</v>
      </c>
      <c r="K24">
        <v>1</v>
      </c>
      <c r="L24">
        <v>3</v>
      </c>
      <c r="M24">
        <v>5</v>
      </c>
      <c r="N24">
        <v>5</v>
      </c>
      <c r="P24">
        <v>1</v>
      </c>
      <c r="Q24">
        <v>2</v>
      </c>
      <c r="R24">
        <v>3</v>
      </c>
      <c r="S24">
        <v>3</v>
      </c>
    </row>
    <row r="25" spans="1:19" hidden="1" x14ac:dyDescent="0.35">
      <c r="A25">
        <v>56896121500</v>
      </c>
      <c r="B25" t="s">
        <v>39</v>
      </c>
      <c r="C25" t="str">
        <f>_xlfn.XLOOKUP(A25,[1]Affiliations!$J$2:$J$5328,[1]Affiliations!$K$2:$K$5328,0)</f>
        <v>Universidade Federal de Santa Maria</v>
      </c>
      <c r="D25">
        <v>16</v>
      </c>
      <c r="E25">
        <v>227</v>
      </c>
      <c r="F25">
        <v>14.1875</v>
      </c>
      <c r="G25">
        <v>9</v>
      </c>
      <c r="H25">
        <v>0.67</v>
      </c>
      <c r="I25">
        <v>0</v>
      </c>
      <c r="J25">
        <v>4</v>
      </c>
      <c r="K25">
        <v>8</v>
      </c>
      <c r="L25">
        <v>13</v>
      </c>
      <c r="M25">
        <v>14</v>
      </c>
      <c r="N25">
        <v>16</v>
      </c>
      <c r="P25">
        <v>0</v>
      </c>
      <c r="Q25">
        <v>0</v>
      </c>
      <c r="R25">
        <v>0</v>
      </c>
      <c r="S25">
        <v>6</v>
      </c>
    </row>
    <row r="26" spans="1:19" hidden="1" x14ac:dyDescent="0.35">
      <c r="A26">
        <v>56786052400</v>
      </c>
      <c r="B26" t="s">
        <v>40</v>
      </c>
      <c r="C26" t="str">
        <f>_xlfn.XLOOKUP(A26,[1]Affiliations!$J$2:$J$5328,[1]Affiliations!$K$2:$K$5328,0)</f>
        <v>Universidade de Brasília (+3 more)</v>
      </c>
      <c r="D26">
        <v>15</v>
      </c>
      <c r="E26">
        <v>203</v>
      </c>
      <c r="F26">
        <v>13.533334</v>
      </c>
      <c r="G26">
        <v>8</v>
      </c>
      <c r="H26">
        <v>0.78</v>
      </c>
      <c r="I26">
        <v>0</v>
      </c>
      <c r="J26">
        <v>2</v>
      </c>
      <c r="K26">
        <v>3</v>
      </c>
      <c r="L26">
        <v>3</v>
      </c>
      <c r="M26">
        <v>9</v>
      </c>
      <c r="N26">
        <v>14</v>
      </c>
      <c r="P26">
        <v>0</v>
      </c>
      <c r="Q26">
        <v>0</v>
      </c>
      <c r="R26">
        <v>0</v>
      </c>
      <c r="S26">
        <v>4</v>
      </c>
    </row>
    <row r="27" spans="1:19" hidden="1" x14ac:dyDescent="0.35">
      <c r="A27">
        <v>7005436405</v>
      </c>
      <c r="B27" t="s">
        <v>41</v>
      </c>
      <c r="C27" t="str">
        <f>_xlfn.XLOOKUP(A27,[1]Affiliations!$J$2:$J$5328,[1]Affiliations!$K$2:$K$5328,0)</f>
        <v>Federal University of Rio de Janeiro</v>
      </c>
      <c r="D27">
        <v>27</v>
      </c>
      <c r="E27">
        <v>224</v>
      </c>
      <c r="F27">
        <v>8.2962959999999999</v>
      </c>
      <c r="G27">
        <v>22</v>
      </c>
      <c r="H27">
        <v>0.38</v>
      </c>
      <c r="I27">
        <v>0</v>
      </c>
      <c r="J27">
        <v>0</v>
      </c>
      <c r="K27">
        <v>3</v>
      </c>
      <c r="L27">
        <v>4</v>
      </c>
      <c r="M27">
        <v>9</v>
      </c>
      <c r="N27">
        <v>23</v>
      </c>
      <c r="P27">
        <v>0</v>
      </c>
      <c r="Q27">
        <v>0</v>
      </c>
      <c r="R27">
        <v>0</v>
      </c>
      <c r="S27">
        <v>4</v>
      </c>
    </row>
    <row r="28" spans="1:19" x14ac:dyDescent="0.35">
      <c r="A28">
        <v>56070997300</v>
      </c>
      <c r="B28" t="s">
        <v>4616</v>
      </c>
      <c r="C28" t="str">
        <f>_xlfn.XLOOKUP(A28,[1]Affiliations!$J$2:$J$5328,[1]Affiliations!$K$2:$K$5328,0)</f>
        <v>University of Campinas (+1 more)</v>
      </c>
      <c r="D28">
        <v>26</v>
      </c>
      <c r="E28">
        <v>1151</v>
      </c>
      <c r="F28">
        <v>44.26923</v>
      </c>
      <c r="G28">
        <v>13</v>
      </c>
      <c r="H28">
        <v>2.97</v>
      </c>
      <c r="I28">
        <v>3</v>
      </c>
      <c r="J28">
        <v>7</v>
      </c>
      <c r="K28">
        <v>12</v>
      </c>
      <c r="L28">
        <v>15</v>
      </c>
      <c r="M28">
        <v>23</v>
      </c>
      <c r="N28">
        <v>24</v>
      </c>
      <c r="P28">
        <v>1</v>
      </c>
      <c r="Q28">
        <v>2</v>
      </c>
      <c r="R28">
        <v>6</v>
      </c>
      <c r="S28">
        <v>14</v>
      </c>
    </row>
    <row r="29" spans="1:19" x14ac:dyDescent="0.35">
      <c r="A29">
        <v>25622981900</v>
      </c>
      <c r="B29" t="s">
        <v>1975</v>
      </c>
      <c r="C29" t="str">
        <f>_xlfn.XLOOKUP(A29,[1]Affiliations!$J$2:$J$5328,[1]Affiliations!$K$2:$K$5328,0)</f>
        <v>Universidade Federal de Uberlândia</v>
      </c>
      <c r="D29">
        <v>15</v>
      </c>
      <c r="E29">
        <v>692</v>
      </c>
      <c r="F29">
        <v>46.133335000000002</v>
      </c>
      <c r="G29">
        <v>11</v>
      </c>
      <c r="H29">
        <v>2.87</v>
      </c>
      <c r="I29">
        <v>0</v>
      </c>
      <c r="J29">
        <v>4</v>
      </c>
      <c r="K29">
        <v>8</v>
      </c>
      <c r="L29">
        <v>13</v>
      </c>
      <c r="M29">
        <v>15</v>
      </c>
      <c r="N29">
        <v>15</v>
      </c>
      <c r="P29">
        <v>3</v>
      </c>
      <c r="Q29">
        <v>4</v>
      </c>
      <c r="R29">
        <v>4</v>
      </c>
      <c r="S29">
        <v>7</v>
      </c>
    </row>
    <row r="30" spans="1:19" hidden="1" x14ac:dyDescent="0.35">
      <c r="A30">
        <v>56665322100</v>
      </c>
      <c r="B30" t="s">
        <v>44</v>
      </c>
      <c r="C30" t="str">
        <f>_xlfn.XLOOKUP(A30,[1]Affiliations!$J$2:$J$5328,[1]Affiliations!$K$2:$K$5328,0)</f>
        <v>Universidade Federal de Pernambuco</v>
      </c>
      <c r="D30">
        <v>6</v>
      </c>
      <c r="E30">
        <v>32</v>
      </c>
      <c r="F30">
        <v>5.3333335000000002</v>
      </c>
      <c r="G30">
        <v>4</v>
      </c>
      <c r="H30">
        <v>0.57999999999999996</v>
      </c>
      <c r="I30">
        <v>0</v>
      </c>
      <c r="J30">
        <v>0</v>
      </c>
      <c r="K30">
        <v>0</v>
      </c>
      <c r="L30">
        <v>2</v>
      </c>
      <c r="M30">
        <v>5</v>
      </c>
      <c r="N30">
        <v>6</v>
      </c>
      <c r="P30">
        <v>0</v>
      </c>
      <c r="Q30">
        <v>0</v>
      </c>
      <c r="R30">
        <v>0</v>
      </c>
      <c r="S30">
        <v>1</v>
      </c>
    </row>
    <row r="31" spans="1:19" hidden="1" x14ac:dyDescent="0.35">
      <c r="A31">
        <v>57388740500</v>
      </c>
      <c r="B31" t="s">
        <v>45</v>
      </c>
      <c r="C31" t="str">
        <f>_xlfn.XLOOKUP(A31,[1]Affiliations!$J$2:$J$5328,[1]Affiliations!$K$2:$K$5328,0)</f>
        <v>Universidade Federal do Ceará</v>
      </c>
      <c r="D31">
        <v>1</v>
      </c>
      <c r="E31">
        <v>4</v>
      </c>
      <c r="F31">
        <v>4</v>
      </c>
      <c r="G31">
        <v>1</v>
      </c>
      <c r="H31">
        <v>0.28999999999999998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P31">
        <v>0</v>
      </c>
      <c r="Q31">
        <v>0</v>
      </c>
      <c r="R31">
        <v>0</v>
      </c>
      <c r="S31">
        <v>0</v>
      </c>
    </row>
    <row r="32" spans="1:19" hidden="1" x14ac:dyDescent="0.35">
      <c r="A32">
        <v>59455044100</v>
      </c>
      <c r="B32" t="s">
        <v>46</v>
      </c>
      <c r="C32" t="str">
        <f>_xlfn.XLOOKUP(A32,[1]Affiliations!$J$2:$J$5328,[1]Affiliations!$K$2:$K$5328,0)</f>
        <v>Federal University of Rio de Janeiro</v>
      </c>
      <c r="D32">
        <v>2</v>
      </c>
      <c r="E32">
        <v>64</v>
      </c>
      <c r="F32">
        <v>32</v>
      </c>
      <c r="G32">
        <v>2</v>
      </c>
      <c r="H32">
        <v>1.02</v>
      </c>
      <c r="I32">
        <v>0</v>
      </c>
      <c r="J32">
        <v>0</v>
      </c>
      <c r="K32">
        <v>1</v>
      </c>
      <c r="L32">
        <v>1</v>
      </c>
      <c r="M32">
        <v>2</v>
      </c>
      <c r="N32">
        <v>2</v>
      </c>
      <c r="P32">
        <v>0</v>
      </c>
      <c r="Q32">
        <v>0</v>
      </c>
      <c r="R32">
        <v>1</v>
      </c>
      <c r="S32">
        <v>1</v>
      </c>
    </row>
    <row r="33" spans="1:19" hidden="1" x14ac:dyDescent="0.35">
      <c r="A33">
        <v>56437368900</v>
      </c>
      <c r="B33" t="s">
        <v>47</v>
      </c>
      <c r="C33" t="str">
        <f>_xlfn.XLOOKUP(A33,[1]Affiliations!$J$2:$J$5328,[1]Affiliations!$K$2:$K$5328,0)</f>
        <v>Federal University of Rio de Janeiro</v>
      </c>
      <c r="D33">
        <v>7</v>
      </c>
      <c r="E33">
        <v>64</v>
      </c>
      <c r="F33">
        <v>9.1428580000000004</v>
      </c>
      <c r="G33">
        <v>7</v>
      </c>
      <c r="H33">
        <v>0.28999999999999998</v>
      </c>
      <c r="I33">
        <v>0</v>
      </c>
      <c r="J33">
        <v>1</v>
      </c>
      <c r="K33">
        <v>1</v>
      </c>
      <c r="L33">
        <v>2</v>
      </c>
      <c r="M33">
        <v>5</v>
      </c>
      <c r="N33">
        <v>6</v>
      </c>
      <c r="P33">
        <v>0</v>
      </c>
      <c r="Q33">
        <v>0</v>
      </c>
      <c r="R33">
        <v>0</v>
      </c>
      <c r="S33">
        <v>1</v>
      </c>
    </row>
    <row r="34" spans="1:19" x14ac:dyDescent="0.35">
      <c r="A34">
        <v>57209108341</v>
      </c>
      <c r="B34" t="s">
        <v>4614</v>
      </c>
      <c r="C34" t="str">
        <f>_xlfn.XLOOKUP(A34,[1]Affiliations!$J$2:$J$5328,[1]Affiliations!$K$2:$K$5328,0)</f>
        <v>Federal University of Rio de Janeiro</v>
      </c>
      <c r="D34">
        <v>14</v>
      </c>
      <c r="E34">
        <v>907</v>
      </c>
      <c r="F34">
        <v>64.785709999999995</v>
      </c>
      <c r="G34">
        <v>10</v>
      </c>
      <c r="H34">
        <v>2.83</v>
      </c>
      <c r="I34">
        <v>0</v>
      </c>
      <c r="J34">
        <v>3</v>
      </c>
      <c r="K34">
        <v>4</v>
      </c>
      <c r="L34">
        <v>8</v>
      </c>
      <c r="M34">
        <v>12</v>
      </c>
      <c r="N34">
        <v>13</v>
      </c>
      <c r="P34">
        <v>1</v>
      </c>
      <c r="Q34">
        <v>2</v>
      </c>
      <c r="R34">
        <v>3</v>
      </c>
      <c r="S34">
        <v>6</v>
      </c>
    </row>
    <row r="35" spans="1:19" hidden="1" x14ac:dyDescent="0.35">
      <c r="A35">
        <v>60026942000</v>
      </c>
      <c r="B35" t="s">
        <v>49</v>
      </c>
      <c r="C35" t="str">
        <f>_xlfn.XLOOKUP(A35,[1]Affiliations!$J$2:$J$5328,[1]Affiliations!$K$2:$K$5328,0)</f>
        <v>Pontifical Catholic University of Rio de Janeiro</v>
      </c>
      <c r="D35">
        <v>0</v>
      </c>
      <c r="G35">
        <v>0</v>
      </c>
    </row>
    <row r="36" spans="1:19" hidden="1" x14ac:dyDescent="0.35">
      <c r="A36">
        <v>57219143287</v>
      </c>
      <c r="B36" t="s">
        <v>50</v>
      </c>
      <c r="C36" t="str">
        <f>_xlfn.XLOOKUP(A36,[1]Affiliations!$J$2:$J$5328,[1]Affiliations!$K$2:$K$5328,0)</f>
        <v>Stratum Reservoir Brazil (+2 more)</v>
      </c>
      <c r="D36">
        <v>3</v>
      </c>
      <c r="E36">
        <v>23</v>
      </c>
      <c r="F36">
        <v>7.6666664999999998</v>
      </c>
      <c r="G36">
        <v>1</v>
      </c>
      <c r="H36">
        <v>0.6</v>
      </c>
      <c r="I36">
        <v>0</v>
      </c>
      <c r="J36">
        <v>1</v>
      </c>
      <c r="K36">
        <v>1</v>
      </c>
      <c r="L36">
        <v>2</v>
      </c>
      <c r="M36">
        <v>2</v>
      </c>
      <c r="N36">
        <v>2</v>
      </c>
      <c r="P36">
        <v>0</v>
      </c>
      <c r="Q36">
        <v>0</v>
      </c>
      <c r="R36">
        <v>0</v>
      </c>
      <c r="S36">
        <v>1</v>
      </c>
    </row>
    <row r="37" spans="1:19" x14ac:dyDescent="0.35">
      <c r="A37">
        <v>57118105800</v>
      </c>
      <c r="B37" t="s">
        <v>2667</v>
      </c>
      <c r="C37" t="str">
        <f>_xlfn.XLOOKUP(A37,[1]Affiliations!$J$2:$J$5328,[1]Affiliations!$K$2:$K$5328,0)</f>
        <v>Federal University of Santa Catarina</v>
      </c>
      <c r="D37">
        <v>7</v>
      </c>
      <c r="E37">
        <v>218</v>
      </c>
      <c r="F37">
        <v>31.142856999999999</v>
      </c>
      <c r="G37">
        <v>6</v>
      </c>
      <c r="H37">
        <v>2.82</v>
      </c>
      <c r="I37">
        <v>1</v>
      </c>
      <c r="J37">
        <v>3</v>
      </c>
      <c r="K37">
        <v>4</v>
      </c>
      <c r="L37">
        <v>5</v>
      </c>
      <c r="M37">
        <v>5</v>
      </c>
      <c r="N37">
        <v>6</v>
      </c>
      <c r="P37">
        <v>1</v>
      </c>
      <c r="Q37">
        <v>1</v>
      </c>
      <c r="R37">
        <v>2</v>
      </c>
      <c r="S37">
        <v>5</v>
      </c>
    </row>
    <row r="38" spans="1:19" hidden="1" x14ac:dyDescent="0.35">
      <c r="A38">
        <v>56139383900</v>
      </c>
      <c r="B38" t="s">
        <v>52</v>
      </c>
      <c r="C38" t="str">
        <f>_xlfn.XLOOKUP(A38,[1]Affiliations!$J$2:$J$5328,[1]Affiliations!$K$2:$K$5328,0)</f>
        <v>Federal University of Rio de Janeiro</v>
      </c>
      <c r="D38">
        <v>0</v>
      </c>
      <c r="G38">
        <v>1</v>
      </c>
    </row>
    <row r="39" spans="1:19" hidden="1" x14ac:dyDescent="0.35">
      <c r="A39">
        <v>56644637300</v>
      </c>
      <c r="B39" t="s">
        <v>53</v>
      </c>
      <c r="C39" t="str">
        <f>_xlfn.XLOOKUP(A39,[1]Affiliations!$J$2:$J$5328,[1]Affiliations!$K$2:$K$5328,0)</f>
        <v>Universidade Federal Fluminense (+1 more)</v>
      </c>
      <c r="D39">
        <v>16</v>
      </c>
      <c r="E39">
        <v>139</v>
      </c>
      <c r="F39">
        <v>8.6875</v>
      </c>
      <c r="G39">
        <v>9</v>
      </c>
      <c r="H39">
        <v>0.53</v>
      </c>
      <c r="I39">
        <v>0</v>
      </c>
      <c r="J39">
        <v>0</v>
      </c>
      <c r="K39">
        <v>4</v>
      </c>
      <c r="L39">
        <v>10</v>
      </c>
      <c r="M39">
        <v>11</v>
      </c>
      <c r="N39">
        <v>12</v>
      </c>
      <c r="P39">
        <v>0</v>
      </c>
      <c r="Q39">
        <v>0</v>
      </c>
      <c r="R39">
        <v>0</v>
      </c>
      <c r="S39">
        <v>4</v>
      </c>
    </row>
    <row r="40" spans="1:19" x14ac:dyDescent="0.35">
      <c r="A40">
        <v>56962603300</v>
      </c>
      <c r="B40" t="s">
        <v>1359</v>
      </c>
      <c r="C40" t="str">
        <f>_xlfn.XLOOKUP(A40,[1]Affiliations!$J$2:$J$5328,[1]Affiliations!$K$2:$K$5328,0)</f>
        <v>Universidade de Fortaleza</v>
      </c>
      <c r="D40">
        <v>380</v>
      </c>
      <c r="E40">
        <v>18628</v>
      </c>
      <c r="F40">
        <v>49.021053000000002</v>
      </c>
      <c r="G40">
        <v>79</v>
      </c>
      <c r="H40">
        <v>2.78</v>
      </c>
      <c r="I40">
        <v>31</v>
      </c>
      <c r="J40">
        <v>111</v>
      </c>
      <c r="K40">
        <v>167</v>
      </c>
      <c r="L40">
        <v>267</v>
      </c>
      <c r="M40">
        <v>300</v>
      </c>
      <c r="N40">
        <v>323</v>
      </c>
      <c r="P40">
        <v>31</v>
      </c>
      <c r="Q40">
        <v>92</v>
      </c>
      <c r="R40">
        <v>137</v>
      </c>
      <c r="S40">
        <v>224</v>
      </c>
    </row>
    <row r="41" spans="1:19" hidden="1" x14ac:dyDescent="0.35">
      <c r="A41">
        <v>57193906029</v>
      </c>
      <c r="B41" t="s">
        <v>55</v>
      </c>
      <c r="C41" t="str">
        <f>_xlfn.XLOOKUP(A41,[1]Affiliations!$J$2:$J$5328,[1]Affiliations!$K$2:$K$5328,0)</f>
        <v>Federal University of Rio de Janeiro</v>
      </c>
      <c r="D41">
        <v>6</v>
      </c>
      <c r="E41">
        <v>45</v>
      </c>
      <c r="F41">
        <v>7.5</v>
      </c>
      <c r="G41">
        <v>4</v>
      </c>
      <c r="H41">
        <v>0.53</v>
      </c>
      <c r="I41">
        <v>0</v>
      </c>
      <c r="J41">
        <v>0</v>
      </c>
      <c r="K41">
        <v>0</v>
      </c>
      <c r="L41">
        <v>4</v>
      </c>
      <c r="M41">
        <v>5</v>
      </c>
      <c r="N41">
        <v>5</v>
      </c>
      <c r="P41">
        <v>0</v>
      </c>
      <c r="Q41">
        <v>0</v>
      </c>
      <c r="R41">
        <v>0</v>
      </c>
      <c r="S41">
        <v>0</v>
      </c>
    </row>
    <row r="42" spans="1:19" hidden="1" x14ac:dyDescent="0.35">
      <c r="A42">
        <v>57210218710</v>
      </c>
      <c r="B42" t="s">
        <v>56</v>
      </c>
      <c r="C42" t="str">
        <f>_xlfn.XLOOKUP(A42,[1]Affiliations!$J$2:$J$5328,[1]Affiliations!$K$2:$K$5328,0)</f>
        <v>Universidade de Caxias do Sul</v>
      </c>
      <c r="D42">
        <v>4</v>
      </c>
      <c r="E42">
        <v>30</v>
      </c>
      <c r="F42">
        <v>7.5</v>
      </c>
      <c r="G42">
        <v>3</v>
      </c>
      <c r="H42">
        <v>0.72</v>
      </c>
      <c r="I42">
        <v>0</v>
      </c>
      <c r="J42">
        <v>0</v>
      </c>
      <c r="K42">
        <v>1</v>
      </c>
      <c r="L42">
        <v>1</v>
      </c>
      <c r="M42">
        <v>1</v>
      </c>
      <c r="N42">
        <v>1</v>
      </c>
      <c r="P42">
        <v>0</v>
      </c>
      <c r="Q42">
        <v>0</v>
      </c>
      <c r="R42">
        <v>0</v>
      </c>
      <c r="S42">
        <v>1</v>
      </c>
    </row>
    <row r="43" spans="1:19" hidden="1" x14ac:dyDescent="0.35">
      <c r="A43">
        <v>56231300800</v>
      </c>
      <c r="B43" t="s">
        <v>57</v>
      </c>
      <c r="C43" t="str">
        <f>_xlfn.XLOOKUP(A43,[1]Affiliations!$J$2:$J$5328,[1]Affiliations!$K$2:$K$5328,0)</f>
        <v>Universidade Federal de Viçosa</v>
      </c>
      <c r="D43">
        <v>0</v>
      </c>
      <c r="G43">
        <v>1</v>
      </c>
    </row>
    <row r="44" spans="1:19" hidden="1" x14ac:dyDescent="0.35">
      <c r="A44">
        <v>59391414200</v>
      </c>
      <c r="B44" t="s">
        <v>58</v>
      </c>
      <c r="C44" t="str">
        <f>_xlfn.XLOOKUP(A44,[1]Affiliations!$J$2:$J$5328,[1]Affiliations!$K$2:$K$5328,0)</f>
        <v>University of Campinas</v>
      </c>
      <c r="D44">
        <v>0</v>
      </c>
      <c r="G44">
        <v>1</v>
      </c>
    </row>
    <row r="45" spans="1:19" x14ac:dyDescent="0.35">
      <c r="A45">
        <v>7102762421</v>
      </c>
      <c r="B45" t="s">
        <v>4787</v>
      </c>
      <c r="C45" t="str">
        <f>_xlfn.XLOOKUP(A45,[1]Affiliations!$J$2:$J$5328,[1]Affiliations!$K$2:$K$5328,0)</f>
        <v>Universidade Federal Fluminense (+2 more)</v>
      </c>
      <c r="D45">
        <v>26</v>
      </c>
      <c r="E45">
        <v>185</v>
      </c>
      <c r="F45">
        <v>7.1153845999999996</v>
      </c>
      <c r="G45">
        <v>12</v>
      </c>
      <c r="H45">
        <v>2.77</v>
      </c>
      <c r="I45">
        <v>0</v>
      </c>
      <c r="J45">
        <v>2</v>
      </c>
      <c r="K45">
        <v>4</v>
      </c>
      <c r="L45">
        <v>4</v>
      </c>
      <c r="M45">
        <v>9</v>
      </c>
      <c r="N45">
        <v>11</v>
      </c>
      <c r="P45">
        <v>0</v>
      </c>
      <c r="Q45">
        <v>0</v>
      </c>
      <c r="R45">
        <v>1</v>
      </c>
      <c r="S45">
        <v>8</v>
      </c>
    </row>
    <row r="46" spans="1:19" hidden="1" x14ac:dyDescent="0.35">
      <c r="A46">
        <v>16554111900</v>
      </c>
      <c r="B46" t="s">
        <v>60</v>
      </c>
      <c r="C46" t="str">
        <f>_xlfn.XLOOKUP(A46,[1]Affiliations!$J$2:$J$5328,[1]Affiliations!$K$2:$K$5328,0)</f>
        <v>Federal University of Rio de Janeiro</v>
      </c>
      <c r="D46">
        <v>13</v>
      </c>
      <c r="E46">
        <v>139</v>
      </c>
      <c r="F46">
        <v>10.692307</v>
      </c>
      <c r="G46">
        <v>12</v>
      </c>
      <c r="H46">
        <v>0.91</v>
      </c>
      <c r="I46">
        <v>0</v>
      </c>
      <c r="J46">
        <v>0</v>
      </c>
      <c r="K46">
        <v>1</v>
      </c>
      <c r="L46">
        <v>4</v>
      </c>
      <c r="M46">
        <v>5</v>
      </c>
      <c r="N46">
        <v>10</v>
      </c>
      <c r="P46">
        <v>0</v>
      </c>
      <c r="Q46">
        <v>0</v>
      </c>
      <c r="R46">
        <v>0</v>
      </c>
      <c r="S46">
        <v>3</v>
      </c>
    </row>
    <row r="47" spans="1:19" x14ac:dyDescent="0.35">
      <c r="A47">
        <v>57205218599</v>
      </c>
      <c r="B47" t="s">
        <v>4454</v>
      </c>
      <c r="C47" t="str">
        <f>_xlfn.XLOOKUP(A47,[1]Affiliations!$J$2:$J$5328,[1]Affiliations!$K$2:$K$5328,0)</f>
        <v>Federal University of Rio de Janeiro</v>
      </c>
      <c r="D47">
        <v>12</v>
      </c>
      <c r="E47">
        <v>464</v>
      </c>
      <c r="F47">
        <v>38.666668000000001</v>
      </c>
      <c r="G47">
        <v>9</v>
      </c>
      <c r="H47">
        <v>2.75</v>
      </c>
      <c r="I47">
        <v>0</v>
      </c>
      <c r="J47">
        <v>4</v>
      </c>
      <c r="K47">
        <v>8</v>
      </c>
      <c r="L47">
        <v>11</v>
      </c>
      <c r="M47">
        <v>11</v>
      </c>
      <c r="N47">
        <v>12</v>
      </c>
      <c r="P47">
        <v>1</v>
      </c>
      <c r="Q47">
        <v>3</v>
      </c>
      <c r="R47">
        <v>5</v>
      </c>
      <c r="S47">
        <v>8</v>
      </c>
    </row>
    <row r="48" spans="1:19" hidden="1" x14ac:dyDescent="0.35">
      <c r="A48">
        <v>8433432000</v>
      </c>
      <c r="B48" t="s">
        <v>62</v>
      </c>
      <c r="C48" t="str">
        <f>_xlfn.XLOOKUP(A48,[1]Affiliations!$J$2:$J$5328,[1]Affiliations!$K$2:$K$5328,0)</f>
        <v>Centro Nacional de Pesquisa em Energia e Materiais</v>
      </c>
      <c r="D48">
        <v>2</v>
      </c>
      <c r="E48">
        <v>11</v>
      </c>
      <c r="F48">
        <v>5.5</v>
      </c>
      <c r="G48">
        <v>7</v>
      </c>
      <c r="H48">
        <v>0.46</v>
      </c>
      <c r="I48">
        <v>0</v>
      </c>
      <c r="J48">
        <v>0</v>
      </c>
      <c r="K48">
        <v>1</v>
      </c>
      <c r="L48">
        <v>2</v>
      </c>
      <c r="M48">
        <v>2</v>
      </c>
      <c r="N48">
        <v>2</v>
      </c>
      <c r="P48">
        <v>0</v>
      </c>
      <c r="Q48">
        <v>0</v>
      </c>
      <c r="R48">
        <v>0</v>
      </c>
      <c r="S48">
        <v>1</v>
      </c>
    </row>
    <row r="49" spans="1:19" hidden="1" x14ac:dyDescent="0.35">
      <c r="A49">
        <v>56498650800</v>
      </c>
      <c r="B49" t="s">
        <v>63</v>
      </c>
      <c r="C49" t="str">
        <f>_xlfn.XLOOKUP(A49,[1]Affiliations!$J$2:$J$5328,[1]Affiliations!$K$2:$K$5328,0)</f>
        <v>FEI University Center (+1 more)</v>
      </c>
      <c r="D49">
        <v>27</v>
      </c>
      <c r="E49">
        <v>145</v>
      </c>
      <c r="F49">
        <v>5.3703703999999997</v>
      </c>
      <c r="G49">
        <v>9</v>
      </c>
      <c r="H49">
        <v>0.44</v>
      </c>
      <c r="I49">
        <v>0</v>
      </c>
      <c r="J49">
        <v>2</v>
      </c>
      <c r="K49">
        <v>3</v>
      </c>
      <c r="L49">
        <v>8</v>
      </c>
      <c r="M49">
        <v>14</v>
      </c>
      <c r="N49">
        <v>18</v>
      </c>
      <c r="P49">
        <v>0</v>
      </c>
      <c r="Q49">
        <v>0</v>
      </c>
      <c r="R49">
        <v>0</v>
      </c>
      <c r="S49">
        <v>3</v>
      </c>
    </row>
    <row r="50" spans="1:19" hidden="1" x14ac:dyDescent="0.35">
      <c r="A50">
        <v>36727155100</v>
      </c>
      <c r="B50" t="s">
        <v>64</v>
      </c>
      <c r="C50" t="str">
        <f>_xlfn.XLOOKUP(A50,[1]Affiliations!$J$2:$J$5328,[1]Affiliations!$K$2:$K$5328,0)</f>
        <v>Pontifical Catholic University of Rio de Janeiro</v>
      </c>
      <c r="D50">
        <v>9</v>
      </c>
      <c r="E50">
        <v>34</v>
      </c>
      <c r="F50">
        <v>3.7777777000000001</v>
      </c>
      <c r="G50">
        <v>4</v>
      </c>
      <c r="H50">
        <v>0.34</v>
      </c>
      <c r="I50">
        <v>0</v>
      </c>
      <c r="J50">
        <v>0</v>
      </c>
      <c r="K50">
        <v>0</v>
      </c>
      <c r="L50">
        <v>0</v>
      </c>
      <c r="M50">
        <v>1</v>
      </c>
      <c r="N50">
        <v>2</v>
      </c>
      <c r="P50">
        <v>0</v>
      </c>
      <c r="Q50">
        <v>0</v>
      </c>
      <c r="R50">
        <v>0</v>
      </c>
      <c r="S50">
        <v>0</v>
      </c>
    </row>
    <row r="51" spans="1:19" x14ac:dyDescent="0.35">
      <c r="A51">
        <v>35617538600</v>
      </c>
      <c r="B51" t="s">
        <v>2407</v>
      </c>
      <c r="C51" t="str">
        <f>_xlfn.XLOOKUP(A51,[1]Affiliations!$J$2:$J$5328,[1]Affiliations!$K$2:$K$5328,0)</f>
        <v>Federal University of Santa Catarina</v>
      </c>
      <c r="D51">
        <v>50</v>
      </c>
      <c r="E51">
        <v>1717</v>
      </c>
      <c r="F51">
        <v>34.340000000000003</v>
      </c>
      <c r="G51">
        <v>21</v>
      </c>
      <c r="H51">
        <v>2.74</v>
      </c>
      <c r="I51">
        <v>4</v>
      </c>
      <c r="J51">
        <v>6</v>
      </c>
      <c r="K51">
        <v>9</v>
      </c>
      <c r="L51">
        <v>20</v>
      </c>
      <c r="M51">
        <v>34</v>
      </c>
      <c r="N51">
        <v>41</v>
      </c>
      <c r="P51">
        <v>3</v>
      </c>
      <c r="Q51">
        <v>6</v>
      </c>
      <c r="R51">
        <v>7</v>
      </c>
      <c r="S51">
        <v>17</v>
      </c>
    </row>
    <row r="52" spans="1:19" hidden="1" x14ac:dyDescent="0.35">
      <c r="A52">
        <v>34869043500</v>
      </c>
      <c r="B52" t="s">
        <v>66</v>
      </c>
      <c r="C52" t="str">
        <f>_xlfn.XLOOKUP(A52,[1]Affiliations!$J$2:$J$5328,[1]Affiliations!$K$2:$K$5328,0)</f>
        <v>Centro Brasileiro de Pesquisas Físicas</v>
      </c>
      <c r="D52">
        <v>3</v>
      </c>
      <c r="E52">
        <v>18</v>
      </c>
      <c r="F52">
        <v>6</v>
      </c>
      <c r="G52">
        <v>5</v>
      </c>
      <c r="H52">
        <v>0.28999999999999998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P52">
        <v>0</v>
      </c>
      <c r="Q52">
        <v>0</v>
      </c>
      <c r="R52">
        <v>0</v>
      </c>
      <c r="S52">
        <v>0</v>
      </c>
    </row>
    <row r="53" spans="1:19" hidden="1" x14ac:dyDescent="0.35">
      <c r="A53">
        <v>57821124800</v>
      </c>
      <c r="B53" t="s">
        <v>67</v>
      </c>
      <c r="C53" t="str">
        <f>_xlfn.XLOOKUP(A53,[1]Affiliations!$J$2:$J$5328,[1]Affiliations!$K$2:$K$5328,0)</f>
        <v>Federal University of Rio de Janeiro</v>
      </c>
      <c r="D53">
        <v>1</v>
      </c>
      <c r="E53">
        <v>1</v>
      </c>
      <c r="F53">
        <v>1</v>
      </c>
      <c r="G53">
        <v>1</v>
      </c>
      <c r="H53">
        <v>0.22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</row>
    <row r="54" spans="1:19" hidden="1" x14ac:dyDescent="0.35">
      <c r="A54">
        <v>57201858469</v>
      </c>
      <c r="B54" t="s">
        <v>68</v>
      </c>
      <c r="C54" t="str">
        <f>_xlfn.XLOOKUP(A54,[1]Affiliations!$J$2:$J$5328,[1]Affiliations!$K$2:$K$5328,0)</f>
        <v>DEMa</v>
      </c>
      <c r="D54">
        <v>6</v>
      </c>
      <c r="E54">
        <v>22</v>
      </c>
      <c r="F54">
        <v>3.6666666999999999</v>
      </c>
      <c r="G54">
        <v>3</v>
      </c>
      <c r="H54">
        <v>0.38</v>
      </c>
      <c r="I54">
        <v>0</v>
      </c>
      <c r="J54">
        <v>0</v>
      </c>
      <c r="K54">
        <v>0</v>
      </c>
      <c r="L54">
        <v>2</v>
      </c>
      <c r="M54">
        <v>5</v>
      </c>
      <c r="N54">
        <v>5</v>
      </c>
      <c r="P54">
        <v>0</v>
      </c>
      <c r="Q54">
        <v>0</v>
      </c>
      <c r="R54">
        <v>0</v>
      </c>
      <c r="S54">
        <v>0</v>
      </c>
    </row>
    <row r="55" spans="1:19" hidden="1" x14ac:dyDescent="0.35">
      <c r="A55">
        <v>57673838200</v>
      </c>
      <c r="B55" t="s">
        <v>69</v>
      </c>
      <c r="C55" t="str">
        <f>_xlfn.XLOOKUP(A55,[1]Affiliations!$J$2:$J$5328,[1]Affiliations!$K$2:$K$5328,0)</f>
        <v>Universidade Federal do Ceará</v>
      </c>
      <c r="D55">
        <v>2</v>
      </c>
      <c r="E55">
        <v>36</v>
      </c>
      <c r="F55">
        <v>18</v>
      </c>
      <c r="G55">
        <v>2</v>
      </c>
      <c r="H55">
        <v>1.1100000000000001</v>
      </c>
      <c r="I55">
        <v>0</v>
      </c>
      <c r="J55">
        <v>1</v>
      </c>
      <c r="K55">
        <v>1</v>
      </c>
      <c r="L55">
        <v>2</v>
      </c>
      <c r="M55">
        <v>2</v>
      </c>
      <c r="N55">
        <v>2</v>
      </c>
      <c r="P55">
        <v>0</v>
      </c>
      <c r="Q55">
        <v>0</v>
      </c>
      <c r="R55">
        <v>0</v>
      </c>
      <c r="S55">
        <v>2</v>
      </c>
    </row>
    <row r="56" spans="1:19" hidden="1" x14ac:dyDescent="0.35">
      <c r="A56">
        <v>56225559600</v>
      </c>
      <c r="B56" t="s">
        <v>70</v>
      </c>
      <c r="C56" t="str">
        <f>_xlfn.XLOOKUP(A56,[1]Affiliations!$J$2:$J$5328,[1]Affiliations!$K$2:$K$5328,0)</f>
        <v>Federal University of Rio de Janeiro</v>
      </c>
      <c r="D56">
        <v>1</v>
      </c>
      <c r="E56">
        <v>6</v>
      </c>
      <c r="F56">
        <v>6</v>
      </c>
      <c r="G56">
        <v>1</v>
      </c>
      <c r="H56">
        <v>0.49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P56">
        <v>0</v>
      </c>
      <c r="Q56">
        <v>0</v>
      </c>
      <c r="R56">
        <v>0</v>
      </c>
      <c r="S56">
        <v>0</v>
      </c>
    </row>
    <row r="57" spans="1:19" hidden="1" x14ac:dyDescent="0.35">
      <c r="A57">
        <v>57203410155</v>
      </c>
      <c r="B57" t="s">
        <v>71</v>
      </c>
      <c r="C57" t="str">
        <f>_xlfn.XLOOKUP(A57,[1]Affiliations!$J$2:$J$5328,[1]Affiliations!$K$2:$K$5328,0)</f>
        <v>Instituto de Pesquisa s Tecnológicas do Estado de São Paulo</v>
      </c>
      <c r="D57">
        <v>1</v>
      </c>
      <c r="E57">
        <v>5</v>
      </c>
      <c r="F57">
        <v>5</v>
      </c>
      <c r="G57">
        <v>1</v>
      </c>
      <c r="H57">
        <v>2.0299999999999998</v>
      </c>
      <c r="P57">
        <v>0</v>
      </c>
      <c r="Q57">
        <v>0</v>
      </c>
      <c r="R57">
        <v>0</v>
      </c>
      <c r="S57">
        <v>0</v>
      </c>
    </row>
    <row r="58" spans="1:19" hidden="1" x14ac:dyDescent="0.35">
      <c r="A58">
        <v>6506726531</v>
      </c>
      <c r="B58" t="s">
        <v>72</v>
      </c>
      <c r="C58" t="str">
        <f>_xlfn.XLOOKUP(A58,[1]Affiliations!$J$2:$J$5328,[1]Affiliations!$K$2:$K$5328,0)</f>
        <v>Instituto de Pesquisas Tecnologicas</v>
      </c>
      <c r="D58">
        <v>9</v>
      </c>
      <c r="E58">
        <v>147</v>
      </c>
      <c r="F58">
        <v>16.333334000000001</v>
      </c>
      <c r="G58">
        <v>5</v>
      </c>
      <c r="H58">
        <v>0.84</v>
      </c>
      <c r="I58">
        <v>0</v>
      </c>
      <c r="J58">
        <v>0</v>
      </c>
      <c r="K58">
        <v>0</v>
      </c>
      <c r="L58">
        <v>1</v>
      </c>
      <c r="M58">
        <v>3</v>
      </c>
      <c r="N58">
        <v>4</v>
      </c>
      <c r="P58">
        <v>0</v>
      </c>
      <c r="Q58">
        <v>1</v>
      </c>
      <c r="R58">
        <v>1</v>
      </c>
      <c r="S58">
        <v>2</v>
      </c>
    </row>
    <row r="59" spans="1:19" hidden="1" x14ac:dyDescent="0.35">
      <c r="A59">
        <v>57214130669</v>
      </c>
      <c r="B59" t="s">
        <v>73</v>
      </c>
      <c r="C59" t="str">
        <f>_xlfn.XLOOKUP(A59,[1]Affiliations!$J$2:$J$5328,[1]Affiliations!$K$2:$K$5328,0)</f>
        <v>Universidade de São Paulo</v>
      </c>
      <c r="D59">
        <v>5</v>
      </c>
      <c r="E59">
        <v>23</v>
      </c>
      <c r="F59">
        <v>4.5999999999999996</v>
      </c>
      <c r="G59">
        <v>3</v>
      </c>
      <c r="H59">
        <v>0.4</v>
      </c>
      <c r="I59">
        <v>0</v>
      </c>
      <c r="J59">
        <v>0</v>
      </c>
      <c r="K59">
        <v>0</v>
      </c>
      <c r="L59">
        <v>5</v>
      </c>
      <c r="M59">
        <v>5</v>
      </c>
      <c r="N59">
        <v>5</v>
      </c>
      <c r="P59">
        <v>0</v>
      </c>
      <c r="Q59">
        <v>0</v>
      </c>
      <c r="R59">
        <v>0</v>
      </c>
      <c r="S59">
        <v>0</v>
      </c>
    </row>
    <row r="60" spans="1:19" x14ac:dyDescent="0.35">
      <c r="A60">
        <v>7201494926</v>
      </c>
      <c r="B60" t="s">
        <v>1220</v>
      </c>
      <c r="C60" t="str">
        <f>_xlfn.XLOOKUP(A60,[1]Affiliations!$J$2:$J$5328,[1]Affiliations!$K$2:$K$5328,0)</f>
        <v>Federal University of Rio de Janeiro</v>
      </c>
      <c r="D60">
        <v>68</v>
      </c>
      <c r="E60">
        <v>2885</v>
      </c>
      <c r="F60">
        <v>42.426470000000002</v>
      </c>
      <c r="G60">
        <v>28</v>
      </c>
      <c r="H60">
        <v>2.67</v>
      </c>
      <c r="I60">
        <v>4</v>
      </c>
      <c r="J60">
        <v>14</v>
      </c>
      <c r="K60">
        <v>16</v>
      </c>
      <c r="L60">
        <v>31</v>
      </c>
      <c r="M60">
        <v>34</v>
      </c>
      <c r="N60">
        <v>41</v>
      </c>
      <c r="P60">
        <v>2</v>
      </c>
      <c r="Q60">
        <v>5</v>
      </c>
      <c r="R60">
        <v>7</v>
      </c>
      <c r="S60">
        <v>19</v>
      </c>
    </row>
    <row r="61" spans="1:19" hidden="1" x14ac:dyDescent="0.35">
      <c r="A61">
        <v>59234804800</v>
      </c>
      <c r="B61" t="s">
        <v>75</v>
      </c>
      <c r="C61" t="str">
        <f>_xlfn.XLOOKUP(A61,[1]Affiliations!$J$2:$J$5328,[1]Affiliations!$K$2:$K$5328,0)</f>
        <v>Universidade Federal do Ceará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P61">
        <v>0</v>
      </c>
      <c r="Q61">
        <v>0</v>
      </c>
      <c r="R61">
        <v>0</v>
      </c>
      <c r="S61">
        <v>0</v>
      </c>
    </row>
    <row r="62" spans="1:19" hidden="1" x14ac:dyDescent="0.35">
      <c r="A62">
        <v>36015107400</v>
      </c>
      <c r="B62" t="s">
        <v>76</v>
      </c>
      <c r="C62" t="str">
        <f>_xlfn.XLOOKUP(A62,[1]Affiliations!$J$2:$J$5328,[1]Affiliations!$K$2:$K$5328,0)</f>
        <v>Universidade de São Paulo</v>
      </c>
      <c r="D62">
        <v>17</v>
      </c>
      <c r="E62">
        <v>203</v>
      </c>
      <c r="F62">
        <v>11.941176</v>
      </c>
      <c r="G62">
        <v>10</v>
      </c>
      <c r="H62">
        <v>0.76</v>
      </c>
      <c r="I62">
        <v>1</v>
      </c>
      <c r="J62">
        <v>5</v>
      </c>
      <c r="K62">
        <v>6</v>
      </c>
      <c r="L62">
        <v>9</v>
      </c>
      <c r="M62">
        <v>17</v>
      </c>
      <c r="N62">
        <v>17</v>
      </c>
      <c r="P62">
        <v>0</v>
      </c>
      <c r="Q62">
        <v>0</v>
      </c>
      <c r="R62">
        <v>0</v>
      </c>
      <c r="S62">
        <v>4</v>
      </c>
    </row>
    <row r="63" spans="1:19" hidden="1" x14ac:dyDescent="0.35">
      <c r="A63">
        <v>57192112584</v>
      </c>
      <c r="B63" t="s">
        <v>77</v>
      </c>
      <c r="C63" t="str">
        <f>_xlfn.XLOOKUP(A63,[1]Affiliations!$J$2:$J$5328,[1]Affiliations!$K$2:$K$5328,0)</f>
        <v>Universidade Federal de Santa Maria</v>
      </c>
      <c r="D63">
        <v>13</v>
      </c>
      <c r="E63">
        <v>77</v>
      </c>
      <c r="F63">
        <v>5.9230770000000001</v>
      </c>
      <c r="G63">
        <v>6</v>
      </c>
      <c r="H63">
        <v>0.35</v>
      </c>
      <c r="I63">
        <v>0</v>
      </c>
      <c r="J63">
        <v>1</v>
      </c>
      <c r="K63">
        <v>6</v>
      </c>
      <c r="L63">
        <v>8</v>
      </c>
      <c r="M63">
        <v>11</v>
      </c>
      <c r="N63">
        <v>11</v>
      </c>
      <c r="P63">
        <v>0</v>
      </c>
      <c r="Q63">
        <v>0</v>
      </c>
      <c r="R63">
        <v>0</v>
      </c>
      <c r="S63">
        <v>0</v>
      </c>
    </row>
    <row r="64" spans="1:19" hidden="1" x14ac:dyDescent="0.35">
      <c r="A64">
        <v>57209478306</v>
      </c>
      <c r="B64" t="s">
        <v>78</v>
      </c>
      <c r="C64" t="str">
        <f>_xlfn.XLOOKUP(A64,[1]Affiliations!$J$2:$J$5328,[1]Affiliations!$K$2:$K$5328,0)</f>
        <v>Pontifical Catholic University of Rio de Janeiro</v>
      </c>
      <c r="D64">
        <v>1</v>
      </c>
      <c r="E64">
        <v>23</v>
      </c>
      <c r="F64">
        <v>23</v>
      </c>
      <c r="G64">
        <v>1</v>
      </c>
      <c r="H64">
        <v>1.3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P64">
        <v>0</v>
      </c>
      <c r="Q64">
        <v>0</v>
      </c>
      <c r="R64">
        <v>0</v>
      </c>
      <c r="S64">
        <v>1</v>
      </c>
    </row>
    <row r="65" spans="1:19" hidden="1" x14ac:dyDescent="0.35">
      <c r="A65">
        <v>57201118781</v>
      </c>
      <c r="B65" t="s">
        <v>79</v>
      </c>
      <c r="C65" t="str">
        <f>_xlfn.XLOOKUP(A65,[1]Affiliations!$J$2:$J$5328,[1]Affiliations!$K$2:$K$5328,0)</f>
        <v>Federal University of Rio de Janeiro</v>
      </c>
      <c r="D65">
        <v>1</v>
      </c>
      <c r="E65">
        <v>9</v>
      </c>
      <c r="F65">
        <v>9</v>
      </c>
      <c r="G65">
        <v>1</v>
      </c>
      <c r="H65">
        <v>0.48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  <c r="P65">
        <v>0</v>
      </c>
      <c r="Q65">
        <v>0</v>
      </c>
      <c r="R65">
        <v>0</v>
      </c>
      <c r="S65">
        <v>0</v>
      </c>
    </row>
    <row r="66" spans="1:19" hidden="1" x14ac:dyDescent="0.35">
      <c r="A66">
        <v>42760922500</v>
      </c>
      <c r="B66" t="s">
        <v>80</v>
      </c>
      <c r="C66" t="str">
        <f>_xlfn.XLOOKUP(A66,[1]Affiliations!$J$2:$J$5328,[1]Affiliations!$K$2:$K$5328,0)</f>
        <v>Federal University of Rio de Janeiro</v>
      </c>
      <c r="D66">
        <v>6</v>
      </c>
      <c r="E66">
        <v>164</v>
      </c>
      <c r="F66">
        <v>27.333334000000001</v>
      </c>
      <c r="G66">
        <v>6</v>
      </c>
      <c r="H66">
        <v>0.34</v>
      </c>
      <c r="I66">
        <v>0</v>
      </c>
      <c r="J66">
        <v>0</v>
      </c>
      <c r="K66">
        <v>0</v>
      </c>
      <c r="L66">
        <v>2</v>
      </c>
      <c r="M66">
        <v>4</v>
      </c>
      <c r="N66">
        <v>5</v>
      </c>
      <c r="P66">
        <v>0</v>
      </c>
      <c r="Q66">
        <v>1</v>
      </c>
      <c r="R66">
        <v>1</v>
      </c>
      <c r="S66">
        <v>1</v>
      </c>
    </row>
    <row r="67" spans="1:19" hidden="1" x14ac:dyDescent="0.35">
      <c r="A67">
        <v>57989998500</v>
      </c>
      <c r="B67" t="s">
        <v>81</v>
      </c>
      <c r="C67" t="str">
        <f>_xlfn.XLOOKUP(A67,[1]Affiliations!$J$2:$J$5328,[1]Affiliations!$K$2:$K$5328,0)</f>
        <v>Federal University of Rio de Janeiro</v>
      </c>
      <c r="D67">
        <v>1</v>
      </c>
      <c r="E67">
        <v>3</v>
      </c>
      <c r="F67">
        <v>3</v>
      </c>
      <c r="G67">
        <v>1</v>
      </c>
      <c r="H67">
        <v>0.27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P67">
        <v>0</v>
      </c>
      <c r="Q67">
        <v>0</v>
      </c>
      <c r="R67">
        <v>0</v>
      </c>
      <c r="S67">
        <v>0</v>
      </c>
    </row>
    <row r="68" spans="1:19" hidden="1" x14ac:dyDescent="0.35">
      <c r="A68">
        <v>56306432200</v>
      </c>
      <c r="B68" t="s">
        <v>82</v>
      </c>
      <c r="C68" t="str">
        <f>_xlfn.XLOOKUP(A68,[1]Affiliations!$J$2:$J$5328,[1]Affiliations!$K$2:$K$5328,0)</f>
        <v>Universidade Federal de Minas Gerais</v>
      </c>
      <c r="D68">
        <v>4</v>
      </c>
      <c r="E68">
        <v>59</v>
      </c>
      <c r="F68">
        <v>14.75</v>
      </c>
      <c r="G68">
        <v>4</v>
      </c>
      <c r="H68">
        <v>0.51</v>
      </c>
      <c r="I68">
        <v>0</v>
      </c>
      <c r="J68">
        <v>0</v>
      </c>
      <c r="K68">
        <v>0</v>
      </c>
      <c r="L68">
        <v>1</v>
      </c>
      <c r="M68">
        <v>4</v>
      </c>
      <c r="N68">
        <v>4</v>
      </c>
      <c r="P68">
        <v>0</v>
      </c>
      <c r="Q68">
        <v>0</v>
      </c>
      <c r="R68">
        <v>0</v>
      </c>
      <c r="S68">
        <v>1</v>
      </c>
    </row>
    <row r="69" spans="1:19" x14ac:dyDescent="0.35">
      <c r="A69">
        <v>57200270007</v>
      </c>
      <c r="B69" t="s">
        <v>844</v>
      </c>
      <c r="C69" t="str">
        <f>_xlfn.XLOOKUP(A69,[1]Affiliations!$J$2:$J$5328,[1]Affiliations!$K$2:$K$5328,0)</f>
        <v>Pontifical Catholic University of Rio de Janeiro</v>
      </c>
      <c r="D69">
        <v>15</v>
      </c>
      <c r="E69">
        <v>539</v>
      </c>
      <c r="F69">
        <v>35.933334000000002</v>
      </c>
      <c r="G69">
        <v>10</v>
      </c>
      <c r="H69">
        <v>2.63</v>
      </c>
      <c r="I69">
        <v>0</v>
      </c>
      <c r="J69">
        <v>2</v>
      </c>
      <c r="K69">
        <v>2</v>
      </c>
      <c r="L69">
        <v>5</v>
      </c>
      <c r="M69">
        <v>9</v>
      </c>
      <c r="N69">
        <v>12</v>
      </c>
      <c r="P69">
        <v>0</v>
      </c>
      <c r="Q69">
        <v>4</v>
      </c>
      <c r="R69">
        <v>5</v>
      </c>
      <c r="S69">
        <v>7</v>
      </c>
    </row>
    <row r="70" spans="1:19" hidden="1" x14ac:dyDescent="0.35">
      <c r="A70">
        <v>56305130200</v>
      </c>
      <c r="B70" t="s">
        <v>84</v>
      </c>
      <c r="C70" t="str">
        <f>_xlfn.XLOOKUP(A70,[1]Affiliations!$J$2:$J$5328,[1]Affiliations!$K$2:$K$5328,0)</f>
        <v>Universidade Federal de Minas Gerais</v>
      </c>
      <c r="D70">
        <v>2</v>
      </c>
      <c r="E70">
        <v>28</v>
      </c>
      <c r="F70">
        <v>14</v>
      </c>
      <c r="G70">
        <v>2</v>
      </c>
      <c r="H70">
        <v>0.54</v>
      </c>
      <c r="I70">
        <v>0</v>
      </c>
      <c r="J70">
        <v>0</v>
      </c>
      <c r="K70">
        <v>0</v>
      </c>
      <c r="L70">
        <v>1</v>
      </c>
      <c r="M70">
        <v>2</v>
      </c>
      <c r="N70">
        <v>2</v>
      </c>
      <c r="P70">
        <v>0</v>
      </c>
      <c r="Q70">
        <v>0</v>
      </c>
      <c r="R70">
        <v>0</v>
      </c>
      <c r="S70">
        <v>1</v>
      </c>
    </row>
    <row r="71" spans="1:19" hidden="1" x14ac:dyDescent="0.35">
      <c r="A71">
        <v>58677024200</v>
      </c>
      <c r="B71" t="s">
        <v>85</v>
      </c>
      <c r="C71" t="str">
        <f>_xlfn.XLOOKUP(A71,[1]Affiliations!$J$2:$J$5328,[1]Affiliations!$K$2:$K$5328,0)</f>
        <v>Universidade Federal do Rio Grande do Sul</v>
      </c>
      <c r="D71">
        <v>1</v>
      </c>
      <c r="E71">
        <v>1</v>
      </c>
      <c r="F71">
        <v>1</v>
      </c>
      <c r="G71">
        <v>1</v>
      </c>
      <c r="H71">
        <v>0.7</v>
      </c>
      <c r="P71">
        <v>0</v>
      </c>
      <c r="Q71">
        <v>0</v>
      </c>
      <c r="R71">
        <v>0</v>
      </c>
      <c r="S71">
        <v>0</v>
      </c>
    </row>
    <row r="72" spans="1:19" hidden="1" x14ac:dyDescent="0.35">
      <c r="A72">
        <v>57188999959</v>
      </c>
      <c r="B72" t="s">
        <v>86</v>
      </c>
      <c r="C72" t="str">
        <f>_xlfn.XLOOKUP(A72,[1]Affiliations!$J$2:$J$5328,[1]Affiliations!$K$2:$K$5328,0)</f>
        <v>Federal University of Rio de Janeiro</v>
      </c>
      <c r="D72">
        <v>10</v>
      </c>
      <c r="E72">
        <v>94</v>
      </c>
      <c r="F72">
        <v>9.4</v>
      </c>
      <c r="G72">
        <v>3</v>
      </c>
      <c r="H72">
        <v>0.49</v>
      </c>
      <c r="I72">
        <v>0</v>
      </c>
      <c r="J72">
        <v>0</v>
      </c>
      <c r="K72">
        <v>1</v>
      </c>
      <c r="L72">
        <v>3</v>
      </c>
      <c r="M72">
        <v>3</v>
      </c>
      <c r="N72">
        <v>3</v>
      </c>
      <c r="P72">
        <v>0</v>
      </c>
      <c r="Q72">
        <v>0</v>
      </c>
      <c r="R72">
        <v>0</v>
      </c>
      <c r="S72">
        <v>3</v>
      </c>
    </row>
    <row r="73" spans="1:19" x14ac:dyDescent="0.35">
      <c r="A73">
        <v>7006086740</v>
      </c>
      <c r="B73" t="s">
        <v>3857</v>
      </c>
      <c r="C73" t="str">
        <f>_xlfn.XLOOKUP(A73,[1]Affiliations!$J$2:$J$5328,[1]Affiliations!$K$2:$K$5328,0)</f>
        <v>Universidade Federal da Bahia (+1 more)</v>
      </c>
      <c r="D73">
        <v>57</v>
      </c>
      <c r="E73">
        <v>2881</v>
      </c>
      <c r="F73">
        <v>50.543860000000002</v>
      </c>
      <c r="G73">
        <v>56</v>
      </c>
      <c r="H73">
        <v>2.56</v>
      </c>
      <c r="I73">
        <v>0</v>
      </c>
      <c r="J73">
        <v>7</v>
      </c>
      <c r="K73">
        <v>19</v>
      </c>
      <c r="L73">
        <v>33</v>
      </c>
      <c r="M73">
        <v>43</v>
      </c>
      <c r="N73">
        <v>46</v>
      </c>
      <c r="P73">
        <v>2</v>
      </c>
      <c r="Q73">
        <v>8</v>
      </c>
      <c r="R73">
        <v>12</v>
      </c>
      <c r="S73">
        <v>23</v>
      </c>
    </row>
    <row r="74" spans="1:19" x14ac:dyDescent="0.35">
      <c r="A74">
        <v>22334047700</v>
      </c>
      <c r="B74" t="s">
        <v>2849</v>
      </c>
      <c r="C74" t="str">
        <f>_xlfn.XLOOKUP(A74,[1]Affiliations!$J$2:$J$5328,[1]Affiliations!$K$2:$K$5328,0)</f>
        <v>Pontifical Catholic University of Rio de Janeiro</v>
      </c>
      <c r="D74">
        <v>11</v>
      </c>
      <c r="E74">
        <v>114</v>
      </c>
      <c r="F74">
        <v>10.363636</v>
      </c>
      <c r="G74">
        <v>7</v>
      </c>
      <c r="H74">
        <v>2.54</v>
      </c>
      <c r="I74">
        <v>0</v>
      </c>
      <c r="J74">
        <v>1</v>
      </c>
      <c r="K74">
        <v>1</v>
      </c>
      <c r="L74">
        <v>2</v>
      </c>
      <c r="M74">
        <v>2</v>
      </c>
      <c r="N74">
        <v>7</v>
      </c>
      <c r="P74">
        <v>0</v>
      </c>
      <c r="Q74">
        <v>0</v>
      </c>
      <c r="R74">
        <v>2</v>
      </c>
      <c r="S74">
        <v>5</v>
      </c>
    </row>
    <row r="75" spans="1:19" hidden="1" x14ac:dyDescent="0.35">
      <c r="A75">
        <v>57216737905</v>
      </c>
      <c r="B75" t="s">
        <v>89</v>
      </c>
      <c r="C75" t="str">
        <f>_xlfn.XLOOKUP(A75,[1]Affiliations!$J$2:$J$5328,[1]Affiliations!$K$2:$K$5328,0)</f>
        <v>Federal University of Rio de Janeiro</v>
      </c>
      <c r="D75">
        <v>1</v>
      </c>
      <c r="E75">
        <v>4</v>
      </c>
      <c r="F75">
        <v>4</v>
      </c>
      <c r="G75">
        <v>1</v>
      </c>
      <c r="H75">
        <v>0.22</v>
      </c>
      <c r="I75">
        <v>0</v>
      </c>
      <c r="J75">
        <v>0</v>
      </c>
      <c r="K75">
        <v>1</v>
      </c>
      <c r="L75">
        <v>1</v>
      </c>
      <c r="M75">
        <v>1</v>
      </c>
      <c r="N75">
        <v>1</v>
      </c>
      <c r="P75">
        <v>0</v>
      </c>
      <c r="Q75">
        <v>0</v>
      </c>
      <c r="R75">
        <v>0</v>
      </c>
      <c r="S75">
        <v>0</v>
      </c>
    </row>
    <row r="76" spans="1:19" hidden="1" x14ac:dyDescent="0.35">
      <c r="A76">
        <v>58310881300</v>
      </c>
      <c r="B76" t="s">
        <v>90</v>
      </c>
      <c r="C76" t="str">
        <f>_xlfn.XLOOKUP(A76,[1]Affiliations!$J$2:$J$5328,[1]Affiliations!$K$2:$K$5328,0)</f>
        <v>Universidade Federal de Santa Maria</v>
      </c>
      <c r="D76">
        <v>1</v>
      </c>
      <c r="E76">
        <v>3</v>
      </c>
      <c r="F76">
        <v>3</v>
      </c>
      <c r="G76">
        <v>1</v>
      </c>
      <c r="H76">
        <v>0.27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P76">
        <v>0</v>
      </c>
      <c r="Q76">
        <v>0</v>
      </c>
      <c r="R76">
        <v>0</v>
      </c>
      <c r="S76">
        <v>0</v>
      </c>
    </row>
    <row r="77" spans="1:19" hidden="1" x14ac:dyDescent="0.35">
      <c r="A77">
        <v>57323462900</v>
      </c>
      <c r="B77" t="s">
        <v>91</v>
      </c>
      <c r="C77" t="str">
        <f>_xlfn.XLOOKUP(A77,[1]Affiliations!$J$2:$J$5328,[1]Affiliations!$K$2:$K$5328,0)</f>
        <v>Universidade Tecnológica Federal do Paraná</v>
      </c>
      <c r="D77">
        <v>1</v>
      </c>
      <c r="E77">
        <v>6</v>
      </c>
      <c r="F77">
        <v>6</v>
      </c>
      <c r="G77">
        <v>1</v>
      </c>
      <c r="H77">
        <v>0.34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P77">
        <v>0</v>
      </c>
      <c r="Q77">
        <v>0</v>
      </c>
      <c r="R77">
        <v>0</v>
      </c>
      <c r="S77">
        <v>0</v>
      </c>
    </row>
    <row r="78" spans="1:19" hidden="1" x14ac:dyDescent="0.35">
      <c r="A78">
        <v>57217105228</v>
      </c>
      <c r="B78" t="s">
        <v>92</v>
      </c>
      <c r="C78" t="str">
        <f>_xlfn.XLOOKUP(A78,[1]Affiliations!$J$2:$J$5328,[1]Affiliations!$K$2:$K$5328,0)</f>
        <v>Serviço Nacional de Aprendizagem Industrial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P78">
        <v>0</v>
      </c>
      <c r="Q78">
        <v>0</v>
      </c>
      <c r="R78">
        <v>0</v>
      </c>
      <c r="S78">
        <v>0</v>
      </c>
    </row>
    <row r="79" spans="1:19" x14ac:dyDescent="0.35">
      <c r="A79">
        <v>57200826656</v>
      </c>
      <c r="B79" t="s">
        <v>2076</v>
      </c>
      <c r="C79" t="str">
        <f>_xlfn.XLOOKUP(A79,[1]Affiliations!$J$2:$J$5328,[1]Affiliations!$K$2:$K$5328,0)</f>
        <v>Federal University of Rio de Janeiro</v>
      </c>
      <c r="D79">
        <v>28</v>
      </c>
      <c r="E79">
        <v>1040</v>
      </c>
      <c r="F79">
        <v>37.142856999999999</v>
      </c>
      <c r="G79">
        <v>17</v>
      </c>
      <c r="H79">
        <v>2.5099999999999998</v>
      </c>
      <c r="I79">
        <v>0</v>
      </c>
      <c r="J79">
        <v>5</v>
      </c>
      <c r="K79">
        <v>7</v>
      </c>
      <c r="L79">
        <v>20</v>
      </c>
      <c r="M79">
        <v>25</v>
      </c>
      <c r="N79">
        <v>26</v>
      </c>
      <c r="P79">
        <v>3</v>
      </c>
      <c r="Q79">
        <v>9</v>
      </c>
      <c r="R79">
        <v>12</v>
      </c>
      <c r="S79">
        <v>21</v>
      </c>
    </row>
    <row r="80" spans="1:19" hidden="1" x14ac:dyDescent="0.35">
      <c r="A80">
        <v>59868774000</v>
      </c>
      <c r="B80" t="s">
        <v>94</v>
      </c>
      <c r="C80" t="str">
        <f>_xlfn.XLOOKUP(A80,[1]Affiliations!$J$2:$J$5328,[1]Affiliations!$K$2:$K$5328,0)</f>
        <v>Universidade Federal de Juiz de Fora</v>
      </c>
      <c r="D80">
        <v>0</v>
      </c>
      <c r="G80">
        <v>1</v>
      </c>
    </row>
    <row r="81" spans="1:19" hidden="1" x14ac:dyDescent="0.35">
      <c r="A81">
        <v>57197693936</v>
      </c>
      <c r="B81" t="s">
        <v>95</v>
      </c>
      <c r="C81" t="str">
        <f>_xlfn.XLOOKUP(A81,[1]Affiliations!$J$2:$J$5328,[1]Affiliations!$K$2:$K$5328,0)</f>
        <v>Serviço Nacional de Aprendizagem Industrial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</v>
      </c>
      <c r="P81">
        <v>0</v>
      </c>
      <c r="Q81">
        <v>0</v>
      </c>
      <c r="R81">
        <v>0</v>
      </c>
      <c r="S81">
        <v>0</v>
      </c>
    </row>
    <row r="82" spans="1:19" hidden="1" x14ac:dyDescent="0.35">
      <c r="A82">
        <v>60104418100</v>
      </c>
      <c r="B82" t="s">
        <v>96</v>
      </c>
      <c r="C82" t="str">
        <f>_xlfn.XLOOKUP(A82,[1]Affiliations!$J$2:$J$5328,[1]Affiliations!$K$2:$K$5328,0)</f>
        <v>Universidade Federal de Campina Grande</v>
      </c>
      <c r="D82">
        <v>0</v>
      </c>
      <c r="G82">
        <v>0</v>
      </c>
    </row>
    <row r="83" spans="1:19" hidden="1" x14ac:dyDescent="0.35">
      <c r="A83">
        <v>59733937100</v>
      </c>
      <c r="B83" t="s">
        <v>97</v>
      </c>
      <c r="C83" t="str">
        <f>_xlfn.XLOOKUP(A83,[1]Affiliations!$J$2:$J$5328,[1]Affiliations!$K$2:$K$5328,0)</f>
        <v>Universidade Federal de Itajubá</v>
      </c>
      <c r="D83">
        <v>0</v>
      </c>
      <c r="G83">
        <v>0</v>
      </c>
    </row>
    <row r="84" spans="1:19" hidden="1" x14ac:dyDescent="0.35">
      <c r="A84">
        <v>7006030946</v>
      </c>
      <c r="B84" t="s">
        <v>98</v>
      </c>
      <c r="C84" t="str">
        <f>_xlfn.XLOOKUP(A84,[1]Affiliations!$J$2:$J$5328,[1]Affiliations!$K$2:$K$5328,0)</f>
        <v>UFRRJ (+1 more)</v>
      </c>
      <c r="D84">
        <v>5</v>
      </c>
      <c r="E84">
        <v>46</v>
      </c>
      <c r="F84">
        <v>9.1999999999999993</v>
      </c>
      <c r="G84">
        <v>5</v>
      </c>
      <c r="H84">
        <v>0.79</v>
      </c>
      <c r="I84">
        <v>0</v>
      </c>
      <c r="J84">
        <v>0</v>
      </c>
      <c r="K84">
        <v>0</v>
      </c>
      <c r="L84">
        <v>1</v>
      </c>
      <c r="M84">
        <v>2</v>
      </c>
      <c r="N84">
        <v>4</v>
      </c>
      <c r="P84">
        <v>0</v>
      </c>
      <c r="Q84">
        <v>0</v>
      </c>
      <c r="R84">
        <v>0</v>
      </c>
      <c r="S84">
        <v>1</v>
      </c>
    </row>
    <row r="85" spans="1:19" hidden="1" x14ac:dyDescent="0.35">
      <c r="A85">
        <v>16033242300</v>
      </c>
      <c r="B85" t="s">
        <v>99</v>
      </c>
      <c r="C85" t="str">
        <f>_xlfn.XLOOKUP(A85,[1]Affiliations!$J$2:$J$5328,[1]Affiliations!$K$2:$K$5328,0)</f>
        <v>Pontifical Catholic University of Rio de Janeiro</v>
      </c>
      <c r="D85">
        <v>3</v>
      </c>
      <c r="E85">
        <v>3</v>
      </c>
      <c r="F85">
        <v>1</v>
      </c>
      <c r="G85">
        <v>3</v>
      </c>
      <c r="H85">
        <v>0.04</v>
      </c>
      <c r="I85">
        <v>0</v>
      </c>
      <c r="J85">
        <v>0</v>
      </c>
      <c r="K85">
        <v>0</v>
      </c>
      <c r="L85">
        <v>0</v>
      </c>
      <c r="M85">
        <v>1</v>
      </c>
      <c r="N85">
        <v>2</v>
      </c>
      <c r="P85">
        <v>0</v>
      </c>
      <c r="Q85">
        <v>0</v>
      </c>
      <c r="R85">
        <v>0</v>
      </c>
      <c r="S85">
        <v>0</v>
      </c>
    </row>
    <row r="86" spans="1:19" x14ac:dyDescent="0.35">
      <c r="A86">
        <v>6701414754</v>
      </c>
      <c r="B86" t="s">
        <v>3845</v>
      </c>
      <c r="C86" t="str">
        <f>_xlfn.XLOOKUP(A86,[1]Affiliations!$J$2:$J$5328,[1]Affiliations!$K$2:$K$5328,0)</f>
        <v>King Abdullah University of Science and Technology (+3 more)</v>
      </c>
      <c r="D86">
        <v>104</v>
      </c>
      <c r="E86">
        <v>4318</v>
      </c>
      <c r="F86">
        <v>41.51923</v>
      </c>
      <c r="G86">
        <v>50</v>
      </c>
      <c r="H86">
        <v>2.5099999999999998</v>
      </c>
      <c r="I86">
        <v>9</v>
      </c>
      <c r="J86">
        <v>27</v>
      </c>
      <c r="K86">
        <v>48</v>
      </c>
      <c r="L86">
        <v>81</v>
      </c>
      <c r="M86">
        <v>96</v>
      </c>
      <c r="N86">
        <v>103</v>
      </c>
      <c r="P86">
        <v>9</v>
      </c>
      <c r="Q86">
        <v>23</v>
      </c>
      <c r="R86">
        <v>33</v>
      </c>
      <c r="S86">
        <v>66</v>
      </c>
    </row>
    <row r="87" spans="1:19" hidden="1" x14ac:dyDescent="0.35">
      <c r="A87">
        <v>57220955486</v>
      </c>
      <c r="B87" t="s">
        <v>101</v>
      </c>
      <c r="C87" t="str">
        <f>_xlfn.XLOOKUP(A87,[1]Affiliations!$J$2:$J$5328,[1]Affiliations!$K$2:$K$5328,0)</f>
        <v>Pontifical Catholic University of Rio de Janeiro</v>
      </c>
      <c r="D87">
        <v>5</v>
      </c>
      <c r="E87">
        <v>71</v>
      </c>
      <c r="F87">
        <v>14.2</v>
      </c>
      <c r="G87">
        <v>5</v>
      </c>
      <c r="H87">
        <v>0.94</v>
      </c>
      <c r="I87">
        <v>0</v>
      </c>
      <c r="J87">
        <v>0</v>
      </c>
      <c r="K87">
        <v>1</v>
      </c>
      <c r="L87">
        <v>4</v>
      </c>
      <c r="M87">
        <v>5</v>
      </c>
      <c r="N87">
        <v>5</v>
      </c>
      <c r="P87">
        <v>0</v>
      </c>
      <c r="Q87">
        <v>0</v>
      </c>
      <c r="R87">
        <v>0</v>
      </c>
      <c r="S87">
        <v>4</v>
      </c>
    </row>
    <row r="88" spans="1:19" hidden="1" x14ac:dyDescent="0.35">
      <c r="A88">
        <v>56374522400</v>
      </c>
      <c r="B88" t="s">
        <v>102</v>
      </c>
      <c r="C88" t="str">
        <f>_xlfn.XLOOKUP(A88,[1]Affiliations!$J$2:$J$5328,[1]Affiliations!$K$2:$K$5328,0)</f>
        <v>Universidade Federal do Espírito Santo</v>
      </c>
      <c r="D88">
        <v>3</v>
      </c>
      <c r="E88">
        <v>51</v>
      </c>
      <c r="F88">
        <v>17</v>
      </c>
      <c r="G88">
        <v>2</v>
      </c>
      <c r="H88">
        <v>0.81</v>
      </c>
      <c r="I88">
        <v>0</v>
      </c>
      <c r="J88">
        <v>1</v>
      </c>
      <c r="K88">
        <v>1</v>
      </c>
      <c r="L88">
        <v>1</v>
      </c>
      <c r="M88">
        <v>3</v>
      </c>
      <c r="N88">
        <v>3</v>
      </c>
      <c r="P88">
        <v>0</v>
      </c>
      <c r="Q88">
        <v>0</v>
      </c>
      <c r="R88">
        <v>0</v>
      </c>
      <c r="S88">
        <v>1</v>
      </c>
    </row>
    <row r="89" spans="1:19" hidden="1" x14ac:dyDescent="0.35">
      <c r="A89">
        <v>57267943700</v>
      </c>
      <c r="B89" t="s">
        <v>103</v>
      </c>
      <c r="C89" t="str">
        <f>_xlfn.XLOOKUP(A89,[1]Affiliations!$J$2:$J$5328,[1]Affiliations!$K$2:$K$5328,0)</f>
        <v>Universidade Federal de Uberlândia</v>
      </c>
      <c r="D89">
        <v>3</v>
      </c>
      <c r="E89">
        <v>13</v>
      </c>
      <c r="F89">
        <v>4.3333335000000002</v>
      </c>
      <c r="G89">
        <v>3</v>
      </c>
      <c r="H89">
        <v>0.42</v>
      </c>
      <c r="I89">
        <v>0</v>
      </c>
      <c r="J89">
        <v>1</v>
      </c>
      <c r="K89">
        <v>2</v>
      </c>
      <c r="L89">
        <v>2</v>
      </c>
      <c r="M89">
        <v>3</v>
      </c>
      <c r="N89">
        <v>3</v>
      </c>
      <c r="P89">
        <v>0</v>
      </c>
      <c r="Q89">
        <v>0</v>
      </c>
      <c r="R89">
        <v>0</v>
      </c>
      <c r="S89">
        <v>0</v>
      </c>
    </row>
    <row r="90" spans="1:19" hidden="1" x14ac:dyDescent="0.35">
      <c r="A90">
        <v>58995964200</v>
      </c>
      <c r="B90" t="s">
        <v>104</v>
      </c>
      <c r="C90" t="str">
        <f>_xlfn.XLOOKUP(A90,[1]Affiliations!$J$2:$J$5328,[1]Affiliations!$K$2:$K$5328,0)</f>
        <v>Federal University of Rio de Janeiro</v>
      </c>
      <c r="D90">
        <v>1</v>
      </c>
      <c r="E90">
        <v>1</v>
      </c>
      <c r="F90">
        <v>1</v>
      </c>
      <c r="G90">
        <v>1</v>
      </c>
      <c r="H90">
        <v>0.14000000000000001</v>
      </c>
      <c r="I90">
        <v>0</v>
      </c>
      <c r="J90">
        <v>0</v>
      </c>
      <c r="K90">
        <v>0</v>
      </c>
      <c r="L90">
        <v>0</v>
      </c>
      <c r="M90">
        <v>0</v>
      </c>
      <c r="N90">
        <v>1</v>
      </c>
      <c r="P90">
        <v>0</v>
      </c>
      <c r="Q90">
        <v>0</v>
      </c>
      <c r="R90">
        <v>0</v>
      </c>
      <c r="S90">
        <v>0</v>
      </c>
    </row>
    <row r="91" spans="1:19" hidden="1" x14ac:dyDescent="0.35">
      <c r="A91">
        <v>60104286300</v>
      </c>
      <c r="B91" t="s">
        <v>105</v>
      </c>
      <c r="C91" t="str">
        <f>_xlfn.XLOOKUP(A91,[1]Affiliations!$J$2:$J$5328,[1]Affiliations!$K$2:$K$5328,0)</f>
        <v>Universidade Federal de Campina Grande</v>
      </c>
      <c r="D91">
        <v>0</v>
      </c>
      <c r="G91">
        <v>0</v>
      </c>
    </row>
    <row r="92" spans="1:19" hidden="1" x14ac:dyDescent="0.35">
      <c r="A92">
        <v>59234074600</v>
      </c>
      <c r="B92" t="s">
        <v>106</v>
      </c>
      <c r="C92" t="str">
        <f>_xlfn.XLOOKUP(A92,[1]Affiliations!$J$2:$J$5328,[1]Affiliations!$K$2:$K$5328,0)</f>
        <v>Federal University of Pará</v>
      </c>
      <c r="D92">
        <v>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P92">
        <v>0</v>
      </c>
      <c r="Q92">
        <v>0</v>
      </c>
      <c r="R92">
        <v>0</v>
      </c>
      <c r="S92">
        <v>0</v>
      </c>
    </row>
    <row r="93" spans="1:19" hidden="1" x14ac:dyDescent="0.35">
      <c r="A93">
        <v>56637893800</v>
      </c>
      <c r="B93" t="s">
        <v>107</v>
      </c>
      <c r="C93" t="str">
        <f>_xlfn.XLOOKUP(A93,[1]Affiliations!$J$2:$J$5328,[1]Affiliations!$K$2:$K$5328,0)</f>
        <v>Universidade de São Paulo</v>
      </c>
      <c r="D93">
        <v>2</v>
      </c>
      <c r="E93">
        <v>32</v>
      </c>
      <c r="F93">
        <v>16</v>
      </c>
      <c r="G93">
        <v>3</v>
      </c>
      <c r="H93">
        <v>0.79</v>
      </c>
      <c r="I93">
        <v>0</v>
      </c>
      <c r="J93">
        <v>2</v>
      </c>
      <c r="K93">
        <v>2</v>
      </c>
      <c r="L93">
        <v>2</v>
      </c>
      <c r="M93">
        <v>2</v>
      </c>
      <c r="N93">
        <v>2</v>
      </c>
      <c r="P93">
        <v>0</v>
      </c>
      <c r="Q93">
        <v>0</v>
      </c>
      <c r="R93">
        <v>0</v>
      </c>
      <c r="S93">
        <v>1</v>
      </c>
    </row>
    <row r="94" spans="1:19" x14ac:dyDescent="0.35">
      <c r="A94">
        <v>56179889300</v>
      </c>
      <c r="B94" t="s">
        <v>1418</v>
      </c>
      <c r="C94" t="str">
        <f>_xlfn.XLOOKUP(A94,[1]Affiliations!$J$2:$J$5328,[1]Affiliations!$K$2:$K$5328,0)</f>
        <v>Universidade Federal do Espírito Santo</v>
      </c>
      <c r="D94">
        <v>10</v>
      </c>
      <c r="E94">
        <v>516</v>
      </c>
      <c r="F94">
        <v>51.6</v>
      </c>
      <c r="G94">
        <v>8</v>
      </c>
      <c r="H94">
        <v>2.4300000000000002</v>
      </c>
      <c r="I94">
        <v>1</v>
      </c>
      <c r="J94">
        <v>3</v>
      </c>
      <c r="K94">
        <v>3</v>
      </c>
      <c r="L94">
        <v>4</v>
      </c>
      <c r="M94">
        <v>4</v>
      </c>
      <c r="N94">
        <v>5</v>
      </c>
      <c r="P94">
        <v>1</v>
      </c>
      <c r="Q94">
        <v>2</v>
      </c>
      <c r="R94">
        <v>2</v>
      </c>
      <c r="S94">
        <v>4</v>
      </c>
    </row>
    <row r="95" spans="1:19" hidden="1" x14ac:dyDescent="0.35">
      <c r="A95">
        <v>57573799800</v>
      </c>
      <c r="B95" t="s">
        <v>109</v>
      </c>
      <c r="C95" t="str">
        <f>_xlfn.XLOOKUP(A95,[1]Affiliations!$J$2:$J$5328,[1]Affiliations!$K$2:$K$5328,0)</f>
        <v>Universidade Federal Fluminense (+1 more)</v>
      </c>
      <c r="D95">
        <v>10</v>
      </c>
      <c r="E95">
        <v>91</v>
      </c>
      <c r="F95">
        <v>9.1</v>
      </c>
      <c r="G95">
        <v>4</v>
      </c>
      <c r="H95">
        <v>0.41</v>
      </c>
      <c r="I95">
        <v>0</v>
      </c>
      <c r="J95">
        <v>1</v>
      </c>
      <c r="K95">
        <v>2</v>
      </c>
      <c r="L95">
        <v>4</v>
      </c>
      <c r="M95">
        <v>4</v>
      </c>
      <c r="N95">
        <v>7</v>
      </c>
      <c r="P95">
        <v>0</v>
      </c>
      <c r="Q95">
        <v>0</v>
      </c>
      <c r="R95">
        <v>0</v>
      </c>
      <c r="S95">
        <v>4</v>
      </c>
    </row>
    <row r="96" spans="1:19" hidden="1" x14ac:dyDescent="0.35">
      <c r="A96">
        <v>59568782100</v>
      </c>
      <c r="B96" t="s">
        <v>109</v>
      </c>
      <c r="C96" t="str">
        <f>_xlfn.XLOOKUP(A96,[1]Affiliations!$J$2:$J$5328,[1]Affiliations!$K$2:$K$5328,0)</f>
        <v>LNDC-COPPE-UFRJ</v>
      </c>
      <c r="D96">
        <v>2</v>
      </c>
      <c r="E96">
        <v>0</v>
      </c>
      <c r="F96">
        <v>0</v>
      </c>
      <c r="G96">
        <v>0</v>
      </c>
      <c r="H96">
        <v>0</v>
      </c>
      <c r="P96">
        <v>0</v>
      </c>
      <c r="Q96">
        <v>0</v>
      </c>
      <c r="R96">
        <v>0</v>
      </c>
      <c r="S96">
        <v>0</v>
      </c>
    </row>
    <row r="97" spans="1:19" hidden="1" x14ac:dyDescent="0.35">
      <c r="A97">
        <v>57203010640</v>
      </c>
      <c r="B97" t="s">
        <v>110</v>
      </c>
      <c r="C97" t="str">
        <f>_xlfn.XLOOKUP(A97,[1]Affiliations!$J$2:$J$5328,[1]Affiliations!$K$2:$K$5328,0)</f>
        <v>Federal University of Rio de Janeiro</v>
      </c>
      <c r="D97">
        <v>11</v>
      </c>
      <c r="E97">
        <v>45</v>
      </c>
      <c r="F97">
        <v>4.0909089999999999</v>
      </c>
      <c r="G97">
        <v>5</v>
      </c>
      <c r="H97">
        <v>0.47</v>
      </c>
      <c r="I97">
        <v>0</v>
      </c>
      <c r="J97">
        <v>0</v>
      </c>
      <c r="K97">
        <v>0</v>
      </c>
      <c r="L97">
        <v>4</v>
      </c>
      <c r="M97">
        <v>4</v>
      </c>
      <c r="N97">
        <v>6</v>
      </c>
      <c r="P97">
        <v>0</v>
      </c>
      <c r="Q97">
        <v>0</v>
      </c>
      <c r="R97">
        <v>0</v>
      </c>
      <c r="S97">
        <v>0</v>
      </c>
    </row>
    <row r="98" spans="1:19" hidden="1" x14ac:dyDescent="0.35">
      <c r="A98">
        <v>56715206500</v>
      </c>
      <c r="B98" t="s">
        <v>111</v>
      </c>
      <c r="C98" t="str">
        <f>_xlfn.XLOOKUP(A98,[1]Affiliations!$J$2:$J$5328,[1]Affiliations!$K$2:$K$5328,0)</f>
        <v>Universidade Federal do Espírito Santo</v>
      </c>
      <c r="D98">
        <v>1</v>
      </c>
      <c r="E98">
        <v>25</v>
      </c>
      <c r="F98">
        <v>25</v>
      </c>
      <c r="G98">
        <v>1</v>
      </c>
      <c r="H98">
        <v>0.65</v>
      </c>
      <c r="I98">
        <v>0</v>
      </c>
      <c r="J98">
        <v>0</v>
      </c>
      <c r="K98">
        <v>1</v>
      </c>
      <c r="L98">
        <v>1</v>
      </c>
      <c r="M98">
        <v>1</v>
      </c>
      <c r="N98">
        <v>1</v>
      </c>
      <c r="P98">
        <v>0</v>
      </c>
      <c r="Q98">
        <v>0</v>
      </c>
      <c r="R98">
        <v>0</v>
      </c>
      <c r="S98">
        <v>1</v>
      </c>
    </row>
    <row r="99" spans="1:19" hidden="1" x14ac:dyDescent="0.35">
      <c r="A99">
        <v>57191525125</v>
      </c>
      <c r="B99" t="s">
        <v>112</v>
      </c>
      <c r="C99" t="str">
        <f>_xlfn.XLOOKUP(A99,[1]Affiliations!$J$2:$J$5328,[1]Affiliations!$K$2:$K$5328,0)</f>
        <v>Instituto de Química</v>
      </c>
      <c r="D99">
        <v>14</v>
      </c>
      <c r="E99">
        <v>125</v>
      </c>
      <c r="F99">
        <v>8.9285720000000008</v>
      </c>
      <c r="G99">
        <v>6</v>
      </c>
      <c r="H99">
        <v>0.51</v>
      </c>
      <c r="I99">
        <v>0</v>
      </c>
      <c r="J99">
        <v>0</v>
      </c>
      <c r="K99">
        <v>8</v>
      </c>
      <c r="L99">
        <v>12</v>
      </c>
      <c r="M99">
        <v>14</v>
      </c>
      <c r="N99">
        <v>14</v>
      </c>
      <c r="P99">
        <v>0</v>
      </c>
      <c r="Q99">
        <v>0</v>
      </c>
      <c r="R99">
        <v>0</v>
      </c>
      <c r="S99">
        <v>3</v>
      </c>
    </row>
    <row r="100" spans="1:19" hidden="1" x14ac:dyDescent="0.35">
      <c r="A100">
        <v>56633086300</v>
      </c>
      <c r="B100" t="s">
        <v>113</v>
      </c>
      <c r="C100" t="str">
        <f>_xlfn.XLOOKUP(A100,[1]Affiliations!$J$2:$J$5328,[1]Affiliations!$K$2:$K$5328,0)</f>
        <v>Instituto Nacional de Pesquisas Espaciais</v>
      </c>
      <c r="D100">
        <v>1</v>
      </c>
      <c r="E100">
        <v>9</v>
      </c>
      <c r="F100">
        <v>9</v>
      </c>
      <c r="G100">
        <v>11</v>
      </c>
      <c r="H100">
        <v>0</v>
      </c>
      <c r="I100">
        <v>0</v>
      </c>
      <c r="J100">
        <v>0</v>
      </c>
      <c r="K100">
        <v>1</v>
      </c>
      <c r="L100">
        <v>1</v>
      </c>
      <c r="M100">
        <v>1</v>
      </c>
      <c r="N100">
        <v>1</v>
      </c>
      <c r="P100">
        <v>0</v>
      </c>
      <c r="Q100">
        <v>0</v>
      </c>
      <c r="R100">
        <v>0</v>
      </c>
      <c r="S100">
        <v>0</v>
      </c>
    </row>
    <row r="101" spans="1:19" x14ac:dyDescent="0.35">
      <c r="A101">
        <v>57205376371</v>
      </c>
      <c r="B101" t="s">
        <v>4594</v>
      </c>
      <c r="C101" t="str">
        <f>_xlfn.XLOOKUP(A101,[1]Affiliations!$J$2:$J$5328,[1]Affiliations!$K$2:$K$5328,0)</f>
        <v>Universidade Federal de Minas Gerais</v>
      </c>
      <c r="D101">
        <v>10</v>
      </c>
      <c r="E101">
        <v>407</v>
      </c>
      <c r="F101">
        <v>40.700000000000003</v>
      </c>
      <c r="G101">
        <v>6</v>
      </c>
      <c r="H101">
        <v>2.42</v>
      </c>
      <c r="I101">
        <v>0</v>
      </c>
      <c r="J101">
        <v>0</v>
      </c>
      <c r="K101">
        <v>2</v>
      </c>
      <c r="L101">
        <v>3</v>
      </c>
      <c r="M101">
        <v>5</v>
      </c>
      <c r="N101">
        <v>5</v>
      </c>
      <c r="P101">
        <v>2</v>
      </c>
      <c r="Q101">
        <v>3</v>
      </c>
      <c r="R101">
        <v>3</v>
      </c>
      <c r="S101">
        <v>4</v>
      </c>
    </row>
    <row r="102" spans="1:19" x14ac:dyDescent="0.35">
      <c r="A102">
        <v>53981247200</v>
      </c>
      <c r="B102" t="s">
        <v>2400</v>
      </c>
      <c r="C102" t="str">
        <f>_xlfn.XLOOKUP(A102,[1]Affiliations!$J$2:$J$5328,[1]Affiliations!$K$2:$K$5328,0)</f>
        <v>Laboratório Nacional de Computação Científica</v>
      </c>
      <c r="D102">
        <v>43</v>
      </c>
      <c r="E102">
        <v>1487</v>
      </c>
      <c r="F102">
        <v>34.581394000000003</v>
      </c>
      <c r="G102">
        <v>20</v>
      </c>
      <c r="H102">
        <v>2.4</v>
      </c>
      <c r="I102">
        <v>2</v>
      </c>
      <c r="J102">
        <v>6</v>
      </c>
      <c r="K102">
        <v>10</v>
      </c>
      <c r="L102">
        <v>24</v>
      </c>
      <c r="M102">
        <v>40</v>
      </c>
      <c r="N102">
        <v>43</v>
      </c>
      <c r="P102">
        <v>2</v>
      </c>
      <c r="Q102">
        <v>5</v>
      </c>
      <c r="R102">
        <v>7</v>
      </c>
      <c r="S102">
        <v>19</v>
      </c>
    </row>
    <row r="103" spans="1:19" hidden="1" x14ac:dyDescent="0.35">
      <c r="A103">
        <v>56026767900</v>
      </c>
      <c r="B103" t="s">
        <v>116</v>
      </c>
      <c r="C103" t="str">
        <f>_xlfn.XLOOKUP(A103,[1]Affiliations!$J$2:$J$5328,[1]Affiliations!$K$2:$K$5328,0)</f>
        <v>Petróleo Brasileiro S.A. (+1 more)</v>
      </c>
      <c r="D103">
        <v>4</v>
      </c>
      <c r="E103">
        <v>43</v>
      </c>
      <c r="F103">
        <v>10.75</v>
      </c>
      <c r="G103">
        <v>4</v>
      </c>
      <c r="H103">
        <v>0.44</v>
      </c>
      <c r="I103">
        <v>0</v>
      </c>
      <c r="J103">
        <v>0</v>
      </c>
      <c r="K103">
        <v>0</v>
      </c>
      <c r="L103">
        <v>2</v>
      </c>
      <c r="M103">
        <v>4</v>
      </c>
      <c r="N103">
        <v>4</v>
      </c>
      <c r="P103">
        <v>0</v>
      </c>
      <c r="Q103">
        <v>0</v>
      </c>
      <c r="R103">
        <v>0</v>
      </c>
      <c r="S103">
        <v>1</v>
      </c>
    </row>
    <row r="104" spans="1:19" x14ac:dyDescent="0.35">
      <c r="A104">
        <v>6508325326</v>
      </c>
      <c r="B104" t="s">
        <v>3367</v>
      </c>
      <c r="C104" t="str">
        <f>_xlfn.XLOOKUP(A104,[1]Affiliations!$J$2:$J$5328,[1]Affiliations!$K$2:$K$5328,0)</f>
        <v>Federal University of Rio de Janeiro</v>
      </c>
      <c r="D104">
        <v>42</v>
      </c>
      <c r="E104">
        <v>1460</v>
      </c>
      <c r="F104">
        <v>34.761906000000003</v>
      </c>
      <c r="G104">
        <v>17</v>
      </c>
      <c r="H104">
        <v>2.39</v>
      </c>
      <c r="I104">
        <v>1</v>
      </c>
      <c r="J104">
        <v>7</v>
      </c>
      <c r="K104">
        <v>12</v>
      </c>
      <c r="L104">
        <v>16</v>
      </c>
      <c r="M104">
        <v>33</v>
      </c>
      <c r="N104">
        <v>42</v>
      </c>
      <c r="P104">
        <v>1</v>
      </c>
      <c r="Q104">
        <v>6</v>
      </c>
      <c r="R104">
        <v>12</v>
      </c>
      <c r="S104">
        <v>16</v>
      </c>
    </row>
    <row r="105" spans="1:19" hidden="1" x14ac:dyDescent="0.35">
      <c r="A105">
        <v>56025933200</v>
      </c>
      <c r="B105" t="s">
        <v>118</v>
      </c>
      <c r="C105" t="str">
        <f>_xlfn.XLOOKUP(A105,[1]Affiliations!$J$2:$J$5328,[1]Affiliations!$K$2:$K$5328,0)</f>
        <v>Oceanographic Modeling and Observation Network (REMO) (+2 more)</v>
      </c>
      <c r="D105">
        <v>3</v>
      </c>
      <c r="E105">
        <v>47</v>
      </c>
      <c r="F105">
        <v>15.666667</v>
      </c>
      <c r="G105">
        <v>4</v>
      </c>
      <c r="H105">
        <v>0.55000000000000004</v>
      </c>
      <c r="I105">
        <v>0</v>
      </c>
      <c r="J105">
        <v>0</v>
      </c>
      <c r="K105">
        <v>1</v>
      </c>
      <c r="L105">
        <v>2</v>
      </c>
      <c r="M105">
        <v>2</v>
      </c>
      <c r="N105">
        <v>2</v>
      </c>
      <c r="P105">
        <v>0</v>
      </c>
      <c r="Q105">
        <v>0</v>
      </c>
      <c r="R105">
        <v>0</v>
      </c>
      <c r="S105">
        <v>1</v>
      </c>
    </row>
    <row r="106" spans="1:19" x14ac:dyDescent="0.35">
      <c r="A106">
        <v>58220278100</v>
      </c>
      <c r="B106" t="s">
        <v>3630</v>
      </c>
      <c r="C106" t="str">
        <f>_xlfn.XLOOKUP(A106,[1]Affiliations!$J$2:$J$5328,[1]Affiliations!$K$2:$K$5328,0)</f>
        <v>Federal University of Rio de Janeiro</v>
      </c>
      <c r="D106">
        <v>19</v>
      </c>
      <c r="E106">
        <v>329</v>
      </c>
      <c r="F106">
        <v>17.31579</v>
      </c>
      <c r="G106">
        <v>9</v>
      </c>
      <c r="H106">
        <v>2.38</v>
      </c>
      <c r="I106">
        <v>0</v>
      </c>
      <c r="J106">
        <v>0</v>
      </c>
      <c r="K106">
        <v>13</v>
      </c>
      <c r="L106">
        <v>15</v>
      </c>
      <c r="M106">
        <v>19</v>
      </c>
      <c r="N106">
        <v>19</v>
      </c>
      <c r="P106">
        <v>2</v>
      </c>
      <c r="Q106">
        <v>4</v>
      </c>
      <c r="R106">
        <v>8</v>
      </c>
      <c r="S106">
        <v>12</v>
      </c>
    </row>
    <row r="107" spans="1:19" x14ac:dyDescent="0.35">
      <c r="A107">
        <v>56156321200</v>
      </c>
      <c r="B107" t="s">
        <v>1970</v>
      </c>
      <c r="C107" t="str">
        <f>_xlfn.XLOOKUP(A107,[1]Affiliations!$J$2:$J$5328,[1]Affiliations!$K$2:$K$5328,0)</f>
        <v>IMAM-AquaRio (+1 more)</v>
      </c>
      <c r="D107">
        <v>22</v>
      </c>
      <c r="E107">
        <v>1131</v>
      </c>
      <c r="F107">
        <v>51.409092000000001</v>
      </c>
      <c r="G107">
        <v>16</v>
      </c>
      <c r="H107">
        <v>2.35</v>
      </c>
      <c r="I107">
        <v>1</v>
      </c>
      <c r="J107">
        <v>7</v>
      </c>
      <c r="K107">
        <v>13</v>
      </c>
      <c r="L107">
        <v>20</v>
      </c>
      <c r="M107">
        <v>21</v>
      </c>
      <c r="N107">
        <v>21</v>
      </c>
      <c r="P107">
        <v>2</v>
      </c>
      <c r="Q107">
        <v>5</v>
      </c>
      <c r="R107">
        <v>9</v>
      </c>
      <c r="S107">
        <v>13</v>
      </c>
    </row>
    <row r="108" spans="1:19" hidden="1" x14ac:dyDescent="0.35">
      <c r="A108">
        <v>35236200000</v>
      </c>
      <c r="B108" t="s">
        <v>121</v>
      </c>
      <c r="C108" t="str">
        <f>_xlfn.XLOOKUP(A108,[1]Affiliations!$J$2:$J$5328,[1]Affiliations!$K$2:$K$5328,0)</f>
        <v>Universidade Federal de Pernambuco</v>
      </c>
      <c r="D108">
        <v>8</v>
      </c>
      <c r="E108">
        <v>33</v>
      </c>
      <c r="F108">
        <v>4.125</v>
      </c>
      <c r="G108">
        <v>3</v>
      </c>
      <c r="H108">
        <v>1.06</v>
      </c>
      <c r="I108">
        <v>0</v>
      </c>
      <c r="J108">
        <v>0</v>
      </c>
      <c r="K108">
        <v>0</v>
      </c>
      <c r="L108">
        <v>3</v>
      </c>
      <c r="M108">
        <v>3</v>
      </c>
      <c r="N108">
        <v>4</v>
      </c>
      <c r="P108">
        <v>0</v>
      </c>
      <c r="Q108">
        <v>0</v>
      </c>
      <c r="R108">
        <v>0</v>
      </c>
      <c r="S108">
        <v>1</v>
      </c>
    </row>
    <row r="109" spans="1:19" hidden="1" x14ac:dyDescent="0.35">
      <c r="A109">
        <v>55198976900</v>
      </c>
      <c r="B109" t="s">
        <v>122</v>
      </c>
      <c r="C109" t="str">
        <f>_xlfn.XLOOKUP(A109,[1]Affiliations!$J$2:$J$5328,[1]Affiliations!$K$2:$K$5328,0)</f>
        <v>University of Campinas (+1 more)</v>
      </c>
      <c r="D109">
        <v>8</v>
      </c>
      <c r="E109">
        <v>33</v>
      </c>
      <c r="F109">
        <v>4.125</v>
      </c>
      <c r="G109">
        <v>5</v>
      </c>
      <c r="H109">
        <v>0.27</v>
      </c>
      <c r="I109">
        <v>0</v>
      </c>
      <c r="J109">
        <v>0</v>
      </c>
      <c r="K109">
        <v>0</v>
      </c>
      <c r="L109">
        <v>1</v>
      </c>
      <c r="M109">
        <v>6</v>
      </c>
      <c r="N109">
        <v>8</v>
      </c>
      <c r="P109">
        <v>0</v>
      </c>
      <c r="Q109">
        <v>0</v>
      </c>
      <c r="R109">
        <v>0</v>
      </c>
      <c r="S109">
        <v>0</v>
      </c>
    </row>
    <row r="110" spans="1:19" hidden="1" x14ac:dyDescent="0.35">
      <c r="A110">
        <v>6507782404</v>
      </c>
      <c r="B110" t="s">
        <v>123</v>
      </c>
      <c r="C110" t="str">
        <f>_xlfn.XLOOKUP(A110,[1]Affiliations!$J$2:$J$5328,[1]Affiliations!$K$2:$K$5328,0)</f>
        <v>Universidade Federal do Rio Grande do Norte</v>
      </c>
      <c r="D110">
        <v>15</v>
      </c>
      <c r="E110">
        <v>70</v>
      </c>
      <c r="F110">
        <v>4.6666664999999998</v>
      </c>
      <c r="G110">
        <v>10</v>
      </c>
      <c r="H110">
        <v>0.42</v>
      </c>
      <c r="I110">
        <v>0</v>
      </c>
      <c r="J110">
        <v>0</v>
      </c>
      <c r="K110">
        <v>1</v>
      </c>
      <c r="L110">
        <v>5</v>
      </c>
      <c r="M110">
        <v>8</v>
      </c>
      <c r="N110">
        <v>10</v>
      </c>
      <c r="P110">
        <v>0</v>
      </c>
      <c r="Q110">
        <v>0</v>
      </c>
      <c r="R110">
        <v>0</v>
      </c>
      <c r="S110">
        <v>1</v>
      </c>
    </row>
    <row r="111" spans="1:19" hidden="1" x14ac:dyDescent="0.35">
      <c r="A111">
        <v>57686751900</v>
      </c>
      <c r="B111" t="s">
        <v>124</v>
      </c>
      <c r="C111" t="str">
        <f>_xlfn.XLOOKUP(A111,[1]Affiliations!$J$2:$J$5328,[1]Affiliations!$K$2:$K$5328,0)</f>
        <v>DEMa</v>
      </c>
      <c r="D111">
        <v>1</v>
      </c>
      <c r="E111">
        <v>2</v>
      </c>
      <c r="F111">
        <v>2</v>
      </c>
      <c r="G111">
        <v>1</v>
      </c>
      <c r="H111">
        <v>0.15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1</v>
      </c>
      <c r="P111">
        <v>0</v>
      </c>
      <c r="Q111">
        <v>0</v>
      </c>
      <c r="R111">
        <v>0</v>
      </c>
      <c r="S111">
        <v>0</v>
      </c>
    </row>
    <row r="112" spans="1:19" hidden="1" x14ac:dyDescent="0.35">
      <c r="A112">
        <v>59251055100</v>
      </c>
      <c r="B112" t="s">
        <v>125</v>
      </c>
      <c r="C112" t="str">
        <f>_xlfn.XLOOKUP(A112,[1]Affiliations!$J$2:$J$5328,[1]Affiliations!$K$2:$K$5328,0)</f>
        <v>Universidade Federal de Minas Gerais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  <c r="N112">
        <v>1</v>
      </c>
      <c r="P112">
        <v>0</v>
      </c>
      <c r="Q112">
        <v>0</v>
      </c>
      <c r="R112">
        <v>0</v>
      </c>
      <c r="S112">
        <v>0</v>
      </c>
    </row>
    <row r="113" spans="1:19" hidden="1" x14ac:dyDescent="0.35">
      <c r="A113">
        <v>56549505700</v>
      </c>
      <c r="B113" t="s">
        <v>126</v>
      </c>
      <c r="C113" t="str">
        <f>_xlfn.XLOOKUP(A113,[1]Affiliations!$J$2:$J$5328,[1]Affiliations!$K$2:$K$5328,0)</f>
        <v>Universidade Federal de Minas Gerais</v>
      </c>
      <c r="D113">
        <v>2</v>
      </c>
      <c r="E113">
        <v>32</v>
      </c>
      <c r="F113">
        <v>16</v>
      </c>
      <c r="G113">
        <v>2</v>
      </c>
      <c r="H113">
        <v>1.1399999999999999</v>
      </c>
      <c r="I113">
        <v>0</v>
      </c>
      <c r="J113">
        <v>0</v>
      </c>
      <c r="K113">
        <v>0</v>
      </c>
      <c r="L113">
        <v>1</v>
      </c>
      <c r="M113">
        <v>2</v>
      </c>
      <c r="N113">
        <v>2</v>
      </c>
      <c r="P113">
        <v>0</v>
      </c>
      <c r="Q113">
        <v>0</v>
      </c>
      <c r="R113">
        <v>0</v>
      </c>
      <c r="S113">
        <v>2</v>
      </c>
    </row>
    <row r="114" spans="1:19" x14ac:dyDescent="0.35">
      <c r="A114">
        <v>57205677091</v>
      </c>
      <c r="B114" t="s">
        <v>4079</v>
      </c>
      <c r="C114" t="str">
        <f>_xlfn.XLOOKUP(A114,[1]Affiliations!$J$2:$J$5328,[1]Affiliations!$K$2:$K$5328,0)</f>
        <v>University of Campinas</v>
      </c>
      <c r="D114">
        <v>11</v>
      </c>
      <c r="E114">
        <v>452</v>
      </c>
      <c r="F114">
        <v>41.090907999999999</v>
      </c>
      <c r="G114">
        <v>8</v>
      </c>
      <c r="H114">
        <v>2.34</v>
      </c>
      <c r="I114">
        <v>0</v>
      </c>
      <c r="J114">
        <v>2</v>
      </c>
      <c r="K114">
        <v>5</v>
      </c>
      <c r="L114">
        <v>7</v>
      </c>
      <c r="M114">
        <v>9</v>
      </c>
      <c r="N114">
        <v>10</v>
      </c>
      <c r="P114">
        <v>0</v>
      </c>
      <c r="Q114">
        <v>4</v>
      </c>
      <c r="R114">
        <v>5</v>
      </c>
      <c r="S114">
        <v>7</v>
      </c>
    </row>
    <row r="115" spans="1:19" x14ac:dyDescent="0.35">
      <c r="A115">
        <v>57209399940</v>
      </c>
      <c r="B115" t="s">
        <v>5188</v>
      </c>
      <c r="C115" t="str">
        <f>_xlfn.XLOOKUP(A115,[1]Affiliations!$J$2:$J$5328,[1]Affiliations!$K$2:$K$5328,0)</f>
        <v>Federal University of Rio de Janeiro</v>
      </c>
      <c r="D115">
        <v>18</v>
      </c>
      <c r="E115">
        <v>626</v>
      </c>
      <c r="F115">
        <v>34.77778</v>
      </c>
      <c r="G115">
        <v>13</v>
      </c>
      <c r="H115">
        <v>2.33</v>
      </c>
      <c r="I115">
        <v>1</v>
      </c>
      <c r="J115">
        <v>3</v>
      </c>
      <c r="K115">
        <v>5</v>
      </c>
      <c r="L115">
        <v>12</v>
      </c>
      <c r="M115">
        <v>16</v>
      </c>
      <c r="N115">
        <v>17</v>
      </c>
      <c r="P115">
        <v>3</v>
      </c>
      <c r="Q115">
        <v>5</v>
      </c>
      <c r="R115">
        <v>8</v>
      </c>
      <c r="S115">
        <v>14</v>
      </c>
    </row>
    <row r="116" spans="1:19" hidden="1" x14ac:dyDescent="0.35">
      <c r="A116">
        <v>57219120961</v>
      </c>
      <c r="B116" t="s">
        <v>129</v>
      </c>
      <c r="C116" t="str">
        <f>_xlfn.XLOOKUP(A116,[1]Affiliations!$J$2:$J$5328,[1]Affiliations!$K$2:$K$5328,0)</f>
        <v>Federal University of Rio de Janeiro</v>
      </c>
      <c r="D116">
        <v>4</v>
      </c>
      <c r="E116">
        <v>21</v>
      </c>
      <c r="F116">
        <v>5.25</v>
      </c>
      <c r="G116">
        <v>2</v>
      </c>
      <c r="H116">
        <v>0.22</v>
      </c>
      <c r="I116">
        <v>0</v>
      </c>
      <c r="J116">
        <v>0</v>
      </c>
      <c r="K116">
        <v>1</v>
      </c>
      <c r="L116">
        <v>2</v>
      </c>
      <c r="M116">
        <v>3</v>
      </c>
      <c r="N116">
        <v>3</v>
      </c>
      <c r="P116">
        <v>0</v>
      </c>
      <c r="Q116">
        <v>0</v>
      </c>
      <c r="R116">
        <v>0</v>
      </c>
      <c r="S116">
        <v>0</v>
      </c>
    </row>
    <row r="117" spans="1:19" hidden="1" x14ac:dyDescent="0.35">
      <c r="A117">
        <v>52763223200</v>
      </c>
      <c r="B117" t="s">
        <v>130</v>
      </c>
      <c r="C117" t="str">
        <f>_xlfn.XLOOKUP(A117,[1]Affiliations!$J$2:$J$5328,[1]Affiliations!$K$2:$K$5328,0)</f>
        <v>Fundação Gorceix (+1 more)</v>
      </c>
      <c r="D117">
        <v>6</v>
      </c>
      <c r="E117">
        <v>13</v>
      </c>
      <c r="F117">
        <v>2.1666666999999999</v>
      </c>
      <c r="G117">
        <v>3</v>
      </c>
      <c r="H117">
        <v>0.32</v>
      </c>
      <c r="I117">
        <v>0</v>
      </c>
      <c r="J117">
        <v>0</v>
      </c>
      <c r="K117">
        <v>0</v>
      </c>
      <c r="L117">
        <v>3</v>
      </c>
      <c r="M117">
        <v>4</v>
      </c>
      <c r="N117">
        <v>4</v>
      </c>
      <c r="P117">
        <v>0</v>
      </c>
      <c r="Q117">
        <v>0</v>
      </c>
      <c r="R117">
        <v>0</v>
      </c>
      <c r="S117">
        <v>1</v>
      </c>
    </row>
    <row r="118" spans="1:19" hidden="1" x14ac:dyDescent="0.35">
      <c r="A118">
        <v>37003555800</v>
      </c>
      <c r="B118" t="s">
        <v>131</v>
      </c>
      <c r="C118" t="str">
        <f>_xlfn.XLOOKUP(A118,[1]Affiliations!$J$2:$J$5328,[1]Affiliations!$K$2:$K$5328,0)</f>
        <v>Universidade de São Paulo</v>
      </c>
      <c r="D118">
        <v>7</v>
      </c>
      <c r="E118">
        <v>61</v>
      </c>
      <c r="F118">
        <v>8.7142859999999995</v>
      </c>
      <c r="G118">
        <v>7</v>
      </c>
      <c r="H118">
        <v>0.62</v>
      </c>
      <c r="I118">
        <v>0</v>
      </c>
      <c r="J118">
        <v>1</v>
      </c>
      <c r="K118">
        <v>1</v>
      </c>
      <c r="L118">
        <v>4</v>
      </c>
      <c r="M118">
        <v>6</v>
      </c>
      <c r="N118">
        <v>6</v>
      </c>
      <c r="P118">
        <v>0</v>
      </c>
      <c r="Q118">
        <v>0</v>
      </c>
      <c r="R118">
        <v>0</v>
      </c>
      <c r="S118">
        <v>2</v>
      </c>
    </row>
    <row r="119" spans="1:19" hidden="1" x14ac:dyDescent="0.35">
      <c r="A119">
        <v>57200607631</v>
      </c>
      <c r="B119" t="s">
        <v>132</v>
      </c>
      <c r="C119" t="str">
        <f>_xlfn.XLOOKUP(A119,[1]Affiliations!$J$2:$J$5328,[1]Affiliations!$K$2:$K$5328,0)</f>
        <v>Vizlab - X-Reality and GeoInformatics Lab (+1 more)</v>
      </c>
      <c r="D119">
        <v>6</v>
      </c>
      <c r="E119">
        <v>45</v>
      </c>
      <c r="F119">
        <v>7.5</v>
      </c>
      <c r="G119">
        <v>4</v>
      </c>
      <c r="H119">
        <v>0.88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3</v>
      </c>
      <c r="P119">
        <v>0</v>
      </c>
      <c r="Q119">
        <v>0</v>
      </c>
      <c r="R119">
        <v>0</v>
      </c>
      <c r="S119">
        <v>0</v>
      </c>
    </row>
    <row r="120" spans="1:19" hidden="1" x14ac:dyDescent="0.35">
      <c r="A120">
        <v>57201420469</v>
      </c>
      <c r="B120" t="s">
        <v>133</v>
      </c>
      <c r="C120" t="str">
        <f>_xlfn.XLOOKUP(A120,[1]Affiliations!$J$2:$J$5328,[1]Affiliations!$K$2:$K$5328,0)</f>
        <v>Federal University of Santa Catarina</v>
      </c>
      <c r="D120">
        <v>3</v>
      </c>
      <c r="E120">
        <v>26</v>
      </c>
      <c r="F120">
        <v>8.6666670000000003</v>
      </c>
      <c r="G120">
        <v>2</v>
      </c>
      <c r="H120">
        <v>0.67</v>
      </c>
      <c r="I120">
        <v>0</v>
      </c>
      <c r="J120">
        <v>0</v>
      </c>
      <c r="K120">
        <v>2</v>
      </c>
      <c r="L120">
        <v>2</v>
      </c>
      <c r="M120">
        <v>3</v>
      </c>
      <c r="N120">
        <v>3</v>
      </c>
      <c r="P120">
        <v>0</v>
      </c>
      <c r="Q120">
        <v>0</v>
      </c>
      <c r="R120">
        <v>0</v>
      </c>
      <c r="S120">
        <v>2</v>
      </c>
    </row>
    <row r="121" spans="1:19" hidden="1" x14ac:dyDescent="0.35">
      <c r="A121">
        <v>57220454494</v>
      </c>
      <c r="B121" t="s">
        <v>134</v>
      </c>
      <c r="C121" t="str">
        <f>_xlfn.XLOOKUP(A121,[1]Affiliations!$J$2:$J$5328,[1]Affiliations!$K$2:$K$5328,0)</f>
        <v>Universidade Federal Rural do Rio de Janeiro</v>
      </c>
      <c r="D121">
        <v>1</v>
      </c>
      <c r="E121">
        <v>3</v>
      </c>
      <c r="F121">
        <v>3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</v>
      </c>
      <c r="P121">
        <v>0</v>
      </c>
      <c r="Q121">
        <v>0</v>
      </c>
      <c r="R121">
        <v>0</v>
      </c>
      <c r="S121">
        <v>0</v>
      </c>
    </row>
    <row r="122" spans="1:19" x14ac:dyDescent="0.35">
      <c r="A122">
        <v>57193015456</v>
      </c>
      <c r="B122" t="s">
        <v>532</v>
      </c>
      <c r="C122" t="str">
        <f>_xlfn.XLOOKUP(A122,[1]Affiliations!$J$2:$J$5328,[1]Affiliations!$K$2:$K$5328,0)</f>
        <v>Petróleo Brasileiro S.A. (+3 more)</v>
      </c>
      <c r="D122">
        <v>62</v>
      </c>
      <c r="E122">
        <v>2436</v>
      </c>
      <c r="F122">
        <v>39.290320000000001</v>
      </c>
      <c r="G122">
        <v>22</v>
      </c>
      <c r="H122">
        <v>2.3199999999999998</v>
      </c>
      <c r="I122">
        <v>1</v>
      </c>
      <c r="J122">
        <v>2</v>
      </c>
      <c r="K122">
        <v>16</v>
      </c>
      <c r="L122">
        <v>51</v>
      </c>
      <c r="M122">
        <v>55</v>
      </c>
      <c r="N122">
        <v>55</v>
      </c>
      <c r="P122">
        <v>2</v>
      </c>
      <c r="Q122">
        <v>13</v>
      </c>
      <c r="R122">
        <v>21</v>
      </c>
      <c r="S122">
        <v>42</v>
      </c>
    </row>
    <row r="123" spans="1:19" hidden="1" x14ac:dyDescent="0.35">
      <c r="A123">
        <v>7102351288</v>
      </c>
      <c r="B123" t="s">
        <v>136</v>
      </c>
      <c r="C123" t="str">
        <f>_xlfn.XLOOKUP(A123,[1]Affiliations!$J$2:$J$5328,[1]Affiliations!$K$2:$K$5328,0)</f>
        <v>Federal University of Rio de Janeiro</v>
      </c>
      <c r="D123">
        <v>15</v>
      </c>
      <c r="E123">
        <v>139</v>
      </c>
      <c r="F123">
        <v>9.2666660000000007</v>
      </c>
      <c r="G123">
        <v>12</v>
      </c>
      <c r="H123">
        <v>0.45</v>
      </c>
      <c r="I123">
        <v>0</v>
      </c>
      <c r="J123">
        <v>1</v>
      </c>
      <c r="K123">
        <v>2</v>
      </c>
      <c r="L123">
        <v>4</v>
      </c>
      <c r="M123">
        <v>7</v>
      </c>
      <c r="N123">
        <v>7</v>
      </c>
      <c r="P123">
        <v>0</v>
      </c>
      <c r="Q123">
        <v>0</v>
      </c>
      <c r="R123">
        <v>0</v>
      </c>
      <c r="S123">
        <v>2</v>
      </c>
    </row>
    <row r="124" spans="1:19" hidden="1" x14ac:dyDescent="0.35">
      <c r="A124">
        <v>55910360100</v>
      </c>
      <c r="B124" t="s">
        <v>137</v>
      </c>
      <c r="C124" t="str">
        <f>_xlfn.XLOOKUP(A124,[1]Affiliations!$J$2:$J$5328,[1]Affiliations!$K$2:$K$5328,0)</f>
        <v>University of Campinas</v>
      </c>
      <c r="D124">
        <v>4</v>
      </c>
      <c r="E124">
        <v>78</v>
      </c>
      <c r="F124">
        <v>19.5</v>
      </c>
      <c r="G124">
        <v>11</v>
      </c>
      <c r="H124">
        <v>0.96</v>
      </c>
      <c r="I124">
        <v>0</v>
      </c>
      <c r="J124">
        <v>1</v>
      </c>
      <c r="K124">
        <v>1</v>
      </c>
      <c r="L124">
        <v>3</v>
      </c>
      <c r="M124">
        <v>4</v>
      </c>
      <c r="N124">
        <v>4</v>
      </c>
      <c r="P124">
        <v>0</v>
      </c>
      <c r="Q124">
        <v>0</v>
      </c>
      <c r="R124">
        <v>0</v>
      </c>
      <c r="S124">
        <v>2</v>
      </c>
    </row>
    <row r="125" spans="1:19" hidden="1" x14ac:dyDescent="0.35">
      <c r="A125">
        <v>58736875100</v>
      </c>
      <c r="B125" t="s">
        <v>138</v>
      </c>
      <c r="C125" t="str">
        <f>_xlfn.XLOOKUP(A125,[1]Affiliations!$J$2:$J$5328,[1]Affiliations!$K$2:$K$5328,0)</f>
        <v>Universidade Federal de Juiz de Fora</v>
      </c>
      <c r="D125">
        <v>2</v>
      </c>
      <c r="E125">
        <v>31</v>
      </c>
      <c r="F125">
        <v>15.5</v>
      </c>
      <c r="G125">
        <v>2</v>
      </c>
      <c r="H125">
        <v>1.92</v>
      </c>
      <c r="I125">
        <v>0</v>
      </c>
      <c r="J125">
        <v>0</v>
      </c>
      <c r="K125">
        <v>0</v>
      </c>
      <c r="L125">
        <v>1</v>
      </c>
      <c r="M125">
        <v>2</v>
      </c>
      <c r="N125">
        <v>2</v>
      </c>
      <c r="P125">
        <v>0</v>
      </c>
      <c r="Q125">
        <v>0</v>
      </c>
      <c r="R125">
        <v>1</v>
      </c>
      <c r="S125">
        <v>1</v>
      </c>
    </row>
    <row r="126" spans="1:19" hidden="1" x14ac:dyDescent="0.35">
      <c r="A126">
        <v>57224585303</v>
      </c>
      <c r="B126" t="s">
        <v>139</v>
      </c>
      <c r="C126" t="str">
        <f>_xlfn.XLOOKUP(A126,[1]Affiliations!$J$2:$J$5328,[1]Affiliations!$K$2:$K$5328,0)</f>
        <v>Universidade Federal Fluminense</v>
      </c>
      <c r="D126">
        <v>50</v>
      </c>
      <c r="E126">
        <v>404</v>
      </c>
      <c r="F126">
        <v>8.08</v>
      </c>
      <c r="G126">
        <v>16</v>
      </c>
      <c r="H126">
        <v>0.44</v>
      </c>
      <c r="I126">
        <v>2</v>
      </c>
      <c r="J126">
        <v>6</v>
      </c>
      <c r="K126">
        <v>12</v>
      </c>
      <c r="L126">
        <v>31</v>
      </c>
      <c r="M126">
        <v>37</v>
      </c>
      <c r="N126">
        <v>38</v>
      </c>
      <c r="P126">
        <v>0</v>
      </c>
      <c r="Q126">
        <v>0</v>
      </c>
      <c r="R126">
        <v>0</v>
      </c>
      <c r="S126">
        <v>4</v>
      </c>
    </row>
    <row r="127" spans="1:19" hidden="1" x14ac:dyDescent="0.35">
      <c r="A127">
        <v>59172592800</v>
      </c>
      <c r="B127" t="s">
        <v>140</v>
      </c>
      <c r="C127" t="str">
        <f>_xlfn.XLOOKUP(A127,[1]Affiliations!$J$2:$J$5328,[1]Affiliations!$K$2:$K$5328,0)</f>
        <v>Federal University of Rio de Janeiro</v>
      </c>
      <c r="D127">
        <v>3</v>
      </c>
      <c r="E127">
        <v>17</v>
      </c>
      <c r="F127">
        <v>5.6666664999999998</v>
      </c>
      <c r="G127">
        <v>2</v>
      </c>
      <c r="H127">
        <v>1.56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P127">
        <v>0</v>
      </c>
      <c r="Q127">
        <v>0</v>
      </c>
      <c r="R127">
        <v>1</v>
      </c>
      <c r="S127">
        <v>1</v>
      </c>
    </row>
    <row r="128" spans="1:19" x14ac:dyDescent="0.35">
      <c r="A128">
        <v>55754467500</v>
      </c>
      <c r="B128" t="s">
        <v>3550</v>
      </c>
      <c r="C128" t="str">
        <f>_xlfn.XLOOKUP(A128,[1]Affiliations!$J$2:$J$5328,[1]Affiliations!$K$2:$K$5328,0)</f>
        <v>Centro Nacional de Pesquisa em Energia e Materiais</v>
      </c>
      <c r="D128">
        <v>16</v>
      </c>
      <c r="E128">
        <v>817</v>
      </c>
      <c r="F128">
        <v>51.0625</v>
      </c>
      <c r="G128">
        <v>16</v>
      </c>
      <c r="H128">
        <v>2.31</v>
      </c>
      <c r="I128">
        <v>0</v>
      </c>
      <c r="J128">
        <v>3</v>
      </c>
      <c r="K128">
        <v>11</v>
      </c>
      <c r="L128">
        <v>14</v>
      </c>
      <c r="M128">
        <v>15</v>
      </c>
      <c r="N128">
        <v>15</v>
      </c>
      <c r="P128">
        <v>0</v>
      </c>
      <c r="Q128">
        <v>4</v>
      </c>
      <c r="R128">
        <v>8</v>
      </c>
      <c r="S128">
        <v>11</v>
      </c>
    </row>
    <row r="129" spans="1:19" hidden="1" x14ac:dyDescent="0.35">
      <c r="A129">
        <v>57205887745</v>
      </c>
      <c r="B129" t="s">
        <v>142</v>
      </c>
      <c r="C129" t="str">
        <f>_xlfn.XLOOKUP(A129,[1]Affiliations!$J$2:$J$5328,[1]Affiliations!$K$2:$K$5328,0)</f>
        <v>Universidade Federal de Mato Grosso do Sul (+1 more)</v>
      </c>
      <c r="D129">
        <v>3</v>
      </c>
      <c r="E129">
        <v>9</v>
      </c>
      <c r="F129">
        <v>3</v>
      </c>
      <c r="G129">
        <v>2</v>
      </c>
      <c r="H129">
        <v>0.23</v>
      </c>
      <c r="I129">
        <v>0</v>
      </c>
      <c r="J129">
        <v>0</v>
      </c>
      <c r="K129">
        <v>1</v>
      </c>
      <c r="L129">
        <v>1</v>
      </c>
      <c r="M129">
        <v>1</v>
      </c>
      <c r="N129">
        <v>1</v>
      </c>
      <c r="P129">
        <v>0</v>
      </c>
      <c r="Q129">
        <v>0</v>
      </c>
      <c r="R129">
        <v>0</v>
      </c>
      <c r="S129">
        <v>0</v>
      </c>
    </row>
    <row r="130" spans="1:19" hidden="1" x14ac:dyDescent="0.35">
      <c r="A130">
        <v>57984122700</v>
      </c>
      <c r="B130" t="s">
        <v>143</v>
      </c>
      <c r="C130" t="str">
        <f>_xlfn.XLOOKUP(A130,[1]Affiliations!$J$2:$J$5328,[1]Affiliations!$K$2:$K$5328,0)</f>
        <v>Universidade Federal de Minas Gerais</v>
      </c>
      <c r="D130">
        <v>5</v>
      </c>
      <c r="E130">
        <v>36</v>
      </c>
      <c r="F130">
        <v>7.2</v>
      </c>
      <c r="G130">
        <v>4</v>
      </c>
      <c r="H130">
        <v>0.79</v>
      </c>
      <c r="I130">
        <v>0</v>
      </c>
      <c r="J130">
        <v>0</v>
      </c>
      <c r="K130">
        <v>1</v>
      </c>
      <c r="L130">
        <v>3</v>
      </c>
      <c r="M130">
        <v>4</v>
      </c>
      <c r="N130">
        <v>4</v>
      </c>
      <c r="P130">
        <v>0</v>
      </c>
      <c r="Q130">
        <v>0</v>
      </c>
      <c r="R130">
        <v>0</v>
      </c>
      <c r="S130">
        <v>1</v>
      </c>
    </row>
    <row r="131" spans="1:19" hidden="1" x14ac:dyDescent="0.35">
      <c r="A131">
        <v>11338962300</v>
      </c>
      <c r="B131" t="s">
        <v>144</v>
      </c>
      <c r="C131" t="str">
        <f>_xlfn.XLOOKUP(A131,[1]Affiliations!$J$2:$J$5328,[1]Affiliations!$K$2:$K$5328,0)</f>
        <v>University of Campinas</v>
      </c>
      <c r="D131">
        <v>6</v>
      </c>
      <c r="E131">
        <v>75</v>
      </c>
      <c r="F131">
        <v>12.5</v>
      </c>
      <c r="G131">
        <v>9</v>
      </c>
      <c r="H131">
        <v>0.47</v>
      </c>
      <c r="I131">
        <v>1</v>
      </c>
      <c r="J131">
        <v>2</v>
      </c>
      <c r="K131">
        <v>4</v>
      </c>
      <c r="L131">
        <v>4</v>
      </c>
      <c r="M131">
        <v>4</v>
      </c>
      <c r="N131">
        <v>5</v>
      </c>
      <c r="P131">
        <v>0</v>
      </c>
      <c r="Q131">
        <v>0</v>
      </c>
      <c r="R131">
        <v>0</v>
      </c>
      <c r="S131">
        <v>1</v>
      </c>
    </row>
    <row r="132" spans="1:19" hidden="1" x14ac:dyDescent="0.35">
      <c r="A132">
        <v>57204692496</v>
      </c>
      <c r="B132" t="s">
        <v>145</v>
      </c>
      <c r="C132" t="str">
        <f>_xlfn.XLOOKUP(A132,[1]Affiliations!$J$2:$J$5328,[1]Affiliations!$K$2:$K$5328,0)</f>
        <v>Universidade Federal Rural do Rio de Janeiro</v>
      </c>
      <c r="D132">
        <v>1</v>
      </c>
      <c r="E132">
        <v>5</v>
      </c>
      <c r="F132">
        <v>5</v>
      </c>
      <c r="G132">
        <v>1</v>
      </c>
      <c r="H132">
        <v>0.2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P132">
        <v>0</v>
      </c>
      <c r="Q132">
        <v>0</v>
      </c>
      <c r="R132">
        <v>0</v>
      </c>
      <c r="S132">
        <v>0</v>
      </c>
    </row>
    <row r="133" spans="1:19" hidden="1" x14ac:dyDescent="0.35">
      <c r="A133">
        <v>57948722100</v>
      </c>
      <c r="B133" t="s">
        <v>146</v>
      </c>
      <c r="C133" t="str">
        <f>_xlfn.XLOOKUP(A133,[1]Affiliations!$J$2:$J$5328,[1]Affiliations!$K$2:$K$5328,0)</f>
        <v>Núcleo de Estudo em Sistemas Coloidais (NUESC) / Instituto de Tecnologia e Pesquisa (ITP)</v>
      </c>
      <c r="D133">
        <v>2</v>
      </c>
      <c r="E133">
        <v>18</v>
      </c>
      <c r="F133">
        <v>9</v>
      </c>
      <c r="G133">
        <v>2</v>
      </c>
      <c r="H133">
        <v>1.17</v>
      </c>
      <c r="I133">
        <v>0</v>
      </c>
      <c r="J133">
        <v>0</v>
      </c>
      <c r="K133">
        <v>0</v>
      </c>
      <c r="L133">
        <v>1</v>
      </c>
      <c r="M133">
        <v>2</v>
      </c>
      <c r="N133">
        <v>2</v>
      </c>
      <c r="P133">
        <v>0</v>
      </c>
      <c r="Q133">
        <v>0</v>
      </c>
      <c r="R133">
        <v>0</v>
      </c>
      <c r="S133">
        <v>1</v>
      </c>
    </row>
    <row r="134" spans="1:19" x14ac:dyDescent="0.35">
      <c r="A134">
        <v>57200596497</v>
      </c>
      <c r="B134" t="s">
        <v>3551</v>
      </c>
      <c r="C134" t="str">
        <f>_xlfn.XLOOKUP(A134,[1]Affiliations!$J$2:$J$5328,[1]Affiliations!$K$2:$K$5328,0)</f>
        <v>Universidade de São Paulo</v>
      </c>
      <c r="D134">
        <v>9</v>
      </c>
      <c r="E134">
        <v>309</v>
      </c>
      <c r="F134">
        <v>34.333331999999999</v>
      </c>
      <c r="G134">
        <v>4</v>
      </c>
      <c r="H134">
        <v>2.27</v>
      </c>
      <c r="I134">
        <v>0</v>
      </c>
      <c r="J134">
        <v>0</v>
      </c>
      <c r="K134">
        <v>2</v>
      </c>
      <c r="L134">
        <v>3</v>
      </c>
      <c r="M134">
        <v>4</v>
      </c>
      <c r="N134">
        <v>6</v>
      </c>
      <c r="P134">
        <v>0</v>
      </c>
      <c r="Q134">
        <v>2</v>
      </c>
      <c r="R134">
        <v>3</v>
      </c>
      <c r="S134">
        <v>3</v>
      </c>
    </row>
    <row r="135" spans="1:19" hidden="1" x14ac:dyDescent="0.35">
      <c r="A135">
        <v>57224724721</v>
      </c>
      <c r="B135" t="s">
        <v>148</v>
      </c>
      <c r="C135" t="str">
        <f>_xlfn.XLOOKUP(A135,[1]Affiliations!$J$2:$J$5328,[1]Affiliations!$K$2:$K$5328,0)</f>
        <v>Universidade Federal de Minas Gerais</v>
      </c>
      <c r="D135">
        <v>2</v>
      </c>
      <c r="E135">
        <v>20</v>
      </c>
      <c r="F135">
        <v>10</v>
      </c>
      <c r="G135">
        <v>2</v>
      </c>
      <c r="H135">
        <v>0.43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P135">
        <v>0</v>
      </c>
      <c r="Q135">
        <v>0</v>
      </c>
      <c r="R135">
        <v>0</v>
      </c>
      <c r="S135">
        <v>1</v>
      </c>
    </row>
    <row r="136" spans="1:19" hidden="1" x14ac:dyDescent="0.35">
      <c r="A136">
        <v>57219133298</v>
      </c>
      <c r="B136" t="s">
        <v>149</v>
      </c>
      <c r="C136" t="str">
        <f>_xlfn.XLOOKUP(A136,[1]Affiliations!$J$2:$J$5328,[1]Affiliations!$K$2:$K$5328,0)</f>
        <v>Pontifical Catholic University of Rio de Janeiro</v>
      </c>
      <c r="D136">
        <v>12</v>
      </c>
      <c r="E136">
        <v>51</v>
      </c>
      <c r="F136">
        <v>4.25</v>
      </c>
      <c r="G136">
        <v>3</v>
      </c>
      <c r="H136">
        <v>0.54</v>
      </c>
      <c r="I136">
        <v>0</v>
      </c>
      <c r="J136">
        <v>0</v>
      </c>
      <c r="K136">
        <v>1</v>
      </c>
      <c r="L136">
        <v>2</v>
      </c>
      <c r="M136">
        <v>2</v>
      </c>
      <c r="N136">
        <v>4</v>
      </c>
      <c r="P136">
        <v>0</v>
      </c>
      <c r="Q136">
        <v>0</v>
      </c>
      <c r="R136">
        <v>0</v>
      </c>
      <c r="S136">
        <v>1</v>
      </c>
    </row>
    <row r="137" spans="1:19" hidden="1" x14ac:dyDescent="0.35">
      <c r="A137">
        <v>59028938700</v>
      </c>
      <c r="B137" t="s">
        <v>150</v>
      </c>
      <c r="C137" t="str">
        <f>_xlfn.XLOOKUP(A137,[1]Affiliations!$J$2:$J$5328,[1]Affiliations!$K$2:$K$5328,0)</f>
        <v>Universidade Federal Fluminense</v>
      </c>
      <c r="D137">
        <v>4</v>
      </c>
      <c r="E137">
        <v>5</v>
      </c>
      <c r="F137">
        <v>1.25</v>
      </c>
      <c r="G137">
        <v>2</v>
      </c>
      <c r="H137">
        <v>0.7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P137">
        <v>0</v>
      </c>
      <c r="Q137">
        <v>0</v>
      </c>
      <c r="R137">
        <v>0</v>
      </c>
      <c r="S137">
        <v>0</v>
      </c>
    </row>
    <row r="138" spans="1:19" hidden="1" x14ac:dyDescent="0.35">
      <c r="A138">
        <v>55348113000</v>
      </c>
      <c r="B138" t="s">
        <v>151</v>
      </c>
      <c r="C138" t="str">
        <f>_xlfn.XLOOKUP(A138,[1]Affiliations!$J$2:$J$5328,[1]Affiliations!$K$2:$K$5328,0)</f>
        <v>Universidade Tecnológica Federal do Paraná</v>
      </c>
      <c r="D138">
        <v>10</v>
      </c>
      <c r="E138">
        <v>105</v>
      </c>
      <c r="F138">
        <v>10.5</v>
      </c>
      <c r="G138">
        <v>7</v>
      </c>
      <c r="H138">
        <v>0.54</v>
      </c>
      <c r="I138">
        <v>0</v>
      </c>
      <c r="J138">
        <v>1</v>
      </c>
      <c r="K138">
        <v>3</v>
      </c>
      <c r="L138">
        <v>7</v>
      </c>
      <c r="M138">
        <v>7</v>
      </c>
      <c r="N138">
        <v>7</v>
      </c>
      <c r="P138">
        <v>0</v>
      </c>
      <c r="Q138">
        <v>0</v>
      </c>
      <c r="R138">
        <v>0</v>
      </c>
      <c r="S138">
        <v>3</v>
      </c>
    </row>
    <row r="139" spans="1:19" hidden="1" x14ac:dyDescent="0.35">
      <c r="A139">
        <v>59917768100</v>
      </c>
      <c r="B139" t="s">
        <v>152</v>
      </c>
      <c r="C139" t="str">
        <f>_xlfn.XLOOKUP(A139,[1]Affiliations!$J$2:$J$5328,[1]Affiliations!$K$2:$K$5328,0)</f>
        <v>Universidade Federal do Ceará</v>
      </c>
      <c r="D139">
        <v>0</v>
      </c>
      <c r="G139">
        <v>1</v>
      </c>
    </row>
    <row r="140" spans="1:19" hidden="1" x14ac:dyDescent="0.35">
      <c r="A140">
        <v>55508085800</v>
      </c>
      <c r="B140" t="s">
        <v>153</v>
      </c>
      <c r="C140" t="str">
        <f>_xlfn.XLOOKUP(A140,[1]Affiliations!$J$2:$J$5328,[1]Affiliations!$K$2:$K$5328,0)</f>
        <v>Federal University of Rio de Janeiro</v>
      </c>
      <c r="D140">
        <v>14</v>
      </c>
      <c r="E140">
        <v>120</v>
      </c>
      <c r="F140">
        <v>8.5714279999999992</v>
      </c>
      <c r="G140">
        <v>7</v>
      </c>
      <c r="H140">
        <v>0.66</v>
      </c>
      <c r="I140">
        <v>0</v>
      </c>
      <c r="J140">
        <v>0</v>
      </c>
      <c r="K140">
        <v>0</v>
      </c>
      <c r="L140">
        <v>8</v>
      </c>
      <c r="M140">
        <v>11</v>
      </c>
      <c r="N140">
        <v>12</v>
      </c>
      <c r="P140">
        <v>0</v>
      </c>
      <c r="Q140">
        <v>0</v>
      </c>
      <c r="R140">
        <v>0</v>
      </c>
      <c r="S140">
        <v>2</v>
      </c>
    </row>
    <row r="141" spans="1:19" x14ac:dyDescent="0.35">
      <c r="A141">
        <v>6602159587</v>
      </c>
      <c r="B141" t="s">
        <v>1169</v>
      </c>
      <c r="C141" t="str">
        <f>_xlfn.XLOOKUP(A141,[1]Affiliations!$J$2:$J$5328,[1]Affiliations!$K$2:$K$5328,0)</f>
        <v>Universidade de São Paulo</v>
      </c>
      <c r="D141">
        <v>49</v>
      </c>
      <c r="E141">
        <v>2640</v>
      </c>
      <c r="F141">
        <v>53.877552000000001</v>
      </c>
      <c r="G141">
        <v>40</v>
      </c>
      <c r="H141">
        <v>2.2400000000000002</v>
      </c>
      <c r="I141">
        <v>3</v>
      </c>
      <c r="J141">
        <v>14</v>
      </c>
      <c r="K141">
        <v>24</v>
      </c>
      <c r="L141">
        <v>33</v>
      </c>
      <c r="M141">
        <v>42</v>
      </c>
      <c r="N141">
        <v>45</v>
      </c>
      <c r="P141">
        <v>2</v>
      </c>
      <c r="Q141">
        <v>5</v>
      </c>
      <c r="R141">
        <v>11</v>
      </c>
      <c r="S141">
        <v>26</v>
      </c>
    </row>
    <row r="142" spans="1:19" x14ac:dyDescent="0.35">
      <c r="A142">
        <v>57226103558</v>
      </c>
      <c r="B142" t="s">
        <v>1392</v>
      </c>
      <c r="C142" t="str">
        <f>_xlfn.XLOOKUP(A142,[1]Affiliations!$J$2:$J$5328,[1]Affiliations!$K$2:$K$5328,0)</f>
        <v>Instituto Tecnológico da Aeronáutica</v>
      </c>
      <c r="D142">
        <v>6</v>
      </c>
      <c r="E142">
        <v>119</v>
      </c>
      <c r="F142">
        <v>19.833334000000001</v>
      </c>
      <c r="G142">
        <v>6</v>
      </c>
      <c r="H142">
        <v>2.2400000000000002</v>
      </c>
      <c r="I142">
        <v>0</v>
      </c>
      <c r="J142">
        <v>1</v>
      </c>
      <c r="K142">
        <v>5</v>
      </c>
      <c r="L142">
        <v>6</v>
      </c>
      <c r="M142">
        <v>6</v>
      </c>
      <c r="N142">
        <v>6</v>
      </c>
      <c r="P142">
        <v>0</v>
      </c>
      <c r="Q142">
        <v>0</v>
      </c>
      <c r="R142">
        <v>6</v>
      </c>
      <c r="S142">
        <v>6</v>
      </c>
    </row>
    <row r="143" spans="1:19" x14ac:dyDescent="0.35">
      <c r="A143">
        <v>6602083645</v>
      </c>
      <c r="B143" t="s">
        <v>4059</v>
      </c>
      <c r="C143" t="str">
        <f>_xlfn.XLOOKUP(A143,[1]Affiliations!$J$2:$J$5328,[1]Affiliations!$K$2:$K$5328,0)</f>
        <v>IFP Énergies nouvelles (+1 more)</v>
      </c>
      <c r="D143">
        <v>25</v>
      </c>
      <c r="E143">
        <v>1628</v>
      </c>
      <c r="F143">
        <v>65.12</v>
      </c>
      <c r="G143">
        <v>33</v>
      </c>
      <c r="H143">
        <v>2.2400000000000002</v>
      </c>
      <c r="I143">
        <v>0</v>
      </c>
      <c r="J143">
        <v>4</v>
      </c>
      <c r="K143">
        <v>15</v>
      </c>
      <c r="L143">
        <v>19</v>
      </c>
      <c r="M143">
        <v>22</v>
      </c>
      <c r="N143">
        <v>23</v>
      </c>
      <c r="P143">
        <v>3</v>
      </c>
      <c r="Q143">
        <v>12</v>
      </c>
      <c r="R143">
        <v>16</v>
      </c>
      <c r="S143">
        <v>20</v>
      </c>
    </row>
    <row r="144" spans="1:19" hidden="1" x14ac:dyDescent="0.35">
      <c r="A144">
        <v>57196390674</v>
      </c>
      <c r="B144" t="s">
        <v>157</v>
      </c>
      <c r="C144" t="str">
        <f>_xlfn.XLOOKUP(A144,[1]Affiliations!$J$2:$J$5328,[1]Affiliations!$K$2:$K$5328,0)</f>
        <v>Universidade Tiradentes</v>
      </c>
      <c r="D144">
        <v>1</v>
      </c>
      <c r="E144">
        <v>7</v>
      </c>
      <c r="F144">
        <v>7</v>
      </c>
      <c r="G144">
        <v>1</v>
      </c>
      <c r="H144">
        <v>0.08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P144">
        <v>0</v>
      </c>
      <c r="Q144">
        <v>0</v>
      </c>
      <c r="R144">
        <v>0</v>
      </c>
      <c r="S144">
        <v>0</v>
      </c>
    </row>
    <row r="145" spans="1:19" hidden="1" x14ac:dyDescent="0.35">
      <c r="A145">
        <v>57211444393</v>
      </c>
      <c r="B145" t="s">
        <v>158</v>
      </c>
      <c r="C145" t="str">
        <f>_xlfn.XLOOKUP(A145,[1]Affiliations!$J$2:$J$5328,[1]Affiliations!$K$2:$K$5328,0)</f>
        <v>Federal University of Rio de Janeiro</v>
      </c>
      <c r="D145">
        <v>2</v>
      </c>
      <c r="E145">
        <v>50</v>
      </c>
      <c r="F145">
        <v>25</v>
      </c>
      <c r="G145">
        <v>2</v>
      </c>
      <c r="H145">
        <v>0.93</v>
      </c>
      <c r="I145">
        <v>0</v>
      </c>
      <c r="J145">
        <v>0</v>
      </c>
      <c r="K145">
        <v>0</v>
      </c>
      <c r="L145">
        <v>1</v>
      </c>
      <c r="M145">
        <v>2</v>
      </c>
      <c r="N145">
        <v>2</v>
      </c>
      <c r="P145">
        <v>0</v>
      </c>
      <c r="Q145">
        <v>0</v>
      </c>
      <c r="R145">
        <v>0</v>
      </c>
      <c r="S145">
        <v>1</v>
      </c>
    </row>
    <row r="146" spans="1:19" x14ac:dyDescent="0.35">
      <c r="A146">
        <v>57202197266</v>
      </c>
      <c r="B146" t="s">
        <v>5217</v>
      </c>
      <c r="C146" t="str">
        <f>_xlfn.XLOOKUP(A146,[1]Affiliations!$J$2:$J$5328,[1]Affiliations!$K$2:$K$5328,0)</f>
        <v>King Abdullah University of Science and Technology (+1 more)</v>
      </c>
      <c r="D146">
        <v>33</v>
      </c>
      <c r="E146">
        <v>1315</v>
      </c>
      <c r="F146">
        <v>39.848483999999999</v>
      </c>
      <c r="G146">
        <v>16</v>
      </c>
      <c r="H146">
        <v>2.2400000000000002</v>
      </c>
      <c r="I146">
        <v>2</v>
      </c>
      <c r="J146">
        <v>7</v>
      </c>
      <c r="K146">
        <v>16</v>
      </c>
      <c r="L146">
        <v>28</v>
      </c>
      <c r="M146">
        <v>30</v>
      </c>
      <c r="N146">
        <v>33</v>
      </c>
      <c r="P146">
        <v>3</v>
      </c>
      <c r="Q146">
        <v>8</v>
      </c>
      <c r="R146">
        <v>12</v>
      </c>
      <c r="S146">
        <v>23</v>
      </c>
    </row>
    <row r="147" spans="1:19" x14ac:dyDescent="0.35">
      <c r="A147">
        <v>38663096600</v>
      </c>
      <c r="B147" t="s">
        <v>3868</v>
      </c>
      <c r="C147" t="str">
        <f>_xlfn.XLOOKUP(A147,[1]Affiliations!$J$2:$J$5328,[1]Affiliations!$K$2:$K$5328,0)</f>
        <v>Universidade Estadual Paulista “Júlio de Mesquita Filho” (+1 more)</v>
      </c>
      <c r="D147">
        <v>27</v>
      </c>
      <c r="E147">
        <v>1318</v>
      </c>
      <c r="F147">
        <v>48.814816</v>
      </c>
      <c r="G147">
        <v>15</v>
      </c>
      <c r="H147">
        <v>2.19</v>
      </c>
      <c r="I147">
        <v>0</v>
      </c>
      <c r="J147">
        <v>2</v>
      </c>
      <c r="K147">
        <v>2</v>
      </c>
      <c r="L147">
        <v>8</v>
      </c>
      <c r="M147">
        <v>12</v>
      </c>
      <c r="N147">
        <v>16</v>
      </c>
      <c r="P147">
        <v>1</v>
      </c>
      <c r="Q147">
        <v>6</v>
      </c>
      <c r="R147">
        <v>9</v>
      </c>
      <c r="S147">
        <v>12</v>
      </c>
    </row>
    <row r="148" spans="1:19" x14ac:dyDescent="0.35">
      <c r="A148">
        <v>8580126700</v>
      </c>
      <c r="B148" t="s">
        <v>4817</v>
      </c>
      <c r="C148" t="str">
        <f>_xlfn.XLOOKUP(A148,[1]Affiliations!$J$2:$J$5328,[1]Affiliations!$K$2:$K$5328,0)</f>
        <v>Universidade Federal Fluminense</v>
      </c>
      <c r="D148">
        <v>67</v>
      </c>
      <c r="E148">
        <v>1386</v>
      </c>
      <c r="F148">
        <v>20.686567</v>
      </c>
      <c r="G148">
        <v>26</v>
      </c>
      <c r="H148">
        <v>2.1800000000000002</v>
      </c>
      <c r="I148">
        <v>1</v>
      </c>
      <c r="J148">
        <v>1</v>
      </c>
      <c r="K148">
        <v>6</v>
      </c>
      <c r="L148">
        <v>18</v>
      </c>
      <c r="M148">
        <v>46</v>
      </c>
      <c r="N148">
        <v>50</v>
      </c>
      <c r="P148">
        <v>0</v>
      </c>
      <c r="Q148">
        <v>7</v>
      </c>
      <c r="R148">
        <v>9</v>
      </c>
      <c r="S148">
        <v>28</v>
      </c>
    </row>
    <row r="149" spans="1:19" hidden="1" x14ac:dyDescent="0.35">
      <c r="A149">
        <v>56504798100</v>
      </c>
      <c r="B149" t="s">
        <v>162</v>
      </c>
      <c r="C149" t="str">
        <f>_xlfn.XLOOKUP(A149,[1]Affiliations!$J$2:$J$5328,[1]Affiliations!$K$2:$K$5328,0)</f>
        <v>Universidade Tiradentes</v>
      </c>
      <c r="D149">
        <v>8</v>
      </c>
      <c r="E149">
        <v>165</v>
      </c>
      <c r="F149">
        <v>20.625</v>
      </c>
      <c r="G149">
        <v>6</v>
      </c>
      <c r="H149">
        <v>0.78</v>
      </c>
      <c r="I149">
        <v>0</v>
      </c>
      <c r="J149">
        <v>2</v>
      </c>
      <c r="K149">
        <v>2</v>
      </c>
      <c r="L149">
        <v>6</v>
      </c>
      <c r="M149">
        <v>7</v>
      </c>
      <c r="N149">
        <v>7</v>
      </c>
      <c r="P149">
        <v>0</v>
      </c>
      <c r="Q149">
        <v>0</v>
      </c>
      <c r="R149">
        <v>0</v>
      </c>
      <c r="S149">
        <v>3</v>
      </c>
    </row>
    <row r="150" spans="1:19" x14ac:dyDescent="0.35">
      <c r="A150">
        <v>54894593500</v>
      </c>
      <c r="B150" t="s">
        <v>2120</v>
      </c>
      <c r="C150" t="str">
        <f>_xlfn.XLOOKUP(A150,[1]Affiliations!$J$2:$J$5328,[1]Affiliations!$K$2:$K$5328,0)</f>
        <v>Universidade Estadual do Norte Fluminense (+1 more)</v>
      </c>
      <c r="D150">
        <v>6</v>
      </c>
      <c r="E150">
        <v>348</v>
      </c>
      <c r="F150">
        <v>58</v>
      </c>
      <c r="G150">
        <v>9</v>
      </c>
      <c r="H150">
        <v>2.16</v>
      </c>
      <c r="I150">
        <v>0</v>
      </c>
      <c r="J150">
        <v>2</v>
      </c>
      <c r="K150">
        <v>2</v>
      </c>
      <c r="L150">
        <v>3</v>
      </c>
      <c r="M150">
        <v>6</v>
      </c>
      <c r="N150">
        <v>6</v>
      </c>
      <c r="P150">
        <v>0</v>
      </c>
      <c r="Q150">
        <v>2</v>
      </c>
      <c r="R150">
        <v>4</v>
      </c>
      <c r="S150">
        <v>5</v>
      </c>
    </row>
    <row r="151" spans="1:19" hidden="1" x14ac:dyDescent="0.35">
      <c r="A151">
        <v>56389384800</v>
      </c>
      <c r="B151" t="s">
        <v>164</v>
      </c>
      <c r="C151" t="str">
        <f>_xlfn.XLOOKUP(A151,[1]Affiliations!$J$2:$J$5328,[1]Affiliations!$K$2:$K$5328,0)</f>
        <v>Universidade Federal do Rio Grande do Sul (+1 more)</v>
      </c>
      <c r="D151">
        <v>5</v>
      </c>
      <c r="E151">
        <v>36</v>
      </c>
      <c r="F151">
        <v>7.2</v>
      </c>
      <c r="G151">
        <v>4</v>
      </c>
      <c r="H151">
        <v>0.28999999999999998</v>
      </c>
      <c r="I151">
        <v>0</v>
      </c>
      <c r="J151">
        <v>0</v>
      </c>
      <c r="K151">
        <v>0</v>
      </c>
      <c r="L151">
        <v>3</v>
      </c>
      <c r="M151">
        <v>4</v>
      </c>
      <c r="N151">
        <v>5</v>
      </c>
      <c r="P151">
        <v>0</v>
      </c>
      <c r="Q151">
        <v>0</v>
      </c>
      <c r="R151">
        <v>0</v>
      </c>
      <c r="S151">
        <v>0</v>
      </c>
    </row>
    <row r="152" spans="1:19" hidden="1" x14ac:dyDescent="0.35">
      <c r="A152">
        <v>55690518300</v>
      </c>
      <c r="B152" t="s">
        <v>165</v>
      </c>
      <c r="C152" t="str">
        <f>_xlfn.XLOOKUP(A152,[1]Affiliations!$J$2:$J$5328,[1]Affiliations!$K$2:$K$5328,0)</f>
        <v>MAN Latin America</v>
      </c>
      <c r="D152">
        <v>1</v>
      </c>
      <c r="E152">
        <v>0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</v>
      </c>
      <c r="N152">
        <v>1</v>
      </c>
      <c r="P152">
        <v>0</v>
      </c>
      <c r="Q152">
        <v>0</v>
      </c>
      <c r="R152">
        <v>0</v>
      </c>
      <c r="S152">
        <v>0</v>
      </c>
    </row>
    <row r="153" spans="1:19" hidden="1" x14ac:dyDescent="0.35">
      <c r="A153">
        <v>7005438724</v>
      </c>
      <c r="B153" t="s">
        <v>166</v>
      </c>
      <c r="C153" t="str">
        <f>_xlfn.XLOOKUP(A153,[1]Affiliations!$J$2:$J$5328,[1]Affiliations!$K$2:$K$5328,0)</f>
        <v>Universidade Estadual Paulista “Júlio de Mesquita Filho”</v>
      </c>
      <c r="D153">
        <v>12</v>
      </c>
      <c r="E153">
        <v>114</v>
      </c>
      <c r="F153">
        <v>9.5</v>
      </c>
      <c r="G153">
        <v>11</v>
      </c>
      <c r="H153">
        <v>0.53</v>
      </c>
      <c r="I153">
        <v>1</v>
      </c>
      <c r="J153">
        <v>1</v>
      </c>
      <c r="K153">
        <v>3</v>
      </c>
      <c r="L153">
        <v>3</v>
      </c>
      <c r="M153">
        <v>8</v>
      </c>
      <c r="N153">
        <v>10</v>
      </c>
      <c r="P153">
        <v>0</v>
      </c>
      <c r="Q153">
        <v>0</v>
      </c>
      <c r="R153">
        <v>0</v>
      </c>
      <c r="S153">
        <v>2</v>
      </c>
    </row>
    <row r="154" spans="1:19" hidden="1" x14ac:dyDescent="0.35">
      <c r="A154">
        <v>57216459437</v>
      </c>
      <c r="B154" t="s">
        <v>167</v>
      </c>
      <c r="C154" t="str">
        <f>_xlfn.XLOOKUP(A154,[1]Affiliations!$J$2:$J$5328,[1]Affiliations!$K$2:$K$5328,0)</f>
        <v>Universidade Federal do Rio Grande do Sul</v>
      </c>
      <c r="D154">
        <v>5</v>
      </c>
      <c r="E154">
        <v>19</v>
      </c>
      <c r="F154">
        <v>3.8</v>
      </c>
      <c r="G154">
        <v>3</v>
      </c>
      <c r="H154">
        <v>0.28000000000000003</v>
      </c>
      <c r="I154">
        <v>0</v>
      </c>
      <c r="J154">
        <v>0</v>
      </c>
      <c r="K154">
        <v>2</v>
      </c>
      <c r="L154">
        <v>4</v>
      </c>
      <c r="M154">
        <v>4</v>
      </c>
      <c r="N154">
        <v>4</v>
      </c>
      <c r="P154">
        <v>0</v>
      </c>
      <c r="Q154">
        <v>0</v>
      </c>
      <c r="R154">
        <v>0</v>
      </c>
      <c r="S154">
        <v>0</v>
      </c>
    </row>
    <row r="155" spans="1:19" x14ac:dyDescent="0.35">
      <c r="A155">
        <v>54892041700</v>
      </c>
      <c r="B155" t="s">
        <v>4252</v>
      </c>
      <c r="C155" t="str">
        <f>_xlfn.XLOOKUP(A155,[1]Affiliations!$J$2:$J$5328,[1]Affiliations!$K$2:$K$5328,0)</f>
        <v>Federal University of Rio de Janeiro</v>
      </c>
      <c r="D155">
        <v>58</v>
      </c>
      <c r="E155">
        <v>2500</v>
      </c>
      <c r="F155">
        <v>43.103447000000003</v>
      </c>
      <c r="G155">
        <v>29</v>
      </c>
      <c r="H155">
        <v>2.15</v>
      </c>
      <c r="I155">
        <v>10</v>
      </c>
      <c r="J155">
        <v>27</v>
      </c>
      <c r="K155">
        <v>36</v>
      </c>
      <c r="L155">
        <v>51</v>
      </c>
      <c r="M155">
        <v>54</v>
      </c>
      <c r="N155">
        <v>55</v>
      </c>
      <c r="P155">
        <v>3</v>
      </c>
      <c r="Q155">
        <v>10</v>
      </c>
      <c r="R155">
        <v>22</v>
      </c>
      <c r="S155">
        <v>40</v>
      </c>
    </row>
    <row r="156" spans="1:19" hidden="1" x14ac:dyDescent="0.35">
      <c r="A156">
        <v>7003433777</v>
      </c>
      <c r="B156" t="s">
        <v>169</v>
      </c>
      <c r="C156" t="str">
        <f>_xlfn.XLOOKUP(A156,[1]Affiliations!$J$2:$J$5328,[1]Affiliations!$K$2:$K$5328,0)</f>
        <v>DEMa</v>
      </c>
      <c r="D156">
        <v>14</v>
      </c>
      <c r="E156">
        <v>175</v>
      </c>
      <c r="F156">
        <v>12.5</v>
      </c>
      <c r="G156">
        <v>12</v>
      </c>
      <c r="H156">
        <v>0.6</v>
      </c>
      <c r="I156">
        <v>0</v>
      </c>
      <c r="J156">
        <v>1</v>
      </c>
      <c r="K156">
        <v>1</v>
      </c>
      <c r="L156">
        <v>3</v>
      </c>
      <c r="M156">
        <v>9</v>
      </c>
      <c r="N156">
        <v>14</v>
      </c>
      <c r="P156">
        <v>0</v>
      </c>
      <c r="Q156">
        <v>0</v>
      </c>
      <c r="R156">
        <v>0</v>
      </c>
      <c r="S156">
        <v>4</v>
      </c>
    </row>
    <row r="157" spans="1:19" hidden="1" x14ac:dyDescent="0.35">
      <c r="A157">
        <v>57226786033</v>
      </c>
      <c r="B157" t="s">
        <v>170</v>
      </c>
      <c r="C157" t="str">
        <f>_xlfn.XLOOKUP(A157,[1]Affiliations!$J$2:$J$5328,[1]Affiliations!$K$2:$K$5328,0)</f>
        <v>Federal University of Rio de Janeiro</v>
      </c>
      <c r="D157">
        <v>1</v>
      </c>
      <c r="E157">
        <v>11</v>
      </c>
      <c r="F157">
        <v>11</v>
      </c>
      <c r="G157">
        <v>1</v>
      </c>
      <c r="H157">
        <v>0.23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P157">
        <v>0</v>
      </c>
      <c r="Q157">
        <v>0</v>
      </c>
      <c r="R157">
        <v>0</v>
      </c>
      <c r="S157">
        <v>0</v>
      </c>
    </row>
    <row r="158" spans="1:19" x14ac:dyDescent="0.35">
      <c r="A158">
        <v>55905036800</v>
      </c>
      <c r="B158" t="s">
        <v>3354</v>
      </c>
      <c r="C158" t="str">
        <f>_xlfn.XLOOKUP(A158,[1]Affiliations!$J$2:$J$5328,[1]Affiliations!$K$2:$K$5328,0)</f>
        <v>Universidade Tecnológica Federal do Paraná</v>
      </c>
      <c r="D158">
        <v>5</v>
      </c>
      <c r="E158">
        <v>264</v>
      </c>
      <c r="F158">
        <v>52.8</v>
      </c>
      <c r="G158">
        <v>8</v>
      </c>
      <c r="H158">
        <v>2.13</v>
      </c>
      <c r="I158">
        <v>0</v>
      </c>
      <c r="J158">
        <v>0</v>
      </c>
      <c r="K158">
        <v>1</v>
      </c>
      <c r="L158">
        <v>3</v>
      </c>
      <c r="M158">
        <v>3</v>
      </c>
      <c r="N158">
        <v>5</v>
      </c>
      <c r="P158">
        <v>0</v>
      </c>
      <c r="Q158">
        <v>1</v>
      </c>
      <c r="R158">
        <v>2</v>
      </c>
      <c r="S158">
        <v>3</v>
      </c>
    </row>
    <row r="159" spans="1:19" x14ac:dyDescent="0.35">
      <c r="A159">
        <v>57867506600</v>
      </c>
      <c r="B159" t="s">
        <v>2177</v>
      </c>
      <c r="C159" t="str">
        <f>_xlfn.XLOOKUP(A159,[1]Affiliations!$J$2:$J$5328,[1]Affiliations!$K$2:$K$5328,0)</f>
        <v>Universidade Federal Fluminense</v>
      </c>
      <c r="D159">
        <v>56</v>
      </c>
      <c r="E159">
        <v>485</v>
      </c>
      <c r="F159">
        <v>8.6607140000000005</v>
      </c>
      <c r="G159">
        <v>12</v>
      </c>
      <c r="H159">
        <v>2.12</v>
      </c>
      <c r="I159">
        <v>1</v>
      </c>
      <c r="J159">
        <v>2</v>
      </c>
      <c r="K159">
        <v>5</v>
      </c>
      <c r="L159">
        <v>12</v>
      </c>
      <c r="M159">
        <v>18</v>
      </c>
      <c r="N159">
        <v>26</v>
      </c>
      <c r="P159">
        <v>0</v>
      </c>
      <c r="Q159">
        <v>1</v>
      </c>
      <c r="R159">
        <v>2</v>
      </c>
      <c r="S159">
        <v>8</v>
      </c>
    </row>
    <row r="160" spans="1:19" x14ac:dyDescent="0.35">
      <c r="A160">
        <v>36814134400</v>
      </c>
      <c r="B160" t="s">
        <v>3731</v>
      </c>
      <c r="C160" t="str">
        <f>_xlfn.XLOOKUP(A160,[1]Affiliations!$J$2:$J$5328,[1]Affiliations!$K$2:$K$5328,0)</f>
        <v>Universidade Federal do Espírito Santo</v>
      </c>
      <c r="D160">
        <v>79</v>
      </c>
      <c r="E160">
        <v>4030</v>
      </c>
      <c r="F160">
        <v>51.012656999999997</v>
      </c>
      <c r="G160">
        <v>24</v>
      </c>
      <c r="H160">
        <v>2.12</v>
      </c>
      <c r="I160">
        <v>4</v>
      </c>
      <c r="J160">
        <v>14</v>
      </c>
      <c r="K160">
        <v>18</v>
      </c>
      <c r="L160">
        <v>27</v>
      </c>
      <c r="M160">
        <v>32</v>
      </c>
      <c r="N160">
        <v>53</v>
      </c>
      <c r="P160">
        <v>4</v>
      </c>
      <c r="Q160">
        <v>10</v>
      </c>
      <c r="R160">
        <v>15</v>
      </c>
      <c r="S160">
        <v>28</v>
      </c>
    </row>
    <row r="161" spans="1:19" hidden="1" x14ac:dyDescent="0.35">
      <c r="A161">
        <v>58034293600</v>
      </c>
      <c r="B161" t="s">
        <v>174</v>
      </c>
      <c r="C161" t="str">
        <f>_xlfn.XLOOKUP(A161,[1]Affiliations!$J$2:$J$5328,[1]Affiliations!$K$2:$K$5328,0)</f>
        <v>Universidade de São Paulo</v>
      </c>
      <c r="D161">
        <v>2</v>
      </c>
      <c r="E161">
        <v>28</v>
      </c>
      <c r="F161">
        <v>14</v>
      </c>
      <c r="G161">
        <v>2</v>
      </c>
      <c r="H161">
        <v>2.15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2</v>
      </c>
      <c r="P161">
        <v>0</v>
      </c>
      <c r="Q161">
        <v>0</v>
      </c>
      <c r="R161">
        <v>1</v>
      </c>
      <c r="S161">
        <v>1</v>
      </c>
    </row>
    <row r="162" spans="1:19" hidden="1" x14ac:dyDescent="0.35">
      <c r="A162">
        <v>7003311692</v>
      </c>
      <c r="B162" t="s">
        <v>175</v>
      </c>
      <c r="C162" t="str">
        <f>_xlfn.XLOOKUP(A162,[1]Affiliations!$J$2:$J$5328,[1]Affiliations!$K$2:$K$5328,0)</f>
        <v>Universidade Federal de Campina Grande</v>
      </c>
      <c r="D162">
        <v>16</v>
      </c>
      <c r="E162">
        <v>34</v>
      </c>
      <c r="F162">
        <v>2.125</v>
      </c>
      <c r="G162">
        <v>5</v>
      </c>
      <c r="H162">
        <v>7.0000000000000007E-2</v>
      </c>
      <c r="I162">
        <v>0</v>
      </c>
      <c r="J162">
        <v>0</v>
      </c>
      <c r="K162">
        <v>0</v>
      </c>
      <c r="L162">
        <v>1</v>
      </c>
      <c r="M162">
        <v>7</v>
      </c>
      <c r="N162">
        <v>10</v>
      </c>
      <c r="P162">
        <v>0</v>
      </c>
      <c r="Q162">
        <v>0</v>
      </c>
      <c r="R162">
        <v>0</v>
      </c>
      <c r="S162">
        <v>0</v>
      </c>
    </row>
    <row r="163" spans="1:19" hidden="1" x14ac:dyDescent="0.35">
      <c r="A163">
        <v>57230112200</v>
      </c>
      <c r="B163" t="s">
        <v>176</v>
      </c>
      <c r="C163" t="str">
        <f>_xlfn.XLOOKUP(A163,[1]Affiliations!$J$2:$J$5328,[1]Affiliations!$K$2:$K$5328,0)</f>
        <v>Universidade Federal de Itajubá</v>
      </c>
      <c r="D163">
        <v>1</v>
      </c>
      <c r="E163">
        <v>0</v>
      </c>
      <c r="F163">
        <v>0</v>
      </c>
      <c r="G163">
        <v>0</v>
      </c>
      <c r="H163">
        <v>0</v>
      </c>
      <c r="P163">
        <v>0</v>
      </c>
      <c r="Q163">
        <v>0</v>
      </c>
      <c r="R163">
        <v>0</v>
      </c>
      <c r="S163">
        <v>0</v>
      </c>
    </row>
    <row r="164" spans="1:19" hidden="1" x14ac:dyDescent="0.35">
      <c r="A164">
        <v>56202218700</v>
      </c>
      <c r="B164" t="s">
        <v>177</v>
      </c>
      <c r="C164" t="str">
        <f>_xlfn.XLOOKUP(A164,[1]Affiliations!$J$2:$J$5328,[1]Affiliations!$K$2:$K$5328,0)</f>
        <v>SENAI</v>
      </c>
      <c r="D164">
        <v>5</v>
      </c>
      <c r="E164">
        <v>28</v>
      </c>
      <c r="F164">
        <v>5.6</v>
      </c>
      <c r="G164">
        <v>3</v>
      </c>
      <c r="H164">
        <v>0.18</v>
      </c>
      <c r="I164">
        <v>0</v>
      </c>
      <c r="J164">
        <v>0</v>
      </c>
      <c r="K164">
        <v>0</v>
      </c>
      <c r="L164">
        <v>2</v>
      </c>
      <c r="M164">
        <v>2</v>
      </c>
      <c r="N164">
        <v>2</v>
      </c>
      <c r="P164">
        <v>0</v>
      </c>
      <c r="Q164">
        <v>0</v>
      </c>
      <c r="R164">
        <v>0</v>
      </c>
      <c r="S164">
        <v>0</v>
      </c>
    </row>
    <row r="165" spans="1:19" hidden="1" x14ac:dyDescent="0.35">
      <c r="A165">
        <v>57189696223</v>
      </c>
      <c r="B165" t="s">
        <v>178</v>
      </c>
      <c r="C165" t="str">
        <f>_xlfn.XLOOKUP(A165,[1]Affiliations!$J$2:$J$5328,[1]Affiliations!$K$2:$K$5328,0)</f>
        <v>Universidade do Estado da Bahia</v>
      </c>
      <c r="D165">
        <v>6</v>
      </c>
      <c r="E165">
        <v>12</v>
      </c>
      <c r="F165">
        <v>2</v>
      </c>
      <c r="G165">
        <v>5</v>
      </c>
      <c r="H165">
        <v>0.22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3</v>
      </c>
      <c r="P165">
        <v>0</v>
      </c>
      <c r="Q165">
        <v>0</v>
      </c>
      <c r="R165">
        <v>0</v>
      </c>
      <c r="S165">
        <v>0</v>
      </c>
    </row>
    <row r="166" spans="1:19" hidden="1" x14ac:dyDescent="0.35">
      <c r="A166">
        <v>59492820700</v>
      </c>
      <c r="B166" t="s">
        <v>179</v>
      </c>
      <c r="C166" t="str">
        <f>_xlfn.XLOOKUP(A166,[1]Affiliations!$J$2:$J$5328,[1]Affiliations!$K$2:$K$5328,0)</f>
        <v>Universidade Federal do Rio Grande do Sul (+1 more)</v>
      </c>
      <c r="D166">
        <v>0</v>
      </c>
      <c r="G166">
        <v>0</v>
      </c>
    </row>
    <row r="167" spans="1:19" x14ac:dyDescent="0.35">
      <c r="A167">
        <v>37104923800</v>
      </c>
      <c r="B167" t="s">
        <v>4428</v>
      </c>
      <c r="C167" t="str">
        <f>_xlfn.XLOOKUP(A167,[1]Affiliations!$J$2:$J$5328,[1]Affiliations!$K$2:$K$5328,0)</f>
        <v>Universidade Federal Rural do Rio de Janeiro</v>
      </c>
      <c r="D167">
        <v>36</v>
      </c>
      <c r="E167">
        <v>1613</v>
      </c>
      <c r="F167">
        <v>44.805557</v>
      </c>
      <c r="G167">
        <v>18</v>
      </c>
      <c r="H167">
        <v>2.11</v>
      </c>
      <c r="I167">
        <v>1</v>
      </c>
      <c r="J167">
        <v>6</v>
      </c>
      <c r="K167">
        <v>12</v>
      </c>
      <c r="L167">
        <v>26</v>
      </c>
      <c r="M167">
        <v>32</v>
      </c>
      <c r="N167">
        <v>33</v>
      </c>
      <c r="P167">
        <v>2</v>
      </c>
      <c r="Q167">
        <v>3</v>
      </c>
      <c r="R167">
        <v>9</v>
      </c>
      <c r="S167">
        <v>20</v>
      </c>
    </row>
    <row r="168" spans="1:19" hidden="1" x14ac:dyDescent="0.35">
      <c r="A168">
        <v>57218291430</v>
      </c>
      <c r="B168" t="s">
        <v>181</v>
      </c>
      <c r="C168" t="str">
        <f>_xlfn.XLOOKUP(A168,[1]Affiliations!$J$2:$J$5328,[1]Affiliations!$K$2:$K$5328,0)</f>
        <v>Universidade Federal do Rio Grande do Norte</v>
      </c>
      <c r="D168">
        <v>2</v>
      </c>
      <c r="E168">
        <v>81</v>
      </c>
      <c r="F168">
        <v>40.5</v>
      </c>
      <c r="G168">
        <v>2</v>
      </c>
      <c r="H168">
        <v>1.19</v>
      </c>
      <c r="I168">
        <v>0</v>
      </c>
      <c r="J168">
        <v>0</v>
      </c>
      <c r="K168">
        <v>2</v>
      </c>
      <c r="L168">
        <v>2</v>
      </c>
      <c r="M168">
        <v>2</v>
      </c>
      <c r="N168">
        <v>2</v>
      </c>
      <c r="P168">
        <v>0</v>
      </c>
      <c r="Q168">
        <v>0</v>
      </c>
      <c r="R168">
        <v>1</v>
      </c>
      <c r="S168">
        <v>2</v>
      </c>
    </row>
    <row r="169" spans="1:19" x14ac:dyDescent="0.35">
      <c r="A169">
        <v>57195728158</v>
      </c>
      <c r="B169" t="s">
        <v>4774</v>
      </c>
      <c r="C169" t="str">
        <f>_xlfn.XLOOKUP(A169,[1]Affiliations!$J$2:$J$5328,[1]Affiliations!$K$2:$K$5328,0)</f>
        <v>Universidade Federal do Ceará</v>
      </c>
      <c r="D169">
        <v>5</v>
      </c>
      <c r="E169">
        <v>195</v>
      </c>
      <c r="F169">
        <v>39</v>
      </c>
      <c r="G169">
        <v>5</v>
      </c>
      <c r="H169">
        <v>2.11</v>
      </c>
      <c r="I169">
        <v>0</v>
      </c>
      <c r="J169">
        <v>1</v>
      </c>
      <c r="K169">
        <v>1</v>
      </c>
      <c r="L169">
        <v>2</v>
      </c>
      <c r="M169">
        <v>5</v>
      </c>
      <c r="N169">
        <v>5</v>
      </c>
      <c r="P169">
        <v>0</v>
      </c>
      <c r="Q169">
        <v>1</v>
      </c>
      <c r="R169">
        <v>4</v>
      </c>
      <c r="S169">
        <v>5</v>
      </c>
    </row>
    <row r="170" spans="1:19" hidden="1" x14ac:dyDescent="0.35">
      <c r="A170">
        <v>57224588698</v>
      </c>
      <c r="B170" t="s">
        <v>183</v>
      </c>
      <c r="C170" t="str">
        <f>_xlfn.XLOOKUP(A170,[1]Affiliations!$J$2:$J$5328,[1]Affiliations!$K$2:$K$5328,0)</f>
        <v>Federal University of Rio de Janeiro</v>
      </c>
      <c r="D170">
        <v>3</v>
      </c>
      <c r="E170">
        <v>33</v>
      </c>
      <c r="F170">
        <v>11</v>
      </c>
      <c r="G170">
        <v>3</v>
      </c>
      <c r="H170">
        <v>0.85</v>
      </c>
      <c r="I170">
        <v>0</v>
      </c>
      <c r="J170">
        <v>1</v>
      </c>
      <c r="K170">
        <v>3</v>
      </c>
      <c r="L170">
        <v>3</v>
      </c>
      <c r="M170">
        <v>3</v>
      </c>
      <c r="N170">
        <v>3</v>
      </c>
      <c r="P170">
        <v>0</v>
      </c>
      <c r="Q170">
        <v>0</v>
      </c>
      <c r="R170">
        <v>0</v>
      </c>
      <c r="S170">
        <v>1</v>
      </c>
    </row>
    <row r="171" spans="1:19" x14ac:dyDescent="0.35">
      <c r="A171">
        <v>57225366437</v>
      </c>
      <c r="B171" t="s">
        <v>2278</v>
      </c>
      <c r="C171" t="str">
        <f>_xlfn.XLOOKUP(A171,[1]Affiliations!$J$2:$J$5328,[1]Affiliations!$K$2:$K$5328,0)</f>
        <v>Federal University of Rio de Janeiro</v>
      </c>
      <c r="D171">
        <v>5</v>
      </c>
      <c r="E171">
        <v>255</v>
      </c>
      <c r="F171">
        <v>51</v>
      </c>
      <c r="G171">
        <v>5</v>
      </c>
      <c r="H171">
        <v>2.1</v>
      </c>
      <c r="I171">
        <v>0</v>
      </c>
      <c r="J171">
        <v>4</v>
      </c>
      <c r="K171">
        <v>4</v>
      </c>
      <c r="L171">
        <v>5</v>
      </c>
      <c r="M171">
        <v>5</v>
      </c>
      <c r="N171">
        <v>5</v>
      </c>
      <c r="P171">
        <v>0</v>
      </c>
      <c r="Q171">
        <v>1</v>
      </c>
      <c r="R171">
        <v>2</v>
      </c>
      <c r="S171">
        <v>5</v>
      </c>
    </row>
    <row r="172" spans="1:19" hidden="1" x14ac:dyDescent="0.35">
      <c r="A172">
        <v>57201096437</v>
      </c>
      <c r="B172" t="s">
        <v>185</v>
      </c>
      <c r="C172" t="str">
        <f>_xlfn.XLOOKUP(A172,[1]Affiliations!$J$2:$J$5328,[1]Affiliations!$K$2:$K$5328,0)</f>
        <v>Federal University of Rio de Janeiro</v>
      </c>
      <c r="D172">
        <v>7</v>
      </c>
      <c r="E172">
        <v>48</v>
      </c>
      <c r="F172">
        <v>6.8571429999999998</v>
      </c>
      <c r="G172">
        <v>3</v>
      </c>
      <c r="H172">
        <v>0.66</v>
      </c>
      <c r="I172">
        <v>0</v>
      </c>
      <c r="J172">
        <v>0</v>
      </c>
      <c r="K172">
        <v>1</v>
      </c>
      <c r="L172">
        <v>5</v>
      </c>
      <c r="M172">
        <v>6</v>
      </c>
      <c r="N172">
        <v>7</v>
      </c>
      <c r="P172">
        <v>0</v>
      </c>
      <c r="Q172">
        <v>0</v>
      </c>
      <c r="R172">
        <v>0</v>
      </c>
      <c r="S172">
        <v>2</v>
      </c>
    </row>
    <row r="173" spans="1:19" hidden="1" x14ac:dyDescent="0.35">
      <c r="A173">
        <v>59998617800</v>
      </c>
      <c r="B173" t="s">
        <v>186</v>
      </c>
      <c r="C173" t="str">
        <f>_xlfn.XLOOKUP(A173,[1]Affiliations!$J$2:$J$5328,[1]Affiliations!$K$2:$K$5328,0)</f>
        <v>Universidade Federal do Ceará</v>
      </c>
      <c r="D173">
        <v>0</v>
      </c>
      <c r="G173">
        <v>0</v>
      </c>
    </row>
    <row r="174" spans="1:19" hidden="1" x14ac:dyDescent="0.35">
      <c r="A174">
        <v>57206522745</v>
      </c>
      <c r="B174" t="s">
        <v>187</v>
      </c>
      <c r="C174" t="str">
        <f>_xlfn.XLOOKUP(A174,[1]Affiliations!$J$2:$J$5328,[1]Affiliations!$K$2:$K$5328,0)</f>
        <v>Universidade Federal do ABC</v>
      </c>
      <c r="D174">
        <v>6</v>
      </c>
      <c r="E174">
        <v>58</v>
      </c>
      <c r="F174">
        <v>9.6666670000000003</v>
      </c>
      <c r="G174">
        <v>4</v>
      </c>
      <c r="H174">
        <v>0.46</v>
      </c>
      <c r="I174">
        <v>0</v>
      </c>
      <c r="J174">
        <v>1</v>
      </c>
      <c r="K174">
        <v>3</v>
      </c>
      <c r="L174">
        <v>5</v>
      </c>
      <c r="M174">
        <v>6</v>
      </c>
      <c r="N174">
        <v>6</v>
      </c>
      <c r="P174">
        <v>0</v>
      </c>
      <c r="Q174">
        <v>0</v>
      </c>
      <c r="R174">
        <v>0</v>
      </c>
      <c r="S174">
        <v>1</v>
      </c>
    </row>
    <row r="175" spans="1:19" hidden="1" x14ac:dyDescent="0.35">
      <c r="A175">
        <v>58785722800</v>
      </c>
      <c r="B175" t="s">
        <v>188</v>
      </c>
      <c r="C175" t="str">
        <f>_xlfn.XLOOKUP(A175,[1]Affiliations!$J$2:$J$5328,[1]Affiliations!$K$2:$K$5328,0)</f>
        <v>Universidade Federal Fluminense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P175">
        <v>0</v>
      </c>
      <c r="Q175">
        <v>0</v>
      </c>
      <c r="R175">
        <v>0</v>
      </c>
      <c r="S175">
        <v>0</v>
      </c>
    </row>
    <row r="176" spans="1:19" x14ac:dyDescent="0.35">
      <c r="A176">
        <v>24339451300</v>
      </c>
      <c r="B176" t="s">
        <v>4291</v>
      </c>
      <c r="C176" t="str">
        <f>_xlfn.XLOOKUP(A176,[1]Affiliations!$J$2:$J$5328,[1]Affiliations!$K$2:$K$5328,0)</f>
        <v>Universidade Federal do Rio Grande do Sul</v>
      </c>
      <c r="D176">
        <v>82</v>
      </c>
      <c r="E176">
        <v>6494</v>
      </c>
      <c r="F176">
        <v>79.195120000000003</v>
      </c>
      <c r="G176">
        <v>60</v>
      </c>
      <c r="H176">
        <v>2.1</v>
      </c>
      <c r="I176">
        <v>0</v>
      </c>
      <c r="J176">
        <v>20</v>
      </c>
      <c r="K176">
        <v>30</v>
      </c>
      <c r="L176">
        <v>55</v>
      </c>
      <c r="M176">
        <v>76</v>
      </c>
      <c r="N176">
        <v>79</v>
      </c>
      <c r="P176">
        <v>7</v>
      </c>
      <c r="Q176">
        <v>21</v>
      </c>
      <c r="R176">
        <v>37</v>
      </c>
      <c r="S176">
        <v>57</v>
      </c>
    </row>
    <row r="177" spans="1:19" x14ac:dyDescent="0.35">
      <c r="A177">
        <v>7101828137</v>
      </c>
      <c r="B177" t="s">
        <v>1732</v>
      </c>
      <c r="C177" t="str">
        <f>_xlfn.XLOOKUP(A177,[1]Affiliations!$J$2:$J$5328,[1]Affiliations!$K$2:$K$5328,0)</f>
        <v>SPE (+4 more)</v>
      </c>
      <c r="D177">
        <v>11</v>
      </c>
      <c r="E177">
        <v>127</v>
      </c>
      <c r="F177">
        <v>11.545455</v>
      </c>
      <c r="G177">
        <v>15</v>
      </c>
      <c r="H177">
        <v>2.06</v>
      </c>
      <c r="I177">
        <v>0</v>
      </c>
      <c r="J177">
        <v>2</v>
      </c>
      <c r="K177">
        <v>2</v>
      </c>
      <c r="L177">
        <v>2</v>
      </c>
      <c r="M177">
        <v>5</v>
      </c>
      <c r="N177">
        <v>7</v>
      </c>
      <c r="P177">
        <v>0</v>
      </c>
      <c r="Q177">
        <v>0</v>
      </c>
      <c r="R177">
        <v>1</v>
      </c>
      <c r="S177">
        <v>7</v>
      </c>
    </row>
    <row r="178" spans="1:19" x14ac:dyDescent="0.35">
      <c r="A178">
        <v>57224222999</v>
      </c>
      <c r="B178" t="s">
        <v>672</v>
      </c>
      <c r="C178" t="str">
        <f>_xlfn.XLOOKUP(A178,[1]Affiliations!$J$2:$J$5328,[1]Affiliations!$K$2:$K$5328,0)</f>
        <v>Universidade Federal Fluminense (+1 more)</v>
      </c>
      <c r="D178">
        <v>73</v>
      </c>
      <c r="E178">
        <v>4146</v>
      </c>
      <c r="F178">
        <v>56.794519999999999</v>
      </c>
      <c r="G178">
        <v>29</v>
      </c>
      <c r="H178">
        <v>2.0499999999999998</v>
      </c>
      <c r="I178">
        <v>3</v>
      </c>
      <c r="J178">
        <v>17</v>
      </c>
      <c r="K178">
        <v>26</v>
      </c>
      <c r="L178">
        <v>40</v>
      </c>
      <c r="M178">
        <v>49</v>
      </c>
      <c r="N178">
        <v>54</v>
      </c>
      <c r="P178">
        <v>7</v>
      </c>
      <c r="Q178">
        <v>17</v>
      </c>
      <c r="R178">
        <v>27</v>
      </c>
      <c r="S178">
        <v>37</v>
      </c>
    </row>
    <row r="179" spans="1:19" x14ac:dyDescent="0.35">
      <c r="A179">
        <v>58170860400</v>
      </c>
      <c r="B179" t="s">
        <v>2029</v>
      </c>
      <c r="C179" t="str">
        <f>_xlfn.XLOOKUP(A179,[1]Affiliations!$J$2:$J$5328,[1]Affiliations!$K$2:$K$5328,0)</f>
        <v>Universidade de São Paulo</v>
      </c>
      <c r="D179">
        <v>38</v>
      </c>
      <c r="E179">
        <v>1352</v>
      </c>
      <c r="F179">
        <v>35.578949999999999</v>
      </c>
      <c r="G179">
        <v>19</v>
      </c>
      <c r="H179">
        <v>2.04</v>
      </c>
      <c r="I179">
        <v>1</v>
      </c>
      <c r="J179">
        <v>18</v>
      </c>
      <c r="K179">
        <v>22</v>
      </c>
      <c r="L179">
        <v>31</v>
      </c>
      <c r="M179">
        <v>35</v>
      </c>
      <c r="N179">
        <v>36</v>
      </c>
      <c r="P179">
        <v>1</v>
      </c>
      <c r="Q179">
        <v>9</v>
      </c>
      <c r="R179">
        <v>16</v>
      </c>
      <c r="S179">
        <v>25</v>
      </c>
    </row>
    <row r="180" spans="1:19" hidden="1" x14ac:dyDescent="0.35">
      <c r="A180">
        <v>57875582400</v>
      </c>
      <c r="B180" t="s">
        <v>193</v>
      </c>
      <c r="C180" t="str">
        <f>_xlfn.XLOOKUP(A180,[1]Affiliations!$J$2:$J$5328,[1]Affiliations!$K$2:$K$5328,0)</f>
        <v>Universidade Federal do Rio Grande do Sul</v>
      </c>
      <c r="D180">
        <v>3</v>
      </c>
      <c r="E180">
        <v>9</v>
      </c>
      <c r="F180">
        <v>3</v>
      </c>
      <c r="G180">
        <v>2</v>
      </c>
      <c r="H180">
        <v>0.5</v>
      </c>
      <c r="I180">
        <v>0</v>
      </c>
      <c r="J180">
        <v>2</v>
      </c>
      <c r="K180">
        <v>2</v>
      </c>
      <c r="L180">
        <v>3</v>
      </c>
      <c r="M180">
        <v>3</v>
      </c>
      <c r="N180">
        <v>3</v>
      </c>
      <c r="P180">
        <v>0</v>
      </c>
      <c r="Q180">
        <v>0</v>
      </c>
      <c r="R180">
        <v>0</v>
      </c>
      <c r="S180">
        <v>0</v>
      </c>
    </row>
    <row r="181" spans="1:19" hidden="1" x14ac:dyDescent="0.35">
      <c r="A181">
        <v>59963219100</v>
      </c>
      <c r="B181" t="s">
        <v>194</v>
      </c>
      <c r="C181" t="str">
        <f>_xlfn.XLOOKUP(A181,[1]Affiliations!$J$2:$J$5328,[1]Affiliations!$K$2:$K$5328,0)</f>
        <v>DEMa</v>
      </c>
      <c r="D181">
        <v>0</v>
      </c>
      <c r="G181">
        <v>1</v>
      </c>
    </row>
    <row r="182" spans="1:19" hidden="1" x14ac:dyDescent="0.35">
      <c r="A182">
        <v>58453583500</v>
      </c>
      <c r="B182" t="s">
        <v>195</v>
      </c>
      <c r="C182" t="str">
        <f>_xlfn.XLOOKUP(A182,[1]Affiliations!$J$2:$J$5328,[1]Affiliations!$K$2:$K$5328,0)</f>
        <v>Universidade Federal de Campina Grande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</v>
      </c>
      <c r="N182">
        <v>1</v>
      </c>
      <c r="P182">
        <v>0</v>
      </c>
      <c r="Q182">
        <v>0</v>
      </c>
      <c r="R182">
        <v>0</v>
      </c>
      <c r="S182">
        <v>0</v>
      </c>
    </row>
    <row r="183" spans="1:19" hidden="1" x14ac:dyDescent="0.35">
      <c r="A183">
        <v>57220044485</v>
      </c>
      <c r="B183" t="s">
        <v>196</v>
      </c>
      <c r="C183" t="str">
        <f>_xlfn.XLOOKUP(A183,[1]Affiliations!$J$2:$J$5328,[1]Affiliations!$K$2:$K$5328,0)</f>
        <v>Universidade Federal Fluminense</v>
      </c>
      <c r="D183">
        <v>1</v>
      </c>
      <c r="E183">
        <v>10</v>
      </c>
      <c r="F183">
        <v>10</v>
      </c>
      <c r="G183">
        <v>1</v>
      </c>
      <c r="H183">
        <v>0.35</v>
      </c>
      <c r="I183">
        <v>0</v>
      </c>
      <c r="J183">
        <v>1</v>
      </c>
      <c r="K183">
        <v>1</v>
      </c>
      <c r="L183">
        <v>1</v>
      </c>
      <c r="M183">
        <v>1</v>
      </c>
      <c r="N183">
        <v>1</v>
      </c>
      <c r="P183">
        <v>0</v>
      </c>
      <c r="Q183">
        <v>0</v>
      </c>
      <c r="R183">
        <v>0</v>
      </c>
      <c r="S183">
        <v>0</v>
      </c>
    </row>
    <row r="184" spans="1:19" x14ac:dyDescent="0.35">
      <c r="A184">
        <v>57195295029</v>
      </c>
      <c r="B184" t="s">
        <v>3152</v>
      </c>
      <c r="C184" t="str">
        <f>_xlfn.XLOOKUP(A184,[1]Affiliations!$J$2:$J$5328,[1]Affiliations!$K$2:$K$5328,0)</f>
        <v>Federal University of Rio de Janeiro</v>
      </c>
      <c r="D184">
        <v>5</v>
      </c>
      <c r="E184">
        <v>218</v>
      </c>
      <c r="F184">
        <v>43.6</v>
      </c>
      <c r="G184">
        <v>4</v>
      </c>
      <c r="H184">
        <v>2.04</v>
      </c>
      <c r="I184">
        <v>0</v>
      </c>
      <c r="J184">
        <v>2</v>
      </c>
      <c r="K184">
        <v>2</v>
      </c>
      <c r="L184">
        <v>3</v>
      </c>
      <c r="M184">
        <v>3</v>
      </c>
      <c r="N184">
        <v>4</v>
      </c>
      <c r="P184">
        <v>0</v>
      </c>
      <c r="Q184">
        <v>3</v>
      </c>
      <c r="R184">
        <v>3</v>
      </c>
      <c r="S184">
        <v>3</v>
      </c>
    </row>
    <row r="185" spans="1:19" hidden="1" x14ac:dyDescent="0.35">
      <c r="A185">
        <v>6603138240</v>
      </c>
      <c r="B185" t="s">
        <v>198</v>
      </c>
      <c r="C185" t="str">
        <f>_xlfn.XLOOKUP(A185,[1]Affiliations!$J$2:$J$5328,[1]Affiliations!$K$2:$K$5328,0)</f>
        <v>Universidade do Estado do Rio de Janeiro (+2 more)</v>
      </c>
      <c r="D185">
        <v>27</v>
      </c>
      <c r="E185">
        <v>212</v>
      </c>
      <c r="F185">
        <v>7.8518520000000001</v>
      </c>
      <c r="G185">
        <v>18</v>
      </c>
      <c r="H185">
        <v>0.52</v>
      </c>
      <c r="I185">
        <v>0</v>
      </c>
      <c r="J185">
        <v>3</v>
      </c>
      <c r="K185">
        <v>9</v>
      </c>
      <c r="L185">
        <v>18</v>
      </c>
      <c r="M185">
        <v>27</v>
      </c>
      <c r="N185">
        <v>27</v>
      </c>
      <c r="P185">
        <v>0</v>
      </c>
      <c r="Q185">
        <v>0</v>
      </c>
      <c r="R185">
        <v>0</v>
      </c>
      <c r="S185">
        <v>7</v>
      </c>
    </row>
    <row r="186" spans="1:19" x14ac:dyDescent="0.35">
      <c r="A186">
        <v>57223125818</v>
      </c>
      <c r="B186" t="s">
        <v>4910</v>
      </c>
      <c r="C186" t="str">
        <f>_xlfn.XLOOKUP(A186,[1]Affiliations!$J$2:$J$5328,[1]Affiliations!$K$2:$K$5328,0)</f>
        <v>Vizlab - X-Reality and GeoInformatics Lab (+2 more)</v>
      </c>
      <c r="D186">
        <v>5</v>
      </c>
      <c r="E186">
        <v>86</v>
      </c>
      <c r="F186">
        <v>17.2</v>
      </c>
      <c r="G186">
        <v>5</v>
      </c>
      <c r="H186">
        <v>2.04</v>
      </c>
      <c r="I186">
        <v>0</v>
      </c>
      <c r="J186">
        <v>1</v>
      </c>
      <c r="K186">
        <v>2</v>
      </c>
      <c r="L186">
        <v>3</v>
      </c>
      <c r="M186">
        <v>4</v>
      </c>
      <c r="N186">
        <v>5</v>
      </c>
      <c r="P186">
        <v>0</v>
      </c>
      <c r="Q186">
        <v>1</v>
      </c>
      <c r="R186">
        <v>1</v>
      </c>
      <c r="S186">
        <v>4</v>
      </c>
    </row>
    <row r="187" spans="1:19" x14ac:dyDescent="0.35">
      <c r="A187">
        <v>55672075500</v>
      </c>
      <c r="B187" t="s">
        <v>1090</v>
      </c>
      <c r="C187" t="str">
        <f>_xlfn.XLOOKUP(A187,[1]Affiliations!$J$2:$J$5328,[1]Affiliations!$K$2:$K$5328,0)</f>
        <v>Federal University of Rio de Janeiro</v>
      </c>
      <c r="D187">
        <v>45</v>
      </c>
      <c r="E187">
        <v>1914</v>
      </c>
      <c r="F187">
        <v>42.533332999999999</v>
      </c>
      <c r="G187">
        <v>27</v>
      </c>
      <c r="H187">
        <v>2</v>
      </c>
      <c r="I187">
        <v>1</v>
      </c>
      <c r="J187">
        <v>14</v>
      </c>
      <c r="K187">
        <v>25</v>
      </c>
      <c r="L187">
        <v>34</v>
      </c>
      <c r="M187">
        <v>42</v>
      </c>
      <c r="N187">
        <v>45</v>
      </c>
      <c r="P187">
        <v>0</v>
      </c>
      <c r="Q187">
        <v>12</v>
      </c>
      <c r="R187">
        <v>21</v>
      </c>
      <c r="S187">
        <v>27</v>
      </c>
    </row>
    <row r="188" spans="1:19" hidden="1" x14ac:dyDescent="0.35">
      <c r="A188">
        <v>55241820600</v>
      </c>
      <c r="B188" t="s">
        <v>201</v>
      </c>
      <c r="C188" t="str">
        <f>_xlfn.XLOOKUP(A188,[1]Affiliations!$J$2:$J$5328,[1]Affiliations!$K$2:$K$5328,0)</f>
        <v>Universidade de Brasília</v>
      </c>
      <c r="D188">
        <v>12</v>
      </c>
      <c r="E188">
        <v>114</v>
      </c>
      <c r="F188">
        <v>9.5</v>
      </c>
      <c r="G188">
        <v>8</v>
      </c>
      <c r="H188">
        <v>0.54</v>
      </c>
      <c r="I188">
        <v>0</v>
      </c>
      <c r="J188">
        <v>0</v>
      </c>
      <c r="K188">
        <v>0</v>
      </c>
      <c r="L188">
        <v>1</v>
      </c>
      <c r="M188">
        <v>9</v>
      </c>
      <c r="N188">
        <v>11</v>
      </c>
      <c r="P188">
        <v>0</v>
      </c>
      <c r="Q188">
        <v>0</v>
      </c>
      <c r="R188">
        <v>0</v>
      </c>
      <c r="S188">
        <v>2</v>
      </c>
    </row>
    <row r="189" spans="1:19" hidden="1" x14ac:dyDescent="0.35">
      <c r="A189">
        <v>57220075148</v>
      </c>
      <c r="B189" t="s">
        <v>202</v>
      </c>
      <c r="C189" t="str">
        <f>_xlfn.XLOOKUP(A189,[1]Affiliations!$J$2:$J$5328,[1]Affiliations!$K$2:$K$5328,0)</f>
        <v>Federal University of Santa Catarina</v>
      </c>
      <c r="D189">
        <v>3</v>
      </c>
      <c r="E189">
        <v>18</v>
      </c>
      <c r="F189">
        <v>6</v>
      </c>
      <c r="G189">
        <v>2</v>
      </c>
      <c r="H189">
        <v>0.43</v>
      </c>
      <c r="I189">
        <v>0</v>
      </c>
      <c r="J189">
        <v>1</v>
      </c>
      <c r="K189">
        <v>1</v>
      </c>
      <c r="L189">
        <v>1</v>
      </c>
      <c r="M189">
        <v>2</v>
      </c>
      <c r="N189">
        <v>3</v>
      </c>
      <c r="P189">
        <v>0</v>
      </c>
      <c r="Q189">
        <v>0</v>
      </c>
      <c r="R189">
        <v>0</v>
      </c>
      <c r="S189">
        <v>1</v>
      </c>
    </row>
    <row r="190" spans="1:19" x14ac:dyDescent="0.35">
      <c r="A190">
        <v>57221258185</v>
      </c>
      <c r="B190" t="s">
        <v>2307</v>
      </c>
      <c r="C190" t="str">
        <f>_xlfn.XLOOKUP(A190,[1]Affiliations!$J$2:$J$5328,[1]Affiliations!$K$2:$K$5328,0)</f>
        <v>Universidade Federal de Minas Gerais</v>
      </c>
      <c r="D190">
        <v>21</v>
      </c>
      <c r="E190">
        <v>580</v>
      </c>
      <c r="F190">
        <v>27.619046999999998</v>
      </c>
      <c r="G190">
        <v>10</v>
      </c>
      <c r="H190">
        <v>2</v>
      </c>
      <c r="I190">
        <v>1</v>
      </c>
      <c r="J190">
        <v>2</v>
      </c>
      <c r="K190">
        <v>5</v>
      </c>
      <c r="L190">
        <v>11</v>
      </c>
      <c r="M190">
        <v>16</v>
      </c>
      <c r="N190">
        <v>17</v>
      </c>
      <c r="P190">
        <v>2</v>
      </c>
      <c r="Q190">
        <v>4</v>
      </c>
      <c r="R190">
        <v>7</v>
      </c>
      <c r="S190">
        <v>12</v>
      </c>
    </row>
    <row r="191" spans="1:19" hidden="1" x14ac:dyDescent="0.35">
      <c r="A191">
        <v>57200935943</v>
      </c>
      <c r="B191" t="s">
        <v>204</v>
      </c>
      <c r="C191" t="str">
        <f>_xlfn.XLOOKUP(A191,[1]Affiliations!$J$2:$J$5328,[1]Affiliations!$K$2:$K$5328,0)</f>
        <v>Universidade Federal de Juiz de Fora</v>
      </c>
      <c r="D191">
        <v>4</v>
      </c>
      <c r="E191">
        <v>40</v>
      </c>
      <c r="F191">
        <v>10</v>
      </c>
      <c r="G191">
        <v>3</v>
      </c>
      <c r="H191">
        <v>0.38</v>
      </c>
      <c r="I191">
        <v>0</v>
      </c>
      <c r="J191">
        <v>0</v>
      </c>
      <c r="K191">
        <v>2</v>
      </c>
      <c r="L191">
        <v>3</v>
      </c>
      <c r="M191">
        <v>3</v>
      </c>
      <c r="N191">
        <v>4</v>
      </c>
      <c r="P191">
        <v>0</v>
      </c>
      <c r="Q191">
        <v>0</v>
      </c>
      <c r="R191">
        <v>0</v>
      </c>
      <c r="S191">
        <v>0</v>
      </c>
    </row>
    <row r="192" spans="1:19" hidden="1" x14ac:dyDescent="0.35">
      <c r="A192">
        <v>35762701300</v>
      </c>
      <c r="B192" t="s">
        <v>205</v>
      </c>
      <c r="C192" t="str">
        <f>_xlfn.XLOOKUP(A192,[1]Affiliations!$J$2:$J$5328,[1]Affiliations!$K$2:$K$5328,0)</f>
        <v>Universidade Federal do Espírito Santo</v>
      </c>
      <c r="D192">
        <v>21</v>
      </c>
      <c r="E192">
        <v>170</v>
      </c>
      <c r="F192">
        <v>8.0952380000000002</v>
      </c>
      <c r="G192">
        <v>8</v>
      </c>
      <c r="H192">
        <v>0.71</v>
      </c>
      <c r="I192">
        <v>0</v>
      </c>
      <c r="J192">
        <v>1</v>
      </c>
      <c r="K192">
        <v>5</v>
      </c>
      <c r="L192">
        <v>7</v>
      </c>
      <c r="M192">
        <v>9</v>
      </c>
      <c r="N192">
        <v>10</v>
      </c>
      <c r="P192">
        <v>0</v>
      </c>
      <c r="Q192">
        <v>0</v>
      </c>
      <c r="R192">
        <v>0</v>
      </c>
      <c r="S192">
        <v>4</v>
      </c>
    </row>
    <row r="193" spans="1:19" hidden="1" x14ac:dyDescent="0.35">
      <c r="A193">
        <v>56463616100</v>
      </c>
      <c r="B193" t="s">
        <v>206</v>
      </c>
      <c r="C193" t="str">
        <f>_xlfn.XLOOKUP(A193,[1]Affiliations!$J$2:$J$5328,[1]Affiliations!$K$2:$K$5328,0)</f>
        <v>Universidade Tecnológica Federal do Paraná</v>
      </c>
      <c r="D193">
        <v>0</v>
      </c>
      <c r="G193">
        <v>1</v>
      </c>
    </row>
    <row r="194" spans="1:19" hidden="1" x14ac:dyDescent="0.35">
      <c r="A194">
        <v>56017021800</v>
      </c>
      <c r="B194" t="s">
        <v>207</v>
      </c>
      <c r="C194" t="str">
        <f>_xlfn.XLOOKUP(A194,[1]Affiliations!$J$2:$J$5328,[1]Affiliations!$K$2:$K$5328,0)</f>
        <v>Universidade Federal do Rio Grande do Sul</v>
      </c>
      <c r="D194">
        <v>1</v>
      </c>
      <c r="E194">
        <v>10</v>
      </c>
      <c r="F194">
        <v>10</v>
      </c>
      <c r="G194">
        <v>1</v>
      </c>
      <c r="H194">
        <v>0.24</v>
      </c>
      <c r="I194">
        <v>0</v>
      </c>
      <c r="J194">
        <v>0</v>
      </c>
      <c r="K194">
        <v>0</v>
      </c>
      <c r="L194">
        <v>0</v>
      </c>
      <c r="M194">
        <v>1</v>
      </c>
      <c r="N194">
        <v>1</v>
      </c>
      <c r="P194">
        <v>0</v>
      </c>
      <c r="Q194">
        <v>0</v>
      </c>
      <c r="R194">
        <v>0</v>
      </c>
      <c r="S194">
        <v>0</v>
      </c>
    </row>
    <row r="195" spans="1:19" hidden="1" x14ac:dyDescent="0.35">
      <c r="A195">
        <v>48960966200</v>
      </c>
      <c r="B195" t="s">
        <v>208</v>
      </c>
      <c r="C195" t="str">
        <f>_xlfn.XLOOKUP(A195,[1]Affiliations!$J$2:$J$5328,[1]Affiliations!$K$2:$K$5328,0)</f>
        <v>Independent consultor</v>
      </c>
      <c r="D195">
        <v>7</v>
      </c>
      <c r="E195">
        <v>33</v>
      </c>
      <c r="F195">
        <v>4.7142860000000004</v>
      </c>
      <c r="G195">
        <v>5</v>
      </c>
      <c r="H195">
        <v>0.5</v>
      </c>
      <c r="I195">
        <v>0</v>
      </c>
      <c r="J195">
        <v>0</v>
      </c>
      <c r="K195">
        <v>0</v>
      </c>
      <c r="L195">
        <v>0</v>
      </c>
      <c r="M195">
        <v>3</v>
      </c>
      <c r="N195">
        <v>3</v>
      </c>
      <c r="P195">
        <v>0</v>
      </c>
      <c r="Q195">
        <v>0</v>
      </c>
      <c r="R195">
        <v>0</v>
      </c>
      <c r="S195">
        <v>2</v>
      </c>
    </row>
    <row r="196" spans="1:19" x14ac:dyDescent="0.35">
      <c r="A196">
        <v>55608292500</v>
      </c>
      <c r="B196" t="s">
        <v>4592</v>
      </c>
      <c r="C196" t="str">
        <f>_xlfn.XLOOKUP(A196,[1]Affiliations!$J$2:$J$5328,[1]Affiliations!$K$2:$K$5328,0)</f>
        <v>University of Vale Itajaí (+3 more)</v>
      </c>
      <c r="D196">
        <v>100</v>
      </c>
      <c r="E196">
        <v>2319</v>
      </c>
      <c r="F196">
        <v>23.19</v>
      </c>
      <c r="G196">
        <v>27</v>
      </c>
      <c r="H196">
        <v>2</v>
      </c>
      <c r="I196">
        <v>5</v>
      </c>
      <c r="J196">
        <v>16</v>
      </c>
      <c r="K196">
        <v>35</v>
      </c>
      <c r="L196">
        <v>60</v>
      </c>
      <c r="M196">
        <v>91</v>
      </c>
      <c r="N196">
        <v>96</v>
      </c>
      <c r="P196">
        <v>7</v>
      </c>
      <c r="Q196">
        <v>20</v>
      </c>
      <c r="R196">
        <v>26</v>
      </c>
      <c r="S196">
        <v>49</v>
      </c>
    </row>
    <row r="197" spans="1:19" hidden="1" x14ac:dyDescent="0.35">
      <c r="A197">
        <v>57470913600</v>
      </c>
      <c r="B197" t="s">
        <v>210</v>
      </c>
      <c r="C197" t="str">
        <f>_xlfn.XLOOKUP(A197,[1]Affiliations!$J$2:$J$5328,[1]Affiliations!$K$2:$K$5328,0)</f>
        <v>University of Campinas</v>
      </c>
      <c r="D197">
        <v>1</v>
      </c>
      <c r="E197">
        <v>24</v>
      </c>
      <c r="F197">
        <v>24</v>
      </c>
      <c r="G197">
        <v>1</v>
      </c>
      <c r="H197">
        <v>1.39</v>
      </c>
      <c r="I197">
        <v>0</v>
      </c>
      <c r="J197">
        <v>0</v>
      </c>
      <c r="K197">
        <v>1</v>
      </c>
      <c r="L197">
        <v>1</v>
      </c>
      <c r="M197">
        <v>1</v>
      </c>
      <c r="N197">
        <v>1</v>
      </c>
      <c r="P197">
        <v>0</v>
      </c>
      <c r="Q197">
        <v>0</v>
      </c>
      <c r="R197">
        <v>0</v>
      </c>
      <c r="S197">
        <v>1</v>
      </c>
    </row>
    <row r="198" spans="1:19" hidden="1" x14ac:dyDescent="0.35">
      <c r="A198">
        <v>56901128200</v>
      </c>
      <c r="B198" t="s">
        <v>211</v>
      </c>
      <c r="C198" t="str">
        <f>_xlfn.XLOOKUP(A198,[1]Affiliations!$J$2:$J$5328,[1]Affiliations!$K$2:$K$5328,0)</f>
        <v>Universidade Federal do Rio Grande do Sul</v>
      </c>
      <c r="D198">
        <v>7</v>
      </c>
      <c r="E198">
        <v>33</v>
      </c>
      <c r="F198">
        <v>4.7142860000000004</v>
      </c>
      <c r="G198">
        <v>4</v>
      </c>
      <c r="H198">
        <v>0.28999999999999998</v>
      </c>
      <c r="I198">
        <v>0</v>
      </c>
      <c r="J198">
        <v>0</v>
      </c>
      <c r="K198">
        <v>0</v>
      </c>
      <c r="L198">
        <v>3</v>
      </c>
      <c r="M198">
        <v>6</v>
      </c>
      <c r="N198">
        <v>7</v>
      </c>
      <c r="P198">
        <v>0</v>
      </c>
      <c r="Q198">
        <v>0</v>
      </c>
      <c r="R198">
        <v>0</v>
      </c>
      <c r="S198">
        <v>0</v>
      </c>
    </row>
    <row r="199" spans="1:19" x14ac:dyDescent="0.35">
      <c r="A199">
        <v>6603803125</v>
      </c>
      <c r="B199" t="s">
        <v>4921</v>
      </c>
      <c r="C199" t="str">
        <f>_xlfn.XLOOKUP(A199,[1]Affiliations!$J$2:$J$5328,[1]Affiliations!$K$2:$K$5328,0)</f>
        <v>Graduate School of Engineering (+1 more)</v>
      </c>
      <c r="D199">
        <v>114</v>
      </c>
      <c r="E199">
        <v>2728</v>
      </c>
      <c r="F199">
        <v>23.929825000000001</v>
      </c>
      <c r="G199">
        <v>43</v>
      </c>
      <c r="H199">
        <v>1.99</v>
      </c>
      <c r="I199">
        <v>8</v>
      </c>
      <c r="J199">
        <v>50</v>
      </c>
      <c r="K199">
        <v>61</v>
      </c>
      <c r="L199">
        <v>94</v>
      </c>
      <c r="M199">
        <v>102</v>
      </c>
      <c r="N199">
        <v>104</v>
      </c>
      <c r="P199">
        <v>0</v>
      </c>
      <c r="Q199">
        <v>7</v>
      </c>
      <c r="R199">
        <v>22</v>
      </c>
      <c r="S199">
        <v>60</v>
      </c>
    </row>
    <row r="200" spans="1:19" x14ac:dyDescent="0.35">
      <c r="A200">
        <v>56740642300</v>
      </c>
      <c r="B200" t="s">
        <v>2752</v>
      </c>
      <c r="C200" t="str">
        <f>_xlfn.XLOOKUP(A200,[1]Affiliations!$J$2:$J$5328,[1]Affiliations!$K$2:$K$5328,0)</f>
        <v>Universidade Federal do Espírito Santo</v>
      </c>
      <c r="D200">
        <v>34</v>
      </c>
      <c r="E200">
        <v>1500</v>
      </c>
      <c r="F200">
        <v>44.117645000000003</v>
      </c>
      <c r="G200">
        <v>13</v>
      </c>
      <c r="H200">
        <v>1.98</v>
      </c>
      <c r="I200">
        <v>0</v>
      </c>
      <c r="J200">
        <v>7</v>
      </c>
      <c r="K200">
        <v>14</v>
      </c>
      <c r="L200">
        <v>20</v>
      </c>
      <c r="M200">
        <v>32</v>
      </c>
      <c r="N200">
        <v>34</v>
      </c>
      <c r="P200">
        <v>1</v>
      </c>
      <c r="Q200">
        <v>1</v>
      </c>
      <c r="R200">
        <v>1</v>
      </c>
      <c r="S200">
        <v>9</v>
      </c>
    </row>
    <row r="201" spans="1:19" x14ac:dyDescent="0.35">
      <c r="A201">
        <v>57216575944</v>
      </c>
      <c r="B201" t="s">
        <v>4965</v>
      </c>
      <c r="C201" t="str">
        <f>_xlfn.XLOOKUP(A201,[1]Affiliations!$J$2:$J$5328,[1]Affiliations!$K$2:$K$5328,0)</f>
        <v>Universidade de São Paulo</v>
      </c>
      <c r="D201">
        <v>42</v>
      </c>
      <c r="E201">
        <v>1158</v>
      </c>
      <c r="F201">
        <v>27.571428000000001</v>
      </c>
      <c r="G201">
        <v>39</v>
      </c>
      <c r="H201">
        <v>1.96</v>
      </c>
      <c r="I201">
        <v>1</v>
      </c>
      <c r="J201">
        <v>9</v>
      </c>
      <c r="K201">
        <v>19</v>
      </c>
      <c r="L201">
        <v>25</v>
      </c>
      <c r="M201">
        <v>35</v>
      </c>
      <c r="N201">
        <v>37</v>
      </c>
      <c r="P201">
        <v>0</v>
      </c>
      <c r="Q201">
        <v>3</v>
      </c>
      <c r="R201">
        <v>8</v>
      </c>
      <c r="S201">
        <v>22</v>
      </c>
    </row>
    <row r="202" spans="1:19" hidden="1" x14ac:dyDescent="0.35">
      <c r="A202">
        <v>57650969900</v>
      </c>
      <c r="B202" t="s">
        <v>215</v>
      </c>
      <c r="C202" t="str">
        <f>_xlfn.XLOOKUP(A202,[1]Affiliations!$J$2:$J$5328,[1]Affiliations!$K$2:$K$5328,0)</f>
        <v>Federal University of Rio de Janeiro</v>
      </c>
      <c r="D202">
        <v>6</v>
      </c>
      <c r="E202">
        <v>30</v>
      </c>
      <c r="F202">
        <v>5</v>
      </c>
      <c r="G202">
        <v>4</v>
      </c>
      <c r="H202">
        <v>0.68</v>
      </c>
      <c r="I202">
        <v>0</v>
      </c>
      <c r="J202">
        <v>0</v>
      </c>
      <c r="K202">
        <v>1</v>
      </c>
      <c r="L202">
        <v>3</v>
      </c>
      <c r="M202">
        <v>4</v>
      </c>
      <c r="N202">
        <v>5</v>
      </c>
      <c r="P202">
        <v>0</v>
      </c>
      <c r="Q202">
        <v>0</v>
      </c>
      <c r="R202">
        <v>0</v>
      </c>
      <c r="S202">
        <v>2</v>
      </c>
    </row>
    <row r="203" spans="1:19" hidden="1" x14ac:dyDescent="0.35">
      <c r="A203">
        <v>59539697200</v>
      </c>
      <c r="B203" t="s">
        <v>216</v>
      </c>
      <c r="C203" t="str">
        <f>_xlfn.XLOOKUP(A203,[1]Affiliations!$J$2:$J$5328,[1]Affiliations!$K$2:$K$5328,0)</f>
        <v>Transbet Transporte e Logística</v>
      </c>
      <c r="D203">
        <v>1</v>
      </c>
      <c r="E203">
        <v>0</v>
      </c>
      <c r="F203">
        <v>0</v>
      </c>
      <c r="G203">
        <v>0</v>
      </c>
      <c r="H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5">
      <c r="A204">
        <v>6602789451</v>
      </c>
      <c r="B204" t="s">
        <v>293</v>
      </c>
      <c r="C204" t="str">
        <f>_xlfn.XLOOKUP(A204,[1]Affiliations!$J$2:$J$5328,[1]Affiliations!$K$2:$K$5328,0)</f>
        <v>Instituto do Carste/Carste Ciência e Meio Ambiente (+1 more)</v>
      </c>
      <c r="D204">
        <v>55</v>
      </c>
      <c r="E204">
        <v>2371</v>
      </c>
      <c r="F204">
        <v>43.109093000000001</v>
      </c>
      <c r="G204">
        <v>30</v>
      </c>
      <c r="H204">
        <v>1.95</v>
      </c>
      <c r="I204">
        <v>1</v>
      </c>
      <c r="J204">
        <v>12</v>
      </c>
      <c r="K204">
        <v>20</v>
      </c>
      <c r="L204">
        <v>37</v>
      </c>
      <c r="M204">
        <v>40</v>
      </c>
      <c r="N204">
        <v>47</v>
      </c>
      <c r="P204">
        <v>3</v>
      </c>
      <c r="Q204">
        <v>7</v>
      </c>
      <c r="R204">
        <v>14</v>
      </c>
      <c r="S204">
        <v>22</v>
      </c>
    </row>
    <row r="205" spans="1:19" x14ac:dyDescent="0.35">
      <c r="A205">
        <v>57188655139</v>
      </c>
      <c r="B205" t="s">
        <v>4078</v>
      </c>
      <c r="C205" t="str">
        <f>_xlfn.XLOOKUP(A205,[1]Affiliations!$J$2:$J$5328,[1]Affiliations!$K$2:$K$5328,0)</f>
        <v>Universidade Estadual Paulista “Júlio de Mesquita Filho”</v>
      </c>
      <c r="D205">
        <v>25</v>
      </c>
      <c r="E205">
        <v>320</v>
      </c>
      <c r="F205">
        <v>12.8</v>
      </c>
      <c r="G205">
        <v>10</v>
      </c>
      <c r="H205">
        <v>1.95</v>
      </c>
      <c r="I205">
        <v>0</v>
      </c>
      <c r="J205">
        <v>1</v>
      </c>
      <c r="K205">
        <v>1</v>
      </c>
      <c r="L205">
        <v>2</v>
      </c>
      <c r="M205">
        <v>5</v>
      </c>
      <c r="N205">
        <v>8</v>
      </c>
      <c r="P205">
        <v>0</v>
      </c>
      <c r="Q205">
        <v>2</v>
      </c>
      <c r="R205">
        <v>2</v>
      </c>
      <c r="S205">
        <v>4</v>
      </c>
    </row>
    <row r="206" spans="1:19" x14ac:dyDescent="0.35">
      <c r="A206">
        <v>36132599600</v>
      </c>
      <c r="B206" t="s">
        <v>5146</v>
      </c>
      <c r="C206" t="str">
        <f>_xlfn.XLOOKUP(A206,[1]Affiliations!$J$2:$J$5328,[1]Affiliations!$K$2:$K$5328,0)</f>
        <v>Universidade de São Paulo</v>
      </c>
      <c r="D206">
        <v>5</v>
      </c>
      <c r="E206">
        <v>164</v>
      </c>
      <c r="F206">
        <v>32.799999999999997</v>
      </c>
      <c r="G206">
        <v>8</v>
      </c>
      <c r="H206">
        <v>1.94</v>
      </c>
      <c r="I206">
        <v>0</v>
      </c>
      <c r="J206">
        <v>1</v>
      </c>
      <c r="K206">
        <v>1</v>
      </c>
      <c r="L206">
        <v>4</v>
      </c>
      <c r="M206">
        <v>4</v>
      </c>
      <c r="N206">
        <v>5</v>
      </c>
      <c r="P206">
        <v>0</v>
      </c>
      <c r="Q206">
        <v>0</v>
      </c>
      <c r="R206">
        <v>1</v>
      </c>
      <c r="S206">
        <v>3</v>
      </c>
    </row>
    <row r="207" spans="1:19" x14ac:dyDescent="0.35">
      <c r="A207">
        <v>57194342671</v>
      </c>
      <c r="B207" t="s">
        <v>2777</v>
      </c>
      <c r="C207" t="str">
        <f>_xlfn.XLOOKUP(A207,[1]Affiliations!$J$2:$J$5328,[1]Affiliations!$K$2:$K$5328,0)</f>
        <v>Universidade Federal do Rio Grande do Norte</v>
      </c>
      <c r="D207">
        <v>31</v>
      </c>
      <c r="E207">
        <v>631</v>
      </c>
      <c r="F207">
        <v>20.354839999999999</v>
      </c>
      <c r="G207">
        <v>15</v>
      </c>
      <c r="H207">
        <v>1.93</v>
      </c>
      <c r="I207">
        <v>0</v>
      </c>
      <c r="J207">
        <v>11</v>
      </c>
      <c r="K207">
        <v>13</v>
      </c>
      <c r="L207">
        <v>24</v>
      </c>
      <c r="M207">
        <v>24</v>
      </c>
      <c r="N207">
        <v>24</v>
      </c>
      <c r="P207">
        <v>0</v>
      </c>
      <c r="Q207">
        <v>2</v>
      </c>
      <c r="R207">
        <v>8</v>
      </c>
      <c r="S207">
        <v>19</v>
      </c>
    </row>
    <row r="208" spans="1:19" hidden="1" x14ac:dyDescent="0.35">
      <c r="A208">
        <v>57191053334</v>
      </c>
      <c r="B208" t="s">
        <v>221</v>
      </c>
      <c r="C208" t="str">
        <f>_xlfn.XLOOKUP(A208,[1]Affiliations!$J$2:$J$5328,[1]Affiliations!$K$2:$K$5328,0)</f>
        <v>Pontifical Catholic University of Rio de Janeiro</v>
      </c>
      <c r="D208">
        <v>1</v>
      </c>
      <c r="E208">
        <v>12</v>
      </c>
      <c r="F208">
        <v>12</v>
      </c>
      <c r="G208">
        <v>1</v>
      </c>
      <c r="H208">
        <v>0.56999999999999995</v>
      </c>
      <c r="P208">
        <v>0</v>
      </c>
      <c r="Q208">
        <v>0</v>
      </c>
      <c r="R208">
        <v>0</v>
      </c>
      <c r="S208">
        <v>0</v>
      </c>
    </row>
    <row r="209" spans="1:19" hidden="1" x14ac:dyDescent="0.35">
      <c r="A209">
        <v>35749529200</v>
      </c>
      <c r="B209" t="s">
        <v>222</v>
      </c>
      <c r="C209" t="str">
        <f>_xlfn.XLOOKUP(A209,[1]Affiliations!$J$2:$J$5328,[1]Affiliations!$K$2:$K$5328,0)</f>
        <v>Federal University of Santa Catarina</v>
      </c>
      <c r="D209">
        <v>3</v>
      </c>
      <c r="E209">
        <v>22</v>
      </c>
      <c r="F209">
        <v>7.3333335000000002</v>
      </c>
      <c r="G209">
        <v>4</v>
      </c>
      <c r="H209">
        <v>0.68</v>
      </c>
      <c r="I209">
        <v>0</v>
      </c>
      <c r="J209">
        <v>0</v>
      </c>
      <c r="K209">
        <v>1</v>
      </c>
      <c r="L209">
        <v>2</v>
      </c>
      <c r="M209">
        <v>2</v>
      </c>
      <c r="N209">
        <v>3</v>
      </c>
      <c r="P209">
        <v>0</v>
      </c>
      <c r="Q209">
        <v>0</v>
      </c>
      <c r="R209">
        <v>0</v>
      </c>
      <c r="S209">
        <v>1</v>
      </c>
    </row>
    <row r="210" spans="1:19" hidden="1" x14ac:dyDescent="0.35">
      <c r="A210">
        <v>59158078200</v>
      </c>
      <c r="B210" t="s">
        <v>223</v>
      </c>
      <c r="C210" t="str">
        <f>_xlfn.XLOOKUP(A210,[1]Affiliations!$J$2:$J$5328,[1]Affiliations!$K$2:$K$5328,0)</f>
        <v>Universidade Federal de Pernambuco</v>
      </c>
      <c r="D210">
        <v>10</v>
      </c>
      <c r="E210">
        <v>150</v>
      </c>
      <c r="F210">
        <v>15</v>
      </c>
      <c r="G210">
        <v>6</v>
      </c>
      <c r="H210">
        <v>1.73</v>
      </c>
      <c r="I210">
        <v>0</v>
      </c>
      <c r="J210">
        <v>0</v>
      </c>
      <c r="K210">
        <v>0</v>
      </c>
      <c r="L210">
        <v>4</v>
      </c>
      <c r="M210">
        <v>8</v>
      </c>
      <c r="N210">
        <v>8</v>
      </c>
      <c r="P210">
        <v>0</v>
      </c>
      <c r="Q210">
        <v>0</v>
      </c>
      <c r="R210">
        <v>2</v>
      </c>
      <c r="S210">
        <v>5</v>
      </c>
    </row>
    <row r="211" spans="1:19" x14ac:dyDescent="0.35">
      <c r="A211">
        <v>57204791649</v>
      </c>
      <c r="B211" t="s">
        <v>3664</v>
      </c>
      <c r="C211" t="str">
        <f>_xlfn.XLOOKUP(A211,[1]Affiliations!$J$2:$J$5328,[1]Affiliations!$K$2:$K$5328,0)</f>
        <v>Universidade de Brasília</v>
      </c>
      <c r="D211">
        <v>10</v>
      </c>
      <c r="E211">
        <v>154</v>
      </c>
      <c r="F211">
        <v>15.4</v>
      </c>
      <c r="G211">
        <v>7</v>
      </c>
      <c r="H211">
        <v>1.93</v>
      </c>
      <c r="I211">
        <v>0</v>
      </c>
      <c r="J211">
        <v>1</v>
      </c>
      <c r="K211">
        <v>3</v>
      </c>
      <c r="L211">
        <v>8</v>
      </c>
      <c r="M211">
        <v>9</v>
      </c>
      <c r="N211">
        <v>10</v>
      </c>
      <c r="P211">
        <v>0</v>
      </c>
      <c r="Q211">
        <v>0</v>
      </c>
      <c r="R211">
        <v>1</v>
      </c>
      <c r="S211">
        <v>5</v>
      </c>
    </row>
    <row r="212" spans="1:19" hidden="1" x14ac:dyDescent="0.35">
      <c r="A212">
        <v>58453583400</v>
      </c>
      <c r="B212" t="s">
        <v>225</v>
      </c>
      <c r="C212" t="str">
        <f>_xlfn.XLOOKUP(A212,[1]Affiliations!$J$2:$J$5328,[1]Affiliations!$K$2:$K$5328,0)</f>
        <v>Universidade Federal de Campina Grande</v>
      </c>
      <c r="D212">
        <v>5</v>
      </c>
      <c r="E212">
        <v>3</v>
      </c>
      <c r="F212">
        <v>0.6</v>
      </c>
      <c r="G212">
        <v>1</v>
      </c>
      <c r="H212">
        <v>0.06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2</v>
      </c>
      <c r="P212">
        <v>0</v>
      </c>
      <c r="Q212">
        <v>0</v>
      </c>
      <c r="R212">
        <v>0</v>
      </c>
      <c r="S212">
        <v>0</v>
      </c>
    </row>
    <row r="213" spans="1:19" hidden="1" x14ac:dyDescent="0.35">
      <c r="A213">
        <v>15764305100</v>
      </c>
      <c r="B213" t="s">
        <v>226</v>
      </c>
      <c r="C213" t="str">
        <f>_xlfn.XLOOKUP(A213,[1]Affiliations!$J$2:$J$5328,[1]Affiliations!$K$2:$K$5328,0)</f>
        <v>Universidade Federal de Campina Grande</v>
      </c>
      <c r="D213">
        <v>10</v>
      </c>
      <c r="E213">
        <v>83</v>
      </c>
      <c r="F213">
        <v>8.3000000000000007</v>
      </c>
      <c r="G213">
        <v>13</v>
      </c>
      <c r="H213">
        <v>0.35</v>
      </c>
      <c r="I213">
        <v>0</v>
      </c>
      <c r="J213">
        <v>2</v>
      </c>
      <c r="K213">
        <v>2</v>
      </c>
      <c r="L213">
        <v>4</v>
      </c>
      <c r="M213">
        <v>7</v>
      </c>
      <c r="N213">
        <v>9</v>
      </c>
      <c r="P213">
        <v>0</v>
      </c>
      <c r="Q213">
        <v>0</v>
      </c>
      <c r="R213">
        <v>0</v>
      </c>
      <c r="S213">
        <v>0</v>
      </c>
    </row>
    <row r="214" spans="1:19" hidden="1" x14ac:dyDescent="0.35">
      <c r="A214">
        <v>57210639563</v>
      </c>
      <c r="B214" t="s">
        <v>227</v>
      </c>
      <c r="C214" t="str">
        <f>_xlfn.XLOOKUP(A214,[1]Affiliations!$J$2:$J$5328,[1]Affiliations!$K$2:$K$5328,0)</f>
        <v>Universidade Federal de Pernambuco</v>
      </c>
      <c r="D214">
        <v>5</v>
      </c>
      <c r="E214">
        <v>35</v>
      </c>
      <c r="F214">
        <v>7</v>
      </c>
      <c r="G214">
        <v>3</v>
      </c>
      <c r="H214">
        <v>0.78</v>
      </c>
      <c r="I214">
        <v>0</v>
      </c>
      <c r="J214">
        <v>1</v>
      </c>
      <c r="K214">
        <v>1</v>
      </c>
      <c r="L214">
        <v>2</v>
      </c>
      <c r="M214">
        <v>4</v>
      </c>
      <c r="N214">
        <v>4</v>
      </c>
      <c r="P214">
        <v>0</v>
      </c>
      <c r="Q214">
        <v>0</v>
      </c>
      <c r="R214">
        <v>0</v>
      </c>
      <c r="S214">
        <v>2</v>
      </c>
    </row>
    <row r="215" spans="1:19" hidden="1" x14ac:dyDescent="0.35">
      <c r="A215">
        <v>35361701100</v>
      </c>
      <c r="B215" t="s">
        <v>228</v>
      </c>
      <c r="C215" t="str">
        <f>_xlfn.XLOOKUP(A215,[1]Affiliations!$J$2:$J$5328,[1]Affiliations!$K$2:$K$5328,0)</f>
        <v>University of Campinas (+1 more)</v>
      </c>
      <c r="D215">
        <v>27</v>
      </c>
      <c r="E215">
        <v>318</v>
      </c>
      <c r="F215">
        <v>11.777778</v>
      </c>
      <c r="G215">
        <v>13</v>
      </c>
      <c r="H215">
        <v>0.62</v>
      </c>
      <c r="I215">
        <v>0</v>
      </c>
      <c r="J215">
        <v>0</v>
      </c>
      <c r="K215">
        <v>1</v>
      </c>
      <c r="L215">
        <v>10</v>
      </c>
      <c r="M215">
        <v>20</v>
      </c>
      <c r="N215">
        <v>21</v>
      </c>
      <c r="P215">
        <v>0</v>
      </c>
      <c r="Q215">
        <v>0</v>
      </c>
      <c r="R215">
        <v>0</v>
      </c>
      <c r="S215">
        <v>6</v>
      </c>
    </row>
    <row r="216" spans="1:19" hidden="1" x14ac:dyDescent="0.35">
      <c r="A216">
        <v>56990747100</v>
      </c>
      <c r="B216" t="s">
        <v>229</v>
      </c>
      <c r="C216" t="str">
        <f>_xlfn.XLOOKUP(A216,[1]Affiliations!$J$2:$J$5328,[1]Affiliations!$K$2:$K$5328,0)</f>
        <v>Pontifical Catholic University of Rio de Janeiro</v>
      </c>
      <c r="D216">
        <v>1</v>
      </c>
      <c r="E216">
        <v>20</v>
      </c>
      <c r="F216">
        <v>20</v>
      </c>
      <c r="G216">
        <v>2</v>
      </c>
      <c r="H216">
        <v>0.97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P216">
        <v>0</v>
      </c>
      <c r="Q216">
        <v>0</v>
      </c>
      <c r="R216">
        <v>0</v>
      </c>
      <c r="S216">
        <v>0</v>
      </c>
    </row>
    <row r="217" spans="1:19" hidden="1" x14ac:dyDescent="0.35">
      <c r="A217">
        <v>58677227900</v>
      </c>
      <c r="B217" t="s">
        <v>230</v>
      </c>
      <c r="C217" t="str">
        <f>_xlfn.XLOOKUP(A217,[1]Affiliations!$J$2:$J$5328,[1]Affiliations!$K$2:$K$5328,0)</f>
        <v>Universidade Federal Fluminense</v>
      </c>
      <c r="D217">
        <v>1</v>
      </c>
      <c r="E217">
        <v>0</v>
      </c>
      <c r="F217">
        <v>0</v>
      </c>
      <c r="G217">
        <v>0</v>
      </c>
      <c r="H217">
        <v>0</v>
      </c>
      <c r="P217">
        <v>0</v>
      </c>
      <c r="Q217">
        <v>0</v>
      </c>
      <c r="R217">
        <v>0</v>
      </c>
      <c r="S217">
        <v>0</v>
      </c>
    </row>
    <row r="218" spans="1:19" hidden="1" x14ac:dyDescent="0.35">
      <c r="A218">
        <v>26642415000</v>
      </c>
      <c r="B218" t="s">
        <v>231</v>
      </c>
      <c r="C218" t="str">
        <f>_xlfn.XLOOKUP(A218,[1]Affiliations!$J$2:$J$5328,[1]Affiliations!$K$2:$K$5328,0)</f>
        <v>Votorantim S.A.</v>
      </c>
      <c r="D218">
        <v>1</v>
      </c>
      <c r="E218">
        <v>14</v>
      </c>
      <c r="F218">
        <v>14</v>
      </c>
      <c r="G218">
        <v>2</v>
      </c>
      <c r="H218">
        <v>0.51</v>
      </c>
      <c r="I218">
        <v>0</v>
      </c>
      <c r="J218">
        <v>0</v>
      </c>
      <c r="K218">
        <v>0</v>
      </c>
      <c r="L218">
        <v>0</v>
      </c>
      <c r="M218">
        <v>1</v>
      </c>
      <c r="N218">
        <v>1</v>
      </c>
      <c r="P218">
        <v>0</v>
      </c>
      <c r="Q218">
        <v>0</v>
      </c>
      <c r="R218">
        <v>0</v>
      </c>
      <c r="S218">
        <v>0</v>
      </c>
    </row>
    <row r="219" spans="1:19" hidden="1" x14ac:dyDescent="0.35">
      <c r="A219">
        <v>59823839700</v>
      </c>
      <c r="B219" t="s">
        <v>232</v>
      </c>
      <c r="C219" t="str">
        <f>_xlfn.XLOOKUP(A219,[1]Affiliations!$J$2:$J$5328,[1]Affiliations!$K$2:$K$5328,0)</f>
        <v>Universidade Federal de Campina Grande</v>
      </c>
      <c r="D219">
        <v>5</v>
      </c>
      <c r="E219">
        <v>21</v>
      </c>
      <c r="F219">
        <v>4.2</v>
      </c>
      <c r="G219">
        <v>3</v>
      </c>
      <c r="H219">
        <v>0.27</v>
      </c>
      <c r="I219">
        <v>0</v>
      </c>
      <c r="J219">
        <v>0</v>
      </c>
      <c r="K219">
        <v>3</v>
      </c>
      <c r="L219">
        <v>4</v>
      </c>
      <c r="M219">
        <v>5</v>
      </c>
      <c r="N219">
        <v>5</v>
      </c>
      <c r="P219">
        <v>0</v>
      </c>
      <c r="Q219">
        <v>0</v>
      </c>
      <c r="R219">
        <v>0</v>
      </c>
      <c r="S219">
        <v>0</v>
      </c>
    </row>
    <row r="220" spans="1:19" hidden="1" x14ac:dyDescent="0.35">
      <c r="A220">
        <v>57822487200</v>
      </c>
      <c r="B220" t="s">
        <v>233</v>
      </c>
      <c r="C220" t="str">
        <f>_xlfn.XLOOKUP(A220,[1]Affiliations!$J$2:$J$5328,[1]Affiliations!$K$2:$K$5328,0)</f>
        <v>Pontifical Catholic University of Rio de Janeiro</v>
      </c>
      <c r="D220">
        <v>3</v>
      </c>
      <c r="E220">
        <v>6</v>
      </c>
      <c r="F220">
        <v>2</v>
      </c>
      <c r="G220">
        <v>1</v>
      </c>
      <c r="H220">
        <v>0.59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</v>
      </c>
      <c r="P220">
        <v>0</v>
      </c>
      <c r="Q220">
        <v>0</v>
      </c>
      <c r="R220">
        <v>0</v>
      </c>
      <c r="S220">
        <v>0</v>
      </c>
    </row>
    <row r="221" spans="1:19" hidden="1" x14ac:dyDescent="0.35">
      <c r="A221">
        <v>59536466100</v>
      </c>
      <c r="B221" t="s">
        <v>234</v>
      </c>
      <c r="C221" t="str">
        <f>_xlfn.XLOOKUP(A221,[1]Affiliations!$J$2:$J$5328,[1]Affiliations!$K$2:$K$5328,0)</f>
        <v>Pontifical Catholic University of Rio de Janeiro</v>
      </c>
      <c r="D221">
        <v>1</v>
      </c>
      <c r="E221">
        <v>1</v>
      </c>
      <c r="F221">
        <v>1</v>
      </c>
      <c r="G221">
        <v>1</v>
      </c>
      <c r="H221">
        <v>0.54</v>
      </c>
      <c r="P221">
        <v>0</v>
      </c>
      <c r="Q221">
        <v>0</v>
      </c>
      <c r="R221">
        <v>0</v>
      </c>
      <c r="S221">
        <v>0</v>
      </c>
    </row>
    <row r="222" spans="1:19" x14ac:dyDescent="0.35">
      <c r="A222">
        <v>7201885423</v>
      </c>
      <c r="B222" t="s">
        <v>4581</v>
      </c>
      <c r="C222" t="str">
        <f>_xlfn.XLOOKUP(A222,[1]Affiliations!$J$2:$J$5328,[1]Affiliations!$K$2:$K$5328,0)</f>
        <v>Universidade Federal de Minas Gerais</v>
      </c>
      <c r="D222">
        <v>105</v>
      </c>
      <c r="E222">
        <v>4139</v>
      </c>
      <c r="F222">
        <v>39.419049999999999</v>
      </c>
      <c r="G222">
        <v>33</v>
      </c>
      <c r="H222">
        <v>1.93</v>
      </c>
      <c r="I222">
        <v>4</v>
      </c>
      <c r="J222">
        <v>9</v>
      </c>
      <c r="K222">
        <v>12</v>
      </c>
      <c r="L222">
        <v>24</v>
      </c>
      <c r="M222">
        <v>45</v>
      </c>
      <c r="N222">
        <v>52</v>
      </c>
      <c r="P222">
        <v>4</v>
      </c>
      <c r="Q222">
        <v>13</v>
      </c>
      <c r="R222">
        <v>20</v>
      </c>
      <c r="S222">
        <v>33</v>
      </c>
    </row>
    <row r="223" spans="1:19" hidden="1" x14ac:dyDescent="0.35">
      <c r="A223">
        <v>57213699936</v>
      </c>
      <c r="B223" t="s">
        <v>236</v>
      </c>
      <c r="C223" t="str">
        <f>_xlfn.XLOOKUP(A223,[1]Affiliations!$J$2:$J$5328,[1]Affiliations!$K$2:$K$5328,0)</f>
        <v>Federal University of Pará</v>
      </c>
      <c r="D223">
        <v>2</v>
      </c>
      <c r="E223">
        <v>15</v>
      </c>
      <c r="F223">
        <v>7.5</v>
      </c>
      <c r="G223">
        <v>2</v>
      </c>
      <c r="H223">
        <v>0.3</v>
      </c>
      <c r="I223">
        <v>0</v>
      </c>
      <c r="J223">
        <v>0</v>
      </c>
      <c r="K223">
        <v>0</v>
      </c>
      <c r="L223">
        <v>1</v>
      </c>
      <c r="M223">
        <v>2</v>
      </c>
      <c r="N223">
        <v>2</v>
      </c>
      <c r="P223">
        <v>0</v>
      </c>
      <c r="Q223">
        <v>0</v>
      </c>
      <c r="R223">
        <v>0</v>
      </c>
      <c r="S223">
        <v>0</v>
      </c>
    </row>
    <row r="224" spans="1:19" x14ac:dyDescent="0.35">
      <c r="A224">
        <v>36844670800</v>
      </c>
      <c r="B224" t="s">
        <v>4833</v>
      </c>
      <c r="C224" t="str">
        <f>_xlfn.XLOOKUP(A224,[1]Affiliations!$J$2:$J$5328,[1]Affiliations!$K$2:$K$5328,0)</f>
        <v>Centro Brasileiro de Pesquisas Físicas</v>
      </c>
      <c r="D224">
        <v>27</v>
      </c>
      <c r="E224">
        <v>1244</v>
      </c>
      <c r="F224">
        <v>46.074074000000003</v>
      </c>
      <c r="G224">
        <v>17</v>
      </c>
      <c r="H224">
        <v>1.93</v>
      </c>
      <c r="I224">
        <v>0</v>
      </c>
      <c r="J224">
        <v>7</v>
      </c>
      <c r="K224">
        <v>12</v>
      </c>
      <c r="L224">
        <v>19</v>
      </c>
      <c r="M224">
        <v>24</v>
      </c>
      <c r="N224">
        <v>26</v>
      </c>
      <c r="P224">
        <v>1</v>
      </c>
      <c r="Q224">
        <v>7</v>
      </c>
      <c r="R224">
        <v>8</v>
      </c>
      <c r="S224">
        <v>12</v>
      </c>
    </row>
    <row r="225" spans="1:19" x14ac:dyDescent="0.35">
      <c r="A225">
        <v>49060947700</v>
      </c>
      <c r="B225" t="s">
        <v>924</v>
      </c>
      <c r="C225" t="str">
        <f>_xlfn.XLOOKUP(A225,[1]Affiliations!$J$2:$J$5328,[1]Affiliations!$K$2:$K$5328,0)</f>
        <v>Universidade de São Paulo (+1 more)</v>
      </c>
      <c r="D225">
        <v>11</v>
      </c>
      <c r="E225">
        <v>313</v>
      </c>
      <c r="F225">
        <v>28.454546000000001</v>
      </c>
      <c r="G225">
        <v>10</v>
      </c>
      <c r="H225">
        <v>1.92</v>
      </c>
      <c r="I225">
        <v>0</v>
      </c>
      <c r="J225">
        <v>3</v>
      </c>
      <c r="K225">
        <v>7</v>
      </c>
      <c r="L225">
        <v>10</v>
      </c>
      <c r="M225">
        <v>11</v>
      </c>
      <c r="N225">
        <v>11</v>
      </c>
      <c r="P225">
        <v>0</v>
      </c>
      <c r="Q225">
        <v>1</v>
      </c>
      <c r="R225">
        <v>2</v>
      </c>
      <c r="S225">
        <v>8</v>
      </c>
    </row>
    <row r="226" spans="1:19" hidden="1" x14ac:dyDescent="0.35">
      <c r="A226">
        <v>57214939869</v>
      </c>
      <c r="B226" t="s">
        <v>239</v>
      </c>
      <c r="C226" t="str">
        <f>_xlfn.XLOOKUP(A226,[1]Affiliations!$J$2:$J$5328,[1]Affiliations!$K$2:$K$5328,0)</f>
        <v>Universidade Federal de Alagoas (+1 more)</v>
      </c>
      <c r="D226">
        <v>1</v>
      </c>
      <c r="E226">
        <v>1</v>
      </c>
      <c r="F226">
        <v>1</v>
      </c>
      <c r="G226">
        <v>1</v>
      </c>
      <c r="H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5">
      <c r="A227">
        <v>57199147106</v>
      </c>
      <c r="B227" t="s">
        <v>3505</v>
      </c>
      <c r="C227" t="str">
        <f>_xlfn.XLOOKUP(A227,[1]Affiliations!$J$2:$J$5328,[1]Affiliations!$K$2:$K$5328,0)</f>
        <v>Pontifical Catholic University of Rio de Janeiro</v>
      </c>
      <c r="D227">
        <v>10</v>
      </c>
      <c r="E227">
        <v>156</v>
      </c>
      <c r="F227">
        <v>15.6</v>
      </c>
      <c r="G227">
        <v>8</v>
      </c>
      <c r="H227">
        <v>1.88</v>
      </c>
      <c r="I227">
        <v>2</v>
      </c>
      <c r="J227">
        <v>3</v>
      </c>
      <c r="K227">
        <v>6</v>
      </c>
      <c r="L227">
        <v>7</v>
      </c>
      <c r="M227">
        <v>7</v>
      </c>
      <c r="N227">
        <v>7</v>
      </c>
      <c r="P227">
        <v>0</v>
      </c>
      <c r="Q227">
        <v>0</v>
      </c>
      <c r="R227">
        <v>2</v>
      </c>
      <c r="S227">
        <v>4</v>
      </c>
    </row>
    <row r="228" spans="1:19" x14ac:dyDescent="0.35">
      <c r="A228">
        <v>56662864100</v>
      </c>
      <c r="B228" t="s">
        <v>5204</v>
      </c>
      <c r="C228" t="str">
        <f>_xlfn.XLOOKUP(A228,[1]Affiliations!$J$2:$J$5328,[1]Affiliations!$K$2:$K$5328,0)</f>
        <v>Federal University of Rio de Janeiro</v>
      </c>
      <c r="D228">
        <v>16</v>
      </c>
      <c r="E228">
        <v>729</v>
      </c>
      <c r="F228">
        <v>45.5625</v>
      </c>
      <c r="G228">
        <v>11</v>
      </c>
      <c r="H228">
        <v>1.88</v>
      </c>
      <c r="I228">
        <v>2</v>
      </c>
      <c r="J228">
        <v>7</v>
      </c>
      <c r="K228">
        <v>11</v>
      </c>
      <c r="L228">
        <v>14</v>
      </c>
      <c r="M228">
        <v>14</v>
      </c>
      <c r="N228">
        <v>16</v>
      </c>
      <c r="P228">
        <v>2</v>
      </c>
      <c r="Q228">
        <v>3</v>
      </c>
      <c r="R228">
        <v>6</v>
      </c>
      <c r="S228">
        <v>11</v>
      </c>
    </row>
    <row r="229" spans="1:19" hidden="1" x14ac:dyDescent="0.35">
      <c r="A229">
        <v>57208153366</v>
      </c>
      <c r="B229" t="s">
        <v>242</v>
      </c>
      <c r="C229" t="str">
        <f>_xlfn.XLOOKUP(A229,[1]Affiliations!$J$2:$J$5328,[1]Affiliations!$K$2:$K$5328,0)</f>
        <v>Universidade Federal de Viçosa</v>
      </c>
      <c r="D229">
        <v>1</v>
      </c>
      <c r="E229">
        <v>17</v>
      </c>
      <c r="F229">
        <v>17</v>
      </c>
      <c r="G229">
        <v>1</v>
      </c>
      <c r="H229">
        <v>0.33</v>
      </c>
      <c r="I229">
        <v>0</v>
      </c>
      <c r="J229">
        <v>0</v>
      </c>
      <c r="K229">
        <v>0</v>
      </c>
      <c r="L229">
        <v>0</v>
      </c>
      <c r="M229">
        <v>1</v>
      </c>
      <c r="N229">
        <v>1</v>
      </c>
      <c r="P229">
        <v>0</v>
      </c>
      <c r="Q229">
        <v>0</v>
      </c>
      <c r="R229">
        <v>0</v>
      </c>
      <c r="S229">
        <v>0</v>
      </c>
    </row>
    <row r="230" spans="1:19" hidden="1" x14ac:dyDescent="0.35">
      <c r="A230">
        <v>58672578100</v>
      </c>
      <c r="B230" t="s">
        <v>243</v>
      </c>
      <c r="C230" t="str">
        <f>_xlfn.XLOOKUP(A230,[1]Affiliations!$J$2:$J$5328,[1]Affiliations!$K$2:$K$5328,0)</f>
        <v>Federal University of Rio de Janeiro</v>
      </c>
      <c r="D230">
        <v>1</v>
      </c>
      <c r="E230">
        <v>3</v>
      </c>
      <c r="F230">
        <v>3</v>
      </c>
      <c r="G230">
        <v>1</v>
      </c>
      <c r="H230">
        <v>0.41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P230">
        <v>0</v>
      </c>
      <c r="Q230">
        <v>0</v>
      </c>
      <c r="R230">
        <v>0</v>
      </c>
      <c r="S230">
        <v>0</v>
      </c>
    </row>
    <row r="231" spans="1:19" hidden="1" x14ac:dyDescent="0.35">
      <c r="A231">
        <v>60112608700</v>
      </c>
      <c r="B231" t="s">
        <v>244</v>
      </c>
      <c r="C231" t="str">
        <f>_xlfn.XLOOKUP(A231,[1]Affiliations!$J$2:$J$5328,[1]Affiliations!$K$2:$K$5328,0)</f>
        <v>Vizlab - X-Reality and GeoInformatics Lab</v>
      </c>
      <c r="D231">
        <v>1</v>
      </c>
      <c r="E231">
        <v>1</v>
      </c>
      <c r="F231">
        <v>1</v>
      </c>
      <c r="G231">
        <v>1</v>
      </c>
      <c r="H231">
        <v>0.46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P231">
        <v>0</v>
      </c>
      <c r="Q231">
        <v>0</v>
      </c>
      <c r="R231">
        <v>0</v>
      </c>
      <c r="S231">
        <v>0</v>
      </c>
    </row>
    <row r="232" spans="1:19" hidden="1" x14ac:dyDescent="0.35">
      <c r="A232">
        <v>57222987758</v>
      </c>
      <c r="B232" t="s">
        <v>245</v>
      </c>
      <c r="C232" t="str">
        <f>_xlfn.XLOOKUP(A232,[1]Affiliations!$J$2:$J$5328,[1]Affiliations!$K$2:$K$5328,0)</f>
        <v>Unisinos University</v>
      </c>
      <c r="D232">
        <v>4</v>
      </c>
      <c r="E232">
        <v>28</v>
      </c>
      <c r="F232">
        <v>7</v>
      </c>
      <c r="G232">
        <v>4</v>
      </c>
      <c r="H232">
        <v>0.68</v>
      </c>
      <c r="I232">
        <v>0</v>
      </c>
      <c r="J232">
        <v>1</v>
      </c>
      <c r="K232">
        <v>1</v>
      </c>
      <c r="L232">
        <v>2</v>
      </c>
      <c r="M232">
        <v>3</v>
      </c>
      <c r="N232">
        <v>4</v>
      </c>
      <c r="P232">
        <v>0</v>
      </c>
      <c r="Q232">
        <v>0</v>
      </c>
      <c r="R232">
        <v>0</v>
      </c>
      <c r="S232">
        <v>1</v>
      </c>
    </row>
    <row r="233" spans="1:19" hidden="1" x14ac:dyDescent="0.35">
      <c r="A233">
        <v>25721618800</v>
      </c>
      <c r="B233" t="s">
        <v>246</v>
      </c>
      <c r="C233" t="str">
        <f>_xlfn.XLOOKUP(A233,[1]Affiliations!$J$2:$J$5328,[1]Affiliations!$K$2:$K$5328,0)</f>
        <v>Universidade do Estado do Rio de Janeiro</v>
      </c>
      <c r="D233">
        <v>1</v>
      </c>
      <c r="E233">
        <v>46</v>
      </c>
      <c r="F233">
        <v>46</v>
      </c>
      <c r="G233">
        <v>3</v>
      </c>
      <c r="H233">
        <v>1.98</v>
      </c>
      <c r="I233">
        <v>0</v>
      </c>
      <c r="J233">
        <v>0</v>
      </c>
      <c r="K233">
        <v>1</v>
      </c>
      <c r="L233">
        <v>1</v>
      </c>
      <c r="M233">
        <v>1</v>
      </c>
      <c r="N233">
        <v>1</v>
      </c>
      <c r="P233">
        <v>0</v>
      </c>
      <c r="Q233">
        <v>0</v>
      </c>
      <c r="R233">
        <v>0</v>
      </c>
      <c r="S233">
        <v>1</v>
      </c>
    </row>
    <row r="234" spans="1:19" x14ac:dyDescent="0.35">
      <c r="A234">
        <v>57203576562</v>
      </c>
      <c r="B234" t="s">
        <v>248</v>
      </c>
      <c r="C234" t="str">
        <f>_xlfn.XLOOKUP(A234,[1]Affiliations!$J$2:$J$5328,[1]Affiliations!$K$2:$K$5328,0)</f>
        <v>Universidade Federal do Rio Grande do Norte</v>
      </c>
      <c r="D234">
        <v>10</v>
      </c>
      <c r="E234">
        <v>209</v>
      </c>
      <c r="F234">
        <v>20.9</v>
      </c>
      <c r="G234">
        <v>6</v>
      </c>
      <c r="H234">
        <v>1.87</v>
      </c>
      <c r="I234">
        <v>0</v>
      </c>
      <c r="J234">
        <v>6</v>
      </c>
      <c r="K234">
        <v>6</v>
      </c>
      <c r="L234">
        <v>9</v>
      </c>
      <c r="M234">
        <v>9</v>
      </c>
      <c r="N234">
        <v>9</v>
      </c>
      <c r="P234">
        <v>0</v>
      </c>
      <c r="Q234">
        <v>1</v>
      </c>
      <c r="R234">
        <v>2</v>
      </c>
      <c r="S234">
        <v>5</v>
      </c>
    </row>
    <row r="235" spans="1:19" x14ac:dyDescent="0.35">
      <c r="A235">
        <v>56732596700</v>
      </c>
      <c r="B235" t="s">
        <v>2336</v>
      </c>
      <c r="C235" t="str">
        <f>_xlfn.XLOOKUP(A235,[1]Affiliations!$J$2:$J$5328,[1]Affiliations!$K$2:$K$5328,0)</f>
        <v>Universidade Federal de Santa Maria</v>
      </c>
      <c r="D235">
        <v>8</v>
      </c>
      <c r="E235">
        <v>473</v>
      </c>
      <c r="F235">
        <v>59.125</v>
      </c>
      <c r="G235">
        <v>6</v>
      </c>
      <c r="H235">
        <v>1.87</v>
      </c>
      <c r="I235">
        <v>0</v>
      </c>
      <c r="J235">
        <v>2</v>
      </c>
      <c r="K235">
        <v>5</v>
      </c>
      <c r="L235">
        <v>7</v>
      </c>
      <c r="M235">
        <v>8</v>
      </c>
      <c r="N235">
        <v>8</v>
      </c>
      <c r="P235">
        <v>0</v>
      </c>
      <c r="Q235">
        <v>4</v>
      </c>
      <c r="R235">
        <v>4</v>
      </c>
      <c r="S235">
        <v>5</v>
      </c>
    </row>
    <row r="236" spans="1:19" x14ac:dyDescent="0.35">
      <c r="A236">
        <v>36945137300</v>
      </c>
      <c r="B236" t="s">
        <v>298</v>
      </c>
      <c r="C236" t="str">
        <f>_xlfn.XLOOKUP(A236,[1]Affiliations!$J$2:$J$5328,[1]Affiliations!$K$2:$K$5328,0)</f>
        <v>University of Campinas (+2 more)</v>
      </c>
      <c r="D236">
        <v>64</v>
      </c>
      <c r="E236">
        <v>2132</v>
      </c>
      <c r="F236">
        <v>33.3125</v>
      </c>
      <c r="G236">
        <v>25</v>
      </c>
      <c r="H236">
        <v>1.86</v>
      </c>
      <c r="I236">
        <v>0</v>
      </c>
      <c r="J236">
        <v>14</v>
      </c>
      <c r="K236">
        <v>19</v>
      </c>
      <c r="L236">
        <v>39</v>
      </c>
      <c r="M236">
        <v>59</v>
      </c>
      <c r="N236">
        <v>62</v>
      </c>
      <c r="P236">
        <v>2</v>
      </c>
      <c r="Q236">
        <v>12</v>
      </c>
      <c r="R236">
        <v>20</v>
      </c>
      <c r="S236">
        <v>38</v>
      </c>
    </row>
    <row r="237" spans="1:19" x14ac:dyDescent="0.35">
      <c r="A237">
        <v>6507075395</v>
      </c>
      <c r="B237" t="s">
        <v>1952</v>
      </c>
      <c r="C237" t="str">
        <f>_xlfn.XLOOKUP(A237,[1]Affiliations!$J$2:$J$5328,[1]Affiliations!$K$2:$K$5328,0)</f>
        <v>Centro Nacional de Pesquisa em Energia e Materiais</v>
      </c>
      <c r="D237">
        <v>29</v>
      </c>
      <c r="E237">
        <v>2116</v>
      </c>
      <c r="F237">
        <v>72.965514999999996</v>
      </c>
      <c r="G237">
        <v>24</v>
      </c>
      <c r="H237">
        <v>1.86</v>
      </c>
      <c r="I237">
        <v>1</v>
      </c>
      <c r="J237">
        <v>10</v>
      </c>
      <c r="K237">
        <v>19</v>
      </c>
      <c r="L237">
        <v>27</v>
      </c>
      <c r="M237">
        <v>28</v>
      </c>
      <c r="N237">
        <v>28</v>
      </c>
      <c r="P237">
        <v>1</v>
      </c>
      <c r="Q237">
        <v>5</v>
      </c>
      <c r="R237">
        <v>5</v>
      </c>
      <c r="S237">
        <v>14</v>
      </c>
    </row>
    <row r="238" spans="1:19" x14ac:dyDescent="0.35">
      <c r="A238">
        <v>23100487900</v>
      </c>
      <c r="B238" t="s">
        <v>2703</v>
      </c>
      <c r="C238" t="str">
        <f>_xlfn.XLOOKUP(A238,[1]Affiliations!$J$2:$J$5328,[1]Affiliations!$K$2:$K$5328,0)</f>
        <v>Federal University of Rio de Janeiro</v>
      </c>
      <c r="D238">
        <v>29</v>
      </c>
      <c r="E238">
        <v>2486</v>
      </c>
      <c r="F238">
        <v>85.724140000000006</v>
      </c>
      <c r="G238">
        <v>21</v>
      </c>
      <c r="H238">
        <v>1.86</v>
      </c>
      <c r="I238">
        <v>1</v>
      </c>
      <c r="J238">
        <v>4</v>
      </c>
      <c r="K238">
        <v>10</v>
      </c>
      <c r="L238">
        <v>15</v>
      </c>
      <c r="M238">
        <v>26</v>
      </c>
      <c r="N238">
        <v>27</v>
      </c>
      <c r="P238">
        <v>1</v>
      </c>
      <c r="Q238">
        <v>1</v>
      </c>
      <c r="R238">
        <v>3</v>
      </c>
      <c r="S238">
        <v>17</v>
      </c>
    </row>
    <row r="239" spans="1:19" x14ac:dyDescent="0.35">
      <c r="A239">
        <v>6602450919</v>
      </c>
      <c r="B239" t="s">
        <v>4534</v>
      </c>
      <c r="C239" t="str">
        <f>_xlfn.XLOOKUP(A239,[1]Affiliations!$J$2:$J$5328,[1]Affiliations!$K$2:$K$5328,0)</f>
        <v>Centro Brasileiro de Pesquisas Físicas</v>
      </c>
      <c r="D239">
        <v>29</v>
      </c>
      <c r="E239">
        <v>1292</v>
      </c>
      <c r="F239">
        <v>44.551723000000003</v>
      </c>
      <c r="G239">
        <v>26</v>
      </c>
      <c r="H239">
        <v>1.86</v>
      </c>
      <c r="I239">
        <v>0</v>
      </c>
      <c r="J239">
        <v>8</v>
      </c>
      <c r="K239">
        <v>14</v>
      </c>
      <c r="L239">
        <v>22</v>
      </c>
      <c r="M239">
        <v>26</v>
      </c>
      <c r="N239">
        <v>28</v>
      </c>
      <c r="P239">
        <v>1</v>
      </c>
      <c r="Q239">
        <v>7</v>
      </c>
      <c r="R239">
        <v>8</v>
      </c>
      <c r="S239">
        <v>13</v>
      </c>
    </row>
    <row r="240" spans="1:19" hidden="1" x14ac:dyDescent="0.35">
      <c r="A240">
        <v>57045841100</v>
      </c>
      <c r="B240" t="s">
        <v>253</v>
      </c>
      <c r="C240" t="str">
        <f>_xlfn.XLOOKUP(A240,[1]Affiliations!$J$2:$J$5328,[1]Affiliations!$K$2:$K$5328,0)</f>
        <v>Universidade Federal de Pernambuco</v>
      </c>
      <c r="D240">
        <v>3</v>
      </c>
      <c r="E240">
        <v>179</v>
      </c>
      <c r="F240">
        <v>59.666668000000001</v>
      </c>
      <c r="G240">
        <v>3</v>
      </c>
      <c r="H240">
        <v>1.9</v>
      </c>
      <c r="I240">
        <v>1</v>
      </c>
      <c r="J240">
        <v>1</v>
      </c>
      <c r="K240">
        <v>2</v>
      </c>
      <c r="L240">
        <v>3</v>
      </c>
      <c r="M240">
        <v>3</v>
      </c>
      <c r="N240">
        <v>3</v>
      </c>
      <c r="P240">
        <v>0</v>
      </c>
      <c r="Q240">
        <v>1</v>
      </c>
      <c r="R240">
        <v>1</v>
      </c>
      <c r="S240">
        <v>3</v>
      </c>
    </row>
    <row r="241" spans="1:19" hidden="1" x14ac:dyDescent="0.35">
      <c r="A241">
        <v>57197876473</v>
      </c>
      <c r="B241" t="s">
        <v>254</v>
      </c>
      <c r="C241" t="str">
        <f>_xlfn.XLOOKUP(A241,[1]Affiliations!$J$2:$J$5328,[1]Affiliations!$K$2:$K$5328,0)</f>
        <v>Federal University of Rio de Janeiro</v>
      </c>
      <c r="D241">
        <v>9</v>
      </c>
      <c r="E241">
        <v>131</v>
      </c>
      <c r="F241">
        <v>14.555555</v>
      </c>
      <c r="G241">
        <v>3</v>
      </c>
      <c r="H241">
        <v>0.72</v>
      </c>
      <c r="I241">
        <v>0</v>
      </c>
      <c r="J241">
        <v>0</v>
      </c>
      <c r="K241">
        <v>0</v>
      </c>
      <c r="L241">
        <v>2</v>
      </c>
      <c r="M241">
        <v>3</v>
      </c>
      <c r="N241">
        <v>4</v>
      </c>
      <c r="P241">
        <v>0</v>
      </c>
      <c r="Q241">
        <v>1</v>
      </c>
      <c r="R241">
        <v>1</v>
      </c>
      <c r="S241">
        <v>1</v>
      </c>
    </row>
    <row r="242" spans="1:19" hidden="1" x14ac:dyDescent="0.35">
      <c r="A242">
        <v>57195965146</v>
      </c>
      <c r="B242" t="s">
        <v>255</v>
      </c>
      <c r="C242" t="str">
        <f>_xlfn.XLOOKUP(A242,[1]Affiliations!$J$2:$J$5328,[1]Affiliations!$K$2:$K$5328,0)</f>
        <v>Federal University of Santa Catarina</v>
      </c>
      <c r="D242">
        <v>2</v>
      </c>
      <c r="E242">
        <v>25</v>
      </c>
      <c r="F242">
        <v>12.5</v>
      </c>
      <c r="G242">
        <v>2</v>
      </c>
      <c r="H242">
        <v>0.77</v>
      </c>
      <c r="I242">
        <v>0</v>
      </c>
      <c r="J242">
        <v>0</v>
      </c>
      <c r="K242">
        <v>0</v>
      </c>
      <c r="L242">
        <v>0</v>
      </c>
      <c r="M242">
        <v>2</v>
      </c>
      <c r="N242">
        <v>2</v>
      </c>
      <c r="P242">
        <v>0</v>
      </c>
      <c r="Q242">
        <v>0</v>
      </c>
      <c r="R242">
        <v>0</v>
      </c>
      <c r="S242">
        <v>0</v>
      </c>
    </row>
    <row r="243" spans="1:19" x14ac:dyDescent="0.35">
      <c r="A243">
        <v>9276174200</v>
      </c>
      <c r="B243" t="s">
        <v>5265</v>
      </c>
      <c r="C243" t="str">
        <f>_xlfn.XLOOKUP(A243,[1]Affiliations!$J$2:$J$5328,[1]Affiliations!$K$2:$K$5328,0)</f>
        <v>Federal University of Santa Catarina</v>
      </c>
      <c r="D243">
        <v>6</v>
      </c>
      <c r="E243">
        <v>292</v>
      </c>
      <c r="F243">
        <v>48.666668000000001</v>
      </c>
      <c r="G243">
        <v>8</v>
      </c>
      <c r="H243">
        <v>1.86</v>
      </c>
      <c r="I243">
        <v>0</v>
      </c>
      <c r="J243">
        <v>1</v>
      </c>
      <c r="K243">
        <v>1</v>
      </c>
      <c r="L243">
        <v>4</v>
      </c>
      <c r="M243">
        <v>5</v>
      </c>
      <c r="N243">
        <v>5</v>
      </c>
      <c r="P243">
        <v>0</v>
      </c>
      <c r="Q243">
        <v>1</v>
      </c>
      <c r="R243">
        <v>2</v>
      </c>
      <c r="S243">
        <v>3</v>
      </c>
    </row>
    <row r="244" spans="1:19" x14ac:dyDescent="0.35">
      <c r="A244">
        <v>55696990700</v>
      </c>
      <c r="B244" t="s">
        <v>865</v>
      </c>
      <c r="C244" t="str">
        <f>_xlfn.XLOOKUP(A244,[1]Affiliations!$J$2:$J$5328,[1]Affiliations!$K$2:$K$5328,0)</f>
        <v>Federal University of Santa Catarina</v>
      </c>
      <c r="D244">
        <v>20</v>
      </c>
      <c r="E244">
        <v>714</v>
      </c>
      <c r="F244">
        <v>35.700000000000003</v>
      </c>
      <c r="G244">
        <v>13</v>
      </c>
      <c r="H244">
        <v>1.85</v>
      </c>
      <c r="I244">
        <v>2</v>
      </c>
      <c r="J244">
        <v>8</v>
      </c>
      <c r="K244">
        <v>10</v>
      </c>
      <c r="L244">
        <v>16</v>
      </c>
      <c r="M244">
        <v>17</v>
      </c>
      <c r="N244">
        <v>18</v>
      </c>
      <c r="P244">
        <v>0</v>
      </c>
      <c r="Q244">
        <v>6</v>
      </c>
      <c r="R244">
        <v>8</v>
      </c>
      <c r="S244">
        <v>13</v>
      </c>
    </row>
    <row r="245" spans="1:19" x14ac:dyDescent="0.35">
      <c r="A245">
        <v>6603728352</v>
      </c>
      <c r="B245" t="s">
        <v>3603</v>
      </c>
      <c r="C245" t="str">
        <f>_xlfn.XLOOKUP(A245,[1]Affiliations!$J$2:$J$5328,[1]Affiliations!$K$2:$K$5328,0)</f>
        <v>Instituto Nacional de Pesquisas Espaciais</v>
      </c>
      <c r="D245">
        <v>42</v>
      </c>
      <c r="E245">
        <v>1972</v>
      </c>
      <c r="F245">
        <v>46.952379999999998</v>
      </c>
      <c r="G245">
        <v>24</v>
      </c>
      <c r="H245">
        <v>1.85</v>
      </c>
      <c r="I245">
        <v>0</v>
      </c>
      <c r="J245">
        <v>7</v>
      </c>
      <c r="K245">
        <v>12</v>
      </c>
      <c r="L245">
        <v>24</v>
      </c>
      <c r="M245">
        <v>38</v>
      </c>
      <c r="N245">
        <v>39</v>
      </c>
      <c r="P245">
        <v>2</v>
      </c>
      <c r="Q245">
        <v>7</v>
      </c>
      <c r="R245">
        <v>12</v>
      </c>
      <c r="S245">
        <v>22</v>
      </c>
    </row>
    <row r="246" spans="1:19" x14ac:dyDescent="0.35">
      <c r="A246">
        <v>57200034697</v>
      </c>
      <c r="B246" t="s">
        <v>1815</v>
      </c>
      <c r="C246" t="str">
        <f>_xlfn.XLOOKUP(A246,[1]Affiliations!$J$2:$J$5328,[1]Affiliations!$K$2:$K$5328,0)</f>
        <v>Federal University of Rio de Janeiro</v>
      </c>
      <c r="D246">
        <v>10</v>
      </c>
      <c r="E246">
        <v>416</v>
      </c>
      <c r="F246">
        <v>41.6</v>
      </c>
      <c r="G246">
        <v>5</v>
      </c>
      <c r="H246">
        <v>1.84</v>
      </c>
      <c r="I246">
        <v>2</v>
      </c>
      <c r="J246">
        <v>4</v>
      </c>
      <c r="K246">
        <v>4</v>
      </c>
      <c r="L246">
        <v>6</v>
      </c>
      <c r="M246">
        <v>6</v>
      </c>
      <c r="N246">
        <v>7</v>
      </c>
      <c r="P246">
        <v>1</v>
      </c>
      <c r="Q246">
        <v>2</v>
      </c>
      <c r="R246">
        <v>3</v>
      </c>
      <c r="S246">
        <v>4</v>
      </c>
    </row>
    <row r="247" spans="1:19" hidden="1" x14ac:dyDescent="0.35">
      <c r="A247">
        <v>57195632128</v>
      </c>
      <c r="B247" t="s">
        <v>260</v>
      </c>
      <c r="C247" t="str">
        <f>_xlfn.XLOOKUP(A247,[1]Affiliations!$J$2:$J$5328,[1]Affiliations!$K$2:$K$5328,0)</f>
        <v>Federal University of Rio de Janeiro</v>
      </c>
      <c r="D247">
        <v>1</v>
      </c>
      <c r="E247">
        <v>3</v>
      </c>
      <c r="F247">
        <v>3</v>
      </c>
      <c r="G247">
        <v>1</v>
      </c>
      <c r="H247">
        <v>0</v>
      </c>
      <c r="P247">
        <v>0</v>
      </c>
      <c r="Q247">
        <v>0</v>
      </c>
      <c r="R247">
        <v>0</v>
      </c>
      <c r="S247">
        <v>0</v>
      </c>
    </row>
    <row r="248" spans="1:19" hidden="1" x14ac:dyDescent="0.35">
      <c r="A248">
        <v>8987205600</v>
      </c>
      <c r="B248" t="s">
        <v>261</v>
      </c>
      <c r="C248" t="str">
        <f>_xlfn.XLOOKUP(A248,[1]Affiliations!$J$2:$J$5328,[1]Affiliations!$K$2:$K$5328,0)</f>
        <v>Federal University of Rio de Janeiro</v>
      </c>
      <c r="D248">
        <v>4</v>
      </c>
      <c r="E248">
        <v>76</v>
      </c>
      <c r="F248">
        <v>19</v>
      </c>
      <c r="G248">
        <v>6</v>
      </c>
      <c r="H248">
        <v>0.75</v>
      </c>
      <c r="I248">
        <v>0</v>
      </c>
      <c r="J248">
        <v>0</v>
      </c>
      <c r="K248">
        <v>0</v>
      </c>
      <c r="L248">
        <v>4</v>
      </c>
      <c r="M248">
        <v>4</v>
      </c>
      <c r="N248">
        <v>4</v>
      </c>
      <c r="P248">
        <v>0</v>
      </c>
      <c r="Q248">
        <v>0</v>
      </c>
      <c r="R248">
        <v>0</v>
      </c>
      <c r="S248">
        <v>1</v>
      </c>
    </row>
    <row r="249" spans="1:19" hidden="1" x14ac:dyDescent="0.35">
      <c r="A249">
        <v>57194766532</v>
      </c>
      <c r="B249" t="s">
        <v>262</v>
      </c>
      <c r="C249" t="str">
        <f>_xlfn.XLOOKUP(A249,[1]Affiliations!$J$2:$J$5328,[1]Affiliations!$K$2:$K$5328,0)</f>
        <v>Laboratory of Nondestructive Testing (+1 more)</v>
      </c>
      <c r="D249">
        <v>16</v>
      </c>
      <c r="E249">
        <v>144</v>
      </c>
      <c r="F249">
        <v>9</v>
      </c>
      <c r="G249">
        <v>7</v>
      </c>
      <c r="H249">
        <v>0.48</v>
      </c>
      <c r="I249">
        <v>0</v>
      </c>
      <c r="J249">
        <v>0</v>
      </c>
      <c r="K249">
        <v>1</v>
      </c>
      <c r="L249">
        <v>10</v>
      </c>
      <c r="M249">
        <v>10</v>
      </c>
      <c r="N249">
        <v>12</v>
      </c>
      <c r="P249">
        <v>0</v>
      </c>
      <c r="Q249">
        <v>0</v>
      </c>
      <c r="R249">
        <v>0</v>
      </c>
      <c r="S249">
        <v>2</v>
      </c>
    </row>
    <row r="250" spans="1:19" hidden="1" x14ac:dyDescent="0.35">
      <c r="A250">
        <v>6506165744</v>
      </c>
      <c r="B250" t="s">
        <v>263</v>
      </c>
      <c r="C250" t="str">
        <f>_xlfn.XLOOKUP(A250,[1]Affiliations!$J$2:$J$5328,[1]Affiliations!$K$2:$K$5328,0)</f>
        <v>Universidade Federal de Uberlândia</v>
      </c>
      <c r="D250">
        <v>35</v>
      </c>
      <c r="E250">
        <v>238</v>
      </c>
      <c r="F250">
        <v>6.8</v>
      </c>
      <c r="G250">
        <v>10</v>
      </c>
      <c r="H250">
        <v>0.36</v>
      </c>
      <c r="I250">
        <v>0</v>
      </c>
      <c r="J250">
        <v>1</v>
      </c>
      <c r="K250">
        <v>4</v>
      </c>
      <c r="L250">
        <v>12</v>
      </c>
      <c r="M250">
        <v>19</v>
      </c>
      <c r="N250">
        <v>25</v>
      </c>
      <c r="P250">
        <v>0</v>
      </c>
      <c r="Q250">
        <v>0</v>
      </c>
      <c r="R250">
        <v>0</v>
      </c>
      <c r="S250">
        <v>2</v>
      </c>
    </row>
    <row r="251" spans="1:19" hidden="1" x14ac:dyDescent="0.35">
      <c r="A251">
        <v>58628777800</v>
      </c>
      <c r="B251" t="s">
        <v>264</v>
      </c>
      <c r="C251" t="str">
        <f>_xlfn.XLOOKUP(A251,[1]Affiliations!$J$2:$J$5328,[1]Affiliations!$K$2:$K$5328,0)</f>
        <v>Universidade de São Paulo</v>
      </c>
      <c r="D251">
        <v>4</v>
      </c>
      <c r="E251">
        <v>36</v>
      </c>
      <c r="F251">
        <v>9</v>
      </c>
      <c r="G251">
        <v>3</v>
      </c>
      <c r="H251">
        <v>1.1100000000000001</v>
      </c>
      <c r="I251">
        <v>0</v>
      </c>
      <c r="J251">
        <v>1</v>
      </c>
      <c r="K251">
        <v>2</v>
      </c>
      <c r="L251">
        <v>3</v>
      </c>
      <c r="M251">
        <v>3</v>
      </c>
      <c r="N251">
        <v>3</v>
      </c>
      <c r="P251">
        <v>0</v>
      </c>
      <c r="Q251">
        <v>0</v>
      </c>
      <c r="R251">
        <v>1</v>
      </c>
      <c r="S251">
        <v>2</v>
      </c>
    </row>
    <row r="252" spans="1:19" hidden="1" x14ac:dyDescent="0.35">
      <c r="A252">
        <v>57196116554</v>
      </c>
      <c r="B252" t="s">
        <v>265</v>
      </c>
      <c r="C252" t="str">
        <f>_xlfn.XLOOKUP(A252,[1]Affiliations!$J$2:$J$5328,[1]Affiliations!$K$2:$K$5328,0)</f>
        <v>Universidade Federal do Rio Grande do Sul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P252">
        <v>0</v>
      </c>
      <c r="Q252">
        <v>0</v>
      </c>
      <c r="R252">
        <v>0</v>
      </c>
      <c r="S252">
        <v>0</v>
      </c>
    </row>
    <row r="253" spans="1:19" x14ac:dyDescent="0.35">
      <c r="A253">
        <v>57194612899</v>
      </c>
      <c r="B253" t="s">
        <v>2235</v>
      </c>
      <c r="C253" t="str">
        <f>_xlfn.XLOOKUP(A253,[1]Affiliations!$J$2:$J$5328,[1]Affiliations!$K$2:$K$5328,0)</f>
        <v>Pontifical Catholic University of Rio de Janeiro</v>
      </c>
      <c r="D253">
        <v>7</v>
      </c>
      <c r="E253">
        <v>245</v>
      </c>
      <c r="F253">
        <v>35</v>
      </c>
      <c r="G253">
        <v>5</v>
      </c>
      <c r="H253">
        <v>1.84</v>
      </c>
      <c r="I253">
        <v>0</v>
      </c>
      <c r="J253">
        <v>0</v>
      </c>
      <c r="K253">
        <v>1</v>
      </c>
      <c r="L253">
        <v>4</v>
      </c>
      <c r="M253">
        <v>6</v>
      </c>
      <c r="N253">
        <v>7</v>
      </c>
      <c r="P253">
        <v>0</v>
      </c>
      <c r="Q253">
        <v>1</v>
      </c>
      <c r="R253">
        <v>2</v>
      </c>
      <c r="S253">
        <v>4</v>
      </c>
    </row>
    <row r="254" spans="1:19" x14ac:dyDescent="0.35">
      <c r="A254">
        <v>36998799200</v>
      </c>
      <c r="B254" t="s">
        <v>2986</v>
      </c>
      <c r="C254" t="str">
        <f>_xlfn.XLOOKUP(A254,[1]Affiliations!$J$2:$J$5328,[1]Affiliations!$K$2:$K$5328,0)</f>
        <v>Centro Nacional de Pesquisa em Energia e Materiais</v>
      </c>
      <c r="D254">
        <v>22</v>
      </c>
      <c r="E254">
        <v>1162</v>
      </c>
      <c r="F254">
        <v>52.818179999999998</v>
      </c>
      <c r="G254">
        <v>16</v>
      </c>
      <c r="H254">
        <v>1.83</v>
      </c>
      <c r="I254">
        <v>1</v>
      </c>
      <c r="J254">
        <v>9</v>
      </c>
      <c r="K254">
        <v>13</v>
      </c>
      <c r="L254">
        <v>19</v>
      </c>
      <c r="M254">
        <v>20</v>
      </c>
      <c r="N254">
        <v>22</v>
      </c>
      <c r="P254">
        <v>1</v>
      </c>
      <c r="Q254">
        <v>5</v>
      </c>
      <c r="R254">
        <v>9</v>
      </c>
      <c r="S254">
        <v>15</v>
      </c>
    </row>
    <row r="255" spans="1:19" hidden="1" x14ac:dyDescent="0.35">
      <c r="A255">
        <v>57210642013</v>
      </c>
      <c r="B255" t="s">
        <v>268</v>
      </c>
      <c r="C255" t="str">
        <f>_xlfn.XLOOKUP(A255,[1]Affiliations!$J$2:$J$5328,[1]Affiliations!$K$2:$K$5328,0)</f>
        <v>Universidade de São Paulo</v>
      </c>
      <c r="D255">
        <v>9</v>
      </c>
      <c r="E255">
        <v>85</v>
      </c>
      <c r="F255">
        <v>9.444445</v>
      </c>
      <c r="G255">
        <v>5</v>
      </c>
      <c r="H255">
        <v>0.86</v>
      </c>
      <c r="I255">
        <v>0</v>
      </c>
      <c r="J255">
        <v>3</v>
      </c>
      <c r="K255">
        <v>3</v>
      </c>
      <c r="L255">
        <v>5</v>
      </c>
      <c r="M255">
        <v>6</v>
      </c>
      <c r="N255">
        <v>7</v>
      </c>
      <c r="P255">
        <v>0</v>
      </c>
      <c r="Q255">
        <v>0</v>
      </c>
      <c r="R255">
        <v>0</v>
      </c>
      <c r="S255">
        <v>3</v>
      </c>
    </row>
    <row r="256" spans="1:19" hidden="1" x14ac:dyDescent="0.35">
      <c r="A256">
        <v>34869173800</v>
      </c>
      <c r="B256" t="s">
        <v>269</v>
      </c>
      <c r="C256" t="str">
        <f>_xlfn.XLOOKUP(A256,[1]Affiliations!$J$2:$J$5328,[1]Affiliations!$K$2:$K$5328,0)</f>
        <v>Federal University of Santa Catarina</v>
      </c>
      <c r="D256">
        <v>3</v>
      </c>
      <c r="E256">
        <v>5</v>
      </c>
      <c r="F256">
        <v>1.6666666000000001</v>
      </c>
      <c r="G256">
        <v>2</v>
      </c>
      <c r="H256">
        <v>0.01</v>
      </c>
      <c r="I256">
        <v>0</v>
      </c>
      <c r="J256">
        <v>0</v>
      </c>
      <c r="K256">
        <v>1</v>
      </c>
      <c r="L256">
        <v>1</v>
      </c>
      <c r="M256">
        <v>2</v>
      </c>
      <c r="N256">
        <v>2</v>
      </c>
      <c r="P256">
        <v>0</v>
      </c>
      <c r="Q256">
        <v>0</v>
      </c>
      <c r="R256">
        <v>0</v>
      </c>
      <c r="S256">
        <v>0</v>
      </c>
    </row>
    <row r="257" spans="1:19" hidden="1" x14ac:dyDescent="0.35">
      <c r="A257">
        <v>55542613200</v>
      </c>
      <c r="B257" t="s">
        <v>270</v>
      </c>
      <c r="C257" t="str">
        <f>_xlfn.XLOOKUP(A257,[1]Affiliations!$J$2:$J$5328,[1]Affiliations!$K$2:$K$5328,0)</f>
        <v>University of Campinas</v>
      </c>
      <c r="D257">
        <v>2</v>
      </c>
      <c r="E257">
        <v>12</v>
      </c>
      <c r="F257">
        <v>6</v>
      </c>
      <c r="G257">
        <v>1</v>
      </c>
      <c r="H257">
        <v>0.11</v>
      </c>
      <c r="I257">
        <v>0</v>
      </c>
      <c r="J257">
        <v>0</v>
      </c>
      <c r="K257">
        <v>0</v>
      </c>
      <c r="L257">
        <v>0</v>
      </c>
      <c r="M257">
        <v>2</v>
      </c>
      <c r="N257">
        <v>2</v>
      </c>
      <c r="P257">
        <v>0</v>
      </c>
      <c r="Q257">
        <v>0</v>
      </c>
      <c r="R257">
        <v>0</v>
      </c>
      <c r="S257">
        <v>0</v>
      </c>
    </row>
    <row r="258" spans="1:19" hidden="1" x14ac:dyDescent="0.35">
      <c r="A258">
        <v>8064318200</v>
      </c>
      <c r="B258" t="s">
        <v>271</v>
      </c>
      <c r="C258" t="str">
        <f>_xlfn.XLOOKUP(A258,[1]Affiliations!$J$2:$J$5328,[1]Affiliations!$K$2:$K$5328,0)</f>
        <v>Universidade Federal de Uberlândia</v>
      </c>
      <c r="D258">
        <v>19</v>
      </c>
      <c r="E258">
        <v>172</v>
      </c>
      <c r="F258">
        <v>9.0526309999999999</v>
      </c>
      <c r="G258">
        <v>9</v>
      </c>
      <c r="H258">
        <v>0.36</v>
      </c>
      <c r="I258">
        <v>0</v>
      </c>
      <c r="J258">
        <v>3</v>
      </c>
      <c r="K258">
        <v>5</v>
      </c>
      <c r="L258">
        <v>9</v>
      </c>
      <c r="M258">
        <v>15</v>
      </c>
      <c r="N258">
        <v>17</v>
      </c>
      <c r="P258">
        <v>0</v>
      </c>
      <c r="Q258">
        <v>0</v>
      </c>
      <c r="R258">
        <v>0</v>
      </c>
      <c r="S258">
        <v>2</v>
      </c>
    </row>
    <row r="259" spans="1:19" hidden="1" x14ac:dyDescent="0.35">
      <c r="A259">
        <v>56018140800</v>
      </c>
      <c r="B259" t="s">
        <v>272</v>
      </c>
      <c r="C259" t="str">
        <f>_xlfn.XLOOKUP(A259,[1]Affiliations!$J$2:$J$5328,[1]Affiliations!$K$2:$K$5328,0)</f>
        <v>Tenaris Pipeline Technology (+4 more)</v>
      </c>
      <c r="D259">
        <v>15</v>
      </c>
      <c r="E259">
        <v>7</v>
      </c>
      <c r="F259">
        <v>0.46666667000000001</v>
      </c>
      <c r="G259">
        <v>3</v>
      </c>
      <c r="H259">
        <v>0.3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3</v>
      </c>
      <c r="P259">
        <v>0</v>
      </c>
      <c r="Q259">
        <v>0</v>
      </c>
      <c r="R259">
        <v>0</v>
      </c>
      <c r="S259">
        <v>0</v>
      </c>
    </row>
    <row r="260" spans="1:19" x14ac:dyDescent="0.35">
      <c r="A260">
        <v>56393969400</v>
      </c>
      <c r="B260" t="s">
        <v>4611</v>
      </c>
      <c r="C260" t="str">
        <f>_xlfn.XLOOKUP(A260,[1]Affiliations!$J$2:$J$5328,[1]Affiliations!$K$2:$K$5328,0)</f>
        <v>Centro Nacional de Pesquisa em Energia e Materiais</v>
      </c>
      <c r="D260">
        <v>87</v>
      </c>
      <c r="E260">
        <v>2873</v>
      </c>
      <c r="F260">
        <v>33.022987000000001</v>
      </c>
      <c r="G260">
        <v>31</v>
      </c>
      <c r="H260">
        <v>1.83</v>
      </c>
      <c r="I260">
        <v>7</v>
      </c>
      <c r="J260">
        <v>18</v>
      </c>
      <c r="K260">
        <v>40</v>
      </c>
      <c r="L260">
        <v>62</v>
      </c>
      <c r="M260">
        <v>69</v>
      </c>
      <c r="N260">
        <v>71</v>
      </c>
      <c r="P260">
        <v>2</v>
      </c>
      <c r="Q260">
        <v>10</v>
      </c>
      <c r="R260">
        <v>20</v>
      </c>
      <c r="S260">
        <v>47</v>
      </c>
    </row>
    <row r="261" spans="1:19" hidden="1" x14ac:dyDescent="0.35">
      <c r="A261">
        <v>7005225121</v>
      </c>
      <c r="B261" t="s">
        <v>274</v>
      </c>
      <c r="C261" t="str">
        <f>_xlfn.XLOOKUP(A261,[1]Affiliations!$J$2:$J$5328,[1]Affiliations!$K$2:$K$5328,0)</f>
        <v>Federal University of Rio de Janeiro</v>
      </c>
      <c r="D261">
        <v>6</v>
      </c>
      <c r="E261">
        <v>66</v>
      </c>
      <c r="F261">
        <v>11</v>
      </c>
      <c r="G261">
        <v>7</v>
      </c>
      <c r="H261">
        <v>0.49</v>
      </c>
      <c r="I261">
        <v>1</v>
      </c>
      <c r="J261">
        <v>1</v>
      </c>
      <c r="K261">
        <v>1</v>
      </c>
      <c r="L261">
        <v>4</v>
      </c>
      <c r="M261">
        <v>5</v>
      </c>
      <c r="N261">
        <v>5</v>
      </c>
      <c r="P261">
        <v>0</v>
      </c>
      <c r="Q261">
        <v>0</v>
      </c>
      <c r="R261">
        <v>0</v>
      </c>
      <c r="S261">
        <v>2</v>
      </c>
    </row>
    <row r="262" spans="1:19" x14ac:dyDescent="0.35">
      <c r="A262">
        <v>57039798100</v>
      </c>
      <c r="B262" t="s">
        <v>4167</v>
      </c>
      <c r="C262" t="str">
        <f>_xlfn.XLOOKUP(A262,[1]Affiliations!$J$2:$J$5328,[1]Affiliations!$K$2:$K$5328,0)</f>
        <v>University of Campinas</v>
      </c>
      <c r="D262">
        <v>65</v>
      </c>
      <c r="E262">
        <v>2872</v>
      </c>
      <c r="F262">
        <v>44.184615999999998</v>
      </c>
      <c r="G262">
        <v>39</v>
      </c>
      <c r="H262">
        <v>1.82</v>
      </c>
      <c r="I262">
        <v>1</v>
      </c>
      <c r="J262">
        <v>22</v>
      </c>
      <c r="K262">
        <v>37</v>
      </c>
      <c r="L262">
        <v>58</v>
      </c>
      <c r="M262">
        <v>60</v>
      </c>
      <c r="N262">
        <v>61</v>
      </c>
      <c r="P262">
        <v>0</v>
      </c>
      <c r="Q262">
        <v>15</v>
      </c>
      <c r="R262">
        <v>29</v>
      </c>
      <c r="S262">
        <v>51</v>
      </c>
    </row>
    <row r="263" spans="1:19" hidden="1" x14ac:dyDescent="0.35">
      <c r="A263">
        <v>57191501270</v>
      </c>
      <c r="B263" t="s">
        <v>276</v>
      </c>
      <c r="C263" t="str">
        <f>_xlfn.XLOOKUP(A263,[1]Affiliations!$J$2:$J$5328,[1]Affiliations!$K$2:$K$5328,0)</f>
        <v>Universidade Federal de Pernambuco</v>
      </c>
      <c r="D263">
        <v>7</v>
      </c>
      <c r="E263">
        <v>73</v>
      </c>
      <c r="F263">
        <v>10.428572000000001</v>
      </c>
      <c r="G263">
        <v>4</v>
      </c>
      <c r="H263">
        <v>0.93</v>
      </c>
      <c r="I263">
        <v>0</v>
      </c>
      <c r="J263">
        <v>0</v>
      </c>
      <c r="K263">
        <v>0</v>
      </c>
      <c r="L263">
        <v>2</v>
      </c>
      <c r="M263">
        <v>6</v>
      </c>
      <c r="N263">
        <v>6</v>
      </c>
      <c r="P263">
        <v>0</v>
      </c>
      <c r="Q263">
        <v>0</v>
      </c>
      <c r="R263">
        <v>1</v>
      </c>
      <c r="S263">
        <v>2</v>
      </c>
    </row>
    <row r="264" spans="1:19" hidden="1" x14ac:dyDescent="0.35">
      <c r="A264">
        <v>57215103591</v>
      </c>
      <c r="B264" t="s">
        <v>277</v>
      </c>
      <c r="C264" t="str">
        <f>_xlfn.XLOOKUP(A264,[1]Affiliations!$J$2:$J$5328,[1]Affiliations!$K$2:$K$5328,0)</f>
        <v>Universidade Estadual Paulista “Júlio de Mesquita Filho”</v>
      </c>
      <c r="D264">
        <v>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P264">
        <v>0</v>
      </c>
      <c r="Q264">
        <v>0</v>
      </c>
      <c r="R264">
        <v>0</v>
      </c>
      <c r="S264">
        <v>0</v>
      </c>
    </row>
    <row r="265" spans="1:19" x14ac:dyDescent="0.35">
      <c r="A265">
        <v>55778441600</v>
      </c>
      <c r="B265" t="s">
        <v>4472</v>
      </c>
      <c r="C265" t="str">
        <f>_xlfn.XLOOKUP(A265,[1]Affiliations!$J$2:$J$5328,[1]Affiliations!$K$2:$K$5328,0)</f>
        <v>Fudan University (+1 more)</v>
      </c>
      <c r="D265">
        <v>23</v>
      </c>
      <c r="E265">
        <v>587</v>
      </c>
      <c r="F265">
        <v>25.521740000000001</v>
      </c>
      <c r="G265">
        <v>13</v>
      </c>
      <c r="H265">
        <v>1.81</v>
      </c>
      <c r="I265">
        <v>0</v>
      </c>
      <c r="J265">
        <v>3</v>
      </c>
      <c r="K265">
        <v>8</v>
      </c>
      <c r="L265">
        <v>12</v>
      </c>
      <c r="M265">
        <v>15</v>
      </c>
      <c r="N265">
        <v>20</v>
      </c>
      <c r="P265">
        <v>1</v>
      </c>
      <c r="Q265">
        <v>3</v>
      </c>
      <c r="R265">
        <v>4</v>
      </c>
      <c r="S265">
        <v>9</v>
      </c>
    </row>
    <row r="266" spans="1:19" x14ac:dyDescent="0.35">
      <c r="A266">
        <v>23478527200</v>
      </c>
      <c r="B266" t="s">
        <v>5046</v>
      </c>
      <c r="C266" t="str">
        <f>_xlfn.XLOOKUP(A266,[1]Affiliations!$J$2:$J$5328,[1]Affiliations!$K$2:$K$5328,0)</f>
        <v>Federal University of Rio de Janeiro</v>
      </c>
      <c r="D266">
        <v>62</v>
      </c>
      <c r="E266">
        <v>2020</v>
      </c>
      <c r="F266">
        <v>32.580646999999999</v>
      </c>
      <c r="G266">
        <v>18</v>
      </c>
      <c r="H266">
        <v>1.81</v>
      </c>
      <c r="I266">
        <v>1</v>
      </c>
      <c r="J266">
        <v>9</v>
      </c>
      <c r="K266">
        <v>23</v>
      </c>
      <c r="L266">
        <v>36</v>
      </c>
      <c r="M266">
        <v>48</v>
      </c>
      <c r="N266">
        <v>61</v>
      </c>
      <c r="P266">
        <v>1</v>
      </c>
      <c r="Q266">
        <v>3</v>
      </c>
      <c r="R266">
        <v>7</v>
      </c>
      <c r="S266">
        <v>20</v>
      </c>
    </row>
    <row r="267" spans="1:19" x14ac:dyDescent="0.35">
      <c r="A267">
        <v>57193904621</v>
      </c>
      <c r="B267" t="s">
        <v>401</v>
      </c>
      <c r="C267" t="str">
        <f>_xlfn.XLOOKUP(A267,[1]Affiliations!$J$2:$J$5328,[1]Affiliations!$K$2:$K$5328,0)</f>
        <v>Instituto Nacional de Tecnologia</v>
      </c>
      <c r="D267">
        <v>5</v>
      </c>
      <c r="E267">
        <v>225</v>
      </c>
      <c r="F267">
        <v>45</v>
      </c>
      <c r="G267">
        <v>4</v>
      </c>
      <c r="H267">
        <v>1.8</v>
      </c>
      <c r="I267">
        <v>0</v>
      </c>
      <c r="J267">
        <v>0</v>
      </c>
      <c r="K267">
        <v>2</v>
      </c>
      <c r="L267">
        <v>4</v>
      </c>
      <c r="M267">
        <v>4</v>
      </c>
      <c r="N267">
        <v>4</v>
      </c>
      <c r="P267">
        <v>0</v>
      </c>
      <c r="Q267">
        <v>1</v>
      </c>
      <c r="R267">
        <v>4</v>
      </c>
      <c r="S267">
        <v>4</v>
      </c>
    </row>
    <row r="268" spans="1:19" hidden="1" x14ac:dyDescent="0.35">
      <c r="A268">
        <v>57699564800</v>
      </c>
      <c r="B268" t="s">
        <v>281</v>
      </c>
      <c r="C268" t="str">
        <f>_xlfn.XLOOKUP(A268,[1]Affiliations!$J$2:$J$5328,[1]Affiliations!$K$2:$K$5328,0)</f>
        <v>Federal University of Rio de Janeiro</v>
      </c>
      <c r="D268">
        <v>2</v>
      </c>
      <c r="E268">
        <v>3</v>
      </c>
      <c r="F268">
        <v>1.5</v>
      </c>
      <c r="G268">
        <v>1</v>
      </c>
      <c r="H268">
        <v>0.55000000000000004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P268">
        <v>0</v>
      </c>
      <c r="Q268">
        <v>0</v>
      </c>
      <c r="R268">
        <v>0</v>
      </c>
      <c r="S268">
        <v>0</v>
      </c>
    </row>
    <row r="269" spans="1:19" x14ac:dyDescent="0.35">
      <c r="A269">
        <v>56644804400</v>
      </c>
      <c r="B269" t="s">
        <v>4129</v>
      </c>
      <c r="C269" t="str">
        <f>_xlfn.XLOOKUP(A269,[1]Affiliations!$J$2:$J$5328,[1]Affiliations!$K$2:$K$5328,0)</f>
        <v>Universidade Federal da Bahia (+1 more)</v>
      </c>
      <c r="D269">
        <v>6</v>
      </c>
      <c r="E269">
        <v>85</v>
      </c>
      <c r="F269">
        <v>14.166667</v>
      </c>
      <c r="G269">
        <v>5</v>
      </c>
      <c r="H269">
        <v>1.8</v>
      </c>
      <c r="I269">
        <v>0</v>
      </c>
      <c r="J269">
        <v>0</v>
      </c>
      <c r="K269">
        <v>2</v>
      </c>
      <c r="L269">
        <v>3</v>
      </c>
      <c r="M269">
        <v>3</v>
      </c>
      <c r="N269">
        <v>4</v>
      </c>
      <c r="P269">
        <v>0</v>
      </c>
      <c r="Q269">
        <v>0</v>
      </c>
      <c r="R269">
        <v>1</v>
      </c>
      <c r="S269">
        <v>2</v>
      </c>
    </row>
    <row r="270" spans="1:19" x14ac:dyDescent="0.35">
      <c r="A270">
        <v>57203024419</v>
      </c>
      <c r="B270" t="s">
        <v>344</v>
      </c>
      <c r="C270" t="str">
        <f>_xlfn.XLOOKUP(A270,[1]Affiliations!$J$2:$J$5328,[1]Affiliations!$K$2:$K$5328,0)</f>
        <v>Centro Federal de Educação Tecnológica Celso Suckow da Fonseca (CEFET-RJ)</v>
      </c>
      <c r="D270">
        <v>102</v>
      </c>
      <c r="E270">
        <v>4615</v>
      </c>
      <c r="F270">
        <v>45.245100000000001</v>
      </c>
      <c r="G270">
        <v>48</v>
      </c>
      <c r="H270">
        <v>1.79</v>
      </c>
      <c r="I270">
        <v>0</v>
      </c>
      <c r="J270">
        <v>5</v>
      </c>
      <c r="K270">
        <v>6</v>
      </c>
      <c r="L270">
        <v>26</v>
      </c>
      <c r="M270">
        <v>64</v>
      </c>
      <c r="N270">
        <v>82</v>
      </c>
      <c r="P270">
        <v>5</v>
      </c>
      <c r="Q270">
        <v>18</v>
      </c>
      <c r="R270">
        <v>31</v>
      </c>
      <c r="S270">
        <v>61</v>
      </c>
    </row>
    <row r="271" spans="1:19" hidden="1" x14ac:dyDescent="0.35">
      <c r="A271">
        <v>56982996200</v>
      </c>
      <c r="B271" t="s">
        <v>284</v>
      </c>
      <c r="C271" t="str">
        <f>_xlfn.XLOOKUP(A271,[1]Affiliations!$J$2:$J$5328,[1]Affiliations!$K$2:$K$5328,0)</f>
        <v>Universidade de São Paulo (+1 more)</v>
      </c>
      <c r="D271">
        <v>3</v>
      </c>
      <c r="E271">
        <v>74</v>
      </c>
      <c r="F271">
        <v>24.666665999999999</v>
      </c>
      <c r="G271">
        <v>2</v>
      </c>
      <c r="H271">
        <v>1.3</v>
      </c>
      <c r="I271">
        <v>0</v>
      </c>
      <c r="J271">
        <v>1</v>
      </c>
      <c r="K271">
        <v>1</v>
      </c>
      <c r="L271">
        <v>1</v>
      </c>
      <c r="M271">
        <v>1</v>
      </c>
      <c r="N271">
        <v>2</v>
      </c>
      <c r="P271">
        <v>0</v>
      </c>
      <c r="Q271">
        <v>0</v>
      </c>
      <c r="R271">
        <v>1</v>
      </c>
      <c r="S271">
        <v>1</v>
      </c>
    </row>
    <row r="272" spans="1:19" hidden="1" x14ac:dyDescent="0.35">
      <c r="A272">
        <v>57462346400</v>
      </c>
      <c r="B272" t="s">
        <v>285</v>
      </c>
      <c r="C272" t="str">
        <f>_xlfn.XLOOKUP(A272,[1]Affiliations!$J$2:$J$5328,[1]Affiliations!$K$2:$K$5328,0)</f>
        <v>Pontifical Catholic University of Rio de Janeiro</v>
      </c>
      <c r="D272">
        <v>3</v>
      </c>
      <c r="E272">
        <v>7</v>
      </c>
      <c r="F272">
        <v>2.3333333000000001</v>
      </c>
      <c r="G272">
        <v>2</v>
      </c>
      <c r="H272">
        <v>0.45</v>
      </c>
      <c r="I272">
        <v>0</v>
      </c>
      <c r="J272">
        <v>0</v>
      </c>
      <c r="K272">
        <v>1</v>
      </c>
      <c r="L272">
        <v>2</v>
      </c>
      <c r="M272">
        <v>2</v>
      </c>
      <c r="N272">
        <v>3</v>
      </c>
      <c r="P272">
        <v>0</v>
      </c>
      <c r="Q272">
        <v>0</v>
      </c>
      <c r="R272">
        <v>0</v>
      </c>
      <c r="S272">
        <v>0</v>
      </c>
    </row>
    <row r="273" spans="1:19" x14ac:dyDescent="0.35">
      <c r="A273">
        <v>36439612700</v>
      </c>
      <c r="B273" t="s">
        <v>2441</v>
      </c>
      <c r="C273" t="str">
        <f>_xlfn.XLOOKUP(A273,[1]Affiliations!$J$2:$J$5328,[1]Affiliations!$K$2:$K$5328,0)</f>
        <v>University of Campinas</v>
      </c>
      <c r="D273">
        <v>9</v>
      </c>
      <c r="E273">
        <v>451</v>
      </c>
      <c r="F273">
        <v>50.111109999999996</v>
      </c>
      <c r="G273">
        <v>18</v>
      </c>
      <c r="H273">
        <v>1.79</v>
      </c>
      <c r="I273">
        <v>0</v>
      </c>
      <c r="J273">
        <v>2</v>
      </c>
      <c r="K273">
        <v>2</v>
      </c>
      <c r="L273">
        <v>6</v>
      </c>
      <c r="M273">
        <v>9</v>
      </c>
      <c r="N273">
        <v>9</v>
      </c>
      <c r="P273">
        <v>0</v>
      </c>
      <c r="Q273">
        <v>2</v>
      </c>
      <c r="R273">
        <v>3</v>
      </c>
      <c r="S273">
        <v>7</v>
      </c>
    </row>
    <row r="274" spans="1:19" x14ac:dyDescent="0.35">
      <c r="A274">
        <v>55768214000</v>
      </c>
      <c r="B274" t="s">
        <v>2587</v>
      </c>
      <c r="C274" t="str">
        <f>_xlfn.XLOOKUP(A274,[1]Affiliations!$J$2:$J$5328,[1]Affiliations!$K$2:$K$5328,0)</f>
        <v>Pontifical Catholic University of Rio de Janeiro</v>
      </c>
      <c r="D274">
        <v>42</v>
      </c>
      <c r="E274">
        <v>866</v>
      </c>
      <c r="F274">
        <v>20.619046999999998</v>
      </c>
      <c r="G274">
        <v>14</v>
      </c>
      <c r="H274">
        <v>1.78</v>
      </c>
      <c r="I274">
        <v>0</v>
      </c>
      <c r="J274">
        <v>3</v>
      </c>
      <c r="K274">
        <v>8</v>
      </c>
      <c r="L274">
        <v>12</v>
      </c>
      <c r="M274">
        <v>24</v>
      </c>
      <c r="N274">
        <v>34</v>
      </c>
      <c r="P274">
        <v>0</v>
      </c>
      <c r="Q274">
        <v>6</v>
      </c>
      <c r="R274">
        <v>8</v>
      </c>
      <c r="S274">
        <v>12</v>
      </c>
    </row>
    <row r="275" spans="1:19" x14ac:dyDescent="0.35">
      <c r="A275">
        <v>56181363900</v>
      </c>
      <c r="B275" t="s">
        <v>2838</v>
      </c>
      <c r="C275" t="str">
        <f>_xlfn.XLOOKUP(A275,[1]Affiliations!$J$2:$J$5328,[1]Affiliations!$K$2:$K$5328,0)</f>
        <v>Universidade Federal de Viçosa</v>
      </c>
      <c r="D275">
        <v>5</v>
      </c>
      <c r="E275">
        <v>325</v>
      </c>
      <c r="F275">
        <v>65</v>
      </c>
      <c r="G275">
        <v>5</v>
      </c>
      <c r="H275">
        <v>1.78</v>
      </c>
      <c r="I275">
        <v>1</v>
      </c>
      <c r="J275">
        <v>2</v>
      </c>
      <c r="K275">
        <v>4</v>
      </c>
      <c r="L275">
        <v>4</v>
      </c>
      <c r="M275">
        <v>5</v>
      </c>
      <c r="N275">
        <v>5</v>
      </c>
      <c r="P275">
        <v>1</v>
      </c>
      <c r="Q275">
        <v>1</v>
      </c>
      <c r="R275">
        <v>1</v>
      </c>
      <c r="S275">
        <v>4</v>
      </c>
    </row>
    <row r="276" spans="1:19" x14ac:dyDescent="0.35">
      <c r="A276">
        <v>55158520800</v>
      </c>
      <c r="B276" t="s">
        <v>4652</v>
      </c>
      <c r="C276" t="str">
        <f>_xlfn.XLOOKUP(A276,[1]Affiliations!$J$2:$J$5328,[1]Affiliations!$K$2:$K$5328,0)</f>
        <v>Federal University of Rio de Janeiro</v>
      </c>
      <c r="D276">
        <v>5</v>
      </c>
      <c r="E276">
        <v>175</v>
      </c>
      <c r="F276">
        <v>35</v>
      </c>
      <c r="G276">
        <v>6</v>
      </c>
      <c r="H276">
        <v>1.78</v>
      </c>
      <c r="I276">
        <v>0</v>
      </c>
      <c r="J276">
        <v>2</v>
      </c>
      <c r="K276">
        <v>2</v>
      </c>
      <c r="L276">
        <v>5</v>
      </c>
      <c r="M276">
        <v>5</v>
      </c>
      <c r="N276">
        <v>5</v>
      </c>
      <c r="P276">
        <v>0</v>
      </c>
      <c r="Q276">
        <v>1</v>
      </c>
      <c r="R276">
        <v>2</v>
      </c>
      <c r="S276">
        <v>3</v>
      </c>
    </row>
    <row r="277" spans="1:19" x14ac:dyDescent="0.35">
      <c r="A277">
        <v>22236154700</v>
      </c>
      <c r="B277" t="s">
        <v>5309</v>
      </c>
      <c r="C277" t="str">
        <f>_xlfn.XLOOKUP(A277,[1]Affiliations!$J$2:$J$5328,[1]Affiliations!$K$2:$K$5328,0)</f>
        <v>Universidade Federal do Rio Grande do Sul</v>
      </c>
      <c r="D277">
        <v>25</v>
      </c>
      <c r="E277">
        <v>687</v>
      </c>
      <c r="F277">
        <v>27.48</v>
      </c>
      <c r="G277">
        <v>17</v>
      </c>
      <c r="H277">
        <v>1.77</v>
      </c>
      <c r="I277">
        <v>2</v>
      </c>
      <c r="J277">
        <v>4</v>
      </c>
      <c r="K277">
        <v>6</v>
      </c>
      <c r="L277">
        <v>10</v>
      </c>
      <c r="M277">
        <v>12</v>
      </c>
      <c r="N277">
        <v>20</v>
      </c>
      <c r="P277">
        <v>0</v>
      </c>
      <c r="Q277">
        <v>2</v>
      </c>
      <c r="R277">
        <v>5</v>
      </c>
      <c r="S277">
        <v>9</v>
      </c>
    </row>
    <row r="278" spans="1:19" x14ac:dyDescent="0.35">
      <c r="A278">
        <v>7102879500</v>
      </c>
      <c r="B278" t="s">
        <v>1102</v>
      </c>
      <c r="C278" t="str">
        <f>_xlfn.XLOOKUP(A278,[1]Affiliations!$J$2:$J$5328,[1]Affiliations!$K$2:$K$5328,0)</f>
        <v>University of Campinas</v>
      </c>
      <c r="D278">
        <v>164</v>
      </c>
      <c r="E278">
        <v>7777</v>
      </c>
      <c r="F278">
        <v>47.420729999999999</v>
      </c>
      <c r="G278">
        <v>65</v>
      </c>
      <c r="H278">
        <v>1.76</v>
      </c>
      <c r="I278">
        <v>5</v>
      </c>
      <c r="J278">
        <v>61</v>
      </c>
      <c r="K278">
        <v>97</v>
      </c>
      <c r="L278">
        <v>146</v>
      </c>
      <c r="M278">
        <v>155</v>
      </c>
      <c r="N278">
        <v>161</v>
      </c>
      <c r="P278">
        <v>3</v>
      </c>
      <c r="Q278">
        <v>44</v>
      </c>
      <c r="R278">
        <v>75</v>
      </c>
      <c r="S278">
        <v>125</v>
      </c>
    </row>
    <row r="279" spans="1:19" hidden="1" x14ac:dyDescent="0.35">
      <c r="A279">
        <v>58411914300</v>
      </c>
      <c r="B279" t="s">
        <v>292</v>
      </c>
      <c r="C279" t="str">
        <f>_xlfn.XLOOKUP(A279,[1]Affiliations!$J$2:$J$5328,[1]Affiliations!$K$2:$K$5328,0)</f>
        <v>Universidade Federal Fluminense</v>
      </c>
      <c r="D279">
        <v>1</v>
      </c>
      <c r="E279">
        <v>2</v>
      </c>
      <c r="F279">
        <v>2</v>
      </c>
      <c r="G279">
        <v>1</v>
      </c>
      <c r="H279">
        <v>0.28000000000000003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1</v>
      </c>
      <c r="P279">
        <v>0</v>
      </c>
      <c r="Q279">
        <v>0</v>
      </c>
      <c r="R279">
        <v>0</v>
      </c>
      <c r="S279">
        <v>0</v>
      </c>
    </row>
    <row r="280" spans="1:19" x14ac:dyDescent="0.35">
      <c r="A280">
        <v>57202020791</v>
      </c>
      <c r="B280" t="s">
        <v>2726</v>
      </c>
      <c r="C280" t="str">
        <f>_xlfn.XLOOKUP(A280,[1]Affiliations!$J$2:$J$5328,[1]Affiliations!$K$2:$K$5328,0)</f>
        <v>Federal University of Rio de Janeiro</v>
      </c>
      <c r="D280">
        <v>8</v>
      </c>
      <c r="E280">
        <v>258</v>
      </c>
      <c r="F280">
        <v>32.25</v>
      </c>
      <c r="G280">
        <v>6</v>
      </c>
      <c r="H280">
        <v>1.76</v>
      </c>
      <c r="I280">
        <v>0</v>
      </c>
      <c r="J280">
        <v>0</v>
      </c>
      <c r="K280">
        <v>1</v>
      </c>
      <c r="L280">
        <v>3</v>
      </c>
      <c r="M280">
        <v>3</v>
      </c>
      <c r="N280">
        <v>3</v>
      </c>
      <c r="P280">
        <v>0</v>
      </c>
      <c r="Q280">
        <v>1</v>
      </c>
      <c r="R280">
        <v>1</v>
      </c>
      <c r="S280">
        <v>2</v>
      </c>
    </row>
    <row r="281" spans="1:19" x14ac:dyDescent="0.35">
      <c r="A281">
        <v>35882060000</v>
      </c>
      <c r="B281" t="s">
        <v>2486</v>
      </c>
      <c r="C281" t="str">
        <f>_xlfn.XLOOKUP(A281,[1]Affiliations!$J$2:$J$5328,[1]Affiliations!$K$2:$K$5328,0)</f>
        <v>University of São Paulo (+2 more)</v>
      </c>
      <c r="D281">
        <v>81</v>
      </c>
      <c r="E281">
        <v>905</v>
      </c>
      <c r="F281">
        <v>11.172839</v>
      </c>
      <c r="G281">
        <v>23</v>
      </c>
      <c r="H281">
        <v>1.75</v>
      </c>
      <c r="I281">
        <v>0</v>
      </c>
      <c r="J281">
        <v>0</v>
      </c>
      <c r="K281">
        <v>2</v>
      </c>
      <c r="L281">
        <v>14</v>
      </c>
      <c r="M281">
        <v>31</v>
      </c>
      <c r="N281">
        <v>66</v>
      </c>
      <c r="P281">
        <v>0</v>
      </c>
      <c r="Q281">
        <v>2</v>
      </c>
      <c r="R281">
        <v>4</v>
      </c>
      <c r="S281">
        <v>17</v>
      </c>
    </row>
    <row r="282" spans="1:19" hidden="1" x14ac:dyDescent="0.35">
      <c r="A282">
        <v>56018090100</v>
      </c>
      <c r="B282" t="s">
        <v>295</v>
      </c>
      <c r="C282" t="str">
        <f>_xlfn.XLOOKUP(A282,[1]Affiliations!$J$2:$J$5328,[1]Affiliations!$K$2:$K$5328,0)</f>
        <v>Federal University of Rio de Janeiro</v>
      </c>
      <c r="D282">
        <v>8</v>
      </c>
      <c r="E282">
        <v>72</v>
      </c>
      <c r="F282">
        <v>9</v>
      </c>
      <c r="G282">
        <v>6</v>
      </c>
      <c r="H282">
        <v>0.42</v>
      </c>
      <c r="I282">
        <v>0</v>
      </c>
      <c r="J282">
        <v>0</v>
      </c>
      <c r="K282">
        <v>1</v>
      </c>
      <c r="L282">
        <v>3</v>
      </c>
      <c r="M282">
        <v>6</v>
      </c>
      <c r="N282">
        <v>6</v>
      </c>
      <c r="P282">
        <v>0</v>
      </c>
      <c r="Q282">
        <v>0</v>
      </c>
      <c r="R282">
        <v>0</v>
      </c>
      <c r="S282">
        <v>1</v>
      </c>
    </row>
    <row r="283" spans="1:19" hidden="1" x14ac:dyDescent="0.35">
      <c r="A283">
        <v>36796895200</v>
      </c>
      <c r="B283" t="s">
        <v>296</v>
      </c>
      <c r="C283" t="str">
        <f>_xlfn.XLOOKUP(A283,[1]Affiliations!$J$2:$J$5328,[1]Affiliations!$K$2:$K$5328,0)</f>
        <v>Federal University of Rio de Janeiro</v>
      </c>
      <c r="D283">
        <v>2</v>
      </c>
      <c r="E283">
        <v>44</v>
      </c>
      <c r="F283">
        <v>22</v>
      </c>
      <c r="G283">
        <v>8</v>
      </c>
      <c r="H283">
        <v>1.1599999999999999</v>
      </c>
      <c r="I283">
        <v>0</v>
      </c>
      <c r="J283">
        <v>1</v>
      </c>
      <c r="K283">
        <v>1</v>
      </c>
      <c r="L283">
        <v>2</v>
      </c>
      <c r="M283">
        <v>2</v>
      </c>
      <c r="N283">
        <v>2</v>
      </c>
      <c r="P283">
        <v>0</v>
      </c>
      <c r="Q283">
        <v>0</v>
      </c>
      <c r="R283">
        <v>0</v>
      </c>
      <c r="S283">
        <v>1</v>
      </c>
    </row>
    <row r="284" spans="1:19" x14ac:dyDescent="0.35">
      <c r="A284">
        <v>35089962500</v>
      </c>
      <c r="B284" t="s">
        <v>449</v>
      </c>
      <c r="C284" t="str">
        <f>_xlfn.XLOOKUP(A284,[1]Affiliations!$J$2:$J$5328,[1]Affiliations!$K$2:$K$5328,0)</f>
        <v>Universidade de São Paulo</v>
      </c>
      <c r="D284">
        <v>120</v>
      </c>
      <c r="E284">
        <v>5414</v>
      </c>
      <c r="F284">
        <v>45.116664999999998</v>
      </c>
      <c r="G284">
        <v>32</v>
      </c>
      <c r="H284">
        <v>1.74</v>
      </c>
      <c r="I284">
        <v>2</v>
      </c>
      <c r="J284">
        <v>20</v>
      </c>
      <c r="K284">
        <v>55</v>
      </c>
      <c r="L284">
        <v>75</v>
      </c>
      <c r="M284">
        <v>91</v>
      </c>
      <c r="N284">
        <v>93</v>
      </c>
      <c r="P284">
        <v>1</v>
      </c>
      <c r="Q284">
        <v>9</v>
      </c>
      <c r="R284">
        <v>25</v>
      </c>
      <c r="S284">
        <v>52</v>
      </c>
    </row>
    <row r="285" spans="1:19" x14ac:dyDescent="0.35">
      <c r="A285">
        <v>56567664400</v>
      </c>
      <c r="B285" t="s">
        <v>3411</v>
      </c>
      <c r="C285" t="str">
        <f>_xlfn.XLOOKUP(A285,[1]Affiliations!$J$2:$J$5328,[1]Affiliations!$K$2:$K$5328,0)</f>
        <v>Instituto Nacional de Metrologia, Qualidade e Tecnologia</v>
      </c>
      <c r="D285">
        <v>15</v>
      </c>
      <c r="E285">
        <v>344</v>
      </c>
      <c r="F285">
        <v>22.933332</v>
      </c>
      <c r="G285">
        <v>8</v>
      </c>
      <c r="H285">
        <v>1.74</v>
      </c>
      <c r="I285">
        <v>0</v>
      </c>
      <c r="J285">
        <v>1</v>
      </c>
      <c r="K285">
        <v>3</v>
      </c>
      <c r="L285">
        <v>9</v>
      </c>
      <c r="M285">
        <v>15</v>
      </c>
      <c r="N285">
        <v>15</v>
      </c>
      <c r="P285">
        <v>0</v>
      </c>
      <c r="Q285">
        <v>1</v>
      </c>
      <c r="R285">
        <v>3</v>
      </c>
      <c r="S285">
        <v>6</v>
      </c>
    </row>
    <row r="286" spans="1:19" hidden="1" x14ac:dyDescent="0.35">
      <c r="A286">
        <v>59454803100</v>
      </c>
      <c r="B286" t="s">
        <v>299</v>
      </c>
      <c r="C286" t="str">
        <f>_xlfn.XLOOKUP(A286,[1]Affiliations!$J$2:$J$5328,[1]Affiliations!$K$2:$K$5328,0)</f>
        <v>Federal University of Rio de Janeiro</v>
      </c>
      <c r="D286">
        <v>4</v>
      </c>
      <c r="E286">
        <v>64</v>
      </c>
      <c r="F286">
        <v>16</v>
      </c>
      <c r="G286">
        <v>3</v>
      </c>
      <c r="H286">
        <v>0.88</v>
      </c>
      <c r="I286">
        <v>0</v>
      </c>
      <c r="J286">
        <v>0</v>
      </c>
      <c r="K286">
        <v>0</v>
      </c>
      <c r="L286">
        <v>1</v>
      </c>
      <c r="M286">
        <v>3</v>
      </c>
      <c r="N286">
        <v>3</v>
      </c>
      <c r="P286">
        <v>0</v>
      </c>
      <c r="Q286">
        <v>0</v>
      </c>
      <c r="R286">
        <v>1</v>
      </c>
      <c r="S286">
        <v>2</v>
      </c>
    </row>
    <row r="287" spans="1:19" hidden="1" x14ac:dyDescent="0.35">
      <c r="A287">
        <v>57205367868</v>
      </c>
      <c r="B287" t="s">
        <v>300</v>
      </c>
      <c r="C287" t="str">
        <f>_xlfn.XLOOKUP(A287,[1]Affiliations!$J$2:$J$5328,[1]Affiliations!$K$2:$K$5328,0)</f>
        <v>Federal University of Rio de Janeiro</v>
      </c>
      <c r="D287">
        <v>2</v>
      </c>
      <c r="E287">
        <v>42</v>
      </c>
      <c r="F287">
        <v>21</v>
      </c>
      <c r="G287">
        <v>2</v>
      </c>
      <c r="H287">
        <v>0.66</v>
      </c>
      <c r="I287">
        <v>0</v>
      </c>
      <c r="J287">
        <v>0</v>
      </c>
      <c r="K287">
        <v>0</v>
      </c>
      <c r="L287">
        <v>1</v>
      </c>
      <c r="M287">
        <v>2</v>
      </c>
      <c r="N287">
        <v>2</v>
      </c>
      <c r="P287">
        <v>0</v>
      </c>
      <c r="Q287">
        <v>0</v>
      </c>
      <c r="R287">
        <v>0</v>
      </c>
      <c r="S287">
        <v>1</v>
      </c>
    </row>
    <row r="288" spans="1:19" hidden="1" x14ac:dyDescent="0.35">
      <c r="A288">
        <v>23481163500</v>
      </c>
      <c r="B288" t="s">
        <v>301</v>
      </c>
      <c r="C288" t="str">
        <f>_xlfn.XLOOKUP(A288,[1]Affiliations!$J$2:$J$5328,[1]Affiliations!$K$2:$K$5328,0)</f>
        <v>Universidade Federal do Rio Grande do Sul</v>
      </c>
      <c r="D288">
        <v>3</v>
      </c>
      <c r="E288">
        <v>87</v>
      </c>
      <c r="F288">
        <v>29</v>
      </c>
      <c r="G288">
        <v>7</v>
      </c>
      <c r="H288">
        <v>12.69</v>
      </c>
      <c r="I288">
        <v>1</v>
      </c>
      <c r="J288">
        <v>2</v>
      </c>
      <c r="K288">
        <v>2</v>
      </c>
      <c r="L288">
        <v>2</v>
      </c>
      <c r="M288">
        <v>2</v>
      </c>
      <c r="N288">
        <v>3</v>
      </c>
      <c r="P288">
        <v>0</v>
      </c>
      <c r="Q288">
        <v>0</v>
      </c>
      <c r="R288">
        <v>1</v>
      </c>
      <c r="S288">
        <v>1</v>
      </c>
    </row>
    <row r="289" spans="1:19" hidden="1" x14ac:dyDescent="0.35">
      <c r="A289">
        <v>59673414900</v>
      </c>
      <c r="B289" t="s">
        <v>302</v>
      </c>
      <c r="C289" t="str">
        <f>_xlfn.XLOOKUP(A289,[1]Affiliations!$J$2:$J$5328,[1]Affiliations!$K$2:$K$5328,0)</f>
        <v>Vizlab - X-Reality and GeoInformatics Lab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P289">
        <v>0</v>
      </c>
      <c r="Q289">
        <v>0</v>
      </c>
      <c r="R289">
        <v>0</v>
      </c>
      <c r="S289">
        <v>0</v>
      </c>
    </row>
    <row r="290" spans="1:19" hidden="1" x14ac:dyDescent="0.35">
      <c r="A290">
        <v>6603038396</v>
      </c>
      <c r="B290" t="s">
        <v>303</v>
      </c>
      <c r="C290" t="str">
        <f>_xlfn.XLOOKUP(A290,[1]Affiliations!$J$2:$J$5328,[1]Affiliations!$K$2:$K$5328,0)</f>
        <v>Universidade Federal Fluminense</v>
      </c>
      <c r="D290">
        <v>11</v>
      </c>
      <c r="E290">
        <v>155</v>
      </c>
      <c r="F290">
        <v>14.090909</v>
      </c>
      <c r="G290">
        <v>16</v>
      </c>
      <c r="H290">
        <v>0.91</v>
      </c>
      <c r="I290">
        <v>0</v>
      </c>
      <c r="J290">
        <v>1</v>
      </c>
      <c r="K290">
        <v>1</v>
      </c>
      <c r="L290">
        <v>1</v>
      </c>
      <c r="M290">
        <v>8</v>
      </c>
      <c r="N290">
        <v>10</v>
      </c>
      <c r="P290">
        <v>0</v>
      </c>
      <c r="Q290">
        <v>0</v>
      </c>
      <c r="R290">
        <v>0</v>
      </c>
      <c r="S290">
        <v>4</v>
      </c>
    </row>
    <row r="291" spans="1:19" hidden="1" x14ac:dyDescent="0.35">
      <c r="A291">
        <v>57205468694</v>
      </c>
      <c r="B291" t="s">
        <v>304</v>
      </c>
      <c r="C291" t="str">
        <f>_xlfn.XLOOKUP(A291,[1]Affiliations!$J$2:$J$5328,[1]Affiliations!$K$2:$K$5328,0)</f>
        <v>Universidade de São Paulo</v>
      </c>
      <c r="D291">
        <v>5</v>
      </c>
      <c r="E291">
        <v>27</v>
      </c>
      <c r="F291">
        <v>5.4</v>
      </c>
      <c r="G291">
        <v>2</v>
      </c>
      <c r="H291">
        <v>0.56000000000000005</v>
      </c>
      <c r="I291">
        <v>0</v>
      </c>
      <c r="J291">
        <v>4</v>
      </c>
      <c r="K291">
        <v>4</v>
      </c>
      <c r="L291">
        <v>5</v>
      </c>
      <c r="M291">
        <v>5</v>
      </c>
      <c r="N291">
        <v>5</v>
      </c>
      <c r="P291">
        <v>0</v>
      </c>
      <c r="Q291">
        <v>0</v>
      </c>
      <c r="R291">
        <v>0</v>
      </c>
      <c r="S291">
        <v>1</v>
      </c>
    </row>
    <row r="292" spans="1:19" hidden="1" x14ac:dyDescent="0.35">
      <c r="A292">
        <v>36619410600</v>
      </c>
      <c r="B292" t="s">
        <v>305</v>
      </c>
      <c r="C292" t="str">
        <f>_xlfn.XLOOKUP(A292,[1]Affiliations!$J$2:$J$5328,[1]Affiliations!$K$2:$K$5328,0)</f>
        <v>Universidade Federal da Bahia</v>
      </c>
      <c r="D292">
        <v>7</v>
      </c>
      <c r="E292">
        <v>40</v>
      </c>
      <c r="F292">
        <v>5.7142860000000004</v>
      </c>
      <c r="G292">
        <v>5</v>
      </c>
      <c r="H292">
        <v>0.23</v>
      </c>
      <c r="I292">
        <v>0</v>
      </c>
      <c r="J292">
        <v>0</v>
      </c>
      <c r="K292">
        <v>2</v>
      </c>
      <c r="L292">
        <v>2</v>
      </c>
      <c r="M292">
        <v>3</v>
      </c>
      <c r="N292">
        <v>3</v>
      </c>
      <c r="P292">
        <v>0</v>
      </c>
      <c r="Q292">
        <v>0</v>
      </c>
      <c r="R292">
        <v>0</v>
      </c>
      <c r="S292">
        <v>0</v>
      </c>
    </row>
    <row r="293" spans="1:19" x14ac:dyDescent="0.35">
      <c r="A293">
        <v>57214099457</v>
      </c>
      <c r="B293" t="s">
        <v>1020</v>
      </c>
      <c r="C293" t="str">
        <f>_xlfn.XLOOKUP(A293,[1]Affiliations!$J$2:$J$5328,[1]Affiliations!$K$2:$K$5328,0)</f>
        <v>Universidade Federal Fluminense</v>
      </c>
      <c r="D293">
        <v>11</v>
      </c>
      <c r="E293">
        <v>55</v>
      </c>
      <c r="F293">
        <v>5</v>
      </c>
      <c r="G293">
        <v>5</v>
      </c>
      <c r="H293">
        <v>1.73</v>
      </c>
      <c r="I293">
        <v>0</v>
      </c>
      <c r="J293">
        <v>1</v>
      </c>
      <c r="K293">
        <v>1</v>
      </c>
      <c r="L293">
        <v>2</v>
      </c>
      <c r="M293">
        <v>4</v>
      </c>
      <c r="N293">
        <v>7</v>
      </c>
      <c r="P293">
        <v>0</v>
      </c>
      <c r="Q293">
        <v>0</v>
      </c>
      <c r="R293">
        <v>1</v>
      </c>
      <c r="S293">
        <v>3</v>
      </c>
    </row>
    <row r="294" spans="1:19" x14ac:dyDescent="0.35">
      <c r="A294">
        <v>56949906300</v>
      </c>
      <c r="B294" t="s">
        <v>4292</v>
      </c>
      <c r="C294" t="str">
        <f>_xlfn.XLOOKUP(A294,[1]Affiliations!$J$2:$J$5328,[1]Affiliations!$K$2:$K$5328,0)</f>
        <v>Universidade Federal do Espírito Santo</v>
      </c>
      <c r="D294">
        <v>13</v>
      </c>
      <c r="E294">
        <v>579</v>
      </c>
      <c r="F294">
        <v>44.538460000000001</v>
      </c>
      <c r="G294">
        <v>13</v>
      </c>
      <c r="H294">
        <v>1.73</v>
      </c>
      <c r="I294">
        <v>0</v>
      </c>
      <c r="J294">
        <v>1</v>
      </c>
      <c r="K294">
        <v>1</v>
      </c>
      <c r="L294">
        <v>11</v>
      </c>
      <c r="M294">
        <v>12</v>
      </c>
      <c r="N294">
        <v>12</v>
      </c>
      <c r="P294">
        <v>0</v>
      </c>
      <c r="Q294">
        <v>1</v>
      </c>
      <c r="R294">
        <v>3</v>
      </c>
      <c r="S294">
        <v>11</v>
      </c>
    </row>
    <row r="295" spans="1:19" hidden="1" x14ac:dyDescent="0.35">
      <c r="A295">
        <v>57207566326</v>
      </c>
      <c r="B295" t="s">
        <v>308</v>
      </c>
      <c r="C295" t="str">
        <f>_xlfn.XLOOKUP(A295,[1]Affiliations!$J$2:$J$5328,[1]Affiliations!$K$2:$K$5328,0)</f>
        <v>Federal University of Rio de Janeiro</v>
      </c>
      <c r="D295">
        <v>1</v>
      </c>
      <c r="E295">
        <v>22</v>
      </c>
      <c r="F295">
        <v>22</v>
      </c>
      <c r="G295">
        <v>1</v>
      </c>
      <c r="H295">
        <v>0.61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1</v>
      </c>
      <c r="P295">
        <v>0</v>
      </c>
      <c r="Q295">
        <v>0</v>
      </c>
      <c r="R295">
        <v>0</v>
      </c>
      <c r="S295">
        <v>1</v>
      </c>
    </row>
    <row r="296" spans="1:19" x14ac:dyDescent="0.35">
      <c r="A296">
        <v>57338181500</v>
      </c>
      <c r="B296" t="s">
        <v>741</v>
      </c>
      <c r="C296" t="str">
        <f>_xlfn.XLOOKUP(A296,[1]Affiliations!$J$2:$J$5328,[1]Affiliations!$K$2:$K$5328,0)</f>
        <v>Universidade Federal Fluminense</v>
      </c>
      <c r="D296">
        <v>11</v>
      </c>
      <c r="E296">
        <v>53</v>
      </c>
      <c r="F296">
        <v>4.8181820000000002</v>
      </c>
      <c r="G296">
        <v>5</v>
      </c>
      <c r="H296">
        <v>1.72</v>
      </c>
      <c r="I296">
        <v>0</v>
      </c>
      <c r="J296">
        <v>1</v>
      </c>
      <c r="K296">
        <v>1</v>
      </c>
      <c r="L296">
        <v>2</v>
      </c>
      <c r="M296">
        <v>3</v>
      </c>
      <c r="N296">
        <v>6</v>
      </c>
      <c r="P296">
        <v>0</v>
      </c>
      <c r="Q296">
        <v>0</v>
      </c>
      <c r="R296">
        <v>1</v>
      </c>
      <c r="S296">
        <v>3</v>
      </c>
    </row>
    <row r="297" spans="1:19" hidden="1" x14ac:dyDescent="0.35">
      <c r="A297">
        <v>56594659700</v>
      </c>
      <c r="B297" t="s">
        <v>310</v>
      </c>
      <c r="C297" t="str">
        <f>_xlfn.XLOOKUP(A297,[1]Affiliations!$J$2:$J$5328,[1]Affiliations!$K$2:$K$5328,0)</f>
        <v>Universidade de São Paulo (+1 more)</v>
      </c>
      <c r="D297">
        <v>11</v>
      </c>
      <c r="E297">
        <v>72</v>
      </c>
      <c r="F297">
        <v>6.5454545</v>
      </c>
      <c r="G297">
        <v>5</v>
      </c>
      <c r="H297">
        <v>0.51</v>
      </c>
      <c r="I297">
        <v>0</v>
      </c>
      <c r="J297">
        <v>1</v>
      </c>
      <c r="K297">
        <v>3</v>
      </c>
      <c r="L297">
        <v>6</v>
      </c>
      <c r="M297">
        <v>7</v>
      </c>
      <c r="N297">
        <v>7</v>
      </c>
      <c r="P297">
        <v>0</v>
      </c>
      <c r="Q297">
        <v>0</v>
      </c>
      <c r="R297">
        <v>0</v>
      </c>
      <c r="S297">
        <v>1</v>
      </c>
    </row>
    <row r="298" spans="1:19" x14ac:dyDescent="0.35">
      <c r="A298">
        <v>56124078800</v>
      </c>
      <c r="B298" t="s">
        <v>3933</v>
      </c>
      <c r="C298" t="str">
        <f>_xlfn.XLOOKUP(A298,[1]Affiliations!$J$2:$J$5328,[1]Affiliations!$K$2:$K$5328,0)</f>
        <v>Universidade Federal Fluminense</v>
      </c>
      <c r="D298">
        <v>38</v>
      </c>
      <c r="E298">
        <v>1548</v>
      </c>
      <c r="F298">
        <v>40.736843</v>
      </c>
      <c r="G298">
        <v>24</v>
      </c>
      <c r="H298">
        <v>1.72</v>
      </c>
      <c r="I298">
        <v>0</v>
      </c>
      <c r="J298">
        <v>10</v>
      </c>
      <c r="K298">
        <v>14</v>
      </c>
      <c r="L298">
        <v>18</v>
      </c>
      <c r="M298">
        <v>32</v>
      </c>
      <c r="N298">
        <v>36</v>
      </c>
      <c r="P298">
        <v>1</v>
      </c>
      <c r="Q298">
        <v>6</v>
      </c>
      <c r="R298">
        <v>8</v>
      </c>
      <c r="S298">
        <v>19</v>
      </c>
    </row>
    <row r="299" spans="1:19" hidden="1" x14ac:dyDescent="0.35">
      <c r="A299">
        <v>57219564062</v>
      </c>
      <c r="B299" t="s">
        <v>312</v>
      </c>
      <c r="C299" t="str">
        <f>_xlfn.XLOOKUP(A299,[1]Affiliations!$J$2:$J$5328,[1]Affiliations!$K$2:$K$5328,0)</f>
        <v>Pontifical Catholic University of Rio de Janeiro</v>
      </c>
      <c r="D299">
        <v>2</v>
      </c>
      <c r="E299">
        <v>49</v>
      </c>
      <c r="F299">
        <v>24.5</v>
      </c>
      <c r="G299">
        <v>2</v>
      </c>
      <c r="H299">
        <v>1.25</v>
      </c>
      <c r="I299">
        <v>0</v>
      </c>
      <c r="J299">
        <v>0</v>
      </c>
      <c r="K299">
        <v>0</v>
      </c>
      <c r="L299">
        <v>1</v>
      </c>
      <c r="M299">
        <v>2</v>
      </c>
      <c r="N299">
        <v>2</v>
      </c>
      <c r="P299">
        <v>0</v>
      </c>
      <c r="Q299">
        <v>0</v>
      </c>
      <c r="R299">
        <v>1</v>
      </c>
      <c r="S299">
        <v>1</v>
      </c>
    </row>
    <row r="300" spans="1:19" hidden="1" x14ac:dyDescent="0.35">
      <c r="A300">
        <v>57119078200</v>
      </c>
      <c r="B300" t="s">
        <v>313</v>
      </c>
      <c r="C300" t="str">
        <f>_xlfn.XLOOKUP(A300,[1]Affiliations!$J$2:$J$5328,[1]Affiliations!$K$2:$K$5328,0)</f>
        <v>Universidade Federal de Pernambuco</v>
      </c>
      <c r="D300">
        <v>14</v>
      </c>
      <c r="E300">
        <v>65</v>
      </c>
      <c r="F300">
        <v>4.6428570000000002</v>
      </c>
      <c r="G300">
        <v>5</v>
      </c>
      <c r="H300">
        <v>1.36</v>
      </c>
      <c r="I300">
        <v>0</v>
      </c>
      <c r="J300">
        <v>5</v>
      </c>
      <c r="K300">
        <v>6</v>
      </c>
      <c r="L300">
        <v>7</v>
      </c>
      <c r="M300">
        <v>7</v>
      </c>
      <c r="N300">
        <v>7</v>
      </c>
      <c r="P300">
        <v>0</v>
      </c>
      <c r="Q300">
        <v>0</v>
      </c>
      <c r="R300">
        <v>0</v>
      </c>
      <c r="S300">
        <v>0</v>
      </c>
    </row>
    <row r="301" spans="1:19" hidden="1" x14ac:dyDescent="0.35">
      <c r="A301">
        <v>58706374200</v>
      </c>
      <c r="B301" t="s">
        <v>314</v>
      </c>
      <c r="C301" t="str">
        <f>_xlfn.XLOOKUP(A301,[1]Affiliations!$J$2:$J$5328,[1]Affiliations!$K$2:$K$5328,0)</f>
        <v>Universidade Federal do Ceará</v>
      </c>
      <c r="D301">
        <v>2</v>
      </c>
      <c r="E301">
        <v>3</v>
      </c>
      <c r="F301">
        <v>1.5</v>
      </c>
      <c r="G301">
        <v>1</v>
      </c>
      <c r="H301">
        <v>0.19</v>
      </c>
      <c r="I301">
        <v>0</v>
      </c>
      <c r="J301">
        <v>0</v>
      </c>
      <c r="K301">
        <v>0</v>
      </c>
      <c r="L301">
        <v>0</v>
      </c>
      <c r="M301">
        <v>2</v>
      </c>
      <c r="N301">
        <v>2</v>
      </c>
      <c r="P301">
        <v>0</v>
      </c>
      <c r="Q301">
        <v>0</v>
      </c>
      <c r="R301">
        <v>0</v>
      </c>
      <c r="S301">
        <v>0</v>
      </c>
    </row>
    <row r="302" spans="1:19" x14ac:dyDescent="0.35">
      <c r="A302">
        <v>7102178796</v>
      </c>
      <c r="B302" t="s">
        <v>3681</v>
      </c>
      <c r="C302" t="str">
        <f>_xlfn.XLOOKUP(A302,[1]Affiliations!$J$2:$J$5328,[1]Affiliations!$K$2:$K$5328,0)</f>
        <v>University of Campinas</v>
      </c>
      <c r="D302">
        <v>56</v>
      </c>
      <c r="E302">
        <v>1383</v>
      </c>
      <c r="F302">
        <v>24.696428000000001</v>
      </c>
      <c r="G302">
        <v>32</v>
      </c>
      <c r="H302">
        <v>1.71</v>
      </c>
      <c r="I302">
        <v>0</v>
      </c>
      <c r="J302">
        <v>13</v>
      </c>
      <c r="K302">
        <v>25</v>
      </c>
      <c r="L302">
        <v>39</v>
      </c>
      <c r="M302">
        <v>56</v>
      </c>
      <c r="N302">
        <v>56</v>
      </c>
      <c r="P302">
        <v>0</v>
      </c>
      <c r="Q302">
        <v>1</v>
      </c>
      <c r="R302">
        <v>12</v>
      </c>
      <c r="S302">
        <v>32</v>
      </c>
    </row>
    <row r="303" spans="1:19" hidden="1" x14ac:dyDescent="0.35">
      <c r="A303">
        <v>59130490400</v>
      </c>
      <c r="B303" t="s">
        <v>316</v>
      </c>
      <c r="C303" t="str">
        <f>_xlfn.XLOOKUP(A303,[1]Affiliations!$J$2:$J$5328,[1]Affiliations!$K$2:$K$5328,0)</f>
        <v>Universidade Federal de Minas Gerais</v>
      </c>
      <c r="D303">
        <v>0</v>
      </c>
      <c r="G303">
        <v>0</v>
      </c>
    </row>
    <row r="304" spans="1:19" x14ac:dyDescent="0.35">
      <c r="A304">
        <v>57219158641</v>
      </c>
      <c r="B304" t="s">
        <v>114</v>
      </c>
      <c r="C304" t="str">
        <f>_xlfn.XLOOKUP(A304,[1]Affiliations!$J$2:$J$5328,[1]Affiliations!$K$2:$K$5328,0)</f>
        <v>Universidade Federal de Pernambuco</v>
      </c>
      <c r="D304">
        <v>7</v>
      </c>
      <c r="E304">
        <v>158</v>
      </c>
      <c r="F304">
        <v>22.571428000000001</v>
      </c>
      <c r="G304">
        <v>5</v>
      </c>
      <c r="H304">
        <v>1.7</v>
      </c>
      <c r="I304">
        <v>0</v>
      </c>
      <c r="J304">
        <v>1</v>
      </c>
      <c r="K304">
        <v>2</v>
      </c>
      <c r="L304">
        <v>4</v>
      </c>
      <c r="M304">
        <v>6</v>
      </c>
      <c r="N304">
        <v>7</v>
      </c>
      <c r="P304">
        <v>0</v>
      </c>
      <c r="Q304">
        <v>2</v>
      </c>
      <c r="R304">
        <v>2</v>
      </c>
      <c r="S304">
        <v>4</v>
      </c>
    </row>
    <row r="305" spans="1:19" x14ac:dyDescent="0.35">
      <c r="A305">
        <v>57201688650</v>
      </c>
      <c r="B305" t="s">
        <v>1116</v>
      </c>
      <c r="C305" t="str">
        <f>_xlfn.XLOOKUP(A305,[1]Affiliations!$J$2:$J$5328,[1]Affiliations!$K$2:$K$5328,0)</f>
        <v>Universidade Federal do Rio Grande do Norte</v>
      </c>
      <c r="D305">
        <v>7</v>
      </c>
      <c r="E305">
        <v>242</v>
      </c>
      <c r="F305">
        <v>34.571429999999999</v>
      </c>
      <c r="G305">
        <v>6</v>
      </c>
      <c r="H305">
        <v>1.7</v>
      </c>
      <c r="I305">
        <v>0</v>
      </c>
      <c r="J305">
        <v>0</v>
      </c>
      <c r="K305">
        <v>5</v>
      </c>
      <c r="L305">
        <v>6</v>
      </c>
      <c r="M305">
        <v>6</v>
      </c>
      <c r="N305">
        <v>7</v>
      </c>
      <c r="P305">
        <v>0</v>
      </c>
      <c r="Q305">
        <v>0</v>
      </c>
      <c r="R305">
        <v>2</v>
      </c>
      <c r="S305">
        <v>5</v>
      </c>
    </row>
    <row r="306" spans="1:19" x14ac:dyDescent="0.35">
      <c r="A306">
        <v>7005631395</v>
      </c>
      <c r="B306" t="s">
        <v>3699</v>
      </c>
      <c r="C306" t="str">
        <f>_xlfn.XLOOKUP(A306,[1]Affiliations!$J$2:$J$5328,[1]Affiliations!$K$2:$K$5328,0)</f>
        <v>Centro Brasileiro de Pesquisas Físicas (+1 more)</v>
      </c>
      <c r="D306">
        <v>32</v>
      </c>
      <c r="E306">
        <v>1288</v>
      </c>
      <c r="F306">
        <v>40.25</v>
      </c>
      <c r="G306">
        <v>29</v>
      </c>
      <c r="H306">
        <v>1.7</v>
      </c>
      <c r="I306">
        <v>0</v>
      </c>
      <c r="J306">
        <v>8</v>
      </c>
      <c r="K306">
        <v>14</v>
      </c>
      <c r="L306">
        <v>24</v>
      </c>
      <c r="M306">
        <v>28</v>
      </c>
      <c r="N306">
        <v>30</v>
      </c>
      <c r="P306">
        <v>1</v>
      </c>
      <c r="Q306">
        <v>7</v>
      </c>
      <c r="R306">
        <v>8</v>
      </c>
      <c r="S306">
        <v>13</v>
      </c>
    </row>
    <row r="307" spans="1:19" hidden="1" x14ac:dyDescent="0.35">
      <c r="A307">
        <v>57896381500</v>
      </c>
      <c r="B307" t="s">
        <v>320</v>
      </c>
      <c r="C307" t="str">
        <f>_xlfn.XLOOKUP(A307,[1]Affiliations!$J$2:$J$5328,[1]Affiliations!$K$2:$K$5328,0)</f>
        <v>Universidade de São Paulo</v>
      </c>
      <c r="D307">
        <v>1</v>
      </c>
      <c r="E307">
        <v>37</v>
      </c>
      <c r="F307">
        <v>37</v>
      </c>
      <c r="G307">
        <v>1</v>
      </c>
      <c r="H307">
        <v>1.85</v>
      </c>
      <c r="I307">
        <v>0</v>
      </c>
      <c r="J307">
        <v>1</v>
      </c>
      <c r="K307">
        <v>1</v>
      </c>
      <c r="L307">
        <v>1</v>
      </c>
      <c r="M307">
        <v>1</v>
      </c>
      <c r="N307">
        <v>1</v>
      </c>
      <c r="P307">
        <v>0</v>
      </c>
      <c r="Q307">
        <v>0</v>
      </c>
      <c r="R307">
        <v>1</v>
      </c>
      <c r="S307">
        <v>1</v>
      </c>
    </row>
    <row r="308" spans="1:19" x14ac:dyDescent="0.35">
      <c r="A308">
        <v>57205347780</v>
      </c>
      <c r="B308" t="s">
        <v>4022</v>
      </c>
      <c r="C308" t="str">
        <f>_xlfn.XLOOKUP(A308,[1]Affiliations!$J$2:$J$5328,[1]Affiliations!$K$2:$K$5328,0)</f>
        <v>Universidade Federal do Rio Grande do Norte</v>
      </c>
      <c r="D308">
        <v>11</v>
      </c>
      <c r="E308">
        <v>188</v>
      </c>
      <c r="F308">
        <v>17.090910000000001</v>
      </c>
      <c r="G308">
        <v>7</v>
      </c>
      <c r="H308">
        <v>1.69</v>
      </c>
      <c r="I308">
        <v>0</v>
      </c>
      <c r="J308">
        <v>4</v>
      </c>
      <c r="K308">
        <v>4</v>
      </c>
      <c r="L308">
        <v>7</v>
      </c>
      <c r="M308">
        <v>7</v>
      </c>
      <c r="N308">
        <v>8</v>
      </c>
      <c r="P308">
        <v>0</v>
      </c>
      <c r="Q308">
        <v>0</v>
      </c>
      <c r="R308">
        <v>2</v>
      </c>
      <c r="S308">
        <v>7</v>
      </c>
    </row>
    <row r="309" spans="1:19" hidden="1" x14ac:dyDescent="0.35">
      <c r="A309">
        <v>57216785388</v>
      </c>
      <c r="B309" t="s">
        <v>322</v>
      </c>
      <c r="C309" t="str">
        <f>_xlfn.XLOOKUP(A309,[1]Affiliations!$J$2:$J$5328,[1]Affiliations!$K$2:$K$5328,0)</f>
        <v>Universidade Federal de Santa Maria</v>
      </c>
      <c r="D309">
        <v>8</v>
      </c>
      <c r="E309">
        <v>20</v>
      </c>
      <c r="F309">
        <v>2.5</v>
      </c>
      <c r="G309">
        <v>3</v>
      </c>
      <c r="H309">
        <v>0.21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P309">
        <v>0</v>
      </c>
      <c r="Q309">
        <v>0</v>
      </c>
      <c r="R309">
        <v>0</v>
      </c>
      <c r="S309">
        <v>0</v>
      </c>
    </row>
    <row r="310" spans="1:19" x14ac:dyDescent="0.35">
      <c r="A310">
        <v>37114276200</v>
      </c>
      <c r="B310" t="s">
        <v>1607</v>
      </c>
      <c r="C310" t="str">
        <f>_xlfn.XLOOKUP(A310,[1]Affiliations!$J$2:$J$5328,[1]Affiliations!$K$2:$K$5328,0)</f>
        <v>Federal University of Rio de Janeiro</v>
      </c>
      <c r="D310">
        <v>9</v>
      </c>
      <c r="E310">
        <v>86</v>
      </c>
      <c r="F310">
        <v>9.555555</v>
      </c>
      <c r="G310">
        <v>7</v>
      </c>
      <c r="H310">
        <v>1.68</v>
      </c>
      <c r="I310">
        <v>0</v>
      </c>
      <c r="J310">
        <v>1</v>
      </c>
      <c r="K310">
        <v>1</v>
      </c>
      <c r="L310">
        <v>2</v>
      </c>
      <c r="M310">
        <v>6</v>
      </c>
      <c r="N310">
        <v>9</v>
      </c>
      <c r="P310">
        <v>0</v>
      </c>
      <c r="Q310">
        <v>0</v>
      </c>
      <c r="R310">
        <v>2</v>
      </c>
      <c r="S310">
        <v>4</v>
      </c>
    </row>
    <row r="311" spans="1:19" x14ac:dyDescent="0.35">
      <c r="A311">
        <v>57200142105</v>
      </c>
      <c r="B311" t="s">
        <v>5082</v>
      </c>
      <c r="C311" t="str">
        <f>_xlfn.XLOOKUP(A311,[1]Affiliations!$J$2:$J$5328,[1]Affiliations!$K$2:$K$5328,0)</f>
        <v>Centro Brasileiro de Pesquisas Físicas</v>
      </c>
      <c r="D311">
        <v>6</v>
      </c>
      <c r="E311">
        <v>353</v>
      </c>
      <c r="F311">
        <v>58.833331999999999</v>
      </c>
      <c r="G311">
        <v>5</v>
      </c>
      <c r="H311">
        <v>1.68</v>
      </c>
      <c r="I311">
        <v>0</v>
      </c>
      <c r="J311">
        <v>1</v>
      </c>
      <c r="K311">
        <v>2</v>
      </c>
      <c r="L311">
        <v>5</v>
      </c>
      <c r="M311">
        <v>5</v>
      </c>
      <c r="N311">
        <v>5</v>
      </c>
      <c r="P311">
        <v>0</v>
      </c>
      <c r="Q311">
        <v>3</v>
      </c>
      <c r="R311">
        <v>3</v>
      </c>
      <c r="S311">
        <v>5</v>
      </c>
    </row>
    <row r="312" spans="1:19" hidden="1" x14ac:dyDescent="0.35">
      <c r="A312">
        <v>57696130700</v>
      </c>
      <c r="B312" t="s">
        <v>325</v>
      </c>
      <c r="C312" t="str">
        <f>_xlfn.XLOOKUP(A312,[1]Affiliations!$J$2:$J$5328,[1]Affiliations!$K$2:$K$5328,0)</f>
        <v>Universidade do Estado do Rio de Janeiro</v>
      </c>
      <c r="D312">
        <v>1</v>
      </c>
      <c r="E312">
        <v>2</v>
      </c>
      <c r="F312">
        <v>2</v>
      </c>
      <c r="G312">
        <v>1</v>
      </c>
      <c r="H312">
        <v>0.16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1</v>
      </c>
      <c r="P312">
        <v>0</v>
      </c>
      <c r="Q312">
        <v>0</v>
      </c>
      <c r="R312">
        <v>0</v>
      </c>
      <c r="S312">
        <v>0</v>
      </c>
    </row>
    <row r="313" spans="1:19" hidden="1" x14ac:dyDescent="0.35">
      <c r="A313">
        <v>57214331821</v>
      </c>
      <c r="B313" t="s">
        <v>326</v>
      </c>
      <c r="C313" t="str">
        <f>_xlfn.XLOOKUP(A313,[1]Affiliations!$J$2:$J$5328,[1]Affiliations!$K$2:$K$5328,0)</f>
        <v>Universidade Federal do Rio Grande do Norte (+1 more)</v>
      </c>
      <c r="D313">
        <v>3</v>
      </c>
      <c r="E313">
        <v>109</v>
      </c>
      <c r="F313">
        <v>36.333331999999999</v>
      </c>
      <c r="G313">
        <v>3</v>
      </c>
      <c r="H313">
        <v>2.97</v>
      </c>
      <c r="I313">
        <v>0</v>
      </c>
      <c r="J313">
        <v>3</v>
      </c>
      <c r="K313">
        <v>3</v>
      </c>
      <c r="L313">
        <v>3</v>
      </c>
      <c r="M313">
        <v>3</v>
      </c>
      <c r="N313">
        <v>3</v>
      </c>
      <c r="P313">
        <v>0</v>
      </c>
      <c r="Q313">
        <v>1</v>
      </c>
      <c r="R313">
        <v>2</v>
      </c>
      <c r="S313">
        <v>3</v>
      </c>
    </row>
    <row r="314" spans="1:19" hidden="1" x14ac:dyDescent="0.35">
      <c r="A314">
        <v>55818512300</v>
      </c>
      <c r="B314" t="s">
        <v>327</v>
      </c>
      <c r="C314" t="str">
        <f>_xlfn.XLOOKUP(A314,[1]Affiliations!$J$2:$J$5328,[1]Affiliations!$K$2:$K$5328,0)</f>
        <v>TRANSPETRO</v>
      </c>
      <c r="D314">
        <v>4</v>
      </c>
      <c r="E314">
        <v>2</v>
      </c>
      <c r="F314">
        <v>0.5</v>
      </c>
      <c r="G314">
        <v>1</v>
      </c>
      <c r="H314">
        <v>0.13</v>
      </c>
      <c r="P314">
        <v>0</v>
      </c>
      <c r="Q314">
        <v>0</v>
      </c>
      <c r="R314">
        <v>0</v>
      </c>
      <c r="S314">
        <v>0</v>
      </c>
    </row>
    <row r="315" spans="1:19" x14ac:dyDescent="0.35">
      <c r="A315">
        <v>7003351590</v>
      </c>
      <c r="B315" t="s">
        <v>1170</v>
      </c>
      <c r="C315" t="str">
        <f>_xlfn.XLOOKUP(A315,[1]Affiliations!$J$2:$J$5328,[1]Affiliations!$K$2:$K$5328,0)</f>
        <v>Universidade de São Paulo</v>
      </c>
      <c r="D315">
        <v>74</v>
      </c>
      <c r="E315">
        <v>2444</v>
      </c>
      <c r="F315">
        <v>33.027026999999997</v>
      </c>
      <c r="G315">
        <v>36</v>
      </c>
      <c r="H315">
        <v>1.67</v>
      </c>
      <c r="I315">
        <v>3</v>
      </c>
      <c r="J315">
        <v>15</v>
      </c>
      <c r="K315">
        <v>28</v>
      </c>
      <c r="L315">
        <v>46</v>
      </c>
      <c r="M315">
        <v>65</v>
      </c>
      <c r="N315">
        <v>65</v>
      </c>
      <c r="P315">
        <v>2</v>
      </c>
      <c r="Q315">
        <v>10</v>
      </c>
      <c r="R315">
        <v>17</v>
      </c>
      <c r="S315">
        <v>44</v>
      </c>
    </row>
    <row r="316" spans="1:19" hidden="1" x14ac:dyDescent="0.35">
      <c r="A316">
        <v>57197761314</v>
      </c>
      <c r="B316" t="s">
        <v>329</v>
      </c>
      <c r="C316" t="str">
        <f>_xlfn.XLOOKUP(A316,[1]Affiliations!$J$2:$J$5328,[1]Affiliations!$K$2:$K$5328,0)</f>
        <v>Universidade do Estado do Rio de Janeiro</v>
      </c>
      <c r="D316">
        <v>4</v>
      </c>
      <c r="E316">
        <v>33</v>
      </c>
      <c r="F316">
        <v>8.25</v>
      </c>
      <c r="G316">
        <v>2</v>
      </c>
      <c r="H316">
        <v>0.28000000000000003</v>
      </c>
      <c r="I316">
        <v>0</v>
      </c>
      <c r="J316">
        <v>0</v>
      </c>
      <c r="K316">
        <v>0</v>
      </c>
      <c r="L316">
        <v>1</v>
      </c>
      <c r="M316">
        <v>3</v>
      </c>
      <c r="N316">
        <v>4</v>
      </c>
      <c r="P316">
        <v>0</v>
      </c>
      <c r="Q316">
        <v>0</v>
      </c>
      <c r="R316">
        <v>0</v>
      </c>
      <c r="S316">
        <v>1</v>
      </c>
    </row>
    <row r="317" spans="1:19" hidden="1" x14ac:dyDescent="0.35">
      <c r="A317">
        <v>54894482500</v>
      </c>
      <c r="B317" t="s">
        <v>330</v>
      </c>
      <c r="C317" t="str">
        <f>_xlfn.XLOOKUP(A317,[1]Affiliations!$J$2:$J$5328,[1]Affiliations!$K$2:$K$5328,0)</f>
        <v>Universidade Federal Fluminense (+2 more)</v>
      </c>
      <c r="D317">
        <v>22</v>
      </c>
      <c r="E317">
        <v>142</v>
      </c>
      <c r="F317">
        <v>6.4545455</v>
      </c>
      <c r="G317">
        <v>7</v>
      </c>
      <c r="H317">
        <v>0.88</v>
      </c>
      <c r="I317">
        <v>0</v>
      </c>
      <c r="J317">
        <v>0</v>
      </c>
      <c r="K317">
        <v>2</v>
      </c>
      <c r="L317">
        <v>4</v>
      </c>
      <c r="M317">
        <v>6</v>
      </c>
      <c r="N317">
        <v>14</v>
      </c>
      <c r="P317">
        <v>0</v>
      </c>
      <c r="Q317">
        <v>0</v>
      </c>
      <c r="R317">
        <v>0</v>
      </c>
      <c r="S317">
        <v>2</v>
      </c>
    </row>
    <row r="318" spans="1:19" hidden="1" x14ac:dyDescent="0.35">
      <c r="A318">
        <v>59006987500</v>
      </c>
      <c r="B318" t="s">
        <v>331</v>
      </c>
      <c r="C318" t="str">
        <f>_xlfn.XLOOKUP(A318,[1]Affiliations!$J$2:$J$5328,[1]Affiliations!$K$2:$K$5328,0)</f>
        <v>Federal University of Rio de Janeiro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P318">
        <v>0</v>
      </c>
      <c r="Q318">
        <v>0</v>
      </c>
      <c r="R318">
        <v>0</v>
      </c>
      <c r="S318">
        <v>0</v>
      </c>
    </row>
    <row r="319" spans="1:19" x14ac:dyDescent="0.35">
      <c r="A319">
        <v>57191245936</v>
      </c>
      <c r="B319" t="s">
        <v>4420</v>
      </c>
      <c r="C319" t="str">
        <f>_xlfn.XLOOKUP(A319,[1]Affiliations!$J$2:$J$5328,[1]Affiliations!$K$2:$K$5328,0)</f>
        <v>University of Campinas (+1 more)</v>
      </c>
      <c r="D319">
        <v>55</v>
      </c>
      <c r="E319">
        <v>1771</v>
      </c>
      <c r="F319">
        <v>32.200000000000003</v>
      </c>
      <c r="G319">
        <v>23</v>
      </c>
      <c r="H319">
        <v>1.67</v>
      </c>
      <c r="I319">
        <v>6</v>
      </c>
      <c r="J319">
        <v>10</v>
      </c>
      <c r="K319">
        <v>22</v>
      </c>
      <c r="L319">
        <v>26</v>
      </c>
      <c r="M319">
        <v>40</v>
      </c>
      <c r="N319">
        <v>47</v>
      </c>
      <c r="P319">
        <v>2</v>
      </c>
      <c r="Q319">
        <v>7</v>
      </c>
      <c r="R319">
        <v>13</v>
      </c>
      <c r="S319">
        <v>29</v>
      </c>
    </row>
    <row r="320" spans="1:19" hidden="1" x14ac:dyDescent="0.35">
      <c r="A320">
        <v>57432898600</v>
      </c>
      <c r="B320" t="s">
        <v>333</v>
      </c>
      <c r="C320" t="str">
        <f>_xlfn.XLOOKUP(A320,[1]Affiliations!$J$2:$J$5328,[1]Affiliations!$K$2:$K$5328,0)</f>
        <v>Pontifical Catholic University of Rio de Janeiro</v>
      </c>
      <c r="D320">
        <v>4</v>
      </c>
      <c r="E320">
        <v>26</v>
      </c>
      <c r="F320">
        <v>6.5</v>
      </c>
      <c r="G320">
        <v>2</v>
      </c>
      <c r="H320">
        <v>0.5</v>
      </c>
      <c r="I320">
        <v>0</v>
      </c>
      <c r="J320">
        <v>1</v>
      </c>
      <c r="K320">
        <v>3</v>
      </c>
      <c r="L320">
        <v>4</v>
      </c>
      <c r="M320">
        <v>4</v>
      </c>
      <c r="N320">
        <v>4</v>
      </c>
      <c r="P320">
        <v>0</v>
      </c>
      <c r="Q320">
        <v>0</v>
      </c>
      <c r="R320">
        <v>1</v>
      </c>
      <c r="S320">
        <v>1</v>
      </c>
    </row>
    <row r="321" spans="1:19" x14ac:dyDescent="0.35">
      <c r="A321">
        <v>55968603400</v>
      </c>
      <c r="B321" t="s">
        <v>5197</v>
      </c>
      <c r="C321" t="str">
        <f>_xlfn.XLOOKUP(A321,[1]Affiliations!$J$2:$J$5328,[1]Affiliations!$K$2:$K$5328,0)</f>
        <v>University of Campinas (+1 more)</v>
      </c>
      <c r="D321">
        <v>57</v>
      </c>
      <c r="E321">
        <v>1599</v>
      </c>
      <c r="F321">
        <v>28.052631000000002</v>
      </c>
      <c r="G321">
        <v>22</v>
      </c>
      <c r="H321">
        <v>1.67</v>
      </c>
      <c r="I321">
        <v>1</v>
      </c>
      <c r="J321">
        <v>12</v>
      </c>
      <c r="K321">
        <v>24</v>
      </c>
      <c r="L321">
        <v>39</v>
      </c>
      <c r="M321">
        <v>54</v>
      </c>
      <c r="N321">
        <v>57</v>
      </c>
      <c r="P321">
        <v>2</v>
      </c>
      <c r="Q321">
        <v>11</v>
      </c>
      <c r="R321">
        <v>22</v>
      </c>
      <c r="S321">
        <v>39</v>
      </c>
    </row>
    <row r="322" spans="1:19" x14ac:dyDescent="0.35">
      <c r="A322">
        <v>8360555200</v>
      </c>
      <c r="B322" t="s">
        <v>3108</v>
      </c>
      <c r="C322" t="str">
        <f>_xlfn.XLOOKUP(A322,[1]Affiliations!$J$2:$J$5328,[1]Affiliations!$K$2:$K$5328,0)</f>
        <v>Universidade Federal de Minas Gerais</v>
      </c>
      <c r="D322">
        <v>280</v>
      </c>
      <c r="E322">
        <v>10492</v>
      </c>
      <c r="F322">
        <v>37.471428000000003</v>
      </c>
      <c r="G322">
        <v>73</v>
      </c>
      <c r="H322">
        <v>1.66</v>
      </c>
      <c r="I322">
        <v>28</v>
      </c>
      <c r="J322">
        <v>118</v>
      </c>
      <c r="K322">
        <v>154</v>
      </c>
      <c r="L322">
        <v>213</v>
      </c>
      <c r="M322">
        <v>240</v>
      </c>
      <c r="N322">
        <v>275</v>
      </c>
      <c r="P322">
        <v>15</v>
      </c>
      <c r="Q322">
        <v>48</v>
      </c>
      <c r="R322">
        <v>83</v>
      </c>
      <c r="S322">
        <v>165</v>
      </c>
    </row>
    <row r="323" spans="1:19" x14ac:dyDescent="0.35">
      <c r="A323">
        <v>57216592338</v>
      </c>
      <c r="B323" t="s">
        <v>4027</v>
      </c>
      <c r="C323" t="str">
        <f>_xlfn.XLOOKUP(A323,[1]Affiliations!$J$2:$J$5328,[1]Affiliations!$K$2:$K$5328,0)</f>
        <v>Pontifícia Universidade Católica do Rio Grande do Sul</v>
      </c>
      <c r="D323">
        <v>5</v>
      </c>
      <c r="E323">
        <v>243</v>
      </c>
      <c r="F323">
        <v>48.6</v>
      </c>
      <c r="G323">
        <v>4</v>
      </c>
      <c r="H323">
        <v>1.66</v>
      </c>
      <c r="I323">
        <v>0</v>
      </c>
      <c r="J323">
        <v>1</v>
      </c>
      <c r="K323">
        <v>1</v>
      </c>
      <c r="L323">
        <v>3</v>
      </c>
      <c r="M323">
        <v>4</v>
      </c>
      <c r="N323">
        <v>5</v>
      </c>
      <c r="P323">
        <v>1</v>
      </c>
      <c r="Q323">
        <v>1</v>
      </c>
      <c r="R323">
        <v>1</v>
      </c>
      <c r="S323">
        <v>2</v>
      </c>
    </row>
    <row r="324" spans="1:19" x14ac:dyDescent="0.35">
      <c r="A324">
        <v>57412750300</v>
      </c>
      <c r="B324" t="s">
        <v>172</v>
      </c>
      <c r="C324" t="str">
        <f>_xlfn.XLOOKUP(A324,[1]Affiliations!$J$2:$J$5328,[1]Affiliations!$K$2:$K$5328,0)</f>
        <v>Universidade Federal de Minas Gerais</v>
      </c>
      <c r="D324">
        <v>18</v>
      </c>
      <c r="E324">
        <v>263</v>
      </c>
      <c r="F324">
        <v>14.611110999999999</v>
      </c>
      <c r="G324">
        <v>9</v>
      </c>
      <c r="H324">
        <v>1.65</v>
      </c>
      <c r="I324">
        <v>1</v>
      </c>
      <c r="J324">
        <v>2</v>
      </c>
      <c r="K324">
        <v>4</v>
      </c>
      <c r="L324">
        <v>8</v>
      </c>
      <c r="M324">
        <v>15</v>
      </c>
      <c r="N324">
        <v>15</v>
      </c>
      <c r="P324">
        <v>1</v>
      </c>
      <c r="Q324">
        <v>3</v>
      </c>
      <c r="R324">
        <v>6</v>
      </c>
      <c r="S324">
        <v>10</v>
      </c>
    </row>
    <row r="325" spans="1:19" x14ac:dyDescent="0.35">
      <c r="A325">
        <v>7102475875</v>
      </c>
      <c r="B325" t="s">
        <v>572</v>
      </c>
      <c r="C325" t="str">
        <f>_xlfn.XLOOKUP(A325,[1]Affiliations!$J$2:$J$5328,[1]Affiliations!$K$2:$K$5328,0)</f>
        <v>Pontifical Catholic University of Rio de Janeiro (+2 more)</v>
      </c>
      <c r="D325">
        <v>61</v>
      </c>
      <c r="E325">
        <v>502</v>
      </c>
      <c r="F325">
        <v>8.2295079999999992</v>
      </c>
      <c r="G325">
        <v>21</v>
      </c>
      <c r="H325">
        <v>1.65</v>
      </c>
      <c r="I325">
        <v>0</v>
      </c>
      <c r="J325">
        <v>3</v>
      </c>
      <c r="K325">
        <v>7</v>
      </c>
      <c r="L325">
        <v>14</v>
      </c>
      <c r="M325">
        <v>23</v>
      </c>
      <c r="N325">
        <v>30</v>
      </c>
      <c r="P325">
        <v>0</v>
      </c>
      <c r="Q325">
        <v>1</v>
      </c>
      <c r="R325">
        <v>3</v>
      </c>
      <c r="S325">
        <v>16</v>
      </c>
    </row>
    <row r="326" spans="1:19" hidden="1" x14ac:dyDescent="0.35">
      <c r="A326">
        <v>6602858270</v>
      </c>
      <c r="B326" t="s">
        <v>339</v>
      </c>
      <c r="C326" t="str">
        <f>_xlfn.XLOOKUP(A326,[1]Affiliations!$J$2:$J$5328,[1]Affiliations!$K$2:$K$5328,0)</f>
        <v>Universidade de São Paulo (+1 more)</v>
      </c>
      <c r="D326">
        <v>18</v>
      </c>
      <c r="E326">
        <v>106</v>
      </c>
      <c r="F326">
        <v>5.8888889999999998</v>
      </c>
      <c r="G326">
        <v>11</v>
      </c>
      <c r="H326">
        <v>0.42</v>
      </c>
      <c r="I326">
        <v>0</v>
      </c>
      <c r="J326">
        <v>1</v>
      </c>
      <c r="K326">
        <v>3</v>
      </c>
      <c r="L326">
        <v>7</v>
      </c>
      <c r="M326">
        <v>11</v>
      </c>
      <c r="N326">
        <v>11</v>
      </c>
      <c r="P326">
        <v>0</v>
      </c>
      <c r="Q326">
        <v>0</v>
      </c>
      <c r="R326">
        <v>0</v>
      </c>
      <c r="S326">
        <v>1</v>
      </c>
    </row>
    <row r="327" spans="1:19" hidden="1" x14ac:dyDescent="0.35">
      <c r="A327">
        <v>56363142400</v>
      </c>
      <c r="B327" t="s">
        <v>340</v>
      </c>
      <c r="C327" t="str">
        <f>_xlfn.XLOOKUP(A327,[1]Affiliations!$J$2:$J$5328,[1]Affiliations!$K$2:$K$5328,0)</f>
        <v>Universidade Federal do Rio Grande do Sul (+1 more)</v>
      </c>
      <c r="D327">
        <v>10</v>
      </c>
      <c r="E327">
        <v>174</v>
      </c>
      <c r="F327">
        <v>17.399999999999999</v>
      </c>
      <c r="G327">
        <v>9</v>
      </c>
      <c r="H327">
        <v>0.89</v>
      </c>
      <c r="I327">
        <v>0</v>
      </c>
      <c r="J327">
        <v>2</v>
      </c>
      <c r="K327">
        <v>5</v>
      </c>
      <c r="L327">
        <v>7</v>
      </c>
      <c r="M327">
        <v>10</v>
      </c>
      <c r="N327">
        <v>10</v>
      </c>
      <c r="P327">
        <v>0</v>
      </c>
      <c r="Q327">
        <v>0</v>
      </c>
      <c r="R327">
        <v>0</v>
      </c>
      <c r="S327">
        <v>4</v>
      </c>
    </row>
    <row r="328" spans="1:19" hidden="1" x14ac:dyDescent="0.35">
      <c r="A328">
        <v>57200824184</v>
      </c>
      <c r="B328" t="s">
        <v>341</v>
      </c>
      <c r="C328" t="str">
        <f>_xlfn.XLOOKUP(A328,[1]Affiliations!$J$2:$J$5328,[1]Affiliations!$K$2:$K$5328,0)</f>
        <v>DEMa</v>
      </c>
      <c r="D328">
        <v>1</v>
      </c>
      <c r="E328">
        <v>15</v>
      </c>
      <c r="F328">
        <v>15</v>
      </c>
      <c r="G328">
        <v>1</v>
      </c>
      <c r="H328">
        <v>0.53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P328">
        <v>0</v>
      </c>
      <c r="Q328">
        <v>0</v>
      </c>
      <c r="R328">
        <v>0</v>
      </c>
      <c r="S328">
        <v>0</v>
      </c>
    </row>
    <row r="329" spans="1:19" hidden="1" x14ac:dyDescent="0.35">
      <c r="A329">
        <v>59199730800</v>
      </c>
      <c r="B329" t="s">
        <v>342</v>
      </c>
      <c r="C329" t="str">
        <f>_xlfn.XLOOKUP(A329,[1]Affiliations!$J$2:$J$5328,[1]Affiliations!$K$2:$K$5328,0)</f>
        <v>Pontifical Catholic University of Rio de Janeiro</v>
      </c>
      <c r="D329">
        <v>1</v>
      </c>
      <c r="E329">
        <v>1</v>
      </c>
      <c r="F329">
        <v>1</v>
      </c>
      <c r="G329">
        <v>1</v>
      </c>
      <c r="H329">
        <v>0.16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P329">
        <v>0</v>
      </c>
      <c r="Q329">
        <v>0</v>
      </c>
      <c r="R329">
        <v>0</v>
      </c>
      <c r="S329">
        <v>0</v>
      </c>
    </row>
    <row r="330" spans="1:19" x14ac:dyDescent="0.35">
      <c r="A330">
        <v>55315382900</v>
      </c>
      <c r="B330" t="s">
        <v>641</v>
      </c>
      <c r="C330" t="str">
        <f>_xlfn.XLOOKUP(A330,[1]Affiliations!$J$2:$J$5328,[1]Affiliations!$K$2:$K$5328,0)</f>
        <v>Centro Federal de Educação Tecnológica Celso Suckow da Fonseca (CEFET-RJ)</v>
      </c>
      <c r="D330">
        <v>32</v>
      </c>
      <c r="E330">
        <v>1624</v>
      </c>
      <c r="F330">
        <v>50.75</v>
      </c>
      <c r="G330">
        <v>18</v>
      </c>
      <c r="H330">
        <v>1.65</v>
      </c>
      <c r="I330">
        <v>0</v>
      </c>
      <c r="J330">
        <v>4</v>
      </c>
      <c r="K330">
        <v>6</v>
      </c>
      <c r="L330">
        <v>8</v>
      </c>
      <c r="M330">
        <v>20</v>
      </c>
      <c r="N330">
        <v>29</v>
      </c>
      <c r="P330">
        <v>1</v>
      </c>
      <c r="Q330">
        <v>5</v>
      </c>
      <c r="R330">
        <v>8</v>
      </c>
      <c r="S330">
        <v>18</v>
      </c>
    </row>
    <row r="331" spans="1:19" x14ac:dyDescent="0.35">
      <c r="A331">
        <v>6603431535</v>
      </c>
      <c r="B331" t="s">
        <v>2046</v>
      </c>
      <c r="C331" t="str">
        <f>_xlfn.XLOOKUP(A331,[1]Affiliations!$J$2:$J$5328,[1]Affiliations!$K$2:$K$5328,0)</f>
        <v>Federal University of Rio de Janeiro</v>
      </c>
      <c r="D331">
        <v>32</v>
      </c>
      <c r="E331">
        <v>985</v>
      </c>
      <c r="F331">
        <v>30.78125</v>
      </c>
      <c r="G331">
        <v>19</v>
      </c>
      <c r="H331">
        <v>1.65</v>
      </c>
      <c r="I331">
        <v>1</v>
      </c>
      <c r="J331">
        <v>4</v>
      </c>
      <c r="K331">
        <v>5</v>
      </c>
      <c r="L331">
        <v>12</v>
      </c>
      <c r="M331">
        <v>19</v>
      </c>
      <c r="N331">
        <v>23</v>
      </c>
      <c r="P331">
        <v>1</v>
      </c>
      <c r="Q331">
        <v>3</v>
      </c>
      <c r="R331">
        <v>5</v>
      </c>
      <c r="S331">
        <v>11</v>
      </c>
    </row>
    <row r="332" spans="1:19" x14ac:dyDescent="0.35">
      <c r="A332">
        <v>55360794100</v>
      </c>
      <c r="B332" t="s">
        <v>5300</v>
      </c>
      <c r="C332" t="str">
        <f>_xlfn.XLOOKUP(A332,[1]Affiliations!$J$2:$J$5328,[1]Affiliations!$K$2:$K$5328,0)</f>
        <v>DEMa</v>
      </c>
      <c r="D332">
        <v>86</v>
      </c>
      <c r="E332">
        <v>3289</v>
      </c>
      <c r="F332">
        <v>38.244185999999999</v>
      </c>
      <c r="G332">
        <v>31</v>
      </c>
      <c r="H332">
        <v>1.65</v>
      </c>
      <c r="I332">
        <v>2</v>
      </c>
      <c r="J332">
        <v>19</v>
      </c>
      <c r="K332">
        <v>53</v>
      </c>
      <c r="L332">
        <v>71</v>
      </c>
      <c r="M332">
        <v>80</v>
      </c>
      <c r="N332">
        <v>80</v>
      </c>
      <c r="P332">
        <v>2</v>
      </c>
      <c r="Q332">
        <v>20</v>
      </c>
      <c r="R332">
        <v>33</v>
      </c>
      <c r="S332">
        <v>61</v>
      </c>
    </row>
    <row r="333" spans="1:19" hidden="1" x14ac:dyDescent="0.35">
      <c r="A333">
        <v>60027146200</v>
      </c>
      <c r="B333" t="s">
        <v>346</v>
      </c>
      <c r="C333" t="str">
        <f>_xlfn.XLOOKUP(A333,[1]Affiliations!$J$2:$J$5328,[1]Affiliations!$K$2:$K$5328,0)</f>
        <v>Federal University of Rio de Janeiro</v>
      </c>
      <c r="D333">
        <v>0</v>
      </c>
      <c r="G333">
        <v>0</v>
      </c>
    </row>
    <row r="334" spans="1:19" hidden="1" x14ac:dyDescent="0.35">
      <c r="A334">
        <v>57444279400</v>
      </c>
      <c r="B334" t="s">
        <v>347</v>
      </c>
      <c r="C334" t="str">
        <f>_xlfn.XLOOKUP(A334,[1]Affiliations!$J$2:$J$5328,[1]Affiliations!$K$2:$K$5328,0)</f>
        <v>Universidade Federal do Espírito Santo</v>
      </c>
      <c r="D334">
        <v>1</v>
      </c>
      <c r="E334">
        <v>4</v>
      </c>
      <c r="F334">
        <v>4</v>
      </c>
      <c r="G334">
        <v>1</v>
      </c>
      <c r="H334">
        <v>0.52</v>
      </c>
      <c r="P334">
        <v>0</v>
      </c>
      <c r="Q334">
        <v>0</v>
      </c>
      <c r="R334">
        <v>0</v>
      </c>
      <c r="S334">
        <v>0</v>
      </c>
    </row>
    <row r="335" spans="1:19" hidden="1" x14ac:dyDescent="0.35">
      <c r="A335">
        <v>55927984200</v>
      </c>
      <c r="B335" t="s">
        <v>348</v>
      </c>
      <c r="C335" t="str">
        <f>_xlfn.XLOOKUP(A335,[1]Affiliations!$J$2:$J$5328,[1]Affiliations!$K$2:$K$5328,0)</f>
        <v>Universidade de Brasília (+1 more)</v>
      </c>
      <c r="D335">
        <v>5</v>
      </c>
      <c r="E335">
        <v>45</v>
      </c>
      <c r="F335">
        <v>9</v>
      </c>
      <c r="G335">
        <v>4</v>
      </c>
      <c r="H335">
        <v>0.74</v>
      </c>
      <c r="I335">
        <v>0</v>
      </c>
      <c r="J335">
        <v>0</v>
      </c>
      <c r="K335">
        <v>1</v>
      </c>
      <c r="L335">
        <v>1</v>
      </c>
      <c r="M335">
        <v>4</v>
      </c>
      <c r="N335">
        <v>5</v>
      </c>
      <c r="P335">
        <v>0</v>
      </c>
      <c r="Q335">
        <v>0</v>
      </c>
      <c r="R335">
        <v>0</v>
      </c>
      <c r="S335">
        <v>0</v>
      </c>
    </row>
    <row r="336" spans="1:19" hidden="1" x14ac:dyDescent="0.35">
      <c r="A336">
        <v>45661023000</v>
      </c>
      <c r="B336" t="s">
        <v>349</v>
      </c>
      <c r="C336" t="str">
        <f>_xlfn.XLOOKUP(A336,[1]Affiliations!$J$2:$J$5328,[1]Affiliations!$K$2:$K$5328,0)</f>
        <v>Agilent Technologies</v>
      </c>
      <c r="D336">
        <v>5</v>
      </c>
      <c r="E336">
        <v>21</v>
      </c>
      <c r="F336">
        <v>4.2</v>
      </c>
      <c r="G336">
        <v>3</v>
      </c>
      <c r="H336">
        <v>0.49</v>
      </c>
      <c r="I336">
        <v>0</v>
      </c>
      <c r="J336">
        <v>1</v>
      </c>
      <c r="K336">
        <v>3</v>
      </c>
      <c r="L336">
        <v>3</v>
      </c>
      <c r="M336">
        <v>3</v>
      </c>
      <c r="N336">
        <v>4</v>
      </c>
      <c r="P336">
        <v>0</v>
      </c>
      <c r="Q336">
        <v>0</v>
      </c>
      <c r="R336">
        <v>0</v>
      </c>
      <c r="S336">
        <v>0</v>
      </c>
    </row>
    <row r="337" spans="1:19" hidden="1" x14ac:dyDescent="0.35">
      <c r="A337">
        <v>22033749100</v>
      </c>
      <c r="B337" t="s">
        <v>350</v>
      </c>
      <c r="C337" t="str">
        <f>_xlfn.XLOOKUP(A337,[1]Affiliations!$J$2:$J$5328,[1]Affiliations!$K$2:$K$5328,0)</f>
        <v>Instituto Federal de Educação, Ciência e Tecnologia do Rio de Janeiro (+1 more)</v>
      </c>
      <c r="D337">
        <v>11</v>
      </c>
      <c r="E337">
        <v>115</v>
      </c>
      <c r="F337">
        <v>10.454545</v>
      </c>
      <c r="G337">
        <v>6</v>
      </c>
      <c r="H337">
        <v>0.91</v>
      </c>
      <c r="I337">
        <v>0</v>
      </c>
      <c r="J337">
        <v>0</v>
      </c>
      <c r="K337">
        <v>1</v>
      </c>
      <c r="L337">
        <v>3</v>
      </c>
      <c r="M337">
        <v>4</v>
      </c>
      <c r="N337">
        <v>6</v>
      </c>
      <c r="P337">
        <v>0</v>
      </c>
      <c r="Q337">
        <v>0</v>
      </c>
      <c r="R337">
        <v>0</v>
      </c>
      <c r="S337">
        <v>1</v>
      </c>
    </row>
    <row r="338" spans="1:19" hidden="1" x14ac:dyDescent="0.35">
      <c r="A338">
        <v>55427980400</v>
      </c>
      <c r="B338" t="s">
        <v>351</v>
      </c>
      <c r="C338" t="str">
        <f>_xlfn.XLOOKUP(A338,[1]Affiliations!$J$2:$J$5328,[1]Affiliations!$K$2:$K$5328,0)</f>
        <v>University of Coimbra (+1 more)</v>
      </c>
      <c r="D338">
        <v>10</v>
      </c>
      <c r="E338">
        <v>46</v>
      </c>
      <c r="F338">
        <v>4.5999999999999996</v>
      </c>
      <c r="G338">
        <v>5</v>
      </c>
      <c r="H338">
        <v>0.33</v>
      </c>
      <c r="I338">
        <v>0</v>
      </c>
      <c r="J338">
        <v>0</v>
      </c>
      <c r="K338">
        <v>0</v>
      </c>
      <c r="L338">
        <v>5</v>
      </c>
      <c r="M338">
        <v>7</v>
      </c>
      <c r="N338">
        <v>10</v>
      </c>
      <c r="P338">
        <v>0</v>
      </c>
      <c r="Q338">
        <v>0</v>
      </c>
      <c r="R338">
        <v>0</v>
      </c>
      <c r="S338">
        <v>1</v>
      </c>
    </row>
    <row r="339" spans="1:19" hidden="1" x14ac:dyDescent="0.35">
      <c r="A339">
        <v>35767427700</v>
      </c>
      <c r="B339" t="s">
        <v>352</v>
      </c>
      <c r="C339" t="str">
        <f>_xlfn.XLOOKUP(A339,[1]Affiliations!$J$2:$J$5328,[1]Affiliations!$K$2:$K$5328,0)</f>
        <v>Federal University of Rio de Janeiro</v>
      </c>
      <c r="D339">
        <v>4</v>
      </c>
      <c r="E339">
        <v>42</v>
      </c>
      <c r="F339">
        <v>10.5</v>
      </c>
      <c r="G339">
        <v>7</v>
      </c>
      <c r="H339">
        <v>0.96</v>
      </c>
      <c r="I339">
        <v>0</v>
      </c>
      <c r="J339">
        <v>0</v>
      </c>
      <c r="K339">
        <v>0</v>
      </c>
      <c r="L339">
        <v>2</v>
      </c>
      <c r="M339">
        <v>3</v>
      </c>
      <c r="N339">
        <v>4</v>
      </c>
      <c r="P339">
        <v>0</v>
      </c>
      <c r="Q339">
        <v>0</v>
      </c>
      <c r="R339">
        <v>0</v>
      </c>
      <c r="S339">
        <v>0</v>
      </c>
    </row>
    <row r="340" spans="1:19" hidden="1" x14ac:dyDescent="0.35">
      <c r="A340">
        <v>60094442000</v>
      </c>
      <c r="B340" t="s">
        <v>353</v>
      </c>
      <c r="C340" t="str">
        <f>_xlfn.XLOOKUP(A340,[1]Affiliations!$J$2:$J$5328,[1]Affiliations!$K$2:$K$5328,0)</f>
        <v>Universidade Federal de Mato Grosso</v>
      </c>
      <c r="D340">
        <v>0</v>
      </c>
      <c r="G340">
        <v>0</v>
      </c>
    </row>
    <row r="341" spans="1:19" hidden="1" x14ac:dyDescent="0.35">
      <c r="A341">
        <v>58221633100</v>
      </c>
      <c r="B341" t="s">
        <v>354</v>
      </c>
      <c r="C341" t="str">
        <f>_xlfn.XLOOKUP(A341,[1]Affiliations!$J$2:$J$5328,[1]Affiliations!$K$2:$K$5328,0)</f>
        <v>Federal University of Rio de Janeiro</v>
      </c>
      <c r="D341">
        <v>1</v>
      </c>
      <c r="E341">
        <v>3</v>
      </c>
      <c r="F341">
        <v>3</v>
      </c>
      <c r="G341">
        <v>1</v>
      </c>
      <c r="H341">
        <v>0.18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P341">
        <v>0</v>
      </c>
      <c r="Q341">
        <v>0</v>
      </c>
      <c r="R341">
        <v>0</v>
      </c>
      <c r="S341">
        <v>0</v>
      </c>
    </row>
    <row r="342" spans="1:19" hidden="1" x14ac:dyDescent="0.35">
      <c r="A342">
        <v>57206374344</v>
      </c>
      <c r="B342" t="s">
        <v>355</v>
      </c>
      <c r="C342" t="str">
        <f>_xlfn.XLOOKUP(A342,[1]Affiliations!$J$2:$J$5328,[1]Affiliations!$K$2:$K$5328,0)</f>
        <v>Pontifical Catholic University of Rio de Janeiro</v>
      </c>
      <c r="D342">
        <v>2</v>
      </c>
      <c r="E342">
        <v>2</v>
      </c>
      <c r="F342">
        <v>1</v>
      </c>
      <c r="G342">
        <v>1</v>
      </c>
      <c r="H342">
        <v>0.44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</v>
      </c>
      <c r="P342">
        <v>0</v>
      </c>
      <c r="Q342">
        <v>0</v>
      </c>
      <c r="R342">
        <v>0</v>
      </c>
      <c r="S342">
        <v>0</v>
      </c>
    </row>
    <row r="343" spans="1:19" x14ac:dyDescent="0.35">
      <c r="A343">
        <v>57205478702</v>
      </c>
      <c r="B343" t="s">
        <v>2835</v>
      </c>
      <c r="C343" t="str">
        <f>_xlfn.XLOOKUP(A343,[1]Affiliations!$J$2:$J$5328,[1]Affiliations!$K$2:$K$5328,0)</f>
        <v>Universidade de São Paulo</v>
      </c>
      <c r="D343">
        <v>27</v>
      </c>
      <c r="E343">
        <v>1142</v>
      </c>
      <c r="F343">
        <v>42.296295000000001</v>
      </c>
      <c r="G343">
        <v>19</v>
      </c>
      <c r="H343">
        <v>1.64</v>
      </c>
      <c r="I343">
        <v>0</v>
      </c>
      <c r="J343">
        <v>1</v>
      </c>
      <c r="K343">
        <v>5</v>
      </c>
      <c r="L343">
        <v>16</v>
      </c>
      <c r="M343">
        <v>26</v>
      </c>
      <c r="N343">
        <v>27</v>
      </c>
      <c r="P343">
        <v>1</v>
      </c>
      <c r="Q343">
        <v>3</v>
      </c>
      <c r="R343">
        <v>4</v>
      </c>
      <c r="S343">
        <v>20</v>
      </c>
    </row>
    <row r="344" spans="1:19" hidden="1" x14ac:dyDescent="0.35">
      <c r="A344">
        <v>59377849900</v>
      </c>
      <c r="B344" t="s">
        <v>357</v>
      </c>
      <c r="C344" t="str">
        <f>_xlfn.XLOOKUP(A344,[1]Affiliations!$J$2:$J$5328,[1]Affiliations!$K$2:$K$5328,0)</f>
        <v>University of Campinas</v>
      </c>
      <c r="D344">
        <v>0</v>
      </c>
      <c r="G344">
        <v>0</v>
      </c>
    </row>
    <row r="345" spans="1:19" x14ac:dyDescent="0.35">
      <c r="A345">
        <v>14833107600</v>
      </c>
      <c r="B345" t="s">
        <v>4533</v>
      </c>
      <c r="C345" t="str">
        <f>_xlfn.XLOOKUP(A345,[1]Affiliations!$J$2:$J$5328,[1]Affiliations!$K$2:$K$5328,0)</f>
        <v>DEMa</v>
      </c>
      <c r="D345">
        <v>65</v>
      </c>
      <c r="E345">
        <v>3621</v>
      </c>
      <c r="F345">
        <v>55.707689999999999</v>
      </c>
      <c r="G345">
        <v>34</v>
      </c>
      <c r="H345">
        <v>1.64</v>
      </c>
      <c r="I345">
        <v>3</v>
      </c>
      <c r="J345">
        <v>21</v>
      </c>
      <c r="K345">
        <v>36</v>
      </c>
      <c r="L345">
        <v>50</v>
      </c>
      <c r="M345">
        <v>56</v>
      </c>
      <c r="N345">
        <v>63</v>
      </c>
      <c r="P345">
        <v>3</v>
      </c>
      <c r="Q345">
        <v>4</v>
      </c>
      <c r="R345">
        <v>12</v>
      </c>
      <c r="S345">
        <v>29</v>
      </c>
    </row>
    <row r="346" spans="1:19" x14ac:dyDescent="0.35">
      <c r="A346">
        <v>56818903200</v>
      </c>
      <c r="B346" t="s">
        <v>465</v>
      </c>
      <c r="C346" t="str">
        <f>_xlfn.XLOOKUP(A346,[1]Affiliations!$J$2:$J$5328,[1]Affiliations!$K$2:$K$5328,0)</f>
        <v>Universidade de São Paulo</v>
      </c>
      <c r="D346">
        <v>13</v>
      </c>
      <c r="E346">
        <v>305</v>
      </c>
      <c r="F346">
        <v>23.461538000000001</v>
      </c>
      <c r="G346">
        <v>10</v>
      </c>
      <c r="H346">
        <v>1.63</v>
      </c>
      <c r="I346">
        <v>0</v>
      </c>
      <c r="J346">
        <v>1</v>
      </c>
      <c r="K346">
        <v>3</v>
      </c>
      <c r="L346">
        <v>10</v>
      </c>
      <c r="M346">
        <v>13</v>
      </c>
      <c r="N346">
        <v>13</v>
      </c>
      <c r="P346">
        <v>0</v>
      </c>
      <c r="Q346">
        <v>0</v>
      </c>
      <c r="R346">
        <v>2</v>
      </c>
      <c r="S346">
        <v>9</v>
      </c>
    </row>
    <row r="347" spans="1:19" hidden="1" x14ac:dyDescent="0.35">
      <c r="A347">
        <v>57196442367</v>
      </c>
      <c r="B347" t="s">
        <v>360</v>
      </c>
      <c r="C347" t="str">
        <f>_xlfn.XLOOKUP(A347,[1]Affiliations!$J$2:$J$5328,[1]Affiliations!$K$2:$K$5328,0)</f>
        <v>Federal University of Rio de Janeiro</v>
      </c>
      <c r="D347">
        <v>8</v>
      </c>
      <c r="E347">
        <v>29</v>
      </c>
      <c r="F347">
        <v>3.625</v>
      </c>
      <c r="G347">
        <v>3</v>
      </c>
      <c r="H347">
        <v>0.23</v>
      </c>
      <c r="I347">
        <v>0</v>
      </c>
      <c r="J347">
        <v>0</v>
      </c>
      <c r="K347">
        <v>0</v>
      </c>
      <c r="L347">
        <v>2</v>
      </c>
      <c r="M347">
        <v>3</v>
      </c>
      <c r="N347">
        <v>4</v>
      </c>
      <c r="P347">
        <v>0</v>
      </c>
      <c r="Q347">
        <v>0</v>
      </c>
      <c r="R347">
        <v>0</v>
      </c>
      <c r="S347">
        <v>0</v>
      </c>
    </row>
    <row r="348" spans="1:19" hidden="1" x14ac:dyDescent="0.35">
      <c r="A348">
        <v>7005800505</v>
      </c>
      <c r="B348" t="s">
        <v>361</v>
      </c>
      <c r="C348" t="str">
        <f>_xlfn.XLOOKUP(A348,[1]Affiliations!$J$2:$J$5328,[1]Affiliations!$K$2:$K$5328,0)</f>
        <v>Universidade Federal Fluminense (+1 more)</v>
      </c>
      <c r="D348">
        <v>18</v>
      </c>
      <c r="E348">
        <v>185</v>
      </c>
      <c r="F348">
        <v>10.277778</v>
      </c>
      <c r="G348">
        <v>15</v>
      </c>
      <c r="H348">
        <v>0.7</v>
      </c>
      <c r="I348">
        <v>3</v>
      </c>
      <c r="J348">
        <v>5</v>
      </c>
      <c r="K348">
        <v>9</v>
      </c>
      <c r="L348">
        <v>14</v>
      </c>
      <c r="M348">
        <v>15</v>
      </c>
      <c r="N348">
        <v>16</v>
      </c>
      <c r="P348">
        <v>0</v>
      </c>
      <c r="Q348">
        <v>0</v>
      </c>
      <c r="R348">
        <v>0</v>
      </c>
      <c r="S348">
        <v>5</v>
      </c>
    </row>
    <row r="349" spans="1:19" hidden="1" x14ac:dyDescent="0.35">
      <c r="A349">
        <v>59910397000</v>
      </c>
      <c r="B349" t="s">
        <v>362</v>
      </c>
      <c r="C349" t="str">
        <f>_xlfn.XLOOKUP(A349,[1]Affiliations!$J$2:$J$5328,[1]Affiliations!$K$2:$K$5328,0)</f>
        <v>Universidade Federal de Pernambuco</v>
      </c>
      <c r="D349">
        <v>0</v>
      </c>
      <c r="G349">
        <v>0</v>
      </c>
    </row>
    <row r="350" spans="1:19" x14ac:dyDescent="0.35">
      <c r="A350">
        <v>8210009300</v>
      </c>
      <c r="B350" t="s">
        <v>2514</v>
      </c>
      <c r="C350" t="str">
        <f>_xlfn.XLOOKUP(A350,[1]Affiliations!$J$2:$J$5328,[1]Affiliations!$K$2:$K$5328,0)</f>
        <v>Universidade Federal do ABC (+1 more)</v>
      </c>
      <c r="D350">
        <v>29</v>
      </c>
      <c r="E350">
        <v>1741</v>
      </c>
      <c r="F350">
        <v>60.034480000000002</v>
      </c>
      <c r="G350">
        <v>22</v>
      </c>
      <c r="H350">
        <v>1.63</v>
      </c>
      <c r="I350">
        <v>0</v>
      </c>
      <c r="J350">
        <v>4</v>
      </c>
      <c r="K350">
        <v>13</v>
      </c>
      <c r="L350">
        <v>22</v>
      </c>
      <c r="M350">
        <v>29</v>
      </c>
      <c r="N350">
        <v>29</v>
      </c>
      <c r="P350">
        <v>1</v>
      </c>
      <c r="Q350">
        <v>6</v>
      </c>
      <c r="R350">
        <v>9</v>
      </c>
      <c r="S350">
        <v>21</v>
      </c>
    </row>
    <row r="351" spans="1:19" x14ac:dyDescent="0.35">
      <c r="A351">
        <v>57191077382</v>
      </c>
      <c r="B351" t="s">
        <v>3883</v>
      </c>
      <c r="C351" t="str">
        <f>_xlfn.XLOOKUP(A351,[1]Affiliations!$J$2:$J$5328,[1]Affiliations!$K$2:$K$5328,0)</f>
        <v>Instituto Nacional de Pesquisas Espaciais</v>
      </c>
      <c r="D351">
        <v>7</v>
      </c>
      <c r="E351">
        <v>265</v>
      </c>
      <c r="F351">
        <v>37.857143000000001</v>
      </c>
      <c r="G351">
        <v>5</v>
      </c>
      <c r="H351">
        <v>1.63</v>
      </c>
      <c r="I351">
        <v>1</v>
      </c>
      <c r="J351">
        <v>1</v>
      </c>
      <c r="K351">
        <v>5</v>
      </c>
      <c r="L351">
        <v>5</v>
      </c>
      <c r="M351">
        <v>7</v>
      </c>
      <c r="N351">
        <v>7</v>
      </c>
      <c r="P351">
        <v>0</v>
      </c>
      <c r="Q351">
        <v>1</v>
      </c>
      <c r="R351">
        <v>2</v>
      </c>
      <c r="S351">
        <v>5</v>
      </c>
    </row>
    <row r="352" spans="1:19" hidden="1" x14ac:dyDescent="0.35">
      <c r="A352">
        <v>57550621400</v>
      </c>
      <c r="B352" t="s">
        <v>365</v>
      </c>
      <c r="C352" t="str">
        <f>_xlfn.XLOOKUP(A352,[1]Affiliations!$J$2:$J$5328,[1]Affiliations!$K$2:$K$5328,0)</f>
        <v>FBTS</v>
      </c>
      <c r="D352">
        <v>1</v>
      </c>
      <c r="E352">
        <v>0</v>
      </c>
      <c r="F352">
        <v>0</v>
      </c>
      <c r="G352">
        <v>0</v>
      </c>
      <c r="H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5">
      <c r="A353">
        <v>56112944000</v>
      </c>
      <c r="B353" t="s">
        <v>1786</v>
      </c>
      <c r="C353" t="str">
        <f>_xlfn.XLOOKUP(A353,[1]Affiliations!$J$2:$J$5328,[1]Affiliations!$K$2:$K$5328,0)</f>
        <v>Universidade de São Paulo (+2 more)</v>
      </c>
      <c r="D353">
        <v>12</v>
      </c>
      <c r="E353">
        <v>151</v>
      </c>
      <c r="F353">
        <v>12.583333</v>
      </c>
      <c r="G353">
        <v>7</v>
      </c>
      <c r="H353">
        <v>1.61</v>
      </c>
      <c r="I353">
        <v>1</v>
      </c>
      <c r="J353">
        <v>2</v>
      </c>
      <c r="K353">
        <v>7</v>
      </c>
      <c r="L353">
        <v>10</v>
      </c>
      <c r="M353">
        <v>11</v>
      </c>
      <c r="N353">
        <v>11</v>
      </c>
      <c r="P353">
        <v>1</v>
      </c>
      <c r="Q353">
        <v>1</v>
      </c>
      <c r="R353">
        <v>2</v>
      </c>
      <c r="S353">
        <v>5</v>
      </c>
    </row>
    <row r="354" spans="1:19" hidden="1" x14ac:dyDescent="0.35">
      <c r="A354">
        <v>36174972100</v>
      </c>
      <c r="B354" t="s">
        <v>367</v>
      </c>
      <c r="C354" t="str">
        <f>_xlfn.XLOOKUP(A354,[1]Affiliations!$J$2:$J$5328,[1]Affiliations!$K$2:$K$5328,0)</f>
        <v>Federal University of Rio de Janeiro</v>
      </c>
      <c r="D354">
        <v>4</v>
      </c>
      <c r="E354">
        <v>51</v>
      </c>
      <c r="F354">
        <v>12.75</v>
      </c>
      <c r="G354">
        <v>3</v>
      </c>
      <c r="H354">
        <v>0.87</v>
      </c>
      <c r="I354">
        <v>0</v>
      </c>
      <c r="J354">
        <v>2</v>
      </c>
      <c r="K354">
        <v>3</v>
      </c>
      <c r="L354">
        <v>3</v>
      </c>
      <c r="M354">
        <v>3</v>
      </c>
      <c r="N354">
        <v>3</v>
      </c>
      <c r="P354">
        <v>0</v>
      </c>
      <c r="Q354">
        <v>0</v>
      </c>
      <c r="R354">
        <v>0</v>
      </c>
      <c r="S354">
        <v>2</v>
      </c>
    </row>
    <row r="355" spans="1:19" hidden="1" x14ac:dyDescent="0.35">
      <c r="A355">
        <v>8213198500</v>
      </c>
      <c r="B355" t="s">
        <v>368</v>
      </c>
      <c r="C355" t="str">
        <f>_xlfn.XLOOKUP(A355,[1]Affiliations!$J$2:$J$5328,[1]Affiliations!$K$2:$K$5328,0)</f>
        <v>Universidade Federal do Espírito Santo (+1 more)</v>
      </c>
      <c r="D355">
        <v>17</v>
      </c>
      <c r="E355">
        <v>364</v>
      </c>
      <c r="F355">
        <v>21.411764000000002</v>
      </c>
      <c r="G355">
        <v>22</v>
      </c>
      <c r="H355">
        <v>0.82</v>
      </c>
      <c r="I355">
        <v>0</v>
      </c>
      <c r="J355">
        <v>4</v>
      </c>
      <c r="K355">
        <v>10</v>
      </c>
      <c r="L355">
        <v>12</v>
      </c>
      <c r="M355">
        <v>17</v>
      </c>
      <c r="N355">
        <v>17</v>
      </c>
      <c r="P355">
        <v>0</v>
      </c>
      <c r="Q355">
        <v>0</v>
      </c>
      <c r="R355">
        <v>0</v>
      </c>
      <c r="S355">
        <v>11</v>
      </c>
    </row>
    <row r="356" spans="1:19" hidden="1" x14ac:dyDescent="0.35">
      <c r="A356">
        <v>55270664500</v>
      </c>
      <c r="B356" t="s">
        <v>369</v>
      </c>
      <c r="C356" t="str">
        <f>_xlfn.XLOOKUP(A356,[1]Affiliations!$J$2:$J$5328,[1]Affiliations!$K$2:$K$5328,0)</f>
        <v>Instituto SENAI de Inovação em Engenharia de Superfícies</v>
      </c>
      <c r="D356">
        <v>2</v>
      </c>
      <c r="E356">
        <v>35</v>
      </c>
      <c r="F356">
        <v>17.5</v>
      </c>
      <c r="G356">
        <v>3</v>
      </c>
      <c r="H356">
        <v>0.78</v>
      </c>
      <c r="I356">
        <v>0</v>
      </c>
      <c r="J356">
        <v>1</v>
      </c>
      <c r="K356">
        <v>1</v>
      </c>
      <c r="L356">
        <v>2</v>
      </c>
      <c r="M356">
        <v>2</v>
      </c>
      <c r="N356">
        <v>2</v>
      </c>
      <c r="P356">
        <v>0</v>
      </c>
      <c r="Q356">
        <v>0</v>
      </c>
      <c r="R356">
        <v>0</v>
      </c>
      <c r="S356">
        <v>0</v>
      </c>
    </row>
    <row r="357" spans="1:19" hidden="1" x14ac:dyDescent="0.35">
      <c r="A357">
        <v>58783794400</v>
      </c>
      <c r="B357" t="s">
        <v>369</v>
      </c>
      <c r="C357" t="str">
        <f>_xlfn.XLOOKUP(A357,[1]Affiliations!$J$2:$J$5328,[1]Affiliations!$K$2:$K$5328,0)</f>
        <v>Instituto SENAI de Inovação em Engenharia de Superfícies – Centro de Inovação e Tecnologia CIT SENAI</v>
      </c>
      <c r="D357">
        <v>1</v>
      </c>
      <c r="E357">
        <v>3</v>
      </c>
      <c r="F357">
        <v>3</v>
      </c>
      <c r="G357">
        <v>1</v>
      </c>
      <c r="H357">
        <v>0.51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P357">
        <v>0</v>
      </c>
      <c r="Q357">
        <v>0</v>
      </c>
      <c r="R357">
        <v>0</v>
      </c>
      <c r="S357">
        <v>0</v>
      </c>
    </row>
    <row r="358" spans="1:19" hidden="1" x14ac:dyDescent="0.35">
      <c r="A358">
        <v>57572649700</v>
      </c>
      <c r="B358" t="s">
        <v>370</v>
      </c>
      <c r="C358" t="str">
        <f>_xlfn.XLOOKUP(A358,[1]Affiliations!$J$2:$J$5328,[1]Affiliations!$K$2:$K$5328,0)</f>
        <v>Pontifical Catholic University of Rio de Janeiro</v>
      </c>
      <c r="D358">
        <v>3</v>
      </c>
      <c r="E358">
        <v>1</v>
      </c>
      <c r="F358">
        <v>0.33333333999999998</v>
      </c>
      <c r="G358">
        <v>1</v>
      </c>
      <c r="H358">
        <v>0.05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</v>
      </c>
      <c r="P358">
        <v>0</v>
      </c>
      <c r="Q358">
        <v>0</v>
      </c>
      <c r="R358">
        <v>0</v>
      </c>
      <c r="S358">
        <v>0</v>
      </c>
    </row>
    <row r="359" spans="1:19" hidden="1" x14ac:dyDescent="0.35">
      <c r="A359">
        <v>25924767200</v>
      </c>
      <c r="B359" t="s">
        <v>371</v>
      </c>
      <c r="C359" t="str">
        <f>_xlfn.XLOOKUP(A359,[1]Affiliations!$J$2:$J$5328,[1]Affiliations!$K$2:$K$5328,0)</f>
        <v>Universidade de Brasília</v>
      </c>
      <c r="D359">
        <v>18</v>
      </c>
      <c r="E359">
        <v>106</v>
      </c>
      <c r="F359">
        <v>5.8888889999999998</v>
      </c>
      <c r="G359">
        <v>7</v>
      </c>
      <c r="H359">
        <v>0.41</v>
      </c>
      <c r="I359">
        <v>0</v>
      </c>
      <c r="J359">
        <v>1</v>
      </c>
      <c r="K359">
        <v>3</v>
      </c>
      <c r="L359">
        <v>9</v>
      </c>
      <c r="M359">
        <v>16</v>
      </c>
      <c r="N359">
        <v>17</v>
      </c>
      <c r="P359">
        <v>0</v>
      </c>
      <c r="Q359">
        <v>0</v>
      </c>
      <c r="R359">
        <v>0</v>
      </c>
      <c r="S359">
        <v>2</v>
      </c>
    </row>
    <row r="360" spans="1:19" hidden="1" x14ac:dyDescent="0.35">
      <c r="A360">
        <v>57201742037</v>
      </c>
      <c r="B360" t="s">
        <v>372</v>
      </c>
      <c r="C360" t="str">
        <f>_xlfn.XLOOKUP(A360,[1]Affiliations!$J$2:$J$5328,[1]Affiliations!$K$2:$K$5328,0)</f>
        <v>DEMa</v>
      </c>
      <c r="D360">
        <v>15</v>
      </c>
      <c r="E360">
        <v>163</v>
      </c>
      <c r="F360">
        <v>10.866667</v>
      </c>
      <c r="G360">
        <v>8</v>
      </c>
      <c r="H360">
        <v>0.78</v>
      </c>
      <c r="I360">
        <v>0</v>
      </c>
      <c r="J360">
        <v>1</v>
      </c>
      <c r="K360">
        <v>2</v>
      </c>
      <c r="L360">
        <v>5</v>
      </c>
      <c r="M360">
        <v>12</v>
      </c>
      <c r="N360">
        <v>15</v>
      </c>
      <c r="P360">
        <v>0</v>
      </c>
      <c r="Q360">
        <v>0</v>
      </c>
      <c r="R360">
        <v>0</v>
      </c>
      <c r="S360">
        <v>7</v>
      </c>
    </row>
    <row r="361" spans="1:19" hidden="1" x14ac:dyDescent="0.35">
      <c r="A361">
        <v>57224010055</v>
      </c>
      <c r="B361" t="s">
        <v>373</v>
      </c>
      <c r="C361" t="str">
        <f>_xlfn.XLOOKUP(A361,[1]Affiliations!$J$2:$J$5328,[1]Affiliations!$K$2:$K$5328,0)</f>
        <v>Universidade Federal de Pernambuco</v>
      </c>
      <c r="D361">
        <v>2</v>
      </c>
      <c r="E361">
        <v>7</v>
      </c>
      <c r="F361">
        <v>3.5</v>
      </c>
      <c r="G361">
        <v>2</v>
      </c>
      <c r="H361">
        <v>0.15</v>
      </c>
      <c r="I361">
        <v>0</v>
      </c>
      <c r="J361">
        <v>0</v>
      </c>
      <c r="K361">
        <v>0</v>
      </c>
      <c r="L361">
        <v>0</v>
      </c>
      <c r="M361">
        <v>1</v>
      </c>
      <c r="N361">
        <v>1</v>
      </c>
      <c r="P361">
        <v>0</v>
      </c>
      <c r="Q361">
        <v>0</v>
      </c>
      <c r="R361">
        <v>0</v>
      </c>
      <c r="S361">
        <v>0</v>
      </c>
    </row>
    <row r="362" spans="1:19" x14ac:dyDescent="0.35">
      <c r="A362">
        <v>57197823435</v>
      </c>
      <c r="B362" t="s">
        <v>2647</v>
      </c>
      <c r="C362" t="str">
        <f>_xlfn.XLOOKUP(A362,[1]Affiliations!$J$2:$J$5328,[1]Affiliations!$K$2:$K$5328,0)</f>
        <v>Pontifical Catholic University of Rio de Janeiro</v>
      </c>
      <c r="D362">
        <v>16</v>
      </c>
      <c r="E362">
        <v>92</v>
      </c>
      <c r="F362">
        <v>5.75</v>
      </c>
      <c r="G362">
        <v>6</v>
      </c>
      <c r="H362">
        <v>1.61</v>
      </c>
      <c r="I362">
        <v>0</v>
      </c>
      <c r="J362">
        <v>1</v>
      </c>
      <c r="K362">
        <v>1</v>
      </c>
      <c r="L362">
        <v>3</v>
      </c>
      <c r="M362">
        <v>5</v>
      </c>
      <c r="N362">
        <v>9</v>
      </c>
      <c r="P362">
        <v>0</v>
      </c>
      <c r="Q362">
        <v>0</v>
      </c>
      <c r="R362">
        <v>1</v>
      </c>
      <c r="S362">
        <v>4</v>
      </c>
    </row>
    <row r="363" spans="1:19" x14ac:dyDescent="0.35">
      <c r="A363">
        <v>55839497800</v>
      </c>
      <c r="B363" t="s">
        <v>2787</v>
      </c>
      <c r="C363" t="str">
        <f>_xlfn.XLOOKUP(A363,[1]Affiliations!$J$2:$J$5328,[1]Affiliations!$K$2:$K$5328,0)</f>
        <v>Universidade Federal de Minas Gerais</v>
      </c>
      <c r="D363">
        <v>20</v>
      </c>
      <c r="E363">
        <v>361</v>
      </c>
      <c r="F363">
        <v>18.05</v>
      </c>
      <c r="G363">
        <v>11</v>
      </c>
      <c r="H363">
        <v>1.61</v>
      </c>
      <c r="I363">
        <v>1</v>
      </c>
      <c r="J363">
        <v>5</v>
      </c>
      <c r="K363">
        <v>9</v>
      </c>
      <c r="L363">
        <v>14</v>
      </c>
      <c r="M363">
        <v>19</v>
      </c>
      <c r="N363">
        <v>19</v>
      </c>
      <c r="P363">
        <v>1</v>
      </c>
      <c r="Q363">
        <v>3</v>
      </c>
      <c r="R363">
        <v>7</v>
      </c>
      <c r="S363">
        <v>13</v>
      </c>
    </row>
    <row r="364" spans="1:19" hidden="1" x14ac:dyDescent="0.35">
      <c r="A364">
        <v>57197485668</v>
      </c>
      <c r="B364" t="s">
        <v>376</v>
      </c>
      <c r="C364" t="str">
        <f>_xlfn.XLOOKUP(A364,[1]Affiliations!$J$2:$J$5328,[1]Affiliations!$K$2:$K$5328,0)</f>
        <v>Universidade Federal de Uberlândia</v>
      </c>
      <c r="D364">
        <v>9</v>
      </c>
      <c r="E364">
        <v>48</v>
      </c>
      <c r="F364">
        <v>5.3333335000000002</v>
      </c>
      <c r="G364">
        <v>2</v>
      </c>
      <c r="H364">
        <v>0.37</v>
      </c>
      <c r="I364">
        <v>0</v>
      </c>
      <c r="J364">
        <v>0</v>
      </c>
      <c r="K364">
        <v>1</v>
      </c>
      <c r="L364">
        <v>3</v>
      </c>
      <c r="M364">
        <v>3</v>
      </c>
      <c r="N364">
        <v>4</v>
      </c>
      <c r="P364">
        <v>0</v>
      </c>
      <c r="Q364">
        <v>0</v>
      </c>
      <c r="R364">
        <v>0</v>
      </c>
      <c r="S364">
        <v>1</v>
      </c>
    </row>
    <row r="365" spans="1:19" hidden="1" x14ac:dyDescent="0.35">
      <c r="A365">
        <v>57191204618</v>
      </c>
      <c r="B365" t="s">
        <v>377</v>
      </c>
      <c r="C365" t="str">
        <f>_xlfn.XLOOKUP(A365,[1]Affiliations!$J$2:$J$5328,[1]Affiliations!$K$2:$K$5328,0)</f>
        <v>Universidade de São Paulo</v>
      </c>
      <c r="D365">
        <v>17</v>
      </c>
      <c r="E365">
        <v>120</v>
      </c>
      <c r="F365">
        <v>7.0588236000000002</v>
      </c>
      <c r="G365">
        <v>6</v>
      </c>
      <c r="H365">
        <v>0.42</v>
      </c>
      <c r="I365">
        <v>0</v>
      </c>
      <c r="J365">
        <v>0</v>
      </c>
      <c r="K365">
        <v>3</v>
      </c>
      <c r="L365">
        <v>7</v>
      </c>
      <c r="M365">
        <v>8</v>
      </c>
      <c r="N365">
        <v>14</v>
      </c>
      <c r="P365">
        <v>0</v>
      </c>
      <c r="Q365">
        <v>0</v>
      </c>
      <c r="R365">
        <v>0</v>
      </c>
      <c r="S365">
        <v>1</v>
      </c>
    </row>
    <row r="366" spans="1:19" hidden="1" x14ac:dyDescent="0.35">
      <c r="A366">
        <v>58125959800</v>
      </c>
      <c r="B366" t="s">
        <v>378</v>
      </c>
      <c r="C366" t="str">
        <f>_xlfn.XLOOKUP(A366,[1]Affiliations!$J$2:$J$5328,[1]Affiliations!$K$2:$K$5328,0)</f>
        <v>Universidade Federal de Alagoas</v>
      </c>
      <c r="D366">
        <v>1</v>
      </c>
      <c r="E366">
        <v>1</v>
      </c>
      <c r="F366">
        <v>1</v>
      </c>
      <c r="G366">
        <v>1</v>
      </c>
      <c r="H366">
        <v>0.49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</v>
      </c>
      <c r="P366">
        <v>0</v>
      </c>
      <c r="Q366">
        <v>0</v>
      </c>
      <c r="R366">
        <v>0</v>
      </c>
      <c r="S366">
        <v>0</v>
      </c>
    </row>
    <row r="367" spans="1:19" hidden="1" x14ac:dyDescent="0.35">
      <c r="A367">
        <v>15051500400</v>
      </c>
      <c r="B367" t="s">
        <v>379</v>
      </c>
      <c r="C367" t="str">
        <f>_xlfn.XLOOKUP(A367,[1]Affiliations!$J$2:$J$5328,[1]Affiliations!$K$2:$K$5328,0)</f>
        <v>Universidade Federal de Alagoas</v>
      </c>
      <c r="D367">
        <v>5</v>
      </c>
      <c r="E367">
        <v>11</v>
      </c>
      <c r="F367">
        <v>2.2000000000000002</v>
      </c>
      <c r="G367">
        <v>4</v>
      </c>
      <c r="H367">
        <v>0.11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P367">
        <v>0</v>
      </c>
      <c r="Q367">
        <v>0</v>
      </c>
      <c r="R367">
        <v>0</v>
      </c>
      <c r="S367">
        <v>0</v>
      </c>
    </row>
    <row r="368" spans="1:19" hidden="1" x14ac:dyDescent="0.35">
      <c r="A368">
        <v>57214990180</v>
      </c>
      <c r="B368" t="s">
        <v>380</v>
      </c>
      <c r="C368" t="str">
        <f>_xlfn.XLOOKUP(A368,[1]Affiliations!$J$2:$J$5328,[1]Affiliations!$K$2:$K$5328,0)</f>
        <v>UniversidadeFederal de Alagoas (+1 more)</v>
      </c>
      <c r="D368">
        <v>4</v>
      </c>
      <c r="E368">
        <v>460</v>
      </c>
      <c r="F368">
        <v>115</v>
      </c>
      <c r="G368">
        <v>3</v>
      </c>
      <c r="H368">
        <v>3.09</v>
      </c>
      <c r="I368">
        <v>0</v>
      </c>
      <c r="J368">
        <v>2</v>
      </c>
      <c r="K368">
        <v>2</v>
      </c>
      <c r="L368">
        <v>3</v>
      </c>
      <c r="M368">
        <v>3</v>
      </c>
      <c r="N368">
        <v>4</v>
      </c>
      <c r="P368">
        <v>1</v>
      </c>
      <c r="Q368">
        <v>2</v>
      </c>
      <c r="R368">
        <v>3</v>
      </c>
      <c r="S368">
        <v>3</v>
      </c>
    </row>
    <row r="369" spans="1:19" hidden="1" x14ac:dyDescent="0.35">
      <c r="A369">
        <v>57716870000</v>
      </c>
      <c r="B369" t="s">
        <v>381</v>
      </c>
      <c r="C369" t="str">
        <f>_xlfn.XLOOKUP(A369,[1]Affiliations!$J$2:$J$5328,[1]Affiliations!$K$2:$K$5328,0)</f>
        <v>Federal University of Rio de Janeiro</v>
      </c>
      <c r="D369">
        <v>3</v>
      </c>
      <c r="E369">
        <v>15</v>
      </c>
      <c r="F369">
        <v>5</v>
      </c>
      <c r="G369">
        <v>2</v>
      </c>
      <c r="H369">
        <v>0.37</v>
      </c>
      <c r="I369">
        <v>0</v>
      </c>
      <c r="J369">
        <v>0</v>
      </c>
      <c r="K369">
        <v>1</v>
      </c>
      <c r="L369">
        <v>2</v>
      </c>
      <c r="M369">
        <v>3</v>
      </c>
      <c r="N369">
        <v>3</v>
      </c>
      <c r="P369">
        <v>0</v>
      </c>
      <c r="Q369">
        <v>0</v>
      </c>
      <c r="R369">
        <v>0</v>
      </c>
      <c r="S369">
        <v>0</v>
      </c>
    </row>
    <row r="370" spans="1:19" hidden="1" x14ac:dyDescent="0.35">
      <c r="A370">
        <v>56236211500</v>
      </c>
      <c r="B370" t="s">
        <v>382</v>
      </c>
      <c r="C370" t="str">
        <f>_xlfn.XLOOKUP(A370,[1]Affiliations!$J$2:$J$5328,[1]Affiliations!$K$2:$K$5328,0)</f>
        <v>Universidade Tecnológica Federal do Paraná</v>
      </c>
      <c r="D370">
        <v>12</v>
      </c>
      <c r="E370">
        <v>128</v>
      </c>
      <c r="F370">
        <v>10.666667</v>
      </c>
      <c r="G370">
        <v>7</v>
      </c>
      <c r="H370">
        <v>0.63</v>
      </c>
      <c r="I370">
        <v>0</v>
      </c>
      <c r="J370">
        <v>2</v>
      </c>
      <c r="K370">
        <v>6</v>
      </c>
      <c r="L370">
        <v>6</v>
      </c>
      <c r="M370">
        <v>6</v>
      </c>
      <c r="N370">
        <v>6</v>
      </c>
      <c r="P370">
        <v>0</v>
      </c>
      <c r="Q370">
        <v>0</v>
      </c>
      <c r="R370">
        <v>0</v>
      </c>
      <c r="S370">
        <v>3</v>
      </c>
    </row>
    <row r="371" spans="1:19" hidden="1" x14ac:dyDescent="0.35">
      <c r="A371">
        <v>36805538300</v>
      </c>
      <c r="B371" t="s">
        <v>383</v>
      </c>
      <c r="C371" t="str">
        <f>_xlfn.XLOOKUP(A371,[1]Affiliations!$J$2:$J$5328,[1]Affiliations!$K$2:$K$5328,0)</f>
        <v>Universidade Federal de Itajubá</v>
      </c>
      <c r="D371">
        <v>4</v>
      </c>
      <c r="E371">
        <v>28</v>
      </c>
      <c r="F371">
        <v>7</v>
      </c>
      <c r="G371">
        <v>5</v>
      </c>
      <c r="H371">
        <v>0.36</v>
      </c>
      <c r="I371">
        <v>0</v>
      </c>
      <c r="J371">
        <v>1</v>
      </c>
      <c r="K371">
        <v>1</v>
      </c>
      <c r="L371">
        <v>2</v>
      </c>
      <c r="M371">
        <v>4</v>
      </c>
      <c r="N371">
        <v>4</v>
      </c>
      <c r="P371">
        <v>0</v>
      </c>
      <c r="Q371">
        <v>0</v>
      </c>
      <c r="R371">
        <v>0</v>
      </c>
      <c r="S371">
        <v>0</v>
      </c>
    </row>
    <row r="372" spans="1:19" hidden="1" x14ac:dyDescent="0.35">
      <c r="A372">
        <v>56781421100</v>
      </c>
      <c r="B372" t="s">
        <v>384</v>
      </c>
      <c r="C372" t="str">
        <f>_xlfn.XLOOKUP(A372,[1]Affiliations!$J$2:$J$5328,[1]Affiliations!$K$2:$K$5328,0)</f>
        <v>Universidade Federal do Espírito Santo</v>
      </c>
      <c r="D372">
        <v>8</v>
      </c>
      <c r="E372">
        <v>69</v>
      </c>
      <c r="F372">
        <v>8.625</v>
      </c>
      <c r="G372">
        <v>4</v>
      </c>
      <c r="H372">
        <v>0.45</v>
      </c>
      <c r="I372">
        <v>0</v>
      </c>
      <c r="J372">
        <v>2</v>
      </c>
      <c r="K372">
        <v>6</v>
      </c>
      <c r="L372">
        <v>6</v>
      </c>
      <c r="M372">
        <v>7</v>
      </c>
      <c r="N372">
        <v>7</v>
      </c>
      <c r="P372">
        <v>0</v>
      </c>
      <c r="Q372">
        <v>0</v>
      </c>
      <c r="R372">
        <v>0</v>
      </c>
      <c r="S372">
        <v>1</v>
      </c>
    </row>
    <row r="373" spans="1:19" hidden="1" x14ac:dyDescent="0.35">
      <c r="A373">
        <v>57226688288</v>
      </c>
      <c r="B373" t="s">
        <v>385</v>
      </c>
      <c r="C373" t="str">
        <f>_xlfn.XLOOKUP(A373,[1]Affiliations!$J$2:$J$5328,[1]Affiliations!$K$2:$K$5328,0)</f>
        <v>Federal University of Santa Catarina</v>
      </c>
      <c r="D373">
        <v>1</v>
      </c>
      <c r="E373">
        <v>19</v>
      </c>
      <c r="F373">
        <v>19</v>
      </c>
      <c r="G373">
        <v>1</v>
      </c>
      <c r="H373">
        <v>1.18</v>
      </c>
      <c r="I373">
        <v>0</v>
      </c>
      <c r="J373">
        <v>0</v>
      </c>
      <c r="K373">
        <v>1</v>
      </c>
      <c r="L373">
        <v>1</v>
      </c>
      <c r="M373">
        <v>1</v>
      </c>
      <c r="N373">
        <v>1</v>
      </c>
      <c r="P373">
        <v>0</v>
      </c>
      <c r="Q373">
        <v>0</v>
      </c>
      <c r="R373">
        <v>0</v>
      </c>
      <c r="S373">
        <v>1</v>
      </c>
    </row>
    <row r="374" spans="1:19" hidden="1" x14ac:dyDescent="0.35">
      <c r="A374">
        <v>7003977836</v>
      </c>
      <c r="B374" t="s">
        <v>386</v>
      </c>
      <c r="C374" t="str">
        <f>_xlfn.XLOOKUP(A374,[1]Affiliations!$J$2:$J$5328,[1]Affiliations!$K$2:$K$5328,0)</f>
        <v>Federal University of Rio de Janeiro</v>
      </c>
      <c r="D374">
        <v>10</v>
      </c>
      <c r="E374">
        <v>99</v>
      </c>
      <c r="F374">
        <v>9.9</v>
      </c>
      <c r="G374">
        <v>24</v>
      </c>
      <c r="H374">
        <v>0.33</v>
      </c>
      <c r="I374">
        <v>0</v>
      </c>
      <c r="J374">
        <v>2</v>
      </c>
      <c r="K374">
        <v>4</v>
      </c>
      <c r="L374">
        <v>9</v>
      </c>
      <c r="M374">
        <v>10</v>
      </c>
      <c r="N374">
        <v>10</v>
      </c>
      <c r="P374">
        <v>0</v>
      </c>
      <c r="Q374">
        <v>0</v>
      </c>
      <c r="R374">
        <v>0</v>
      </c>
      <c r="S374">
        <v>0</v>
      </c>
    </row>
    <row r="375" spans="1:19" hidden="1" x14ac:dyDescent="0.35">
      <c r="A375">
        <v>57195054437</v>
      </c>
      <c r="B375" t="s">
        <v>387</v>
      </c>
      <c r="C375" t="str">
        <f>_xlfn.XLOOKUP(A375,[1]Affiliations!$J$2:$J$5328,[1]Affiliations!$K$2:$K$5328,0)</f>
        <v>Universidade Federal de Santa Maria</v>
      </c>
      <c r="D375">
        <v>4</v>
      </c>
      <c r="E375">
        <v>31</v>
      </c>
      <c r="F375">
        <v>7.75</v>
      </c>
      <c r="G375">
        <v>4</v>
      </c>
      <c r="H375">
        <v>0.41</v>
      </c>
      <c r="I375">
        <v>0</v>
      </c>
      <c r="J375">
        <v>0</v>
      </c>
      <c r="K375">
        <v>1</v>
      </c>
      <c r="L375">
        <v>2</v>
      </c>
      <c r="M375">
        <v>3</v>
      </c>
      <c r="N375">
        <v>4</v>
      </c>
      <c r="P375">
        <v>0</v>
      </c>
      <c r="Q375">
        <v>0</v>
      </c>
      <c r="R375">
        <v>0</v>
      </c>
      <c r="S375">
        <v>0</v>
      </c>
    </row>
    <row r="376" spans="1:19" x14ac:dyDescent="0.35">
      <c r="A376">
        <v>56016575300</v>
      </c>
      <c r="B376" t="s">
        <v>4305</v>
      </c>
      <c r="C376" t="str">
        <f>_xlfn.XLOOKUP(A376,[1]Affiliations!$J$2:$J$5328,[1]Affiliations!$K$2:$K$5328,0)</f>
        <v>Federal University of Rio de Janeiro</v>
      </c>
      <c r="D376">
        <v>28</v>
      </c>
      <c r="E376">
        <v>514</v>
      </c>
      <c r="F376">
        <v>18.357143000000001</v>
      </c>
      <c r="G376">
        <v>17</v>
      </c>
      <c r="H376">
        <v>1.61</v>
      </c>
      <c r="I376">
        <v>0</v>
      </c>
      <c r="J376">
        <v>2</v>
      </c>
      <c r="K376">
        <v>8</v>
      </c>
      <c r="L376">
        <v>15</v>
      </c>
      <c r="M376">
        <v>21</v>
      </c>
      <c r="N376">
        <v>23</v>
      </c>
      <c r="P376">
        <v>0</v>
      </c>
      <c r="Q376">
        <v>2</v>
      </c>
      <c r="R376">
        <v>5</v>
      </c>
      <c r="S376">
        <v>11</v>
      </c>
    </row>
    <row r="377" spans="1:19" hidden="1" x14ac:dyDescent="0.35">
      <c r="A377">
        <v>59391077200</v>
      </c>
      <c r="B377" t="s">
        <v>389</v>
      </c>
      <c r="C377" t="str">
        <f>_xlfn.XLOOKUP(A377,[1]Affiliations!$J$2:$J$5328,[1]Affiliations!$K$2:$K$5328,0)</f>
        <v>Pontifícia Universidade Católica do Rio Grande do Sul</v>
      </c>
      <c r="D377">
        <v>0</v>
      </c>
      <c r="G377">
        <v>1</v>
      </c>
    </row>
    <row r="378" spans="1:19" x14ac:dyDescent="0.35">
      <c r="A378">
        <v>57668429100</v>
      </c>
      <c r="B378" t="s">
        <v>1419</v>
      </c>
      <c r="C378" t="str">
        <f>_xlfn.XLOOKUP(A378,[1]Affiliations!$J$2:$J$5328,[1]Affiliations!$K$2:$K$5328,0)</f>
        <v>Federal University of Rio de Janeiro</v>
      </c>
      <c r="D378">
        <v>23</v>
      </c>
      <c r="E378">
        <v>1122</v>
      </c>
      <c r="F378">
        <v>48.782608000000003</v>
      </c>
      <c r="G378">
        <v>17</v>
      </c>
      <c r="H378">
        <v>1.6</v>
      </c>
      <c r="I378">
        <v>0</v>
      </c>
      <c r="J378">
        <v>2</v>
      </c>
      <c r="K378">
        <v>4</v>
      </c>
      <c r="L378">
        <v>11</v>
      </c>
      <c r="M378">
        <v>16</v>
      </c>
      <c r="N378">
        <v>21</v>
      </c>
      <c r="P378">
        <v>2</v>
      </c>
      <c r="Q378">
        <v>2</v>
      </c>
      <c r="R378">
        <v>4</v>
      </c>
      <c r="S378">
        <v>10</v>
      </c>
    </row>
    <row r="379" spans="1:19" x14ac:dyDescent="0.35">
      <c r="A379">
        <v>8288075800</v>
      </c>
      <c r="B379" t="s">
        <v>2710</v>
      </c>
      <c r="C379" t="str">
        <f>_xlfn.XLOOKUP(A379,[1]Affiliations!$J$2:$J$5328,[1]Affiliations!$K$2:$K$5328,0)</f>
        <v>Pontifical Catholic University of Rio de Janeiro</v>
      </c>
      <c r="D379">
        <v>111</v>
      </c>
      <c r="E379">
        <v>2281</v>
      </c>
      <c r="F379">
        <v>20.54955</v>
      </c>
      <c r="G379">
        <v>23</v>
      </c>
      <c r="H379">
        <v>1.6</v>
      </c>
      <c r="I379">
        <v>0</v>
      </c>
      <c r="J379">
        <v>1</v>
      </c>
      <c r="K379">
        <v>6</v>
      </c>
      <c r="L379">
        <v>23</v>
      </c>
      <c r="M379">
        <v>34</v>
      </c>
      <c r="N379">
        <v>41</v>
      </c>
      <c r="P379">
        <v>3</v>
      </c>
      <c r="Q379">
        <v>9</v>
      </c>
      <c r="R379">
        <v>15</v>
      </c>
      <c r="S379">
        <v>34</v>
      </c>
    </row>
    <row r="380" spans="1:19" hidden="1" x14ac:dyDescent="0.35">
      <c r="A380">
        <v>54894173400</v>
      </c>
      <c r="B380" t="s">
        <v>392</v>
      </c>
      <c r="C380" t="str">
        <f>_xlfn.XLOOKUP(A380,[1]Affiliations!$J$2:$J$5328,[1]Affiliations!$K$2:$K$5328,0)</f>
        <v>Instituto de Pesquisas da Marinha</v>
      </c>
      <c r="D380">
        <v>5</v>
      </c>
      <c r="E380">
        <v>29</v>
      </c>
      <c r="F380">
        <v>5.8</v>
      </c>
      <c r="G380">
        <v>2</v>
      </c>
      <c r="H380">
        <v>0.28999999999999998</v>
      </c>
      <c r="I380">
        <v>0</v>
      </c>
      <c r="J380">
        <v>0</v>
      </c>
      <c r="K380">
        <v>1</v>
      </c>
      <c r="L380">
        <v>1</v>
      </c>
      <c r="M380">
        <v>1</v>
      </c>
      <c r="N380">
        <v>2</v>
      </c>
      <c r="P380">
        <v>0</v>
      </c>
      <c r="Q380">
        <v>0</v>
      </c>
      <c r="R380">
        <v>0</v>
      </c>
      <c r="S380">
        <v>1</v>
      </c>
    </row>
    <row r="381" spans="1:19" hidden="1" x14ac:dyDescent="0.35">
      <c r="A381">
        <v>51260911300</v>
      </c>
      <c r="B381" t="s">
        <v>393</v>
      </c>
      <c r="C381" t="str">
        <f>_xlfn.XLOOKUP(A381,[1]Affiliations!$J$2:$J$5328,[1]Affiliations!$K$2:$K$5328,0)</f>
        <v>Pontifical Catholic University of Rio de Janeiro</v>
      </c>
      <c r="D381">
        <v>32</v>
      </c>
      <c r="E381">
        <v>213</v>
      </c>
      <c r="F381">
        <v>6.65625</v>
      </c>
      <c r="G381">
        <v>11</v>
      </c>
      <c r="H381">
        <v>0.78</v>
      </c>
      <c r="I381">
        <v>0</v>
      </c>
      <c r="J381">
        <v>7</v>
      </c>
      <c r="K381">
        <v>15</v>
      </c>
      <c r="L381">
        <v>20</v>
      </c>
      <c r="M381">
        <v>22</v>
      </c>
      <c r="N381">
        <v>23</v>
      </c>
      <c r="P381">
        <v>0</v>
      </c>
      <c r="Q381">
        <v>0</v>
      </c>
      <c r="R381">
        <v>0</v>
      </c>
      <c r="S381">
        <v>3</v>
      </c>
    </row>
    <row r="382" spans="1:19" hidden="1" x14ac:dyDescent="0.35">
      <c r="A382">
        <v>7007109176</v>
      </c>
      <c r="B382" t="s">
        <v>394</v>
      </c>
      <c r="C382" t="str">
        <f>_xlfn.XLOOKUP(A382,[1]Affiliations!$J$2:$J$5328,[1]Affiliations!$K$2:$K$5328,0)</f>
        <v>Universidade Federal de Pernambuco</v>
      </c>
      <c r="D382">
        <v>37</v>
      </c>
      <c r="E382">
        <v>520</v>
      </c>
      <c r="F382">
        <v>14.054054000000001</v>
      </c>
      <c r="G382">
        <v>19</v>
      </c>
      <c r="H382">
        <v>0.91</v>
      </c>
      <c r="I382">
        <v>0</v>
      </c>
      <c r="J382">
        <v>0</v>
      </c>
      <c r="K382">
        <v>0</v>
      </c>
      <c r="L382">
        <v>8</v>
      </c>
      <c r="M382">
        <v>25</v>
      </c>
      <c r="N382">
        <v>25</v>
      </c>
      <c r="P382">
        <v>0</v>
      </c>
      <c r="Q382">
        <v>0</v>
      </c>
      <c r="R382">
        <v>2</v>
      </c>
      <c r="S382">
        <v>14</v>
      </c>
    </row>
    <row r="383" spans="1:19" x14ac:dyDescent="0.35">
      <c r="A383">
        <v>23397842300</v>
      </c>
      <c r="B383" t="s">
        <v>3791</v>
      </c>
      <c r="C383" t="str">
        <f>_xlfn.XLOOKUP(A383,[1]Affiliations!$J$2:$J$5328,[1]Affiliations!$K$2:$K$5328,0)</f>
        <v>Universidade Estadual Paulista “Júlio de Mesquita Filho” (+1 more)</v>
      </c>
      <c r="D383">
        <v>296</v>
      </c>
      <c r="E383">
        <v>7373</v>
      </c>
      <c r="F383">
        <v>24.908783</v>
      </c>
      <c r="G383">
        <v>52</v>
      </c>
      <c r="H383">
        <v>1.6</v>
      </c>
      <c r="I383">
        <v>12</v>
      </c>
      <c r="J383">
        <v>32</v>
      </c>
      <c r="K383">
        <v>64</v>
      </c>
      <c r="L383">
        <v>113</v>
      </c>
      <c r="M383">
        <v>156</v>
      </c>
      <c r="N383">
        <v>199</v>
      </c>
      <c r="P383">
        <v>7</v>
      </c>
      <c r="Q383">
        <v>25</v>
      </c>
      <c r="R383">
        <v>44</v>
      </c>
      <c r="S383">
        <v>95</v>
      </c>
    </row>
    <row r="384" spans="1:19" hidden="1" x14ac:dyDescent="0.35">
      <c r="A384">
        <v>8391484100</v>
      </c>
      <c r="B384" t="s">
        <v>396</v>
      </c>
      <c r="C384" t="str">
        <f>_xlfn.XLOOKUP(A384,[1]Affiliations!$J$2:$J$5328,[1]Affiliations!$K$2:$K$5328,0)</f>
        <v>Pontifical Catholic University of Rio de Janeiro</v>
      </c>
      <c r="D384">
        <v>6</v>
      </c>
      <c r="E384">
        <v>1</v>
      </c>
      <c r="F384">
        <v>0.16666666999999999</v>
      </c>
      <c r="G384">
        <v>3</v>
      </c>
      <c r="H384">
        <v>0.02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P384">
        <v>0</v>
      </c>
      <c r="Q384">
        <v>0</v>
      </c>
      <c r="R384">
        <v>0</v>
      </c>
      <c r="S384">
        <v>0</v>
      </c>
    </row>
    <row r="385" spans="1:19" hidden="1" x14ac:dyDescent="0.35">
      <c r="A385">
        <v>56592101000</v>
      </c>
      <c r="B385" t="s">
        <v>397</v>
      </c>
      <c r="C385" t="str">
        <f>_xlfn.XLOOKUP(A385,[1]Affiliations!$J$2:$J$5328,[1]Affiliations!$K$2:$K$5328,0)</f>
        <v>Pontifical Catholic University of Rio de Janeiro (+1 more)</v>
      </c>
      <c r="D385">
        <v>1</v>
      </c>
      <c r="E385">
        <v>2</v>
      </c>
      <c r="F385">
        <v>2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</v>
      </c>
      <c r="P385">
        <v>0</v>
      </c>
      <c r="Q385">
        <v>0</v>
      </c>
      <c r="R385">
        <v>0</v>
      </c>
      <c r="S385">
        <v>0</v>
      </c>
    </row>
    <row r="386" spans="1:19" hidden="1" x14ac:dyDescent="0.35">
      <c r="A386">
        <v>59934967500</v>
      </c>
      <c r="B386" t="s">
        <v>398</v>
      </c>
      <c r="C386" t="str">
        <f>_xlfn.XLOOKUP(A386,[1]Affiliations!$J$2:$J$5328,[1]Affiliations!$K$2:$K$5328,0)</f>
        <v>Universidade Federal de Minas Gerais</v>
      </c>
      <c r="D386">
        <v>0</v>
      </c>
      <c r="G386">
        <v>1</v>
      </c>
    </row>
    <row r="387" spans="1:19" x14ac:dyDescent="0.35">
      <c r="A387">
        <v>54917025300</v>
      </c>
      <c r="B387" t="s">
        <v>1030</v>
      </c>
      <c r="C387" t="str">
        <f>_xlfn.XLOOKUP(A387,[1]Affiliations!$J$2:$J$5328,[1]Affiliations!$K$2:$K$5328,0)</f>
        <v>Universidade Estadual Paulista “Júlio de Mesquita Filho”</v>
      </c>
      <c r="D387">
        <v>28</v>
      </c>
      <c r="E387">
        <v>901</v>
      </c>
      <c r="F387">
        <v>32.178570000000001</v>
      </c>
      <c r="G387">
        <v>14</v>
      </c>
      <c r="H387">
        <v>1.59</v>
      </c>
      <c r="I387">
        <v>0</v>
      </c>
      <c r="J387">
        <v>1</v>
      </c>
      <c r="K387">
        <v>3</v>
      </c>
      <c r="L387">
        <v>6</v>
      </c>
      <c r="M387">
        <v>14</v>
      </c>
      <c r="N387">
        <v>17</v>
      </c>
      <c r="P387">
        <v>2</v>
      </c>
      <c r="Q387">
        <v>3</v>
      </c>
      <c r="R387">
        <v>4</v>
      </c>
      <c r="S387">
        <v>8</v>
      </c>
    </row>
    <row r="388" spans="1:19" hidden="1" x14ac:dyDescent="0.35">
      <c r="A388">
        <v>24780245100</v>
      </c>
      <c r="B388" t="s">
        <v>400</v>
      </c>
      <c r="C388" t="str">
        <f>_xlfn.XLOOKUP(A388,[1]Affiliations!$J$2:$J$5328,[1]Affiliations!$K$2:$K$5328,0)</f>
        <v>Universidade Federal do Rio Grande do Sul</v>
      </c>
      <c r="D388">
        <v>6</v>
      </c>
      <c r="E388">
        <v>63</v>
      </c>
      <c r="F388">
        <v>10.5</v>
      </c>
      <c r="G388">
        <v>6</v>
      </c>
      <c r="H388">
        <v>0.63</v>
      </c>
      <c r="I388">
        <v>1</v>
      </c>
      <c r="J388">
        <v>2</v>
      </c>
      <c r="K388">
        <v>3</v>
      </c>
      <c r="L388">
        <v>4</v>
      </c>
      <c r="M388">
        <v>4</v>
      </c>
      <c r="N388">
        <v>4</v>
      </c>
      <c r="P388">
        <v>0</v>
      </c>
      <c r="Q388">
        <v>0</v>
      </c>
      <c r="R388">
        <v>0</v>
      </c>
      <c r="S388">
        <v>2</v>
      </c>
    </row>
    <row r="389" spans="1:19" x14ac:dyDescent="0.35">
      <c r="A389">
        <v>35109433500</v>
      </c>
      <c r="B389" t="s">
        <v>1156</v>
      </c>
      <c r="C389" t="str">
        <f>_xlfn.XLOOKUP(A389,[1]Affiliations!$J$2:$J$5328,[1]Affiliations!$K$2:$K$5328,0)</f>
        <v>Federal University of Santa Catarina</v>
      </c>
      <c r="D389">
        <v>50</v>
      </c>
      <c r="E389">
        <v>985</v>
      </c>
      <c r="F389">
        <v>19.7</v>
      </c>
      <c r="G389">
        <v>30</v>
      </c>
      <c r="H389">
        <v>1.59</v>
      </c>
      <c r="I389">
        <v>2</v>
      </c>
      <c r="J389">
        <v>5</v>
      </c>
      <c r="K389">
        <v>12</v>
      </c>
      <c r="L389">
        <v>20</v>
      </c>
      <c r="M389">
        <v>25</v>
      </c>
      <c r="N389">
        <v>31</v>
      </c>
      <c r="P389">
        <v>1</v>
      </c>
      <c r="Q389">
        <v>3</v>
      </c>
      <c r="R389">
        <v>5</v>
      </c>
      <c r="S389">
        <v>21</v>
      </c>
    </row>
    <row r="390" spans="1:19" hidden="1" x14ac:dyDescent="0.35">
      <c r="A390">
        <v>59944839200</v>
      </c>
      <c r="B390" t="s">
        <v>402</v>
      </c>
      <c r="C390" t="str">
        <f>_xlfn.XLOOKUP(A390,[1]Affiliations!$J$2:$J$5328,[1]Affiliations!$K$2:$K$5328,0)</f>
        <v>Pontifical Catholic University of Rio de Janeiro</v>
      </c>
      <c r="D390">
        <v>0</v>
      </c>
      <c r="G390">
        <v>0</v>
      </c>
    </row>
    <row r="391" spans="1:19" hidden="1" x14ac:dyDescent="0.35">
      <c r="A391">
        <v>56529039900</v>
      </c>
      <c r="B391" t="s">
        <v>403</v>
      </c>
      <c r="C391" t="str">
        <f>_xlfn.XLOOKUP(A391,[1]Affiliations!$J$2:$J$5328,[1]Affiliations!$K$2:$K$5328,0)</f>
        <v>PGS</v>
      </c>
      <c r="D391">
        <v>3</v>
      </c>
      <c r="E391">
        <v>22</v>
      </c>
      <c r="F391">
        <v>7.3333335000000002</v>
      </c>
      <c r="G391">
        <v>1</v>
      </c>
      <c r="H391">
        <v>0.83</v>
      </c>
      <c r="P391">
        <v>0</v>
      </c>
      <c r="Q391">
        <v>0</v>
      </c>
      <c r="R391">
        <v>0</v>
      </c>
      <c r="S391">
        <v>0</v>
      </c>
    </row>
    <row r="392" spans="1:19" x14ac:dyDescent="0.35">
      <c r="A392">
        <v>6603778221</v>
      </c>
      <c r="B392" t="s">
        <v>5054</v>
      </c>
      <c r="C392" t="str">
        <f>_xlfn.XLOOKUP(A392,[1]Affiliations!$J$2:$J$5328,[1]Affiliations!$K$2:$K$5328,0)</f>
        <v>Universidade de São Paulo</v>
      </c>
      <c r="D392">
        <v>150</v>
      </c>
      <c r="E392">
        <v>5928</v>
      </c>
      <c r="F392">
        <v>39.520000000000003</v>
      </c>
      <c r="G392">
        <v>42</v>
      </c>
      <c r="H392">
        <v>1.59</v>
      </c>
      <c r="I392">
        <v>1</v>
      </c>
      <c r="J392">
        <v>25</v>
      </c>
      <c r="K392">
        <v>54</v>
      </c>
      <c r="L392">
        <v>104</v>
      </c>
      <c r="M392">
        <v>124</v>
      </c>
      <c r="N392">
        <v>141</v>
      </c>
      <c r="P392">
        <v>9</v>
      </c>
      <c r="Q392">
        <v>20</v>
      </c>
      <c r="R392">
        <v>33</v>
      </c>
      <c r="S392">
        <v>61</v>
      </c>
    </row>
    <row r="393" spans="1:19" hidden="1" x14ac:dyDescent="0.35">
      <c r="A393">
        <v>57604378100</v>
      </c>
      <c r="B393" t="s">
        <v>405</v>
      </c>
      <c r="C393" t="str">
        <f>_xlfn.XLOOKUP(A393,[1]Affiliations!$J$2:$J$5328,[1]Affiliations!$K$2:$K$5328,0)</f>
        <v>Universidade Tecnológica Federal do Paraná</v>
      </c>
      <c r="D393">
        <v>3</v>
      </c>
      <c r="E393">
        <v>13</v>
      </c>
      <c r="F393">
        <v>4.3333335000000002</v>
      </c>
      <c r="G393">
        <v>2</v>
      </c>
      <c r="H393">
        <v>0.37</v>
      </c>
      <c r="I393">
        <v>0</v>
      </c>
      <c r="J393">
        <v>0</v>
      </c>
      <c r="K393">
        <v>2</v>
      </c>
      <c r="L393">
        <v>2</v>
      </c>
      <c r="M393">
        <v>2</v>
      </c>
      <c r="N393">
        <v>2</v>
      </c>
      <c r="P393">
        <v>0</v>
      </c>
      <c r="Q393">
        <v>0</v>
      </c>
      <c r="R393">
        <v>0</v>
      </c>
      <c r="S393">
        <v>0</v>
      </c>
    </row>
    <row r="394" spans="1:19" hidden="1" x14ac:dyDescent="0.35">
      <c r="A394">
        <v>34874432800</v>
      </c>
      <c r="B394" t="s">
        <v>406</v>
      </c>
      <c r="C394" t="str">
        <f>_xlfn.XLOOKUP(A394,[1]Affiliations!$J$2:$J$5328,[1]Affiliations!$K$2:$K$5328,0)</f>
        <v>Universidade Federal de Minas Gerais (+1 more)</v>
      </c>
      <c r="D394">
        <v>25</v>
      </c>
      <c r="E394">
        <v>174</v>
      </c>
      <c r="F394">
        <v>6.96</v>
      </c>
      <c r="G394">
        <v>10</v>
      </c>
      <c r="H394">
        <v>0.5</v>
      </c>
      <c r="I394">
        <v>1</v>
      </c>
      <c r="J394">
        <v>2</v>
      </c>
      <c r="K394">
        <v>2</v>
      </c>
      <c r="L394">
        <v>5</v>
      </c>
      <c r="M394">
        <v>16</v>
      </c>
      <c r="N394">
        <v>21</v>
      </c>
      <c r="P394">
        <v>0</v>
      </c>
      <c r="Q394">
        <v>0</v>
      </c>
      <c r="R394">
        <v>0</v>
      </c>
      <c r="S394">
        <v>2</v>
      </c>
    </row>
    <row r="395" spans="1:19" hidden="1" x14ac:dyDescent="0.35">
      <c r="A395">
        <v>57792934100</v>
      </c>
      <c r="B395" t="s">
        <v>407</v>
      </c>
      <c r="C395" t="str">
        <f>_xlfn.XLOOKUP(A395,[1]Affiliations!$J$2:$J$5328,[1]Affiliations!$K$2:$K$5328,0)</f>
        <v>Universidade de São Paulo</v>
      </c>
      <c r="D395">
        <v>8</v>
      </c>
      <c r="E395">
        <v>12</v>
      </c>
      <c r="F395">
        <v>1.5</v>
      </c>
      <c r="G395">
        <v>2</v>
      </c>
      <c r="H395">
        <v>1.02</v>
      </c>
      <c r="I395">
        <v>0</v>
      </c>
      <c r="J395">
        <v>0</v>
      </c>
      <c r="K395">
        <v>0</v>
      </c>
      <c r="L395">
        <v>0</v>
      </c>
      <c r="M395">
        <v>1</v>
      </c>
      <c r="N395">
        <v>3</v>
      </c>
      <c r="P395">
        <v>0</v>
      </c>
      <c r="Q395">
        <v>0</v>
      </c>
      <c r="R395">
        <v>0</v>
      </c>
      <c r="S395">
        <v>0</v>
      </c>
    </row>
    <row r="396" spans="1:19" hidden="1" x14ac:dyDescent="0.35">
      <c r="A396">
        <v>22633774400</v>
      </c>
      <c r="B396" t="s">
        <v>408</v>
      </c>
      <c r="C396" t="str">
        <f>_xlfn.XLOOKUP(A396,[1]Affiliations!$J$2:$J$5328,[1]Affiliations!$K$2:$K$5328,0)</f>
        <v>Universidade Federal de Campina Grande</v>
      </c>
      <c r="D396">
        <v>10</v>
      </c>
      <c r="E396">
        <v>156</v>
      </c>
      <c r="F396">
        <v>15.6</v>
      </c>
      <c r="G396">
        <v>13</v>
      </c>
      <c r="H396">
        <v>1.39</v>
      </c>
      <c r="I396">
        <v>0</v>
      </c>
      <c r="J396">
        <v>0</v>
      </c>
      <c r="K396">
        <v>0</v>
      </c>
      <c r="L396">
        <v>0</v>
      </c>
      <c r="M396">
        <v>7</v>
      </c>
      <c r="N396">
        <v>9</v>
      </c>
      <c r="P396">
        <v>0</v>
      </c>
      <c r="Q396">
        <v>0</v>
      </c>
      <c r="R396">
        <v>1</v>
      </c>
      <c r="S396">
        <v>4</v>
      </c>
    </row>
    <row r="397" spans="1:19" hidden="1" x14ac:dyDescent="0.35">
      <c r="A397">
        <v>57218205921</v>
      </c>
      <c r="B397" t="s">
        <v>409</v>
      </c>
      <c r="C397" t="str">
        <f>_xlfn.XLOOKUP(A397,[1]Affiliations!$J$2:$J$5328,[1]Affiliations!$K$2:$K$5328,0)</f>
        <v>Universidade Federal de Campina Grande</v>
      </c>
      <c r="D397">
        <v>12</v>
      </c>
      <c r="E397">
        <v>86</v>
      </c>
      <c r="F397">
        <v>7.1666664999999998</v>
      </c>
      <c r="G397">
        <v>7</v>
      </c>
      <c r="H397">
        <v>0.36</v>
      </c>
      <c r="I397">
        <v>0</v>
      </c>
      <c r="J397">
        <v>0</v>
      </c>
      <c r="K397">
        <v>0</v>
      </c>
      <c r="L397">
        <v>5</v>
      </c>
      <c r="M397">
        <v>7</v>
      </c>
      <c r="N397">
        <v>7</v>
      </c>
      <c r="P397">
        <v>0</v>
      </c>
      <c r="Q397">
        <v>0</v>
      </c>
      <c r="R397">
        <v>1</v>
      </c>
      <c r="S397">
        <v>4</v>
      </c>
    </row>
    <row r="398" spans="1:19" hidden="1" x14ac:dyDescent="0.35">
      <c r="A398">
        <v>7006055191</v>
      </c>
      <c r="B398" t="s">
        <v>410</v>
      </c>
      <c r="C398" t="str">
        <f>_xlfn.XLOOKUP(A398,[1]Affiliations!$J$2:$J$5328,[1]Affiliations!$K$2:$K$5328,0)</f>
        <v>Universidade Federal de Campina Grande</v>
      </c>
      <c r="D398">
        <v>35</v>
      </c>
      <c r="E398">
        <v>164</v>
      </c>
      <c r="F398">
        <v>4.6857141999999996</v>
      </c>
      <c r="G398">
        <v>10</v>
      </c>
      <c r="H398">
        <v>0.55000000000000004</v>
      </c>
      <c r="I398">
        <v>0</v>
      </c>
      <c r="J398">
        <v>0</v>
      </c>
      <c r="K398">
        <v>1</v>
      </c>
      <c r="L398">
        <v>3</v>
      </c>
      <c r="M398">
        <v>6</v>
      </c>
      <c r="N398">
        <v>22</v>
      </c>
      <c r="P398">
        <v>0</v>
      </c>
      <c r="Q398">
        <v>0</v>
      </c>
      <c r="R398">
        <v>0</v>
      </c>
      <c r="S398">
        <v>1</v>
      </c>
    </row>
    <row r="399" spans="1:19" hidden="1" x14ac:dyDescent="0.35">
      <c r="A399">
        <v>55620973100</v>
      </c>
      <c r="B399" t="s">
        <v>411</v>
      </c>
      <c r="C399" t="str">
        <f>_xlfn.XLOOKUP(A399,[1]Affiliations!$J$2:$J$5328,[1]Affiliations!$K$2:$K$5328,0)</f>
        <v>Universidade Federal do Ceará</v>
      </c>
      <c r="D399">
        <v>2</v>
      </c>
      <c r="E399">
        <v>6</v>
      </c>
      <c r="F399">
        <v>3</v>
      </c>
      <c r="G399">
        <v>1</v>
      </c>
      <c r="H399">
        <v>0.33</v>
      </c>
      <c r="I399">
        <v>0</v>
      </c>
      <c r="J399">
        <v>0</v>
      </c>
      <c r="K399">
        <v>1</v>
      </c>
      <c r="L399">
        <v>1</v>
      </c>
      <c r="M399">
        <v>2</v>
      </c>
      <c r="N399">
        <v>2</v>
      </c>
      <c r="P399">
        <v>0</v>
      </c>
      <c r="Q399">
        <v>0</v>
      </c>
      <c r="R399">
        <v>0</v>
      </c>
      <c r="S399">
        <v>0</v>
      </c>
    </row>
    <row r="400" spans="1:19" x14ac:dyDescent="0.35">
      <c r="A400">
        <v>57212380251</v>
      </c>
      <c r="B400" t="s">
        <v>1083</v>
      </c>
      <c r="C400" t="str">
        <f>_xlfn.XLOOKUP(A400,[1]Affiliations!$J$2:$J$5328,[1]Affiliations!$K$2:$K$5328,0)</f>
        <v>Federal University of Rio de Janeiro</v>
      </c>
      <c r="D400">
        <v>7</v>
      </c>
      <c r="E400">
        <v>139</v>
      </c>
      <c r="F400">
        <v>19.857143000000001</v>
      </c>
      <c r="G400">
        <v>5</v>
      </c>
      <c r="H400">
        <v>1.58</v>
      </c>
      <c r="I400">
        <v>0</v>
      </c>
      <c r="J400">
        <v>0</v>
      </c>
      <c r="K400">
        <v>1</v>
      </c>
      <c r="L400">
        <v>6</v>
      </c>
      <c r="M400">
        <v>6</v>
      </c>
      <c r="N400">
        <v>6</v>
      </c>
      <c r="P400">
        <v>0</v>
      </c>
      <c r="Q400">
        <v>0</v>
      </c>
      <c r="R400">
        <v>2</v>
      </c>
      <c r="S400">
        <v>4</v>
      </c>
    </row>
    <row r="401" spans="1:19" hidden="1" x14ac:dyDescent="0.35">
      <c r="A401">
        <v>59229427500</v>
      </c>
      <c r="B401" t="s">
        <v>413</v>
      </c>
      <c r="C401" t="str">
        <f>_xlfn.XLOOKUP(A401,[1]Affiliations!$J$2:$J$5328,[1]Affiliations!$K$2:$K$5328,0)</f>
        <v>Universidade Tecnológica Federal do Paraná</v>
      </c>
      <c r="D401">
        <v>1</v>
      </c>
      <c r="E401">
        <v>6</v>
      </c>
      <c r="F401">
        <v>6</v>
      </c>
      <c r="G401">
        <v>1</v>
      </c>
      <c r="H401">
        <v>0.81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P401">
        <v>0</v>
      </c>
      <c r="Q401">
        <v>0</v>
      </c>
      <c r="R401">
        <v>0</v>
      </c>
      <c r="S401">
        <v>1</v>
      </c>
    </row>
    <row r="402" spans="1:19" hidden="1" x14ac:dyDescent="0.35">
      <c r="A402">
        <v>57209656264</v>
      </c>
      <c r="B402" t="s">
        <v>414</v>
      </c>
      <c r="C402" t="str">
        <f>_xlfn.XLOOKUP(A402,[1]Affiliations!$J$2:$J$5328,[1]Affiliations!$K$2:$K$5328,0)</f>
        <v>Universidade Estadual do Norte Fluminense</v>
      </c>
      <c r="D402">
        <v>9</v>
      </c>
      <c r="E402">
        <v>43</v>
      </c>
      <c r="F402">
        <v>4.7777776999999997</v>
      </c>
      <c r="G402">
        <v>2</v>
      </c>
      <c r="H402">
        <v>0.28000000000000003</v>
      </c>
      <c r="I402">
        <v>0</v>
      </c>
      <c r="J402">
        <v>0</v>
      </c>
      <c r="K402">
        <v>0</v>
      </c>
      <c r="L402">
        <v>2</v>
      </c>
      <c r="M402">
        <v>4</v>
      </c>
      <c r="N402">
        <v>5</v>
      </c>
      <c r="P402">
        <v>0</v>
      </c>
      <c r="Q402">
        <v>0</v>
      </c>
      <c r="R402">
        <v>0</v>
      </c>
      <c r="S402">
        <v>1</v>
      </c>
    </row>
    <row r="403" spans="1:19" hidden="1" x14ac:dyDescent="0.35">
      <c r="A403">
        <v>7004043612</v>
      </c>
      <c r="B403" t="s">
        <v>415</v>
      </c>
      <c r="C403" t="str">
        <f>_xlfn.XLOOKUP(A403,[1]Affiliations!$J$2:$J$5328,[1]Affiliations!$K$2:$K$5328,0)</f>
        <v>Federal University of Rio de Janeiro</v>
      </c>
      <c r="D403">
        <v>16</v>
      </c>
      <c r="E403">
        <v>57</v>
      </c>
      <c r="F403">
        <v>3.5625</v>
      </c>
      <c r="G403">
        <v>7</v>
      </c>
      <c r="H403">
        <v>0.28999999999999998</v>
      </c>
      <c r="I403">
        <v>0</v>
      </c>
      <c r="J403">
        <v>1</v>
      </c>
      <c r="K403">
        <v>2</v>
      </c>
      <c r="L403">
        <v>2</v>
      </c>
      <c r="M403">
        <v>4</v>
      </c>
      <c r="N403">
        <v>7</v>
      </c>
      <c r="P403">
        <v>0</v>
      </c>
      <c r="Q403">
        <v>0</v>
      </c>
      <c r="R403">
        <v>0</v>
      </c>
      <c r="S403">
        <v>1</v>
      </c>
    </row>
    <row r="404" spans="1:19" hidden="1" x14ac:dyDescent="0.35">
      <c r="A404">
        <v>57195218025</v>
      </c>
      <c r="B404" t="s">
        <v>416</v>
      </c>
      <c r="C404" t="str">
        <f>_xlfn.XLOOKUP(A404,[1]Affiliations!$J$2:$J$5328,[1]Affiliations!$K$2:$K$5328,0)</f>
        <v>Laboratório Nacional de Computação Científica (LNCC-MCT) (+1 more)</v>
      </c>
      <c r="D404">
        <v>6</v>
      </c>
      <c r="E404">
        <v>25</v>
      </c>
      <c r="F404">
        <v>4.1666664999999998</v>
      </c>
      <c r="G404">
        <v>3</v>
      </c>
      <c r="H404">
        <v>1.1499999999999999</v>
      </c>
      <c r="I404">
        <v>0</v>
      </c>
      <c r="J404">
        <v>0</v>
      </c>
      <c r="K404">
        <v>2</v>
      </c>
      <c r="L404">
        <v>4</v>
      </c>
      <c r="M404">
        <v>4</v>
      </c>
      <c r="N404">
        <v>4</v>
      </c>
      <c r="P404">
        <v>0</v>
      </c>
      <c r="Q404">
        <v>0</v>
      </c>
      <c r="R404">
        <v>0</v>
      </c>
      <c r="S404">
        <v>0</v>
      </c>
    </row>
    <row r="405" spans="1:19" hidden="1" x14ac:dyDescent="0.35">
      <c r="A405">
        <v>57203413102</v>
      </c>
      <c r="B405" t="s">
        <v>417</v>
      </c>
      <c r="C405" t="str">
        <f>_xlfn.XLOOKUP(A405,[1]Affiliations!$J$2:$J$5328,[1]Affiliations!$K$2:$K$5328,0)</f>
        <v>Halliburton</v>
      </c>
      <c r="D405">
        <v>1</v>
      </c>
      <c r="E405">
        <v>7</v>
      </c>
      <c r="F405">
        <v>7</v>
      </c>
      <c r="G405">
        <v>1</v>
      </c>
      <c r="H405">
        <v>1.52</v>
      </c>
      <c r="P405">
        <v>0</v>
      </c>
      <c r="Q405">
        <v>0</v>
      </c>
      <c r="R405">
        <v>0</v>
      </c>
      <c r="S405">
        <v>0</v>
      </c>
    </row>
    <row r="406" spans="1:19" x14ac:dyDescent="0.35">
      <c r="A406">
        <v>55017185800</v>
      </c>
      <c r="B406" t="s">
        <v>2998</v>
      </c>
      <c r="C406" t="str">
        <f>_xlfn.XLOOKUP(A406,[1]Affiliations!$J$2:$J$5328,[1]Affiliations!$K$2:$K$5328,0)</f>
        <v>PGS</v>
      </c>
      <c r="D406">
        <v>61</v>
      </c>
      <c r="E406">
        <v>798</v>
      </c>
      <c r="F406">
        <v>13.081967000000001</v>
      </c>
      <c r="G406">
        <v>17</v>
      </c>
      <c r="H406">
        <v>1.58</v>
      </c>
      <c r="I406">
        <v>1</v>
      </c>
      <c r="J406">
        <v>19</v>
      </c>
      <c r="K406">
        <v>23</v>
      </c>
      <c r="L406">
        <v>37</v>
      </c>
      <c r="M406">
        <v>45</v>
      </c>
      <c r="N406">
        <v>49</v>
      </c>
      <c r="P406">
        <v>0</v>
      </c>
      <c r="Q406">
        <v>7</v>
      </c>
      <c r="R406">
        <v>10</v>
      </c>
      <c r="S406">
        <v>20</v>
      </c>
    </row>
    <row r="407" spans="1:19" x14ac:dyDescent="0.35">
      <c r="A407">
        <v>56729957700</v>
      </c>
      <c r="B407" t="s">
        <v>3524</v>
      </c>
      <c r="C407" t="str">
        <f>_xlfn.XLOOKUP(A407,[1]Affiliations!$J$2:$J$5328,[1]Affiliations!$K$2:$K$5328,0)</f>
        <v>Centro Nacional de Pesquisa em Energia e Materiais</v>
      </c>
      <c r="D407">
        <v>7</v>
      </c>
      <c r="E407">
        <v>281</v>
      </c>
      <c r="F407">
        <v>40.142856999999999</v>
      </c>
      <c r="G407">
        <v>6</v>
      </c>
      <c r="H407">
        <v>1.58</v>
      </c>
      <c r="I407">
        <v>0</v>
      </c>
      <c r="J407">
        <v>1</v>
      </c>
      <c r="K407">
        <v>5</v>
      </c>
      <c r="L407">
        <v>7</v>
      </c>
      <c r="M407">
        <v>7</v>
      </c>
      <c r="N407">
        <v>7</v>
      </c>
      <c r="P407">
        <v>0</v>
      </c>
      <c r="Q407">
        <v>1</v>
      </c>
      <c r="R407">
        <v>3</v>
      </c>
      <c r="S407">
        <v>4</v>
      </c>
    </row>
    <row r="408" spans="1:19" hidden="1" x14ac:dyDescent="0.35">
      <c r="A408">
        <v>57211510173</v>
      </c>
      <c r="B408" t="s">
        <v>420</v>
      </c>
      <c r="C408" t="str">
        <f>_xlfn.XLOOKUP(A408,[1]Affiliations!$J$2:$J$5328,[1]Affiliations!$K$2:$K$5328,0)</f>
        <v>Federal University of Rio de Janeiro</v>
      </c>
      <c r="D408">
        <v>5</v>
      </c>
      <c r="E408">
        <v>26</v>
      </c>
      <c r="F408">
        <v>5.2</v>
      </c>
      <c r="G408">
        <v>3</v>
      </c>
      <c r="H408">
        <v>0.28999999999999998</v>
      </c>
      <c r="I408">
        <v>0</v>
      </c>
      <c r="J408">
        <v>0</v>
      </c>
      <c r="K408">
        <v>0</v>
      </c>
      <c r="L408">
        <v>1</v>
      </c>
      <c r="M408">
        <v>3</v>
      </c>
      <c r="N408">
        <v>5</v>
      </c>
      <c r="P408">
        <v>0</v>
      </c>
      <c r="Q408">
        <v>0</v>
      </c>
      <c r="R408">
        <v>0</v>
      </c>
      <c r="S408">
        <v>0</v>
      </c>
    </row>
    <row r="409" spans="1:19" hidden="1" x14ac:dyDescent="0.35">
      <c r="A409">
        <v>24461103000</v>
      </c>
      <c r="B409" t="s">
        <v>421</v>
      </c>
      <c r="C409" t="str">
        <f>_xlfn.XLOOKUP(A409,[1]Affiliations!$J$2:$J$5328,[1]Affiliations!$K$2:$K$5328,0)</f>
        <v>Federal University of Santa Catarina</v>
      </c>
      <c r="D409">
        <v>11</v>
      </c>
      <c r="E409">
        <v>128</v>
      </c>
      <c r="F409">
        <v>11.636364</v>
      </c>
      <c r="G409">
        <v>9</v>
      </c>
      <c r="H409">
        <v>0.48</v>
      </c>
      <c r="I409">
        <v>0</v>
      </c>
      <c r="J409">
        <v>1</v>
      </c>
      <c r="K409">
        <v>2</v>
      </c>
      <c r="L409">
        <v>8</v>
      </c>
      <c r="M409">
        <v>9</v>
      </c>
      <c r="N409">
        <v>11</v>
      </c>
      <c r="P409">
        <v>0</v>
      </c>
      <c r="Q409">
        <v>0</v>
      </c>
      <c r="R409">
        <v>0</v>
      </c>
      <c r="S409">
        <v>1</v>
      </c>
    </row>
    <row r="410" spans="1:19" x14ac:dyDescent="0.35">
      <c r="A410">
        <v>55911066200</v>
      </c>
      <c r="B410" t="s">
        <v>4287</v>
      </c>
      <c r="C410" t="str">
        <f>_xlfn.XLOOKUP(A410,[1]Affiliations!$J$2:$J$5328,[1]Affiliations!$K$2:$K$5328,0)</f>
        <v>Pontifícia Universidade Católica do Rio Grande do Sul</v>
      </c>
      <c r="D410">
        <v>10</v>
      </c>
      <c r="E410">
        <v>372</v>
      </c>
      <c r="F410">
        <v>37.200000000000003</v>
      </c>
      <c r="G410">
        <v>10</v>
      </c>
      <c r="H410">
        <v>1.58</v>
      </c>
      <c r="I410">
        <v>0</v>
      </c>
      <c r="J410">
        <v>4</v>
      </c>
      <c r="K410">
        <v>5</v>
      </c>
      <c r="L410">
        <v>9</v>
      </c>
      <c r="M410">
        <v>10</v>
      </c>
      <c r="N410">
        <v>10</v>
      </c>
      <c r="P410">
        <v>0</v>
      </c>
      <c r="Q410">
        <v>2</v>
      </c>
      <c r="R410">
        <v>3</v>
      </c>
      <c r="S410">
        <v>7</v>
      </c>
    </row>
    <row r="411" spans="1:19" x14ac:dyDescent="0.35">
      <c r="A411">
        <v>6603229118</v>
      </c>
      <c r="B411" t="s">
        <v>83</v>
      </c>
      <c r="C411" t="str">
        <f>_xlfn.XLOOKUP(A411,[1]Affiliations!$J$2:$J$5328,[1]Affiliations!$K$2:$K$5328,0)</f>
        <v>Universidade Federal de Ouro Preto</v>
      </c>
      <c r="D411">
        <v>36</v>
      </c>
      <c r="E411">
        <v>1316</v>
      </c>
      <c r="F411">
        <v>36.555557</v>
      </c>
      <c r="G411">
        <v>35</v>
      </c>
      <c r="H411">
        <v>1.57</v>
      </c>
      <c r="I411">
        <v>3</v>
      </c>
      <c r="J411">
        <v>9</v>
      </c>
      <c r="K411">
        <v>17</v>
      </c>
      <c r="L411">
        <v>21</v>
      </c>
      <c r="M411">
        <v>30</v>
      </c>
      <c r="N411">
        <v>33</v>
      </c>
      <c r="P411">
        <v>0</v>
      </c>
      <c r="Q411">
        <v>4</v>
      </c>
      <c r="R411">
        <v>8</v>
      </c>
      <c r="S411">
        <v>25</v>
      </c>
    </row>
    <row r="412" spans="1:19" x14ac:dyDescent="0.35">
      <c r="A412">
        <v>7006675075</v>
      </c>
      <c r="B412" t="s">
        <v>3601</v>
      </c>
      <c r="C412" t="str">
        <f>_xlfn.XLOOKUP(A412,[1]Affiliations!$J$2:$J$5328,[1]Affiliations!$K$2:$K$5328,0)</f>
        <v>Universidade de São Paulo</v>
      </c>
      <c r="D412">
        <v>32</v>
      </c>
      <c r="E412">
        <v>1086</v>
      </c>
      <c r="F412">
        <v>33.9375</v>
      </c>
      <c r="G412">
        <v>32</v>
      </c>
      <c r="H412">
        <v>1.57</v>
      </c>
      <c r="I412">
        <v>0</v>
      </c>
      <c r="J412">
        <v>9</v>
      </c>
      <c r="K412">
        <v>13</v>
      </c>
      <c r="L412">
        <v>18</v>
      </c>
      <c r="M412">
        <v>27</v>
      </c>
      <c r="N412">
        <v>28</v>
      </c>
      <c r="P412">
        <v>0</v>
      </c>
      <c r="Q412">
        <v>6</v>
      </c>
      <c r="R412">
        <v>8</v>
      </c>
      <c r="S412">
        <v>18</v>
      </c>
    </row>
    <row r="413" spans="1:19" hidden="1" x14ac:dyDescent="0.35">
      <c r="A413">
        <v>56507037600</v>
      </c>
      <c r="B413" t="s">
        <v>425</v>
      </c>
      <c r="C413" t="str">
        <f>_xlfn.XLOOKUP(A413,[1]Affiliations!$J$2:$J$5328,[1]Affiliations!$K$2:$K$5328,0)</f>
        <v>Universidade Federal do Rio Grande do Sul</v>
      </c>
      <c r="D413">
        <v>33</v>
      </c>
      <c r="E413">
        <v>77</v>
      </c>
      <c r="F413">
        <v>2.3333333000000001</v>
      </c>
      <c r="G413">
        <v>6</v>
      </c>
      <c r="H413">
        <v>0.15</v>
      </c>
      <c r="I413">
        <v>0</v>
      </c>
      <c r="J413">
        <v>2</v>
      </c>
      <c r="K413">
        <v>2</v>
      </c>
      <c r="L413">
        <v>3</v>
      </c>
      <c r="M413">
        <v>10</v>
      </c>
      <c r="N413">
        <v>12</v>
      </c>
      <c r="P413">
        <v>0</v>
      </c>
      <c r="Q413">
        <v>0</v>
      </c>
      <c r="R413">
        <v>0</v>
      </c>
      <c r="S413">
        <v>1</v>
      </c>
    </row>
    <row r="414" spans="1:19" hidden="1" x14ac:dyDescent="0.35">
      <c r="A414">
        <v>57734264600</v>
      </c>
      <c r="B414" t="s">
        <v>426</v>
      </c>
      <c r="C414" t="str">
        <f>_xlfn.XLOOKUP(A414,[1]Affiliations!$J$2:$J$5328,[1]Affiliations!$K$2:$K$5328,0)</f>
        <v>Telos Soluções Ambientais</v>
      </c>
      <c r="D414">
        <v>1</v>
      </c>
      <c r="E414">
        <v>11</v>
      </c>
      <c r="F414">
        <v>11</v>
      </c>
      <c r="G414">
        <v>1</v>
      </c>
      <c r="H414">
        <v>0.82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P414">
        <v>0</v>
      </c>
      <c r="Q414">
        <v>0</v>
      </c>
      <c r="R414">
        <v>0</v>
      </c>
      <c r="S414">
        <v>0</v>
      </c>
    </row>
    <row r="415" spans="1:19" x14ac:dyDescent="0.35">
      <c r="A415">
        <v>57188852064</v>
      </c>
      <c r="B415" t="s">
        <v>5113</v>
      </c>
      <c r="C415" t="str">
        <f>_xlfn.XLOOKUP(A415,[1]Affiliations!$J$2:$J$5328,[1]Affiliations!$K$2:$K$5328,0)</f>
        <v>Universidade Federal do Rio Grande do Norte (+2 more)</v>
      </c>
      <c r="D415">
        <v>27</v>
      </c>
      <c r="E415">
        <v>453</v>
      </c>
      <c r="F415">
        <v>16.777778999999999</v>
      </c>
      <c r="G415">
        <v>14</v>
      </c>
      <c r="H415">
        <v>1.57</v>
      </c>
      <c r="I415">
        <v>0</v>
      </c>
      <c r="J415">
        <v>6</v>
      </c>
      <c r="K415">
        <v>10</v>
      </c>
      <c r="L415">
        <v>22</v>
      </c>
      <c r="M415">
        <v>26</v>
      </c>
      <c r="N415">
        <v>26</v>
      </c>
      <c r="P415">
        <v>0</v>
      </c>
      <c r="Q415">
        <v>0</v>
      </c>
      <c r="R415">
        <v>4</v>
      </c>
      <c r="S415">
        <v>18</v>
      </c>
    </row>
    <row r="416" spans="1:19" hidden="1" x14ac:dyDescent="0.35">
      <c r="A416">
        <v>57203407950</v>
      </c>
      <c r="B416" t="s">
        <v>428</v>
      </c>
      <c r="C416" t="str">
        <f>_xlfn.XLOOKUP(A416,[1]Affiliations!$J$2:$J$5328,[1]Affiliations!$K$2:$K$5328,0)</f>
        <v>Universidade Federal do Rio Grande do Sul</v>
      </c>
      <c r="D416">
        <v>6</v>
      </c>
      <c r="E416">
        <v>13</v>
      </c>
      <c r="F416">
        <v>2.1666666999999999</v>
      </c>
      <c r="G416">
        <v>3</v>
      </c>
      <c r="H416">
        <v>0.69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3</v>
      </c>
      <c r="P416">
        <v>0</v>
      </c>
      <c r="Q416">
        <v>0</v>
      </c>
      <c r="R416">
        <v>0</v>
      </c>
      <c r="S416">
        <v>0</v>
      </c>
    </row>
    <row r="417" spans="1:19" x14ac:dyDescent="0.35">
      <c r="A417">
        <v>15823074300</v>
      </c>
      <c r="B417" t="s">
        <v>4828</v>
      </c>
      <c r="C417" t="str">
        <f>_xlfn.XLOOKUP(A417,[1]Affiliations!$J$2:$J$5328,[1]Affiliations!$K$2:$K$5328,0)</f>
        <v>Universidade Federal do Rio Grande do Norte</v>
      </c>
      <c r="D417">
        <v>8</v>
      </c>
      <c r="E417">
        <v>172</v>
      </c>
      <c r="F417">
        <v>21.5</v>
      </c>
      <c r="G417">
        <v>13</v>
      </c>
      <c r="H417">
        <v>1.56</v>
      </c>
      <c r="I417">
        <v>0</v>
      </c>
      <c r="J417">
        <v>2</v>
      </c>
      <c r="K417">
        <v>3</v>
      </c>
      <c r="L417">
        <v>5</v>
      </c>
      <c r="M417">
        <v>7</v>
      </c>
      <c r="N417">
        <v>8</v>
      </c>
      <c r="P417">
        <v>0</v>
      </c>
      <c r="Q417">
        <v>2</v>
      </c>
      <c r="R417">
        <v>2</v>
      </c>
      <c r="S417">
        <v>3</v>
      </c>
    </row>
    <row r="418" spans="1:19" hidden="1" x14ac:dyDescent="0.35">
      <c r="A418">
        <v>56541232500</v>
      </c>
      <c r="B418" t="s">
        <v>430</v>
      </c>
      <c r="C418" t="str">
        <f>_xlfn.XLOOKUP(A418,[1]Affiliations!$J$2:$J$5328,[1]Affiliations!$K$2:$K$5328,0)</f>
        <v>Federal University of Rio de Janeiro</v>
      </c>
      <c r="D418">
        <v>1</v>
      </c>
      <c r="E418">
        <v>9</v>
      </c>
      <c r="F418">
        <v>9</v>
      </c>
      <c r="G418">
        <v>1</v>
      </c>
      <c r="H418">
        <v>0.53</v>
      </c>
      <c r="I418">
        <v>0</v>
      </c>
      <c r="J418">
        <v>0</v>
      </c>
      <c r="K418">
        <v>0</v>
      </c>
      <c r="L418">
        <v>0</v>
      </c>
      <c r="M418">
        <v>1</v>
      </c>
      <c r="N418">
        <v>1</v>
      </c>
      <c r="P418">
        <v>0</v>
      </c>
      <c r="Q418">
        <v>0</v>
      </c>
      <c r="R418">
        <v>0</v>
      </c>
      <c r="S418">
        <v>0</v>
      </c>
    </row>
    <row r="419" spans="1:19" x14ac:dyDescent="0.35">
      <c r="A419">
        <v>56320524500</v>
      </c>
      <c r="B419" t="s">
        <v>499</v>
      </c>
      <c r="C419" t="str">
        <f>_xlfn.XLOOKUP(A419,[1]Affiliations!$J$2:$J$5328,[1]Affiliations!$K$2:$K$5328,0)</f>
        <v>University of Miami (+2 more)</v>
      </c>
      <c r="D419">
        <v>13</v>
      </c>
      <c r="E419">
        <v>232</v>
      </c>
      <c r="F419">
        <v>17.846153000000001</v>
      </c>
      <c r="G419">
        <v>9</v>
      </c>
      <c r="H419">
        <v>1.55</v>
      </c>
      <c r="I419">
        <v>2</v>
      </c>
      <c r="J419">
        <v>5</v>
      </c>
      <c r="K419">
        <v>7</v>
      </c>
      <c r="L419">
        <v>12</v>
      </c>
      <c r="M419">
        <v>13</v>
      </c>
      <c r="N419">
        <v>13</v>
      </c>
      <c r="P419">
        <v>0</v>
      </c>
      <c r="Q419">
        <v>1</v>
      </c>
      <c r="R419">
        <v>4</v>
      </c>
      <c r="S419">
        <v>8</v>
      </c>
    </row>
    <row r="420" spans="1:19" hidden="1" x14ac:dyDescent="0.35">
      <c r="A420">
        <v>57197397261</v>
      </c>
      <c r="B420" t="s">
        <v>432</v>
      </c>
      <c r="C420" t="str">
        <f>_xlfn.XLOOKUP(A420,[1]Affiliations!$J$2:$J$5328,[1]Affiliations!$K$2:$K$5328,0)</f>
        <v>TRANSPETRO</v>
      </c>
      <c r="D420">
        <v>3</v>
      </c>
      <c r="E420">
        <v>2</v>
      </c>
      <c r="F420">
        <v>0.66666669999999995</v>
      </c>
      <c r="G420">
        <v>1</v>
      </c>
      <c r="H420">
        <v>0.17</v>
      </c>
      <c r="P420">
        <v>0</v>
      </c>
      <c r="Q420">
        <v>0</v>
      </c>
      <c r="R420">
        <v>0</v>
      </c>
      <c r="S420">
        <v>0</v>
      </c>
    </row>
    <row r="421" spans="1:19" x14ac:dyDescent="0.35">
      <c r="A421">
        <v>54889699100</v>
      </c>
      <c r="B421" t="s">
        <v>5274</v>
      </c>
      <c r="C421" t="str">
        <f>_xlfn.XLOOKUP(A421,[1]Affiliations!$J$2:$J$5328,[1]Affiliations!$K$2:$K$5328,0)</f>
        <v>Universidade de São Paulo</v>
      </c>
      <c r="D421">
        <v>19</v>
      </c>
      <c r="E421">
        <v>467</v>
      </c>
      <c r="F421">
        <v>24.578946999999999</v>
      </c>
      <c r="G421">
        <v>13</v>
      </c>
      <c r="H421">
        <v>1.55</v>
      </c>
      <c r="I421">
        <v>1</v>
      </c>
      <c r="J421">
        <v>2</v>
      </c>
      <c r="K421">
        <v>10</v>
      </c>
      <c r="L421">
        <v>13</v>
      </c>
      <c r="M421">
        <v>17</v>
      </c>
      <c r="N421">
        <v>17</v>
      </c>
      <c r="P421">
        <v>1</v>
      </c>
      <c r="Q421">
        <v>2</v>
      </c>
      <c r="R421">
        <v>5</v>
      </c>
      <c r="S421">
        <v>13</v>
      </c>
    </row>
    <row r="422" spans="1:19" hidden="1" x14ac:dyDescent="0.35">
      <c r="A422">
        <v>57192421953</v>
      </c>
      <c r="B422" t="s">
        <v>434</v>
      </c>
      <c r="C422" t="str">
        <f>_xlfn.XLOOKUP(A422,[1]Affiliations!$J$2:$J$5328,[1]Affiliations!$K$2:$K$5328,0)</f>
        <v>Pontifical Catholic University of Rio de Janeiro</v>
      </c>
      <c r="D422">
        <v>5</v>
      </c>
      <c r="E422">
        <v>22</v>
      </c>
      <c r="F422">
        <v>4.4000000000000004</v>
      </c>
      <c r="G422">
        <v>2</v>
      </c>
      <c r="H422">
        <v>0.21</v>
      </c>
      <c r="I422">
        <v>0</v>
      </c>
      <c r="J422">
        <v>0</v>
      </c>
      <c r="K422">
        <v>0</v>
      </c>
      <c r="L422">
        <v>1</v>
      </c>
      <c r="M422">
        <v>2</v>
      </c>
      <c r="N422">
        <v>4</v>
      </c>
      <c r="P422">
        <v>0</v>
      </c>
      <c r="Q422">
        <v>0</v>
      </c>
      <c r="R422">
        <v>0</v>
      </c>
      <c r="S422">
        <v>0</v>
      </c>
    </row>
    <row r="423" spans="1:19" x14ac:dyDescent="0.35">
      <c r="A423">
        <v>57202790118</v>
      </c>
      <c r="B423" t="s">
        <v>1072</v>
      </c>
      <c r="C423" t="str">
        <f>_xlfn.XLOOKUP(A423,[1]Affiliations!$J$2:$J$5328,[1]Affiliations!$K$2:$K$5328,0)</f>
        <v>Universidade de São Paulo</v>
      </c>
      <c r="D423">
        <v>22</v>
      </c>
      <c r="E423">
        <v>466</v>
      </c>
      <c r="F423">
        <v>21.181818</v>
      </c>
      <c r="G423">
        <v>11</v>
      </c>
      <c r="H423">
        <v>1.54</v>
      </c>
      <c r="I423">
        <v>1</v>
      </c>
      <c r="J423">
        <v>4</v>
      </c>
      <c r="K423">
        <v>10</v>
      </c>
      <c r="L423">
        <v>16</v>
      </c>
      <c r="M423">
        <v>18</v>
      </c>
      <c r="N423">
        <v>19</v>
      </c>
      <c r="P423">
        <v>0</v>
      </c>
      <c r="Q423">
        <v>4</v>
      </c>
      <c r="R423">
        <v>4</v>
      </c>
      <c r="S423">
        <v>13</v>
      </c>
    </row>
    <row r="424" spans="1:19" hidden="1" x14ac:dyDescent="0.35">
      <c r="A424">
        <v>57207107925</v>
      </c>
      <c r="B424" t="s">
        <v>436</v>
      </c>
      <c r="C424" t="str">
        <f>_xlfn.XLOOKUP(A424,[1]Affiliations!$J$2:$J$5328,[1]Affiliations!$K$2:$K$5328,0)</f>
        <v>Pontifical Catholic University of Rio de Janeiro</v>
      </c>
      <c r="D424">
        <v>6</v>
      </c>
      <c r="E424">
        <v>8</v>
      </c>
      <c r="F424">
        <v>1.3333333999999999</v>
      </c>
      <c r="G424">
        <v>1</v>
      </c>
      <c r="H424">
        <v>0.95</v>
      </c>
      <c r="P424">
        <v>0</v>
      </c>
      <c r="Q424">
        <v>0</v>
      </c>
      <c r="R424">
        <v>0</v>
      </c>
      <c r="S424">
        <v>1</v>
      </c>
    </row>
    <row r="425" spans="1:19" x14ac:dyDescent="0.35">
      <c r="A425">
        <v>6603213836</v>
      </c>
      <c r="B425" t="s">
        <v>2433</v>
      </c>
      <c r="C425" t="str">
        <f>_xlfn.XLOOKUP(A425,[1]Affiliations!$J$2:$J$5328,[1]Affiliations!$K$2:$K$5328,0)</f>
        <v>Universidade Federal de Minas Gerais (+1 more)</v>
      </c>
      <c r="D425">
        <v>176</v>
      </c>
      <c r="E425">
        <v>4634</v>
      </c>
      <c r="F425">
        <v>26.329546000000001</v>
      </c>
      <c r="G425">
        <v>35</v>
      </c>
      <c r="H425">
        <v>1.54</v>
      </c>
      <c r="I425">
        <v>5</v>
      </c>
      <c r="J425">
        <v>11</v>
      </c>
      <c r="K425">
        <v>33</v>
      </c>
      <c r="L425">
        <v>100</v>
      </c>
      <c r="M425">
        <v>145</v>
      </c>
      <c r="N425">
        <v>166</v>
      </c>
      <c r="P425">
        <v>5</v>
      </c>
      <c r="Q425">
        <v>11</v>
      </c>
      <c r="R425">
        <v>24</v>
      </c>
      <c r="S425">
        <v>73</v>
      </c>
    </row>
    <row r="426" spans="1:19" x14ac:dyDescent="0.35">
      <c r="A426">
        <v>56366113100</v>
      </c>
      <c r="B426" t="s">
        <v>3059</v>
      </c>
      <c r="C426" t="str">
        <f>_xlfn.XLOOKUP(A426,[1]Affiliations!$J$2:$J$5328,[1]Affiliations!$K$2:$K$5328,0)</f>
        <v>Universidade Federal do Rio Grande do Sul</v>
      </c>
      <c r="D426">
        <v>6</v>
      </c>
      <c r="E426">
        <v>245</v>
      </c>
      <c r="F426">
        <v>40.833331999999999</v>
      </c>
      <c r="G426">
        <v>8</v>
      </c>
      <c r="H426">
        <v>1.54</v>
      </c>
      <c r="I426">
        <v>0</v>
      </c>
      <c r="J426">
        <v>2</v>
      </c>
      <c r="K426">
        <v>2</v>
      </c>
      <c r="L426">
        <v>4</v>
      </c>
      <c r="M426">
        <v>6</v>
      </c>
      <c r="N426">
        <v>6</v>
      </c>
      <c r="P426">
        <v>0</v>
      </c>
      <c r="Q426">
        <v>1</v>
      </c>
      <c r="R426">
        <v>2</v>
      </c>
      <c r="S426">
        <v>3</v>
      </c>
    </row>
    <row r="427" spans="1:19" hidden="1" x14ac:dyDescent="0.35">
      <c r="A427">
        <v>57220028019</v>
      </c>
      <c r="B427" t="s">
        <v>439</v>
      </c>
      <c r="C427" t="str">
        <f>_xlfn.XLOOKUP(A427,[1]Affiliations!$J$2:$J$5328,[1]Affiliations!$K$2:$K$5328,0)</f>
        <v>Pontifical Catholic University of Rio de Janeiro</v>
      </c>
      <c r="D427">
        <v>2</v>
      </c>
      <c r="E427">
        <v>24</v>
      </c>
      <c r="F427">
        <v>12</v>
      </c>
      <c r="G427">
        <v>2</v>
      </c>
      <c r="H427">
        <v>1.3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1</v>
      </c>
      <c r="P427">
        <v>0</v>
      </c>
      <c r="Q427">
        <v>0</v>
      </c>
      <c r="R427">
        <v>0</v>
      </c>
      <c r="S427">
        <v>0</v>
      </c>
    </row>
    <row r="428" spans="1:19" hidden="1" x14ac:dyDescent="0.35">
      <c r="A428">
        <v>57222810747</v>
      </c>
      <c r="B428" t="s">
        <v>440</v>
      </c>
      <c r="C428" t="str">
        <f>_xlfn.XLOOKUP(A428,[1]Affiliations!$J$2:$J$5328,[1]Affiliations!$K$2:$K$5328,0)</f>
        <v>Universidade Federal do Rio Grande do Norte</v>
      </c>
      <c r="D428">
        <v>2</v>
      </c>
      <c r="E428">
        <v>13</v>
      </c>
      <c r="F428">
        <v>6.5</v>
      </c>
      <c r="G428">
        <v>2</v>
      </c>
      <c r="H428">
        <v>0.33</v>
      </c>
      <c r="I428">
        <v>0</v>
      </c>
      <c r="J428">
        <v>1</v>
      </c>
      <c r="K428">
        <v>1</v>
      </c>
      <c r="L428">
        <v>2</v>
      </c>
      <c r="M428">
        <v>2</v>
      </c>
      <c r="N428">
        <v>2</v>
      </c>
      <c r="P428">
        <v>0</v>
      </c>
      <c r="Q428">
        <v>0</v>
      </c>
      <c r="R428">
        <v>0</v>
      </c>
      <c r="S428">
        <v>0</v>
      </c>
    </row>
    <row r="429" spans="1:19" x14ac:dyDescent="0.35">
      <c r="A429">
        <v>35434919700</v>
      </c>
      <c r="B429" t="s">
        <v>1994</v>
      </c>
      <c r="C429" t="str">
        <f>_xlfn.XLOOKUP(A429,[1]Affiliations!$J$2:$J$5328,[1]Affiliations!$K$2:$K$5328,0)</f>
        <v>Universidade Federal de Minas Gerais</v>
      </c>
      <c r="D429">
        <v>52</v>
      </c>
      <c r="E429">
        <v>1735</v>
      </c>
      <c r="F429">
        <v>33.365383000000001</v>
      </c>
      <c r="G429">
        <v>32</v>
      </c>
      <c r="H429">
        <v>1.53</v>
      </c>
      <c r="I429">
        <v>4</v>
      </c>
      <c r="J429">
        <v>11</v>
      </c>
      <c r="K429">
        <v>24</v>
      </c>
      <c r="L429">
        <v>30</v>
      </c>
      <c r="M429">
        <v>49</v>
      </c>
      <c r="N429">
        <v>51</v>
      </c>
      <c r="P429">
        <v>0</v>
      </c>
      <c r="Q429">
        <v>6</v>
      </c>
      <c r="R429">
        <v>14</v>
      </c>
      <c r="S429">
        <v>31</v>
      </c>
    </row>
    <row r="430" spans="1:19" hidden="1" x14ac:dyDescent="0.35">
      <c r="A430">
        <v>57204940301</v>
      </c>
      <c r="B430" t="s">
        <v>442</v>
      </c>
      <c r="C430" t="str">
        <f>_xlfn.XLOOKUP(A430,[1]Affiliations!$J$2:$J$5328,[1]Affiliations!$K$2:$K$5328,0)</f>
        <v>LAMEMO - Modelling Methods in Engineering and Geophysics Laboratory (+1 more)</v>
      </c>
      <c r="D430">
        <v>1</v>
      </c>
      <c r="E430">
        <v>3</v>
      </c>
      <c r="F430">
        <v>3</v>
      </c>
      <c r="G430">
        <v>1</v>
      </c>
      <c r="H430">
        <v>0.3</v>
      </c>
      <c r="I430">
        <v>0</v>
      </c>
      <c r="J430">
        <v>0</v>
      </c>
      <c r="K430">
        <v>0</v>
      </c>
      <c r="L430">
        <v>0</v>
      </c>
      <c r="M430">
        <v>1</v>
      </c>
      <c r="N430">
        <v>1</v>
      </c>
      <c r="P430">
        <v>0</v>
      </c>
      <c r="Q430">
        <v>0</v>
      </c>
      <c r="R430">
        <v>0</v>
      </c>
      <c r="S430">
        <v>0</v>
      </c>
    </row>
    <row r="431" spans="1:19" x14ac:dyDescent="0.35">
      <c r="A431">
        <v>57197499872</v>
      </c>
      <c r="B431" t="s">
        <v>2239</v>
      </c>
      <c r="C431" t="str">
        <f>_xlfn.XLOOKUP(A431,[1]Affiliations!$J$2:$J$5328,[1]Affiliations!$K$2:$K$5328,0)</f>
        <v>University of Campinas (+1 more)</v>
      </c>
      <c r="D431">
        <v>21</v>
      </c>
      <c r="E431">
        <v>647</v>
      </c>
      <c r="F431">
        <v>30.809525000000001</v>
      </c>
      <c r="G431">
        <v>17</v>
      </c>
      <c r="H431">
        <v>1.53</v>
      </c>
      <c r="I431">
        <v>0</v>
      </c>
      <c r="J431">
        <v>7</v>
      </c>
      <c r="K431">
        <v>9</v>
      </c>
      <c r="L431">
        <v>16</v>
      </c>
      <c r="M431">
        <v>20</v>
      </c>
      <c r="N431">
        <v>21</v>
      </c>
      <c r="P431">
        <v>0</v>
      </c>
      <c r="Q431">
        <v>3</v>
      </c>
      <c r="R431">
        <v>6</v>
      </c>
      <c r="S431">
        <v>14</v>
      </c>
    </row>
    <row r="432" spans="1:19" hidden="1" x14ac:dyDescent="0.35">
      <c r="A432">
        <v>57217584963</v>
      </c>
      <c r="B432" t="s">
        <v>444</v>
      </c>
      <c r="C432" t="str">
        <f>_xlfn.XLOOKUP(A432,[1]Affiliations!$J$2:$J$5328,[1]Affiliations!$K$2:$K$5328,0)</f>
        <v>Universidade Federal do Rio Grande do Sul</v>
      </c>
      <c r="D432">
        <v>4</v>
      </c>
      <c r="E432">
        <v>8</v>
      </c>
      <c r="F432">
        <v>2</v>
      </c>
      <c r="G432">
        <v>1</v>
      </c>
      <c r="H432">
        <v>0.38</v>
      </c>
      <c r="I432">
        <v>0</v>
      </c>
      <c r="J432">
        <v>1</v>
      </c>
      <c r="K432">
        <v>1</v>
      </c>
      <c r="L432">
        <v>1</v>
      </c>
      <c r="M432">
        <v>2</v>
      </c>
      <c r="N432">
        <v>3</v>
      </c>
      <c r="P432">
        <v>0</v>
      </c>
      <c r="Q432">
        <v>0</v>
      </c>
      <c r="R432">
        <v>0</v>
      </c>
      <c r="S432">
        <v>0</v>
      </c>
    </row>
    <row r="433" spans="1:19" x14ac:dyDescent="0.35">
      <c r="A433">
        <v>6602501229</v>
      </c>
      <c r="B433" t="s">
        <v>2344</v>
      </c>
      <c r="C433" t="str">
        <f>_xlfn.XLOOKUP(A433,[1]Affiliations!$J$2:$J$5328,[1]Affiliations!$K$2:$K$5328,0)</f>
        <v>Universidade de São Paulo (+1 more)</v>
      </c>
      <c r="D433">
        <v>35</v>
      </c>
      <c r="E433">
        <v>449</v>
      </c>
      <c r="F433">
        <v>12.828571</v>
      </c>
      <c r="G433">
        <v>23</v>
      </c>
      <c r="H433">
        <v>1.53</v>
      </c>
      <c r="I433">
        <v>0</v>
      </c>
      <c r="J433">
        <v>0</v>
      </c>
      <c r="K433">
        <v>2</v>
      </c>
      <c r="L433">
        <v>8</v>
      </c>
      <c r="M433">
        <v>16</v>
      </c>
      <c r="N433">
        <v>32</v>
      </c>
      <c r="P433">
        <v>0</v>
      </c>
      <c r="Q433">
        <v>1</v>
      </c>
      <c r="R433">
        <v>1</v>
      </c>
      <c r="S433">
        <v>7</v>
      </c>
    </row>
    <row r="434" spans="1:19" hidden="1" x14ac:dyDescent="0.35">
      <c r="A434">
        <v>59198723300</v>
      </c>
      <c r="B434" t="s">
        <v>446</v>
      </c>
      <c r="C434" t="str">
        <f>_xlfn.XLOOKUP(A434,[1]Affiliations!$J$2:$J$5328,[1]Affiliations!$K$2:$K$5328,0)</f>
        <v>Instituto de Pesquisas da Marinha</v>
      </c>
      <c r="D434">
        <v>2</v>
      </c>
      <c r="E434">
        <v>4</v>
      </c>
      <c r="F434">
        <v>2</v>
      </c>
      <c r="G434">
        <v>1</v>
      </c>
      <c r="H434">
        <v>3.32</v>
      </c>
      <c r="I434">
        <v>0</v>
      </c>
      <c r="J434">
        <v>0</v>
      </c>
      <c r="K434">
        <v>0</v>
      </c>
      <c r="L434">
        <v>2</v>
      </c>
      <c r="M434">
        <v>2</v>
      </c>
      <c r="N434">
        <v>2</v>
      </c>
      <c r="P434">
        <v>0</v>
      </c>
      <c r="Q434">
        <v>0</v>
      </c>
      <c r="R434">
        <v>0</v>
      </c>
      <c r="S434">
        <v>0</v>
      </c>
    </row>
    <row r="435" spans="1:19" x14ac:dyDescent="0.35">
      <c r="A435">
        <v>15760632600</v>
      </c>
      <c r="B435" t="s">
        <v>3616</v>
      </c>
      <c r="C435" t="str">
        <f>_xlfn.XLOOKUP(A435,[1]Affiliations!$J$2:$J$5328,[1]Affiliations!$K$2:$K$5328,0)</f>
        <v>Universidade Federal de Campina Grande (+1 more)</v>
      </c>
      <c r="D435">
        <v>37</v>
      </c>
      <c r="E435">
        <v>779</v>
      </c>
      <c r="F435">
        <v>21.054054000000001</v>
      </c>
      <c r="G435">
        <v>22</v>
      </c>
      <c r="H435">
        <v>1.53</v>
      </c>
      <c r="I435">
        <v>0</v>
      </c>
      <c r="J435">
        <v>9</v>
      </c>
      <c r="K435">
        <v>13</v>
      </c>
      <c r="L435">
        <v>29</v>
      </c>
      <c r="M435">
        <v>35</v>
      </c>
      <c r="N435">
        <v>36</v>
      </c>
      <c r="P435">
        <v>0</v>
      </c>
      <c r="Q435">
        <v>1</v>
      </c>
      <c r="R435">
        <v>7</v>
      </c>
      <c r="S435">
        <v>25</v>
      </c>
    </row>
    <row r="436" spans="1:19" hidden="1" x14ac:dyDescent="0.35">
      <c r="A436">
        <v>6701348599</v>
      </c>
      <c r="B436" t="s">
        <v>448</v>
      </c>
      <c r="C436" t="str">
        <f>_xlfn.XLOOKUP(A436,[1]Affiliations!$J$2:$J$5328,[1]Affiliations!$K$2:$K$5328,0)</f>
        <v>Serviço Nacional de Aprendizagem Industrial</v>
      </c>
      <c r="D436">
        <v>21</v>
      </c>
      <c r="E436">
        <v>102</v>
      </c>
      <c r="F436">
        <v>4.8571429999999998</v>
      </c>
      <c r="G436">
        <v>12</v>
      </c>
      <c r="H436">
        <v>0.56999999999999995</v>
      </c>
      <c r="I436">
        <v>0</v>
      </c>
      <c r="J436">
        <v>0</v>
      </c>
      <c r="K436">
        <v>1</v>
      </c>
      <c r="L436">
        <v>5</v>
      </c>
      <c r="M436">
        <v>8</v>
      </c>
      <c r="N436">
        <v>14</v>
      </c>
      <c r="P436">
        <v>0</v>
      </c>
      <c r="Q436">
        <v>0</v>
      </c>
      <c r="R436">
        <v>0</v>
      </c>
      <c r="S436">
        <v>1</v>
      </c>
    </row>
    <row r="437" spans="1:19" x14ac:dyDescent="0.35">
      <c r="A437">
        <v>57118899800</v>
      </c>
      <c r="B437" t="s">
        <v>4481</v>
      </c>
      <c r="C437" t="str">
        <f>_xlfn.XLOOKUP(A437,[1]Affiliations!$J$2:$J$5328,[1]Affiliations!$K$2:$K$5328,0)</f>
        <v>Universidade Federal do Espírito Santo</v>
      </c>
      <c r="D437">
        <v>14</v>
      </c>
      <c r="E437">
        <v>371</v>
      </c>
      <c r="F437">
        <v>26.5</v>
      </c>
      <c r="G437">
        <v>9</v>
      </c>
      <c r="H437">
        <v>1.53</v>
      </c>
      <c r="I437">
        <v>0</v>
      </c>
      <c r="J437">
        <v>1</v>
      </c>
      <c r="K437">
        <v>2</v>
      </c>
      <c r="L437">
        <v>7</v>
      </c>
      <c r="M437">
        <v>8</v>
      </c>
      <c r="N437">
        <v>11</v>
      </c>
      <c r="P437">
        <v>0</v>
      </c>
      <c r="Q437">
        <v>3</v>
      </c>
      <c r="R437">
        <v>5</v>
      </c>
      <c r="S437">
        <v>9</v>
      </c>
    </row>
    <row r="438" spans="1:19" x14ac:dyDescent="0.35">
      <c r="A438">
        <v>37039430400</v>
      </c>
      <c r="B438" t="s">
        <v>324</v>
      </c>
      <c r="C438" t="str">
        <f>_xlfn.XLOOKUP(A438,[1]Affiliations!$J$2:$J$5328,[1]Affiliations!$K$2:$K$5328,0)</f>
        <v>Vizlab - X-Reality and GeoInformatics Lab (+1 more)</v>
      </c>
      <c r="D438">
        <v>9</v>
      </c>
      <c r="E438">
        <v>145</v>
      </c>
      <c r="F438">
        <v>16.11111</v>
      </c>
      <c r="G438">
        <v>7</v>
      </c>
      <c r="H438">
        <v>1.52</v>
      </c>
      <c r="I438">
        <v>0</v>
      </c>
      <c r="J438">
        <v>2</v>
      </c>
      <c r="K438">
        <v>4</v>
      </c>
      <c r="L438">
        <v>7</v>
      </c>
      <c r="M438">
        <v>9</v>
      </c>
      <c r="N438">
        <v>9</v>
      </c>
      <c r="P438">
        <v>0</v>
      </c>
      <c r="Q438">
        <v>1</v>
      </c>
      <c r="R438">
        <v>2</v>
      </c>
      <c r="S438">
        <v>6</v>
      </c>
    </row>
    <row r="439" spans="1:19" hidden="1" x14ac:dyDescent="0.35">
      <c r="A439">
        <v>7202306446</v>
      </c>
      <c r="B439" t="s">
        <v>451</v>
      </c>
      <c r="C439" t="str">
        <f>_xlfn.XLOOKUP(A439,[1]Affiliations!$J$2:$J$5328,[1]Affiliations!$K$2:$K$5328,0)</f>
        <v>Federal University of Santa Catarina</v>
      </c>
      <c r="D439">
        <v>37</v>
      </c>
      <c r="E439">
        <v>220</v>
      </c>
      <c r="F439">
        <v>5.9459457000000002</v>
      </c>
      <c r="G439">
        <v>14</v>
      </c>
      <c r="H439">
        <v>0.64</v>
      </c>
      <c r="I439">
        <v>0</v>
      </c>
      <c r="J439">
        <v>0</v>
      </c>
      <c r="K439">
        <v>2</v>
      </c>
      <c r="L439">
        <v>4</v>
      </c>
      <c r="M439">
        <v>8</v>
      </c>
      <c r="N439">
        <v>16</v>
      </c>
      <c r="P439">
        <v>0</v>
      </c>
      <c r="Q439">
        <v>0</v>
      </c>
      <c r="R439">
        <v>0</v>
      </c>
      <c r="S439">
        <v>2</v>
      </c>
    </row>
    <row r="440" spans="1:19" x14ac:dyDescent="0.35">
      <c r="A440">
        <v>6603599722</v>
      </c>
      <c r="B440" t="s">
        <v>1685</v>
      </c>
      <c r="C440" t="str">
        <f>_xlfn.XLOOKUP(A440,[1]Affiliations!$J$2:$J$5328,[1]Affiliations!$K$2:$K$5328,0)</f>
        <v>Uppsala University (+2 more)</v>
      </c>
      <c r="D440">
        <v>42</v>
      </c>
      <c r="E440">
        <v>973</v>
      </c>
      <c r="F440">
        <v>23.166665999999999</v>
      </c>
      <c r="G440">
        <v>25</v>
      </c>
      <c r="H440">
        <v>1.52</v>
      </c>
      <c r="I440">
        <v>0</v>
      </c>
      <c r="J440">
        <v>3</v>
      </c>
      <c r="K440">
        <v>6</v>
      </c>
      <c r="L440">
        <v>23</v>
      </c>
      <c r="M440">
        <v>32</v>
      </c>
      <c r="N440">
        <v>34</v>
      </c>
      <c r="P440">
        <v>1</v>
      </c>
      <c r="Q440">
        <v>3</v>
      </c>
      <c r="R440">
        <v>5</v>
      </c>
      <c r="S440">
        <v>14</v>
      </c>
    </row>
    <row r="441" spans="1:19" x14ac:dyDescent="0.35">
      <c r="A441">
        <v>57192214493</v>
      </c>
      <c r="B441" t="s">
        <v>1780</v>
      </c>
      <c r="C441" t="str">
        <f>_xlfn.XLOOKUP(A441,[1]Affiliations!$J$2:$J$5328,[1]Affiliations!$K$2:$K$5328,0)</f>
        <v>Universidade Estadual Paulista “Júlio de Mesquita Filho”</v>
      </c>
      <c r="D441">
        <v>20</v>
      </c>
      <c r="E441">
        <v>683</v>
      </c>
      <c r="F441">
        <v>34.15</v>
      </c>
      <c r="G441">
        <v>11</v>
      </c>
      <c r="H441">
        <v>1.52</v>
      </c>
      <c r="I441">
        <v>0</v>
      </c>
      <c r="J441">
        <v>4</v>
      </c>
      <c r="K441">
        <v>5</v>
      </c>
      <c r="L441">
        <v>6</v>
      </c>
      <c r="M441">
        <v>6</v>
      </c>
      <c r="N441">
        <v>13</v>
      </c>
      <c r="P441">
        <v>1</v>
      </c>
      <c r="Q441">
        <v>4</v>
      </c>
      <c r="R441">
        <v>5</v>
      </c>
      <c r="S441">
        <v>7</v>
      </c>
    </row>
    <row r="442" spans="1:19" x14ac:dyDescent="0.35">
      <c r="A442">
        <v>57221970533</v>
      </c>
      <c r="B442" t="s">
        <v>3695</v>
      </c>
      <c r="C442" t="str">
        <f>_xlfn.XLOOKUP(A442,[1]Affiliations!$J$2:$J$5328,[1]Affiliations!$K$2:$K$5328,0)</f>
        <v>SENAI Innovation Institute for Manufacturing Systems and Laser Processing</v>
      </c>
      <c r="D442">
        <v>5</v>
      </c>
      <c r="E442">
        <v>153</v>
      </c>
      <c r="F442">
        <v>30.6</v>
      </c>
      <c r="G442">
        <v>4</v>
      </c>
      <c r="H442">
        <v>1.52</v>
      </c>
      <c r="I442">
        <v>0</v>
      </c>
      <c r="J442">
        <v>0</v>
      </c>
      <c r="K442">
        <v>1</v>
      </c>
      <c r="L442">
        <v>3</v>
      </c>
      <c r="M442">
        <v>4</v>
      </c>
      <c r="N442">
        <v>4</v>
      </c>
      <c r="P442">
        <v>0</v>
      </c>
      <c r="Q442">
        <v>1</v>
      </c>
      <c r="R442">
        <v>1</v>
      </c>
      <c r="S442">
        <v>3</v>
      </c>
    </row>
    <row r="443" spans="1:19" hidden="1" x14ac:dyDescent="0.35">
      <c r="A443">
        <v>8311595000</v>
      </c>
      <c r="B443" t="s">
        <v>455</v>
      </c>
      <c r="C443" t="str">
        <f>_xlfn.XLOOKUP(A443,[1]Affiliations!$J$2:$J$5328,[1]Affiliations!$K$2:$K$5328,0)</f>
        <v>GeoSpatial Petroleum (+2 more)</v>
      </c>
      <c r="D443">
        <v>6</v>
      </c>
      <c r="E443">
        <v>28</v>
      </c>
      <c r="F443">
        <v>4.6666664999999998</v>
      </c>
      <c r="G443">
        <v>4</v>
      </c>
      <c r="H443">
        <v>0.32</v>
      </c>
      <c r="I443">
        <v>0</v>
      </c>
      <c r="J443">
        <v>0</v>
      </c>
      <c r="K443">
        <v>1</v>
      </c>
      <c r="L443">
        <v>1</v>
      </c>
      <c r="M443">
        <v>3</v>
      </c>
      <c r="N443">
        <v>3</v>
      </c>
      <c r="P443">
        <v>0</v>
      </c>
      <c r="Q443">
        <v>0</v>
      </c>
      <c r="R443">
        <v>0</v>
      </c>
      <c r="S443">
        <v>2</v>
      </c>
    </row>
    <row r="444" spans="1:19" x14ac:dyDescent="0.35">
      <c r="A444">
        <v>35148526600</v>
      </c>
      <c r="B444" t="s">
        <v>4251</v>
      </c>
      <c r="C444" t="str">
        <f>_xlfn.XLOOKUP(A444,[1]Affiliations!$J$2:$J$5328,[1]Affiliations!$K$2:$K$5328,0)</f>
        <v>Universidade Federal da Bahia</v>
      </c>
      <c r="D444">
        <v>14</v>
      </c>
      <c r="E444">
        <v>319</v>
      </c>
      <c r="F444">
        <v>22.785715</v>
      </c>
      <c r="G444">
        <v>10</v>
      </c>
      <c r="H444">
        <v>1.52</v>
      </c>
      <c r="I444">
        <v>0</v>
      </c>
      <c r="J444">
        <v>0</v>
      </c>
      <c r="K444">
        <v>1</v>
      </c>
      <c r="L444">
        <v>4</v>
      </c>
      <c r="M444">
        <v>9</v>
      </c>
      <c r="N444">
        <v>10</v>
      </c>
      <c r="P444">
        <v>0</v>
      </c>
      <c r="Q444">
        <v>1</v>
      </c>
      <c r="R444">
        <v>1</v>
      </c>
      <c r="S444">
        <v>5</v>
      </c>
    </row>
    <row r="445" spans="1:19" hidden="1" x14ac:dyDescent="0.35">
      <c r="A445">
        <v>36994478600</v>
      </c>
      <c r="B445" t="s">
        <v>457</v>
      </c>
      <c r="C445" t="str">
        <f>_xlfn.XLOOKUP(A445,[1]Affiliations!$J$2:$J$5328,[1]Affiliations!$K$2:$K$5328,0)</f>
        <v>University of Campinas</v>
      </c>
      <c r="D445">
        <v>4</v>
      </c>
      <c r="E445">
        <v>85</v>
      </c>
      <c r="F445">
        <v>21.25</v>
      </c>
      <c r="G445">
        <v>6</v>
      </c>
      <c r="H445">
        <v>0.78</v>
      </c>
      <c r="I445">
        <v>0</v>
      </c>
      <c r="J445">
        <v>1</v>
      </c>
      <c r="K445">
        <v>1</v>
      </c>
      <c r="L445">
        <v>3</v>
      </c>
      <c r="M445">
        <v>3</v>
      </c>
      <c r="N445">
        <v>3</v>
      </c>
      <c r="P445">
        <v>0</v>
      </c>
      <c r="Q445">
        <v>0</v>
      </c>
      <c r="R445">
        <v>1</v>
      </c>
      <c r="S445">
        <v>1</v>
      </c>
    </row>
    <row r="446" spans="1:19" hidden="1" x14ac:dyDescent="0.35">
      <c r="A446">
        <v>7005348057</v>
      </c>
      <c r="B446" t="s">
        <v>458</v>
      </c>
      <c r="C446" t="str">
        <f>_xlfn.XLOOKUP(A446,[1]Affiliations!$J$2:$J$5328,[1]Affiliations!$K$2:$K$5328,0)</f>
        <v>Universidade de São Paulo</v>
      </c>
      <c r="D446">
        <v>5</v>
      </c>
      <c r="E446">
        <v>76</v>
      </c>
      <c r="F446">
        <v>15.2</v>
      </c>
      <c r="G446">
        <v>10</v>
      </c>
      <c r="H446">
        <v>0.74</v>
      </c>
      <c r="I446">
        <v>0</v>
      </c>
      <c r="J446">
        <v>1</v>
      </c>
      <c r="K446">
        <v>2</v>
      </c>
      <c r="L446">
        <v>4</v>
      </c>
      <c r="M446">
        <v>5</v>
      </c>
      <c r="N446">
        <v>5</v>
      </c>
      <c r="P446">
        <v>0</v>
      </c>
      <c r="Q446">
        <v>0</v>
      </c>
      <c r="R446">
        <v>0</v>
      </c>
      <c r="S446">
        <v>1</v>
      </c>
    </row>
    <row r="447" spans="1:19" hidden="1" x14ac:dyDescent="0.35">
      <c r="A447">
        <v>55513331800</v>
      </c>
      <c r="B447" t="s">
        <v>459</v>
      </c>
      <c r="C447" t="str">
        <f>_xlfn.XLOOKUP(A447,[1]Affiliations!$J$2:$J$5328,[1]Affiliations!$K$2:$K$5328,0)</f>
        <v>Engineering Simulation and Scientific Software (ESSS) (+1 more)</v>
      </c>
      <c r="D447">
        <v>2</v>
      </c>
      <c r="E447">
        <v>9</v>
      </c>
      <c r="F447">
        <v>4.5</v>
      </c>
      <c r="G447">
        <v>2</v>
      </c>
      <c r="H447">
        <v>1.83</v>
      </c>
      <c r="P447">
        <v>0</v>
      </c>
      <c r="Q447">
        <v>0</v>
      </c>
      <c r="R447">
        <v>0</v>
      </c>
      <c r="S447">
        <v>0</v>
      </c>
    </row>
    <row r="448" spans="1:19" hidden="1" x14ac:dyDescent="0.35">
      <c r="A448">
        <v>56681194000</v>
      </c>
      <c r="B448" t="s">
        <v>460</v>
      </c>
      <c r="C448" t="str">
        <f>_xlfn.XLOOKUP(A448,[1]Affiliations!$J$2:$J$5328,[1]Affiliations!$K$2:$K$5328,0)</f>
        <v>Universidade Estadual de Goiás</v>
      </c>
      <c r="D448">
        <v>3</v>
      </c>
      <c r="E448">
        <v>5</v>
      </c>
      <c r="F448">
        <v>1.6666666000000001</v>
      </c>
      <c r="G448">
        <v>2</v>
      </c>
      <c r="H448">
        <v>0.18</v>
      </c>
      <c r="I448">
        <v>0</v>
      </c>
      <c r="J448">
        <v>0</v>
      </c>
      <c r="K448">
        <v>1</v>
      </c>
      <c r="L448">
        <v>1</v>
      </c>
      <c r="M448">
        <v>3</v>
      </c>
      <c r="N448">
        <v>3</v>
      </c>
      <c r="P448">
        <v>0</v>
      </c>
      <c r="Q448">
        <v>0</v>
      </c>
      <c r="R448">
        <v>0</v>
      </c>
      <c r="S448">
        <v>0</v>
      </c>
    </row>
    <row r="449" spans="1:19" hidden="1" x14ac:dyDescent="0.35">
      <c r="A449">
        <v>58862151400</v>
      </c>
      <c r="B449" t="s">
        <v>461</v>
      </c>
      <c r="C449" t="str">
        <f>_xlfn.XLOOKUP(A449,[1]Affiliations!$J$2:$J$5328,[1]Affiliations!$K$2:$K$5328,0)</f>
        <v>Federal University of Rio de Janeiro</v>
      </c>
      <c r="D449">
        <v>1</v>
      </c>
      <c r="E449">
        <v>9</v>
      </c>
      <c r="F449">
        <v>9</v>
      </c>
      <c r="G449">
        <v>1</v>
      </c>
      <c r="H449">
        <v>1.08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P449">
        <v>0</v>
      </c>
      <c r="Q449">
        <v>0</v>
      </c>
      <c r="R449">
        <v>0</v>
      </c>
      <c r="S449">
        <v>1</v>
      </c>
    </row>
    <row r="450" spans="1:19" hidden="1" x14ac:dyDescent="0.35">
      <c r="A450">
        <v>51260964900</v>
      </c>
      <c r="B450" t="s">
        <v>462</v>
      </c>
      <c r="C450" t="str">
        <f>_xlfn.XLOOKUP(A450,[1]Affiliations!$J$2:$J$5328,[1]Affiliations!$K$2:$K$5328,0)</f>
        <v>Universidade Federal Fluminense (+2 more)</v>
      </c>
      <c r="D450">
        <v>4</v>
      </c>
      <c r="E450">
        <v>7</v>
      </c>
      <c r="F450">
        <v>1.75</v>
      </c>
      <c r="G450">
        <v>3</v>
      </c>
      <c r="H450">
        <v>0.17</v>
      </c>
      <c r="I450">
        <v>0</v>
      </c>
      <c r="J450">
        <v>0</v>
      </c>
      <c r="K450">
        <v>0</v>
      </c>
      <c r="L450">
        <v>2</v>
      </c>
      <c r="M450">
        <v>2</v>
      </c>
      <c r="N450">
        <v>2</v>
      </c>
      <c r="P450">
        <v>0</v>
      </c>
      <c r="Q450">
        <v>0</v>
      </c>
      <c r="R450">
        <v>0</v>
      </c>
      <c r="S450">
        <v>0</v>
      </c>
    </row>
    <row r="451" spans="1:19" hidden="1" x14ac:dyDescent="0.35">
      <c r="A451">
        <v>57219266175</v>
      </c>
      <c r="B451" t="s">
        <v>463</v>
      </c>
      <c r="C451" t="str">
        <f>_xlfn.XLOOKUP(A451,[1]Affiliations!$J$2:$J$5328,[1]Affiliations!$K$2:$K$5328,0)</f>
        <v>Universidade Federal de Sergipe</v>
      </c>
      <c r="D451">
        <v>2</v>
      </c>
      <c r="E451">
        <v>9</v>
      </c>
      <c r="F451">
        <v>4.5</v>
      </c>
      <c r="G451">
        <v>2</v>
      </c>
      <c r="H451">
        <v>0.51</v>
      </c>
      <c r="I451">
        <v>0</v>
      </c>
      <c r="J451">
        <v>0</v>
      </c>
      <c r="K451">
        <v>0</v>
      </c>
      <c r="L451">
        <v>0</v>
      </c>
      <c r="M451">
        <v>1</v>
      </c>
      <c r="N451">
        <v>1</v>
      </c>
      <c r="P451">
        <v>0</v>
      </c>
      <c r="Q451">
        <v>0</v>
      </c>
      <c r="R451">
        <v>0</v>
      </c>
      <c r="S451">
        <v>0</v>
      </c>
    </row>
    <row r="452" spans="1:19" hidden="1" x14ac:dyDescent="0.35">
      <c r="A452">
        <v>50461061200</v>
      </c>
      <c r="B452" t="s">
        <v>464</v>
      </c>
      <c r="C452" t="str">
        <f>_xlfn.XLOOKUP(A452,[1]Affiliations!$J$2:$J$5328,[1]Affiliations!$K$2:$K$5328,0)</f>
        <v>Federal University of Santa Catarina (+1 more)</v>
      </c>
      <c r="D452">
        <v>20</v>
      </c>
      <c r="E452">
        <v>133</v>
      </c>
      <c r="F452">
        <v>6.65</v>
      </c>
      <c r="G452">
        <v>7</v>
      </c>
      <c r="H452">
        <v>0.33</v>
      </c>
      <c r="I452">
        <v>0</v>
      </c>
      <c r="J452">
        <v>0</v>
      </c>
      <c r="K452">
        <v>5</v>
      </c>
      <c r="L452">
        <v>6</v>
      </c>
      <c r="M452">
        <v>8</v>
      </c>
      <c r="N452">
        <v>17</v>
      </c>
      <c r="P452">
        <v>0</v>
      </c>
      <c r="Q452">
        <v>0</v>
      </c>
      <c r="R452">
        <v>0</v>
      </c>
      <c r="S452">
        <v>2</v>
      </c>
    </row>
    <row r="453" spans="1:19" x14ac:dyDescent="0.35">
      <c r="A453">
        <v>6602812614</v>
      </c>
      <c r="B453" t="s">
        <v>831</v>
      </c>
      <c r="C453" t="str">
        <f>_xlfn.XLOOKUP(A453,[1]Affiliations!$J$2:$J$5328,[1]Affiliations!$K$2:$K$5328,0)</f>
        <v>Universidade Estadual de Ponta Grossa</v>
      </c>
      <c r="D453">
        <v>22</v>
      </c>
      <c r="E453">
        <v>573</v>
      </c>
      <c r="F453">
        <v>26.045453999999999</v>
      </c>
      <c r="G453">
        <v>19</v>
      </c>
      <c r="H453">
        <v>1.51</v>
      </c>
      <c r="I453">
        <v>1</v>
      </c>
      <c r="J453">
        <v>8</v>
      </c>
      <c r="K453">
        <v>9</v>
      </c>
      <c r="L453">
        <v>12</v>
      </c>
      <c r="M453">
        <v>15</v>
      </c>
      <c r="N453">
        <v>17</v>
      </c>
      <c r="P453">
        <v>1</v>
      </c>
      <c r="Q453">
        <v>2</v>
      </c>
      <c r="R453">
        <v>6</v>
      </c>
      <c r="S453">
        <v>9</v>
      </c>
    </row>
    <row r="454" spans="1:19" x14ac:dyDescent="0.35">
      <c r="A454">
        <v>56436328100</v>
      </c>
      <c r="B454" t="s">
        <v>1804</v>
      </c>
      <c r="C454" t="str">
        <f>_xlfn.XLOOKUP(A454,[1]Affiliations!$J$2:$J$5328,[1]Affiliations!$K$2:$K$5328,0)</f>
        <v>Universidade Federal do Rio Grande do Sul</v>
      </c>
      <c r="D454">
        <v>21</v>
      </c>
      <c r="E454">
        <v>536</v>
      </c>
      <c r="F454">
        <v>25.523810000000001</v>
      </c>
      <c r="G454">
        <v>15</v>
      </c>
      <c r="H454">
        <v>1.51</v>
      </c>
      <c r="I454">
        <v>0</v>
      </c>
      <c r="J454">
        <v>2</v>
      </c>
      <c r="K454">
        <v>6</v>
      </c>
      <c r="L454">
        <v>15</v>
      </c>
      <c r="M454">
        <v>20</v>
      </c>
      <c r="N454">
        <v>21</v>
      </c>
      <c r="P454">
        <v>0</v>
      </c>
      <c r="Q454">
        <v>3</v>
      </c>
      <c r="R454">
        <v>7</v>
      </c>
      <c r="S454">
        <v>16</v>
      </c>
    </row>
    <row r="455" spans="1:19" hidden="1" x14ac:dyDescent="0.35">
      <c r="A455">
        <v>57678828000</v>
      </c>
      <c r="B455" t="s">
        <v>467</v>
      </c>
      <c r="C455" t="str">
        <f>_xlfn.XLOOKUP(A455,[1]Affiliations!$J$2:$J$5328,[1]Affiliations!$K$2:$K$5328,0)</f>
        <v>Grupo de Estudos de Mamíferos Aquáticos Do RS (GEMARS)</v>
      </c>
      <c r="D455">
        <v>3</v>
      </c>
      <c r="E455">
        <v>9</v>
      </c>
      <c r="F455">
        <v>3</v>
      </c>
      <c r="G455">
        <v>2</v>
      </c>
      <c r="H455">
        <v>0.5</v>
      </c>
      <c r="I455">
        <v>0</v>
      </c>
      <c r="J455">
        <v>1</v>
      </c>
      <c r="K455">
        <v>1</v>
      </c>
      <c r="L455">
        <v>1</v>
      </c>
      <c r="M455">
        <v>1</v>
      </c>
      <c r="N455">
        <v>3</v>
      </c>
      <c r="P455">
        <v>0</v>
      </c>
      <c r="Q455">
        <v>0</v>
      </c>
      <c r="R455">
        <v>0</v>
      </c>
      <c r="S455">
        <v>0</v>
      </c>
    </row>
    <row r="456" spans="1:19" x14ac:dyDescent="0.35">
      <c r="A456">
        <v>35326519000</v>
      </c>
      <c r="B456" t="s">
        <v>1912</v>
      </c>
      <c r="C456" t="str">
        <f>_xlfn.XLOOKUP(A456,[1]Affiliations!$J$2:$J$5328,[1]Affiliations!$K$2:$K$5328,0)</f>
        <v>Federal University of Rio de Janeiro</v>
      </c>
      <c r="D456">
        <v>40</v>
      </c>
      <c r="E456">
        <v>683</v>
      </c>
      <c r="F456">
        <v>17.074999999999999</v>
      </c>
      <c r="G456">
        <v>20</v>
      </c>
      <c r="H456">
        <v>1.51</v>
      </c>
      <c r="I456">
        <v>0</v>
      </c>
      <c r="J456">
        <v>3</v>
      </c>
      <c r="K456">
        <v>22</v>
      </c>
      <c r="L456">
        <v>28</v>
      </c>
      <c r="M456">
        <v>35</v>
      </c>
      <c r="N456">
        <v>38</v>
      </c>
      <c r="P456">
        <v>0</v>
      </c>
      <c r="Q456">
        <v>2</v>
      </c>
      <c r="R456">
        <v>3</v>
      </c>
      <c r="S456">
        <v>16</v>
      </c>
    </row>
    <row r="457" spans="1:19" x14ac:dyDescent="0.35">
      <c r="A457">
        <v>57194602442</v>
      </c>
      <c r="B457" t="s">
        <v>3025</v>
      </c>
      <c r="C457" t="str">
        <f>_xlfn.XLOOKUP(A457,[1]Affiliations!$J$2:$J$5328,[1]Affiliations!$K$2:$K$5328,0)</f>
        <v>Universidade Federal do Rio Grande do Norte</v>
      </c>
      <c r="D457">
        <v>12</v>
      </c>
      <c r="E457">
        <v>166</v>
      </c>
      <c r="F457">
        <v>13.833333</v>
      </c>
      <c r="G457">
        <v>8</v>
      </c>
      <c r="H457">
        <v>1.51</v>
      </c>
      <c r="I457">
        <v>0</v>
      </c>
      <c r="J457">
        <v>1</v>
      </c>
      <c r="K457">
        <v>3</v>
      </c>
      <c r="L457">
        <v>8</v>
      </c>
      <c r="M457">
        <v>10</v>
      </c>
      <c r="N457">
        <v>12</v>
      </c>
      <c r="P457">
        <v>0</v>
      </c>
      <c r="Q457">
        <v>0</v>
      </c>
      <c r="R457">
        <v>1</v>
      </c>
      <c r="S457">
        <v>5</v>
      </c>
    </row>
    <row r="458" spans="1:19" x14ac:dyDescent="0.35">
      <c r="A458">
        <v>51864525000</v>
      </c>
      <c r="B458" t="s">
        <v>4444</v>
      </c>
      <c r="C458" t="str">
        <f>_xlfn.XLOOKUP(A458,[1]Affiliations!$J$2:$J$5328,[1]Affiliations!$K$2:$K$5328,0)</f>
        <v>Universidade Federal de Viçosa</v>
      </c>
      <c r="D458">
        <v>33</v>
      </c>
      <c r="E458">
        <v>730</v>
      </c>
      <c r="F458">
        <v>22.121212</v>
      </c>
      <c r="G458">
        <v>17</v>
      </c>
      <c r="H458">
        <v>1.51</v>
      </c>
      <c r="I458">
        <v>0</v>
      </c>
      <c r="J458">
        <v>3</v>
      </c>
      <c r="K458">
        <v>6</v>
      </c>
      <c r="L458">
        <v>19</v>
      </c>
      <c r="M458">
        <v>30</v>
      </c>
      <c r="N458">
        <v>33</v>
      </c>
      <c r="P458">
        <v>1</v>
      </c>
      <c r="Q458">
        <v>4</v>
      </c>
      <c r="R458">
        <v>4</v>
      </c>
      <c r="S458">
        <v>13</v>
      </c>
    </row>
    <row r="459" spans="1:19" x14ac:dyDescent="0.35">
      <c r="A459">
        <v>57190289089</v>
      </c>
      <c r="B459" t="s">
        <v>1212</v>
      </c>
      <c r="C459" t="str">
        <f>_xlfn.XLOOKUP(A459,[1]Affiliations!$J$2:$J$5328,[1]Affiliations!$K$2:$K$5328,0)</f>
        <v>Universidade Veiga de Almeida (+1 more)</v>
      </c>
      <c r="D459">
        <v>48</v>
      </c>
      <c r="E459">
        <v>1560</v>
      </c>
      <c r="F459">
        <v>32.5</v>
      </c>
      <c r="G459">
        <v>17</v>
      </c>
      <c r="H459">
        <v>1.5</v>
      </c>
      <c r="I459">
        <v>0</v>
      </c>
      <c r="J459">
        <v>6</v>
      </c>
      <c r="K459">
        <v>8</v>
      </c>
      <c r="L459">
        <v>16</v>
      </c>
      <c r="M459">
        <v>30</v>
      </c>
      <c r="N459">
        <v>38</v>
      </c>
      <c r="P459">
        <v>2</v>
      </c>
      <c r="Q459">
        <v>4</v>
      </c>
      <c r="R459">
        <v>6</v>
      </c>
      <c r="S459">
        <v>13</v>
      </c>
    </row>
    <row r="460" spans="1:19" hidden="1" x14ac:dyDescent="0.35">
      <c r="A460">
        <v>57210315357</v>
      </c>
      <c r="B460" t="s">
        <v>472</v>
      </c>
      <c r="C460" t="str">
        <f>_xlfn.XLOOKUP(A460,[1]Affiliations!$J$2:$J$5328,[1]Affiliations!$K$2:$K$5328,0)</f>
        <v>Ergostech Renewable Energy Solutions</v>
      </c>
      <c r="D460">
        <v>2</v>
      </c>
      <c r="E460">
        <v>74</v>
      </c>
      <c r="F460">
        <v>37</v>
      </c>
      <c r="G460">
        <v>2</v>
      </c>
      <c r="H460">
        <v>0.87</v>
      </c>
      <c r="I460">
        <v>0</v>
      </c>
      <c r="J460">
        <v>0</v>
      </c>
      <c r="K460">
        <v>0</v>
      </c>
      <c r="L460">
        <v>1</v>
      </c>
      <c r="M460">
        <v>2</v>
      </c>
      <c r="N460">
        <v>2</v>
      </c>
      <c r="P460">
        <v>0</v>
      </c>
      <c r="Q460">
        <v>0</v>
      </c>
      <c r="R460">
        <v>1</v>
      </c>
      <c r="S460">
        <v>1</v>
      </c>
    </row>
    <row r="461" spans="1:19" hidden="1" x14ac:dyDescent="0.35">
      <c r="A461">
        <v>59391919900</v>
      </c>
      <c r="B461" t="s">
        <v>473</v>
      </c>
      <c r="C461" t="str">
        <f>_xlfn.XLOOKUP(A461,[1]Affiliations!$J$2:$J$5328,[1]Affiliations!$K$2:$K$5328,0)</f>
        <v>Pontifícia Universidade Católica do Rio Grande do Sul</v>
      </c>
      <c r="D461">
        <v>0</v>
      </c>
      <c r="G461">
        <v>1</v>
      </c>
    </row>
    <row r="462" spans="1:19" hidden="1" x14ac:dyDescent="0.35">
      <c r="A462">
        <v>57214777366</v>
      </c>
      <c r="B462" t="s">
        <v>474</v>
      </c>
      <c r="C462" t="str">
        <f>_xlfn.XLOOKUP(A462,[1]Affiliations!$J$2:$J$5328,[1]Affiliations!$K$2:$K$5328,0)</f>
        <v>Federal University of Rio de Janeiro</v>
      </c>
      <c r="D462">
        <v>1</v>
      </c>
      <c r="E462">
        <v>15</v>
      </c>
      <c r="F462">
        <v>15</v>
      </c>
      <c r="G462">
        <v>2</v>
      </c>
      <c r="H462">
        <v>0.44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P462">
        <v>0</v>
      </c>
      <c r="Q462">
        <v>0</v>
      </c>
      <c r="R462">
        <v>0</v>
      </c>
      <c r="S462">
        <v>0</v>
      </c>
    </row>
    <row r="463" spans="1:19" x14ac:dyDescent="0.35">
      <c r="A463">
        <v>57118090400</v>
      </c>
      <c r="B463" t="s">
        <v>2367</v>
      </c>
      <c r="C463" t="str">
        <f>_xlfn.XLOOKUP(A463,[1]Affiliations!$J$2:$J$5328,[1]Affiliations!$K$2:$K$5328,0)</f>
        <v>Geological Survey of Brazil</v>
      </c>
      <c r="D463">
        <v>26</v>
      </c>
      <c r="E463">
        <v>892</v>
      </c>
      <c r="F463">
        <v>34.307693</v>
      </c>
      <c r="G463">
        <v>20</v>
      </c>
      <c r="H463">
        <v>1.5</v>
      </c>
      <c r="I463">
        <v>3</v>
      </c>
      <c r="J463">
        <v>10</v>
      </c>
      <c r="K463">
        <v>16</v>
      </c>
      <c r="L463">
        <v>21</v>
      </c>
      <c r="M463">
        <v>26</v>
      </c>
      <c r="N463">
        <v>26</v>
      </c>
      <c r="P463">
        <v>0</v>
      </c>
      <c r="Q463">
        <v>4</v>
      </c>
      <c r="R463">
        <v>9</v>
      </c>
      <c r="S463">
        <v>17</v>
      </c>
    </row>
    <row r="464" spans="1:19" hidden="1" x14ac:dyDescent="0.35">
      <c r="A464">
        <v>57279495400</v>
      </c>
      <c r="B464" t="s">
        <v>476</v>
      </c>
      <c r="C464" t="str">
        <f>_xlfn.XLOOKUP(A464,[1]Affiliations!$J$2:$J$5328,[1]Affiliations!$K$2:$K$5328,0)</f>
        <v>Universidade de Brasília</v>
      </c>
      <c r="D464">
        <v>4</v>
      </c>
      <c r="E464">
        <v>33</v>
      </c>
      <c r="F464">
        <v>8.25</v>
      </c>
      <c r="G464">
        <v>3</v>
      </c>
      <c r="H464">
        <v>0.86</v>
      </c>
      <c r="I464">
        <v>0</v>
      </c>
      <c r="J464">
        <v>0</v>
      </c>
      <c r="K464">
        <v>0</v>
      </c>
      <c r="L464">
        <v>3</v>
      </c>
      <c r="M464">
        <v>4</v>
      </c>
      <c r="N464">
        <v>4</v>
      </c>
      <c r="P464">
        <v>0</v>
      </c>
      <c r="Q464">
        <v>0</v>
      </c>
      <c r="R464">
        <v>0</v>
      </c>
      <c r="S464">
        <v>1</v>
      </c>
    </row>
    <row r="465" spans="1:19" x14ac:dyDescent="0.35">
      <c r="A465">
        <v>57202707200</v>
      </c>
      <c r="B465" t="s">
        <v>4530</v>
      </c>
      <c r="C465" t="str">
        <f>_xlfn.XLOOKUP(A465,[1]Affiliations!$J$2:$J$5328,[1]Affiliations!$K$2:$K$5328,0)</f>
        <v>Universidade do Estado do Rio de Janeiro (+3 more)</v>
      </c>
      <c r="D465">
        <v>17</v>
      </c>
      <c r="E465">
        <v>363</v>
      </c>
      <c r="F465">
        <v>21.352941999999999</v>
      </c>
      <c r="G465">
        <v>10</v>
      </c>
      <c r="H465">
        <v>1.5</v>
      </c>
      <c r="I465">
        <v>0</v>
      </c>
      <c r="J465">
        <v>5</v>
      </c>
      <c r="K465">
        <v>7</v>
      </c>
      <c r="L465">
        <v>11</v>
      </c>
      <c r="M465">
        <v>16</v>
      </c>
      <c r="N465">
        <v>17</v>
      </c>
      <c r="P465">
        <v>0</v>
      </c>
      <c r="Q465">
        <v>2</v>
      </c>
      <c r="R465">
        <v>7</v>
      </c>
      <c r="S465">
        <v>10</v>
      </c>
    </row>
    <row r="466" spans="1:19" x14ac:dyDescent="0.35">
      <c r="A466">
        <v>57214748344</v>
      </c>
      <c r="B466" t="s">
        <v>108</v>
      </c>
      <c r="C466" t="str">
        <f>_xlfn.XLOOKUP(A466,[1]Affiliations!$J$2:$J$5328,[1]Affiliations!$K$2:$K$5328,0)</f>
        <v>Universidade de São Paulo</v>
      </c>
      <c r="D466">
        <v>44</v>
      </c>
      <c r="E466">
        <v>1115</v>
      </c>
      <c r="F466">
        <v>25.340910000000001</v>
      </c>
      <c r="G466">
        <v>26</v>
      </c>
      <c r="H466">
        <v>1.49</v>
      </c>
      <c r="I466">
        <v>2</v>
      </c>
      <c r="J466">
        <v>16</v>
      </c>
      <c r="K466">
        <v>26</v>
      </c>
      <c r="L466">
        <v>36</v>
      </c>
      <c r="M466">
        <v>42</v>
      </c>
      <c r="N466">
        <v>43</v>
      </c>
      <c r="P466">
        <v>0</v>
      </c>
      <c r="Q466">
        <v>4</v>
      </c>
      <c r="R466">
        <v>7</v>
      </c>
      <c r="S466">
        <v>23</v>
      </c>
    </row>
    <row r="467" spans="1:19" x14ac:dyDescent="0.35">
      <c r="A467">
        <v>57385944300</v>
      </c>
      <c r="B467" t="s">
        <v>714</v>
      </c>
      <c r="C467" t="str">
        <f>_xlfn.XLOOKUP(A467,[1]Affiliations!$J$2:$J$5328,[1]Affiliations!$K$2:$K$5328,0)</f>
        <v>Universidade Federal de Minas Gerais</v>
      </c>
      <c r="D467">
        <v>13</v>
      </c>
      <c r="E467">
        <v>132</v>
      </c>
      <c r="F467">
        <v>10.153846</v>
      </c>
      <c r="G467">
        <v>7</v>
      </c>
      <c r="H467">
        <v>1.49</v>
      </c>
      <c r="I467">
        <v>1</v>
      </c>
      <c r="J467">
        <v>2</v>
      </c>
      <c r="K467">
        <v>4</v>
      </c>
      <c r="L467">
        <v>7</v>
      </c>
      <c r="M467">
        <v>11</v>
      </c>
      <c r="N467">
        <v>11</v>
      </c>
      <c r="P467">
        <v>0</v>
      </c>
      <c r="Q467">
        <v>2</v>
      </c>
      <c r="R467">
        <v>4</v>
      </c>
      <c r="S467">
        <v>7</v>
      </c>
    </row>
    <row r="468" spans="1:19" hidden="1" x14ac:dyDescent="0.35">
      <c r="A468">
        <v>35770268100</v>
      </c>
      <c r="B468" t="s">
        <v>480</v>
      </c>
      <c r="C468" t="str">
        <f>_xlfn.XLOOKUP(A468,[1]Affiliations!$J$2:$J$5328,[1]Affiliations!$K$2:$K$5328,0)</f>
        <v>Universidade Federal de Uberlândia</v>
      </c>
      <c r="D468">
        <v>3</v>
      </c>
      <c r="E468">
        <v>1</v>
      </c>
      <c r="F468">
        <v>0.33333333999999998</v>
      </c>
      <c r="G468">
        <v>2</v>
      </c>
      <c r="H468">
        <v>0</v>
      </c>
      <c r="I468">
        <v>0</v>
      </c>
      <c r="J468">
        <v>0</v>
      </c>
      <c r="K468">
        <v>1</v>
      </c>
      <c r="L468">
        <v>1</v>
      </c>
      <c r="M468">
        <v>2</v>
      </c>
      <c r="N468">
        <v>2</v>
      </c>
      <c r="P468">
        <v>0</v>
      </c>
      <c r="Q468">
        <v>0</v>
      </c>
      <c r="R468">
        <v>0</v>
      </c>
      <c r="S468">
        <v>0</v>
      </c>
    </row>
    <row r="469" spans="1:19" hidden="1" x14ac:dyDescent="0.35">
      <c r="A469">
        <v>14831183400</v>
      </c>
      <c r="B469" t="s">
        <v>481</v>
      </c>
      <c r="C469" t="str">
        <f>_xlfn.XLOOKUP(A469,[1]Affiliations!$J$2:$J$5328,[1]Affiliations!$K$2:$K$5328,0)</f>
        <v>Universidade Federal Fluminense</v>
      </c>
      <c r="D469">
        <v>4</v>
      </c>
      <c r="E469">
        <v>23</v>
      </c>
      <c r="F469">
        <v>5.75</v>
      </c>
      <c r="G469">
        <v>6</v>
      </c>
      <c r="H469">
        <v>0.52</v>
      </c>
      <c r="I469">
        <v>0</v>
      </c>
      <c r="J469">
        <v>0</v>
      </c>
      <c r="K469">
        <v>1</v>
      </c>
      <c r="L469">
        <v>1</v>
      </c>
      <c r="M469">
        <v>1</v>
      </c>
      <c r="N469">
        <v>1</v>
      </c>
      <c r="P469">
        <v>0</v>
      </c>
      <c r="Q469">
        <v>0</v>
      </c>
      <c r="R469">
        <v>0</v>
      </c>
      <c r="S469">
        <v>1</v>
      </c>
    </row>
    <row r="470" spans="1:19" x14ac:dyDescent="0.35">
      <c r="A470">
        <v>57218442814</v>
      </c>
      <c r="B470" t="s">
        <v>1270</v>
      </c>
      <c r="C470" t="str">
        <f>_xlfn.XLOOKUP(A470,[1]Affiliations!$J$2:$J$5328,[1]Affiliations!$K$2:$K$5328,0)</f>
        <v>Production Engineering Department</v>
      </c>
      <c r="D470">
        <v>24</v>
      </c>
      <c r="E470">
        <v>262</v>
      </c>
      <c r="F470">
        <v>10.916667</v>
      </c>
      <c r="G470">
        <v>9</v>
      </c>
      <c r="H470">
        <v>1.49</v>
      </c>
      <c r="I470">
        <v>0</v>
      </c>
      <c r="J470">
        <v>1</v>
      </c>
      <c r="K470">
        <v>2</v>
      </c>
      <c r="L470">
        <v>6</v>
      </c>
      <c r="M470">
        <v>10</v>
      </c>
      <c r="N470">
        <v>12</v>
      </c>
      <c r="P470">
        <v>0</v>
      </c>
      <c r="Q470">
        <v>1</v>
      </c>
      <c r="R470">
        <v>1</v>
      </c>
      <c r="S470">
        <v>6</v>
      </c>
    </row>
    <row r="471" spans="1:19" hidden="1" x14ac:dyDescent="0.35">
      <c r="A471">
        <v>56538656300</v>
      </c>
      <c r="B471" t="s">
        <v>483</v>
      </c>
      <c r="C471" t="str">
        <f>_xlfn.XLOOKUP(A471,[1]Affiliations!$J$2:$J$5328,[1]Affiliations!$K$2:$K$5328,0)</f>
        <v>Universidade Federal do Rio Grande do Sul</v>
      </c>
      <c r="D471">
        <v>4</v>
      </c>
      <c r="E471">
        <v>79</v>
      </c>
      <c r="F471">
        <v>19.75</v>
      </c>
      <c r="G471">
        <v>2</v>
      </c>
      <c r="H471">
        <v>0.71</v>
      </c>
      <c r="I471">
        <v>0</v>
      </c>
      <c r="J471">
        <v>1</v>
      </c>
      <c r="K471">
        <v>1</v>
      </c>
      <c r="L471">
        <v>2</v>
      </c>
      <c r="M471">
        <v>2</v>
      </c>
      <c r="N471">
        <v>4</v>
      </c>
      <c r="P471">
        <v>0</v>
      </c>
      <c r="Q471">
        <v>0</v>
      </c>
      <c r="R471">
        <v>1</v>
      </c>
      <c r="S471">
        <v>1</v>
      </c>
    </row>
    <row r="472" spans="1:19" hidden="1" x14ac:dyDescent="0.35">
      <c r="A472">
        <v>36915095500</v>
      </c>
      <c r="B472" t="s">
        <v>484</v>
      </c>
      <c r="C472" t="str">
        <f>_xlfn.XLOOKUP(A472,[1]Affiliations!$J$2:$J$5328,[1]Affiliations!$K$2:$K$5328,0)</f>
        <v>Universidade Federal do Rio Grande do Sul (+3 more)</v>
      </c>
      <c r="D472">
        <v>11</v>
      </c>
      <c r="E472">
        <v>25</v>
      </c>
      <c r="F472">
        <v>2.2727273000000001</v>
      </c>
      <c r="G472">
        <v>7</v>
      </c>
      <c r="H472">
        <v>0.63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8</v>
      </c>
      <c r="P472">
        <v>0</v>
      </c>
      <c r="Q472">
        <v>0</v>
      </c>
      <c r="R472">
        <v>0</v>
      </c>
      <c r="S472">
        <v>0</v>
      </c>
    </row>
    <row r="473" spans="1:19" hidden="1" x14ac:dyDescent="0.35">
      <c r="A473">
        <v>55977513200</v>
      </c>
      <c r="B473" t="s">
        <v>485</v>
      </c>
      <c r="C473" t="str">
        <f>_xlfn.XLOOKUP(A473,[1]Affiliations!$J$2:$J$5328,[1]Affiliations!$K$2:$K$5328,0)</f>
        <v>Universidade Federal de Pernambuco</v>
      </c>
      <c r="D473">
        <v>10</v>
      </c>
      <c r="E473">
        <v>84</v>
      </c>
      <c r="F473">
        <v>8.4</v>
      </c>
      <c r="G473">
        <v>6</v>
      </c>
      <c r="H473">
        <v>1.42</v>
      </c>
      <c r="I473">
        <v>0</v>
      </c>
      <c r="J473">
        <v>0</v>
      </c>
      <c r="K473">
        <v>1</v>
      </c>
      <c r="L473">
        <v>4</v>
      </c>
      <c r="M473">
        <v>4</v>
      </c>
      <c r="N473">
        <v>5</v>
      </c>
      <c r="P473">
        <v>0</v>
      </c>
      <c r="Q473">
        <v>0</v>
      </c>
      <c r="R473">
        <v>0</v>
      </c>
      <c r="S473">
        <v>3</v>
      </c>
    </row>
    <row r="474" spans="1:19" hidden="1" x14ac:dyDescent="0.35">
      <c r="A474">
        <v>57218616514</v>
      </c>
      <c r="B474" t="s">
        <v>486</v>
      </c>
      <c r="C474" t="str">
        <f>_xlfn.XLOOKUP(A474,[1]Affiliations!$J$2:$J$5328,[1]Affiliations!$K$2:$K$5328,0)</f>
        <v>Universidade Federal do Rio Grande do Norte</v>
      </c>
      <c r="D474">
        <v>1</v>
      </c>
      <c r="E474">
        <v>19</v>
      </c>
      <c r="F474">
        <v>19</v>
      </c>
      <c r="G474">
        <v>1</v>
      </c>
      <c r="H474">
        <v>0.91</v>
      </c>
      <c r="I474">
        <v>0</v>
      </c>
      <c r="J474">
        <v>0</v>
      </c>
      <c r="K474">
        <v>1</v>
      </c>
      <c r="L474">
        <v>1</v>
      </c>
      <c r="M474">
        <v>1</v>
      </c>
      <c r="N474">
        <v>1</v>
      </c>
      <c r="P474">
        <v>0</v>
      </c>
      <c r="Q474">
        <v>0</v>
      </c>
      <c r="R474">
        <v>0</v>
      </c>
      <c r="S474">
        <v>1</v>
      </c>
    </row>
    <row r="475" spans="1:19" x14ac:dyDescent="0.35">
      <c r="A475">
        <v>57190189030</v>
      </c>
      <c r="B475" t="s">
        <v>1523</v>
      </c>
      <c r="C475" t="str">
        <f>_xlfn.XLOOKUP(A475,[1]Affiliations!$J$2:$J$5328,[1]Affiliations!$K$2:$K$5328,0)</f>
        <v>Universidade Federal de Minas Gerais</v>
      </c>
      <c r="D475">
        <v>38</v>
      </c>
      <c r="E475">
        <v>755</v>
      </c>
      <c r="F475">
        <v>19.868421999999999</v>
      </c>
      <c r="G475">
        <v>18</v>
      </c>
      <c r="H475">
        <v>1.49</v>
      </c>
      <c r="I475">
        <v>1</v>
      </c>
      <c r="J475">
        <v>2</v>
      </c>
      <c r="K475">
        <v>6</v>
      </c>
      <c r="L475">
        <v>18</v>
      </c>
      <c r="M475">
        <v>25</v>
      </c>
      <c r="N475">
        <v>30</v>
      </c>
      <c r="P475">
        <v>1</v>
      </c>
      <c r="Q475">
        <v>4</v>
      </c>
      <c r="R475">
        <v>12</v>
      </c>
      <c r="S475">
        <v>22</v>
      </c>
    </row>
    <row r="476" spans="1:19" hidden="1" x14ac:dyDescent="0.35">
      <c r="A476">
        <v>55178635100</v>
      </c>
      <c r="B476" t="s">
        <v>488</v>
      </c>
      <c r="C476" t="str">
        <f>_xlfn.XLOOKUP(A476,[1]Affiliations!$J$2:$J$5328,[1]Affiliations!$K$2:$K$5328,0)</f>
        <v>TECNENGE (+1 more)</v>
      </c>
      <c r="D476">
        <v>1</v>
      </c>
      <c r="E476">
        <v>0</v>
      </c>
      <c r="F476">
        <v>0</v>
      </c>
      <c r="G476">
        <v>0</v>
      </c>
      <c r="H476">
        <v>0</v>
      </c>
      <c r="P476">
        <v>0</v>
      </c>
      <c r="Q476">
        <v>0</v>
      </c>
      <c r="R476">
        <v>0</v>
      </c>
      <c r="S476">
        <v>0</v>
      </c>
    </row>
    <row r="477" spans="1:19" hidden="1" x14ac:dyDescent="0.35">
      <c r="A477">
        <v>23026963200</v>
      </c>
      <c r="B477" t="s">
        <v>489</v>
      </c>
      <c r="C477" t="str">
        <f>_xlfn.XLOOKUP(A477,[1]Affiliations!$J$2:$J$5328,[1]Affiliations!$K$2:$K$5328,0)</f>
        <v>Universidade do Estado de Santa Catarina</v>
      </c>
      <c r="D477">
        <v>2</v>
      </c>
      <c r="E477">
        <v>2</v>
      </c>
      <c r="F477">
        <v>1</v>
      </c>
      <c r="G477">
        <v>1</v>
      </c>
      <c r="H477">
        <v>0.2</v>
      </c>
      <c r="I477">
        <v>0</v>
      </c>
      <c r="J477">
        <v>2</v>
      </c>
      <c r="K477">
        <v>2</v>
      </c>
      <c r="L477">
        <v>2</v>
      </c>
      <c r="M477">
        <v>2</v>
      </c>
      <c r="N477">
        <v>2</v>
      </c>
      <c r="P477">
        <v>0</v>
      </c>
      <c r="Q477">
        <v>0</v>
      </c>
      <c r="R477">
        <v>0</v>
      </c>
      <c r="S477">
        <v>0</v>
      </c>
    </row>
    <row r="478" spans="1:19" x14ac:dyDescent="0.35">
      <c r="A478">
        <v>36185030200</v>
      </c>
      <c r="B478" t="s">
        <v>2031</v>
      </c>
      <c r="C478" t="str">
        <f>_xlfn.XLOOKUP(A478,[1]Affiliations!$J$2:$J$5328,[1]Affiliations!$K$2:$K$5328,0)</f>
        <v>Pontifical Catholic University of Rio de Janeiro</v>
      </c>
      <c r="D478">
        <v>18</v>
      </c>
      <c r="E478">
        <v>125</v>
      </c>
      <c r="F478">
        <v>6.9444447</v>
      </c>
      <c r="G478">
        <v>7</v>
      </c>
      <c r="H478">
        <v>1.49</v>
      </c>
      <c r="I478">
        <v>0</v>
      </c>
      <c r="J478">
        <v>0</v>
      </c>
      <c r="K478">
        <v>1</v>
      </c>
      <c r="L478">
        <v>2</v>
      </c>
      <c r="M478">
        <v>2</v>
      </c>
      <c r="N478">
        <v>5</v>
      </c>
      <c r="P478">
        <v>0</v>
      </c>
      <c r="Q478">
        <v>0</v>
      </c>
      <c r="R478">
        <v>1</v>
      </c>
      <c r="S478">
        <v>5</v>
      </c>
    </row>
    <row r="479" spans="1:19" x14ac:dyDescent="0.35">
      <c r="A479">
        <v>6701889091</v>
      </c>
      <c r="B479" t="s">
        <v>4093</v>
      </c>
      <c r="C479" t="str">
        <f>_xlfn.XLOOKUP(A479,[1]Affiliations!$J$2:$J$5328,[1]Affiliations!$K$2:$K$5328,0)</f>
        <v>Instituto Tecnológico da Aeronáutica</v>
      </c>
      <c r="D479">
        <v>55</v>
      </c>
      <c r="E479">
        <v>801</v>
      </c>
      <c r="F479">
        <v>14.563637</v>
      </c>
      <c r="G479">
        <v>22</v>
      </c>
      <c r="H479">
        <v>1.49</v>
      </c>
      <c r="I479">
        <v>3</v>
      </c>
      <c r="J479">
        <v>12</v>
      </c>
      <c r="K479">
        <v>15</v>
      </c>
      <c r="L479">
        <v>20</v>
      </c>
      <c r="M479">
        <v>25</v>
      </c>
      <c r="N479">
        <v>29</v>
      </c>
      <c r="P479">
        <v>1</v>
      </c>
      <c r="Q479">
        <v>2</v>
      </c>
      <c r="R479">
        <v>4</v>
      </c>
      <c r="S479">
        <v>12</v>
      </c>
    </row>
    <row r="480" spans="1:19" hidden="1" x14ac:dyDescent="0.35">
      <c r="A480">
        <v>59205014800</v>
      </c>
      <c r="B480" t="s">
        <v>492</v>
      </c>
      <c r="C480" t="str">
        <f>_xlfn.XLOOKUP(A480,[1]Affiliations!$J$2:$J$5328,[1]Affiliations!$K$2:$K$5328,0)</f>
        <v>Pontifical Catholic University of Rio de Janeiro</v>
      </c>
      <c r="D480">
        <v>1</v>
      </c>
      <c r="E480">
        <v>0</v>
      </c>
      <c r="F480">
        <v>0</v>
      </c>
      <c r="G480">
        <v>0</v>
      </c>
      <c r="H480">
        <v>0</v>
      </c>
      <c r="P480">
        <v>0</v>
      </c>
      <c r="Q480">
        <v>0</v>
      </c>
      <c r="R480">
        <v>0</v>
      </c>
      <c r="S480">
        <v>0</v>
      </c>
    </row>
    <row r="481" spans="1:19" hidden="1" x14ac:dyDescent="0.35">
      <c r="A481">
        <v>57195286432</v>
      </c>
      <c r="B481" t="s">
        <v>493</v>
      </c>
      <c r="C481" t="str">
        <f>_xlfn.XLOOKUP(A481,[1]Affiliations!$J$2:$J$5328,[1]Affiliations!$K$2:$K$5328,0)</f>
        <v>Universidade Federal do Espírito Santo (+1 more)</v>
      </c>
      <c r="D481">
        <v>6</v>
      </c>
      <c r="E481">
        <v>32</v>
      </c>
      <c r="F481">
        <v>5.3333335000000002</v>
      </c>
      <c r="G481">
        <v>4</v>
      </c>
      <c r="H481">
        <v>0.82</v>
      </c>
      <c r="I481">
        <v>0</v>
      </c>
      <c r="J481">
        <v>0</v>
      </c>
      <c r="K481">
        <v>1</v>
      </c>
      <c r="L481">
        <v>2</v>
      </c>
      <c r="M481">
        <v>2</v>
      </c>
      <c r="N481">
        <v>2</v>
      </c>
      <c r="P481">
        <v>0</v>
      </c>
      <c r="Q481">
        <v>0</v>
      </c>
      <c r="R481">
        <v>0</v>
      </c>
      <c r="S481">
        <v>1</v>
      </c>
    </row>
    <row r="482" spans="1:19" x14ac:dyDescent="0.35">
      <c r="A482">
        <v>57213800741</v>
      </c>
      <c r="B482" t="s">
        <v>4124</v>
      </c>
      <c r="C482" t="str">
        <f>_xlfn.XLOOKUP(A482,[1]Affiliations!$J$2:$J$5328,[1]Affiliations!$K$2:$K$5328,0)</f>
        <v>Universidade Federal do Espírito Santo</v>
      </c>
      <c r="D482">
        <v>18</v>
      </c>
      <c r="E482">
        <v>558</v>
      </c>
      <c r="F482">
        <v>31</v>
      </c>
      <c r="G482">
        <v>13</v>
      </c>
      <c r="H482">
        <v>1.49</v>
      </c>
      <c r="I482">
        <v>1</v>
      </c>
      <c r="J482">
        <v>3</v>
      </c>
      <c r="K482">
        <v>4</v>
      </c>
      <c r="L482">
        <v>6</v>
      </c>
      <c r="M482">
        <v>7</v>
      </c>
      <c r="N482">
        <v>9</v>
      </c>
      <c r="P482">
        <v>1</v>
      </c>
      <c r="Q482">
        <v>2</v>
      </c>
      <c r="R482">
        <v>2</v>
      </c>
      <c r="S482">
        <v>3</v>
      </c>
    </row>
    <row r="483" spans="1:19" hidden="1" x14ac:dyDescent="0.35">
      <c r="A483">
        <v>59252267100</v>
      </c>
      <c r="B483" t="s">
        <v>495</v>
      </c>
      <c r="C483" t="str">
        <f>_xlfn.XLOOKUP(A483,[1]Affiliations!$J$2:$J$5328,[1]Affiliations!$K$2:$K$5328,0)</f>
        <v>SAIPEM</v>
      </c>
      <c r="D483">
        <v>2</v>
      </c>
      <c r="E483">
        <v>1</v>
      </c>
      <c r="F483">
        <v>0.5</v>
      </c>
      <c r="G483">
        <v>1</v>
      </c>
      <c r="H483">
        <v>0.69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5">
      <c r="A484">
        <v>59224316700</v>
      </c>
      <c r="B484" t="s">
        <v>4827</v>
      </c>
      <c r="C484" t="str">
        <f>_xlfn.XLOOKUP(A484,[1]Affiliations!$J$2:$J$5328,[1]Affiliations!$K$2:$K$5328,0)</f>
        <v>Universidade Federal de Goiás</v>
      </c>
      <c r="D484">
        <v>14</v>
      </c>
      <c r="E484">
        <v>238</v>
      </c>
      <c r="F484">
        <v>17</v>
      </c>
      <c r="G484">
        <v>8</v>
      </c>
      <c r="H484">
        <v>1.49</v>
      </c>
      <c r="I484">
        <v>0</v>
      </c>
      <c r="J484">
        <v>1</v>
      </c>
      <c r="K484">
        <v>2</v>
      </c>
      <c r="L484">
        <v>9</v>
      </c>
      <c r="M484">
        <v>10</v>
      </c>
      <c r="N484">
        <v>10</v>
      </c>
      <c r="P484">
        <v>0</v>
      </c>
      <c r="Q484">
        <v>2</v>
      </c>
      <c r="R484">
        <v>2</v>
      </c>
      <c r="S484">
        <v>7</v>
      </c>
    </row>
    <row r="485" spans="1:19" x14ac:dyDescent="0.35">
      <c r="A485">
        <v>55793866500</v>
      </c>
      <c r="B485" t="s">
        <v>1617</v>
      </c>
      <c r="C485" t="str">
        <f>_xlfn.XLOOKUP(A485,[1]Affiliations!$J$2:$J$5328,[1]Affiliations!$K$2:$K$5328,0)</f>
        <v>Universidade Federal de Viçosa</v>
      </c>
      <c r="D485">
        <v>6</v>
      </c>
      <c r="E485">
        <v>110</v>
      </c>
      <c r="F485">
        <v>18.333334000000001</v>
      </c>
      <c r="G485">
        <v>5</v>
      </c>
      <c r="H485">
        <v>1.48</v>
      </c>
      <c r="I485">
        <v>0</v>
      </c>
      <c r="J485">
        <v>1</v>
      </c>
      <c r="K485">
        <v>1</v>
      </c>
      <c r="L485">
        <v>3</v>
      </c>
      <c r="M485">
        <v>4</v>
      </c>
      <c r="N485">
        <v>5</v>
      </c>
      <c r="P485">
        <v>0</v>
      </c>
      <c r="Q485">
        <v>0</v>
      </c>
      <c r="R485">
        <v>1</v>
      </c>
      <c r="S485">
        <v>4</v>
      </c>
    </row>
    <row r="486" spans="1:19" x14ac:dyDescent="0.35">
      <c r="A486">
        <v>55639193400</v>
      </c>
      <c r="B486" t="s">
        <v>4606</v>
      </c>
      <c r="C486" t="str">
        <f>_xlfn.XLOOKUP(A486,[1]Affiliations!$J$2:$J$5328,[1]Affiliations!$K$2:$K$5328,0)</f>
        <v>Universidade Federal de Goiás</v>
      </c>
      <c r="D486">
        <v>23</v>
      </c>
      <c r="E486">
        <v>883</v>
      </c>
      <c r="F486">
        <v>38.391303999999998</v>
      </c>
      <c r="G486">
        <v>14</v>
      </c>
      <c r="H486">
        <v>1.48</v>
      </c>
      <c r="I486">
        <v>1</v>
      </c>
      <c r="J486">
        <v>8</v>
      </c>
      <c r="K486">
        <v>9</v>
      </c>
      <c r="L486">
        <v>15</v>
      </c>
      <c r="M486">
        <v>17</v>
      </c>
      <c r="N486">
        <v>19</v>
      </c>
      <c r="P486">
        <v>0</v>
      </c>
      <c r="Q486">
        <v>6</v>
      </c>
      <c r="R486">
        <v>10</v>
      </c>
      <c r="S486">
        <v>12</v>
      </c>
    </row>
    <row r="487" spans="1:19" x14ac:dyDescent="0.35">
      <c r="A487">
        <v>37051747600</v>
      </c>
      <c r="B487" t="s">
        <v>427</v>
      </c>
      <c r="C487" t="str">
        <f>_xlfn.XLOOKUP(A487,[1]Affiliations!$J$2:$J$5328,[1]Affiliations!$K$2:$K$5328,0)</f>
        <v>Federal University of Rio de Janeiro</v>
      </c>
      <c r="D487">
        <v>84</v>
      </c>
      <c r="E487">
        <v>2161</v>
      </c>
      <c r="F487">
        <v>25.726189999999999</v>
      </c>
      <c r="G487">
        <v>33</v>
      </c>
      <c r="H487">
        <v>1.47</v>
      </c>
      <c r="I487">
        <v>2</v>
      </c>
      <c r="J487">
        <v>12</v>
      </c>
      <c r="K487">
        <v>19</v>
      </c>
      <c r="L487">
        <v>41</v>
      </c>
      <c r="M487">
        <v>58</v>
      </c>
      <c r="N487">
        <v>64</v>
      </c>
      <c r="P487">
        <v>1</v>
      </c>
      <c r="Q487">
        <v>5</v>
      </c>
      <c r="R487">
        <v>14</v>
      </c>
      <c r="S487">
        <v>41</v>
      </c>
    </row>
    <row r="488" spans="1:19" hidden="1" x14ac:dyDescent="0.35">
      <c r="A488">
        <v>58677024100</v>
      </c>
      <c r="B488" t="s">
        <v>500</v>
      </c>
      <c r="C488" t="str">
        <f>_xlfn.XLOOKUP(A488,[1]Affiliations!$J$2:$J$5328,[1]Affiliations!$K$2:$K$5328,0)</f>
        <v>Universidade Federal de Alagoas</v>
      </c>
      <c r="D488">
        <v>2</v>
      </c>
      <c r="E488">
        <v>0</v>
      </c>
      <c r="F488">
        <v>0</v>
      </c>
      <c r="G488">
        <v>0</v>
      </c>
      <c r="H488">
        <v>0</v>
      </c>
      <c r="P488">
        <v>0</v>
      </c>
      <c r="Q488">
        <v>0</v>
      </c>
      <c r="R488">
        <v>0</v>
      </c>
      <c r="S488">
        <v>0</v>
      </c>
    </row>
    <row r="489" spans="1:19" hidden="1" x14ac:dyDescent="0.35">
      <c r="A489">
        <v>57212514111</v>
      </c>
      <c r="B489" t="s">
        <v>501</v>
      </c>
      <c r="C489" t="str">
        <f>_xlfn.XLOOKUP(A489,[1]Affiliations!$J$2:$J$5328,[1]Affiliations!$K$2:$K$5328,0)</f>
        <v>Universidade Federal Fluminense</v>
      </c>
      <c r="D489">
        <v>3</v>
      </c>
      <c r="E489">
        <v>10</v>
      </c>
      <c r="F489">
        <v>3.3333333000000001</v>
      </c>
      <c r="G489">
        <v>2</v>
      </c>
      <c r="H489">
        <v>0.42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5">
      <c r="A490">
        <v>57193568214</v>
      </c>
      <c r="B490" t="s">
        <v>944</v>
      </c>
      <c r="C490" t="str">
        <f>_xlfn.XLOOKUP(A490,[1]Affiliations!$J$2:$J$5328,[1]Affiliations!$K$2:$K$5328,0)</f>
        <v>Universidade Federal do Rio Grande do Sul</v>
      </c>
      <c r="D490">
        <v>16</v>
      </c>
      <c r="E490">
        <v>244</v>
      </c>
      <c r="F490">
        <v>15.25</v>
      </c>
      <c r="G490">
        <v>9</v>
      </c>
      <c r="H490">
        <v>1.47</v>
      </c>
      <c r="I490">
        <v>0</v>
      </c>
      <c r="J490">
        <v>5</v>
      </c>
      <c r="K490">
        <v>6</v>
      </c>
      <c r="L490">
        <v>8</v>
      </c>
      <c r="M490">
        <v>10</v>
      </c>
      <c r="N490">
        <v>10</v>
      </c>
      <c r="P490">
        <v>0</v>
      </c>
      <c r="Q490">
        <v>0</v>
      </c>
      <c r="R490">
        <v>2</v>
      </c>
      <c r="S490">
        <v>7</v>
      </c>
    </row>
    <row r="491" spans="1:19" hidden="1" x14ac:dyDescent="0.35">
      <c r="A491">
        <v>7003593395</v>
      </c>
      <c r="B491" t="s">
        <v>503</v>
      </c>
      <c r="C491" t="str">
        <f>_xlfn.XLOOKUP(A491,[1]Affiliations!$J$2:$J$5328,[1]Affiliations!$K$2:$K$5328,0)</f>
        <v>Petróleo Brasileiro S.A. (+1 more)</v>
      </c>
      <c r="D491">
        <v>7</v>
      </c>
      <c r="E491">
        <v>112</v>
      </c>
      <c r="F491">
        <v>16</v>
      </c>
      <c r="G491">
        <v>23</v>
      </c>
      <c r="H491">
        <v>0.51</v>
      </c>
      <c r="I491">
        <v>1</v>
      </c>
      <c r="J491">
        <v>2</v>
      </c>
      <c r="K491">
        <v>2</v>
      </c>
      <c r="L491">
        <v>3</v>
      </c>
      <c r="M491">
        <v>7</v>
      </c>
      <c r="N491">
        <v>7</v>
      </c>
      <c r="P491">
        <v>0</v>
      </c>
      <c r="Q491">
        <v>0</v>
      </c>
      <c r="R491">
        <v>0</v>
      </c>
      <c r="S491">
        <v>2</v>
      </c>
    </row>
    <row r="492" spans="1:19" hidden="1" x14ac:dyDescent="0.35">
      <c r="A492">
        <v>57386861400</v>
      </c>
      <c r="B492" t="s">
        <v>504</v>
      </c>
      <c r="C492" t="str">
        <f>_xlfn.XLOOKUP(A492,[1]Affiliations!$J$2:$J$5328,[1]Affiliations!$K$2:$K$5328,0)</f>
        <v>Universidade de São Paulo</v>
      </c>
      <c r="D492">
        <v>9</v>
      </c>
      <c r="E492">
        <v>29</v>
      </c>
      <c r="F492">
        <v>3.2222222999999999</v>
      </c>
      <c r="G492">
        <v>4</v>
      </c>
      <c r="H492">
        <v>0.69</v>
      </c>
      <c r="I492">
        <v>0</v>
      </c>
      <c r="J492">
        <v>0</v>
      </c>
      <c r="K492">
        <v>0</v>
      </c>
      <c r="L492">
        <v>2</v>
      </c>
      <c r="M492">
        <v>4</v>
      </c>
      <c r="N492">
        <v>6</v>
      </c>
      <c r="P492">
        <v>0</v>
      </c>
      <c r="Q492">
        <v>0</v>
      </c>
      <c r="R492">
        <v>0</v>
      </c>
      <c r="S492">
        <v>1</v>
      </c>
    </row>
    <row r="493" spans="1:19" hidden="1" x14ac:dyDescent="0.35">
      <c r="A493">
        <v>37021285800</v>
      </c>
      <c r="B493" t="s">
        <v>505</v>
      </c>
      <c r="C493" t="str">
        <f>_xlfn.XLOOKUP(A493,[1]Affiliations!$J$2:$J$5328,[1]Affiliations!$K$2:$K$5328,0)</f>
        <v>Universidade Federal do Rio Grande do Sul</v>
      </c>
      <c r="D493">
        <v>3</v>
      </c>
      <c r="E493">
        <v>6</v>
      </c>
      <c r="F493">
        <v>2</v>
      </c>
      <c r="G493">
        <v>2</v>
      </c>
      <c r="H493">
        <v>0.63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P493">
        <v>0</v>
      </c>
      <c r="Q493">
        <v>0</v>
      </c>
      <c r="R493">
        <v>0</v>
      </c>
      <c r="S493">
        <v>1</v>
      </c>
    </row>
    <row r="494" spans="1:19" hidden="1" x14ac:dyDescent="0.35">
      <c r="A494">
        <v>57212482358</v>
      </c>
      <c r="B494" t="s">
        <v>506</v>
      </c>
      <c r="C494" t="str">
        <f>_xlfn.XLOOKUP(A494,[1]Affiliations!$J$2:$J$5328,[1]Affiliations!$K$2:$K$5328,0)</f>
        <v>Federal University of Rio de Janeiro</v>
      </c>
      <c r="D494">
        <v>7</v>
      </c>
      <c r="E494">
        <v>26</v>
      </c>
      <c r="F494">
        <v>3.7142856000000002</v>
      </c>
      <c r="G494">
        <v>4</v>
      </c>
      <c r="H494">
        <v>0.3</v>
      </c>
      <c r="I494">
        <v>0</v>
      </c>
      <c r="J494">
        <v>1</v>
      </c>
      <c r="K494">
        <v>2</v>
      </c>
      <c r="L494">
        <v>5</v>
      </c>
      <c r="M494">
        <v>6</v>
      </c>
      <c r="N494">
        <v>7</v>
      </c>
      <c r="P494">
        <v>0</v>
      </c>
      <c r="Q494">
        <v>0</v>
      </c>
      <c r="R494">
        <v>0</v>
      </c>
      <c r="S494">
        <v>0</v>
      </c>
    </row>
    <row r="495" spans="1:19" hidden="1" x14ac:dyDescent="0.35">
      <c r="A495">
        <v>57205195208</v>
      </c>
      <c r="B495" t="s">
        <v>507</v>
      </c>
      <c r="C495" t="str">
        <f>_xlfn.XLOOKUP(A495,[1]Affiliations!$J$2:$J$5328,[1]Affiliations!$K$2:$K$5328,0)</f>
        <v>Pontifical Catholic University of Rio de Janeiro</v>
      </c>
      <c r="D495">
        <v>2</v>
      </c>
      <c r="E495">
        <v>24</v>
      </c>
      <c r="F495">
        <v>12</v>
      </c>
      <c r="G495">
        <v>2</v>
      </c>
      <c r="H495">
        <v>0.35</v>
      </c>
      <c r="I495">
        <v>0</v>
      </c>
      <c r="J495">
        <v>0</v>
      </c>
      <c r="K495">
        <v>0</v>
      </c>
      <c r="L495">
        <v>0</v>
      </c>
      <c r="M495">
        <v>2</v>
      </c>
      <c r="N495">
        <v>2</v>
      </c>
      <c r="P495">
        <v>0</v>
      </c>
      <c r="Q495">
        <v>0</v>
      </c>
      <c r="R495">
        <v>0</v>
      </c>
      <c r="S495">
        <v>1</v>
      </c>
    </row>
    <row r="496" spans="1:19" hidden="1" x14ac:dyDescent="0.35">
      <c r="A496">
        <v>56144514500</v>
      </c>
      <c r="B496" t="s">
        <v>508</v>
      </c>
      <c r="C496" t="str">
        <f>_xlfn.XLOOKUP(A496,[1]Affiliations!$J$2:$J$5328,[1]Affiliations!$K$2:$K$5328,0)</f>
        <v>Universidade do Estado do Rio de Janeiro</v>
      </c>
      <c r="D496">
        <v>15</v>
      </c>
      <c r="E496">
        <v>172</v>
      </c>
      <c r="F496">
        <v>11.466666</v>
      </c>
      <c r="G496">
        <v>8</v>
      </c>
      <c r="H496">
        <v>0.66</v>
      </c>
      <c r="I496">
        <v>0</v>
      </c>
      <c r="J496">
        <v>1</v>
      </c>
      <c r="K496">
        <v>3</v>
      </c>
      <c r="L496">
        <v>11</v>
      </c>
      <c r="M496">
        <v>14</v>
      </c>
      <c r="N496">
        <v>14</v>
      </c>
      <c r="P496">
        <v>0</v>
      </c>
      <c r="Q496">
        <v>0</v>
      </c>
      <c r="R496">
        <v>0</v>
      </c>
      <c r="S496">
        <v>3</v>
      </c>
    </row>
    <row r="497" spans="1:19" x14ac:dyDescent="0.35">
      <c r="A497">
        <v>7006769700</v>
      </c>
      <c r="B497" t="s">
        <v>1776</v>
      </c>
      <c r="C497" t="str">
        <f>_xlfn.XLOOKUP(A497,[1]Affiliations!$J$2:$J$5328,[1]Affiliations!$K$2:$K$5328,0)</f>
        <v>Laboratório Nacional de Computação Científica</v>
      </c>
      <c r="D497">
        <v>154</v>
      </c>
      <c r="E497">
        <v>4192</v>
      </c>
      <c r="F497">
        <v>27.220780000000001</v>
      </c>
      <c r="G497">
        <v>49</v>
      </c>
      <c r="H497">
        <v>1.47</v>
      </c>
      <c r="I497">
        <v>5</v>
      </c>
      <c r="J497">
        <v>22</v>
      </c>
      <c r="K497">
        <v>40</v>
      </c>
      <c r="L497">
        <v>90</v>
      </c>
      <c r="M497">
        <v>130</v>
      </c>
      <c r="N497">
        <v>144</v>
      </c>
      <c r="P497">
        <v>4</v>
      </c>
      <c r="Q497">
        <v>14</v>
      </c>
      <c r="R497">
        <v>24</v>
      </c>
      <c r="S497">
        <v>59</v>
      </c>
    </row>
    <row r="498" spans="1:19" x14ac:dyDescent="0.35">
      <c r="A498">
        <v>7004234611</v>
      </c>
      <c r="B498" t="s">
        <v>3148</v>
      </c>
      <c r="C498" t="str">
        <f>_xlfn.XLOOKUP(A498,[1]Affiliations!$J$2:$J$5328,[1]Affiliations!$K$2:$K$5328,0)</f>
        <v>Universidade do Estado do Rio de Janeiro</v>
      </c>
      <c r="D498">
        <v>37</v>
      </c>
      <c r="E498">
        <v>1145</v>
      </c>
      <c r="F498">
        <v>30.945945999999999</v>
      </c>
      <c r="G498">
        <v>27</v>
      </c>
      <c r="H498">
        <v>1.46</v>
      </c>
      <c r="I498">
        <v>2</v>
      </c>
      <c r="J498">
        <v>12</v>
      </c>
      <c r="K498">
        <v>19</v>
      </c>
      <c r="L498">
        <v>33</v>
      </c>
      <c r="M498">
        <v>35</v>
      </c>
      <c r="N498">
        <v>36</v>
      </c>
      <c r="P498">
        <v>1</v>
      </c>
      <c r="Q498">
        <v>3</v>
      </c>
      <c r="R498">
        <v>9</v>
      </c>
      <c r="S498">
        <v>22</v>
      </c>
    </row>
    <row r="499" spans="1:19" hidden="1" x14ac:dyDescent="0.35">
      <c r="A499">
        <v>57219515606</v>
      </c>
      <c r="B499" t="s">
        <v>511</v>
      </c>
      <c r="C499" t="str">
        <f>_xlfn.XLOOKUP(A499,[1]Affiliations!$J$2:$J$5328,[1]Affiliations!$K$2:$K$5328,0)</f>
        <v>DEMa</v>
      </c>
      <c r="D499">
        <v>7</v>
      </c>
      <c r="E499">
        <v>43</v>
      </c>
      <c r="F499">
        <v>6.1428570000000002</v>
      </c>
      <c r="G499">
        <v>4</v>
      </c>
      <c r="H499">
        <v>0.49</v>
      </c>
      <c r="I499">
        <v>0</v>
      </c>
      <c r="J499">
        <v>1</v>
      </c>
      <c r="K499">
        <v>2</v>
      </c>
      <c r="L499">
        <v>5</v>
      </c>
      <c r="M499">
        <v>7</v>
      </c>
      <c r="N499">
        <v>7</v>
      </c>
      <c r="P499">
        <v>0</v>
      </c>
      <c r="Q499">
        <v>0</v>
      </c>
      <c r="R499">
        <v>0</v>
      </c>
      <c r="S499">
        <v>3</v>
      </c>
    </row>
    <row r="500" spans="1:19" x14ac:dyDescent="0.35">
      <c r="A500">
        <v>37102295200</v>
      </c>
      <c r="B500" t="s">
        <v>3466</v>
      </c>
      <c r="C500" t="str">
        <f>_xlfn.XLOOKUP(A500,[1]Affiliations!$J$2:$J$5328,[1]Affiliations!$K$2:$K$5328,0)</f>
        <v>University of Campinas</v>
      </c>
      <c r="D500">
        <v>17</v>
      </c>
      <c r="E500">
        <v>602</v>
      </c>
      <c r="F500">
        <v>35.411766</v>
      </c>
      <c r="G500">
        <v>14</v>
      </c>
      <c r="H500">
        <v>1.46</v>
      </c>
      <c r="I500">
        <v>0</v>
      </c>
      <c r="J500">
        <v>6</v>
      </c>
      <c r="K500">
        <v>11</v>
      </c>
      <c r="L500">
        <v>15</v>
      </c>
      <c r="M500">
        <v>17</v>
      </c>
      <c r="N500">
        <v>17</v>
      </c>
      <c r="P500">
        <v>0</v>
      </c>
      <c r="Q500">
        <v>2</v>
      </c>
      <c r="R500">
        <v>5</v>
      </c>
      <c r="S500">
        <v>13</v>
      </c>
    </row>
    <row r="501" spans="1:19" hidden="1" x14ac:dyDescent="0.35">
      <c r="A501">
        <v>58635823200</v>
      </c>
      <c r="B501" t="s">
        <v>513</v>
      </c>
      <c r="C501" t="str">
        <f>_xlfn.XLOOKUP(A501,[1]Affiliations!$J$2:$J$5328,[1]Affiliations!$K$2:$K$5328,0)</f>
        <v>Federal University of Rio de Janeiro</v>
      </c>
      <c r="D501">
        <v>3</v>
      </c>
      <c r="E501">
        <v>109</v>
      </c>
      <c r="F501">
        <v>36.333331999999999</v>
      </c>
      <c r="G501">
        <v>2</v>
      </c>
      <c r="H501">
        <v>3.89</v>
      </c>
      <c r="I501">
        <v>0</v>
      </c>
      <c r="J501">
        <v>0</v>
      </c>
      <c r="K501">
        <v>2</v>
      </c>
      <c r="L501">
        <v>2</v>
      </c>
      <c r="M501">
        <v>3</v>
      </c>
      <c r="N501">
        <v>3</v>
      </c>
      <c r="P501">
        <v>1</v>
      </c>
      <c r="Q501">
        <v>2</v>
      </c>
      <c r="R501">
        <v>2</v>
      </c>
      <c r="S501">
        <v>2</v>
      </c>
    </row>
    <row r="502" spans="1:19" hidden="1" x14ac:dyDescent="0.35">
      <c r="A502">
        <v>58117102600</v>
      </c>
      <c r="B502" t="s">
        <v>514</v>
      </c>
      <c r="C502" t="str">
        <f>_xlfn.XLOOKUP(A502,[1]Affiliations!$J$2:$J$5328,[1]Affiliations!$K$2:$K$5328,0)</f>
        <v>State University of Norte Fluminense Darcy Ribeiro (UENF)</v>
      </c>
      <c r="D502">
        <v>1</v>
      </c>
      <c r="E502">
        <v>0</v>
      </c>
      <c r="F502">
        <v>0</v>
      </c>
      <c r="G502">
        <v>0</v>
      </c>
      <c r="H502">
        <v>0</v>
      </c>
      <c r="P502">
        <v>0</v>
      </c>
      <c r="Q502">
        <v>0</v>
      </c>
      <c r="R502">
        <v>0</v>
      </c>
      <c r="S502">
        <v>0</v>
      </c>
    </row>
    <row r="503" spans="1:19" hidden="1" x14ac:dyDescent="0.35">
      <c r="A503">
        <v>57201431044</v>
      </c>
      <c r="B503" t="s">
        <v>515</v>
      </c>
      <c r="C503" t="str">
        <f>_xlfn.XLOOKUP(A503,[1]Affiliations!$J$2:$J$5328,[1]Affiliations!$K$2:$K$5328,0)</f>
        <v>Vallourec Soluções Tubulares do Brasil (+1 more)</v>
      </c>
      <c r="D503">
        <v>3</v>
      </c>
      <c r="E503">
        <v>2</v>
      </c>
      <c r="F503">
        <v>0.66666669999999995</v>
      </c>
      <c r="G503">
        <v>1</v>
      </c>
      <c r="H503">
        <v>0.65</v>
      </c>
      <c r="P503">
        <v>0</v>
      </c>
      <c r="Q503">
        <v>0</v>
      </c>
      <c r="R503">
        <v>0</v>
      </c>
      <c r="S503">
        <v>0</v>
      </c>
    </row>
    <row r="504" spans="1:19" hidden="1" x14ac:dyDescent="0.35">
      <c r="A504">
        <v>57019965500</v>
      </c>
      <c r="B504" t="s">
        <v>516</v>
      </c>
      <c r="C504" t="str">
        <f>_xlfn.XLOOKUP(A504,[1]Affiliations!$J$2:$J$5328,[1]Affiliations!$K$2:$K$5328,0)</f>
        <v>Universidade Federal Fluminense</v>
      </c>
      <c r="D504">
        <v>3</v>
      </c>
      <c r="E504">
        <v>7</v>
      </c>
      <c r="F504">
        <v>2.3333333000000001</v>
      </c>
      <c r="G504">
        <v>1</v>
      </c>
      <c r="H504">
        <v>0.13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2</v>
      </c>
      <c r="P504">
        <v>0</v>
      </c>
      <c r="Q504">
        <v>0</v>
      </c>
      <c r="R504">
        <v>0</v>
      </c>
      <c r="S504">
        <v>0</v>
      </c>
    </row>
    <row r="505" spans="1:19" hidden="1" x14ac:dyDescent="0.35">
      <c r="A505">
        <v>59911403400</v>
      </c>
      <c r="B505" t="s">
        <v>517</v>
      </c>
      <c r="C505" t="str">
        <f>_xlfn.XLOOKUP(A505,[1]Affiliations!$J$2:$J$5328,[1]Affiliations!$K$2:$K$5328,0)</f>
        <v>University Federal of Goiás</v>
      </c>
      <c r="D505">
        <v>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5">
      <c r="A506">
        <v>57190445504</v>
      </c>
      <c r="B506" t="s">
        <v>4302</v>
      </c>
      <c r="C506" t="str">
        <f>_xlfn.XLOOKUP(A506,[1]Affiliations!$J$2:$J$5328,[1]Affiliations!$K$2:$K$5328,0)</f>
        <v>Technical University of Denmark (+1 more)</v>
      </c>
      <c r="D506">
        <v>38</v>
      </c>
      <c r="E506">
        <v>843</v>
      </c>
      <c r="F506">
        <v>22.18421</v>
      </c>
      <c r="G506">
        <v>16</v>
      </c>
      <c r="H506">
        <v>1.46</v>
      </c>
      <c r="I506">
        <v>2</v>
      </c>
      <c r="J506">
        <v>12</v>
      </c>
      <c r="K506">
        <v>16</v>
      </c>
      <c r="L506">
        <v>20</v>
      </c>
      <c r="M506">
        <v>25</v>
      </c>
      <c r="N506">
        <v>30</v>
      </c>
      <c r="P506">
        <v>0</v>
      </c>
      <c r="Q506">
        <v>4</v>
      </c>
      <c r="R506">
        <v>8</v>
      </c>
      <c r="S506">
        <v>16</v>
      </c>
    </row>
    <row r="507" spans="1:19" hidden="1" x14ac:dyDescent="0.35">
      <c r="A507">
        <v>57104603900</v>
      </c>
      <c r="B507" t="s">
        <v>519</v>
      </c>
      <c r="C507" t="str">
        <f>_xlfn.XLOOKUP(A507,[1]Affiliations!$J$2:$J$5328,[1]Affiliations!$K$2:$K$5328,0)</f>
        <v>Federal University of Rio de Janeiro</v>
      </c>
      <c r="D507">
        <v>7</v>
      </c>
      <c r="E507">
        <v>65</v>
      </c>
      <c r="F507">
        <v>9.2857140000000005</v>
      </c>
      <c r="G507">
        <v>4</v>
      </c>
      <c r="H507">
        <v>0.67</v>
      </c>
      <c r="I507">
        <v>0</v>
      </c>
      <c r="J507">
        <v>1</v>
      </c>
      <c r="K507">
        <v>1</v>
      </c>
      <c r="L507">
        <v>3</v>
      </c>
      <c r="M507">
        <v>5</v>
      </c>
      <c r="N507">
        <v>6</v>
      </c>
      <c r="P507">
        <v>0</v>
      </c>
      <c r="Q507">
        <v>0</v>
      </c>
      <c r="R507">
        <v>0</v>
      </c>
      <c r="S507">
        <v>2</v>
      </c>
    </row>
    <row r="508" spans="1:19" hidden="1" x14ac:dyDescent="0.35">
      <c r="A508">
        <v>58193060600</v>
      </c>
      <c r="B508" t="s">
        <v>520</v>
      </c>
      <c r="C508" t="str">
        <f>_xlfn.XLOOKUP(A508,[1]Affiliations!$J$2:$J$5328,[1]Affiliations!$K$2:$K$5328,0)</f>
        <v>Instituto de Pesquisas da Marinha</v>
      </c>
      <c r="D508">
        <v>1</v>
      </c>
      <c r="E508">
        <v>3</v>
      </c>
      <c r="F508">
        <v>3</v>
      </c>
      <c r="G508">
        <v>1</v>
      </c>
      <c r="H508">
        <v>0.32</v>
      </c>
      <c r="P508">
        <v>0</v>
      </c>
      <c r="Q508">
        <v>0</v>
      </c>
      <c r="R508">
        <v>0</v>
      </c>
      <c r="S508">
        <v>0</v>
      </c>
    </row>
    <row r="509" spans="1:19" hidden="1" x14ac:dyDescent="0.35">
      <c r="A509">
        <v>6506079602</v>
      </c>
      <c r="B509" t="s">
        <v>521</v>
      </c>
      <c r="C509" t="str">
        <f>_xlfn.XLOOKUP(A509,[1]Affiliations!$J$2:$J$5328,[1]Affiliations!$K$2:$K$5328,0)</f>
        <v>Federal University of Rio de Janeiro</v>
      </c>
      <c r="D509">
        <v>19</v>
      </c>
      <c r="E509">
        <v>158</v>
      </c>
      <c r="F509">
        <v>8.3157890000000005</v>
      </c>
      <c r="G509">
        <v>10</v>
      </c>
      <c r="H509">
        <v>0.5</v>
      </c>
      <c r="I509">
        <v>0</v>
      </c>
      <c r="J509">
        <v>1</v>
      </c>
      <c r="K509">
        <v>4</v>
      </c>
      <c r="L509">
        <v>7</v>
      </c>
      <c r="M509">
        <v>8</v>
      </c>
      <c r="N509">
        <v>8</v>
      </c>
      <c r="P509">
        <v>0</v>
      </c>
      <c r="Q509">
        <v>0</v>
      </c>
      <c r="R509">
        <v>0</v>
      </c>
      <c r="S509">
        <v>3</v>
      </c>
    </row>
    <row r="510" spans="1:19" hidden="1" x14ac:dyDescent="0.35">
      <c r="A510">
        <v>57204455123</v>
      </c>
      <c r="B510" t="s">
        <v>522</v>
      </c>
      <c r="C510" t="str">
        <f>_xlfn.XLOOKUP(A510,[1]Affiliations!$J$2:$J$5328,[1]Affiliations!$K$2:$K$5328,0)</f>
        <v>Universidade Federal de Santa Maria (+1 more)</v>
      </c>
      <c r="D510">
        <v>7</v>
      </c>
      <c r="E510">
        <v>35</v>
      </c>
      <c r="F510">
        <v>5</v>
      </c>
      <c r="G510">
        <v>3</v>
      </c>
      <c r="H510">
        <v>0.33</v>
      </c>
      <c r="I510">
        <v>0</v>
      </c>
      <c r="J510">
        <v>0</v>
      </c>
      <c r="K510">
        <v>0</v>
      </c>
      <c r="L510">
        <v>3</v>
      </c>
      <c r="M510">
        <v>3</v>
      </c>
      <c r="N510">
        <v>5</v>
      </c>
      <c r="P510">
        <v>0</v>
      </c>
      <c r="Q510">
        <v>0</v>
      </c>
      <c r="R510">
        <v>0</v>
      </c>
      <c r="S510">
        <v>2</v>
      </c>
    </row>
    <row r="511" spans="1:19" hidden="1" x14ac:dyDescent="0.35">
      <c r="A511">
        <v>6603411110</v>
      </c>
      <c r="B511" t="s">
        <v>523</v>
      </c>
      <c r="C511" t="str">
        <f>_xlfn.XLOOKUP(A511,[1]Affiliations!$J$2:$J$5328,[1]Affiliations!$K$2:$K$5328,0)</f>
        <v>Universidade Federal Fluminense</v>
      </c>
      <c r="D511">
        <v>19</v>
      </c>
      <c r="E511">
        <v>84</v>
      </c>
      <c r="F511">
        <v>4.4210525000000001</v>
      </c>
      <c r="G511">
        <v>11</v>
      </c>
      <c r="H511">
        <v>0.54</v>
      </c>
      <c r="I511">
        <v>0</v>
      </c>
      <c r="J511">
        <v>0</v>
      </c>
      <c r="K511">
        <v>0</v>
      </c>
      <c r="L511">
        <v>2</v>
      </c>
      <c r="M511">
        <v>6</v>
      </c>
      <c r="N511">
        <v>7</v>
      </c>
      <c r="P511">
        <v>0</v>
      </c>
      <c r="Q511">
        <v>0</v>
      </c>
      <c r="R511">
        <v>0</v>
      </c>
      <c r="S511">
        <v>1</v>
      </c>
    </row>
    <row r="512" spans="1:19" hidden="1" x14ac:dyDescent="0.35">
      <c r="A512">
        <v>57213193861</v>
      </c>
      <c r="B512" t="s">
        <v>524</v>
      </c>
      <c r="C512" t="str">
        <f>_xlfn.XLOOKUP(A512,[1]Affiliations!$J$2:$J$5328,[1]Affiliations!$K$2:$K$5328,0)</f>
        <v>Vizlab - X-Reality and GeoInformatics Lab</v>
      </c>
      <c r="D512">
        <v>1</v>
      </c>
      <c r="E512">
        <v>1</v>
      </c>
      <c r="F512">
        <v>1</v>
      </c>
      <c r="G512">
        <v>1</v>
      </c>
      <c r="H512">
        <v>0.39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1</v>
      </c>
      <c r="P512">
        <v>0</v>
      </c>
      <c r="Q512">
        <v>0</v>
      </c>
      <c r="R512">
        <v>0</v>
      </c>
      <c r="S512">
        <v>0</v>
      </c>
    </row>
    <row r="513" spans="1:19" hidden="1" x14ac:dyDescent="0.35">
      <c r="A513">
        <v>57210913165</v>
      </c>
      <c r="B513" t="s">
        <v>525</v>
      </c>
      <c r="C513" t="str">
        <f>_xlfn.XLOOKUP(A513,[1]Affiliations!$J$2:$J$5328,[1]Affiliations!$K$2:$K$5328,0)</f>
        <v>Vizlab - X-Reality and GeoInformatics Lab</v>
      </c>
      <c r="D513">
        <v>1</v>
      </c>
      <c r="E513">
        <v>7</v>
      </c>
      <c r="F513">
        <v>7</v>
      </c>
      <c r="G513">
        <v>1</v>
      </c>
      <c r="H513">
        <v>0.96</v>
      </c>
      <c r="P513">
        <v>0</v>
      </c>
      <c r="Q513">
        <v>0</v>
      </c>
      <c r="R513">
        <v>0</v>
      </c>
      <c r="S513">
        <v>0</v>
      </c>
    </row>
    <row r="514" spans="1:19" x14ac:dyDescent="0.35">
      <c r="A514">
        <v>57218499029</v>
      </c>
      <c r="B514" t="s">
        <v>4503</v>
      </c>
      <c r="C514" t="str">
        <f>_xlfn.XLOOKUP(A514,[1]Affiliations!$J$2:$J$5328,[1]Affiliations!$K$2:$K$5328,0)</f>
        <v>Universidade Federal do Espírito Santo</v>
      </c>
      <c r="D514">
        <v>10</v>
      </c>
      <c r="E514">
        <v>230</v>
      </c>
      <c r="F514">
        <v>23</v>
      </c>
      <c r="G514">
        <v>8</v>
      </c>
      <c r="H514">
        <v>1.46</v>
      </c>
      <c r="I514">
        <v>0</v>
      </c>
      <c r="J514">
        <v>3</v>
      </c>
      <c r="K514">
        <v>4</v>
      </c>
      <c r="L514">
        <v>4</v>
      </c>
      <c r="M514">
        <v>6</v>
      </c>
      <c r="N514">
        <v>8</v>
      </c>
      <c r="P514">
        <v>0</v>
      </c>
      <c r="Q514">
        <v>1</v>
      </c>
      <c r="R514">
        <v>3</v>
      </c>
      <c r="S514">
        <v>6</v>
      </c>
    </row>
    <row r="515" spans="1:19" x14ac:dyDescent="0.35">
      <c r="A515">
        <v>7202824534</v>
      </c>
      <c r="B515" t="s">
        <v>141</v>
      </c>
      <c r="C515" t="str">
        <f>_xlfn.XLOOKUP(A515,[1]Affiliations!$J$2:$J$5328,[1]Affiliations!$K$2:$K$5328,0)</f>
        <v>Universidade de São Paulo</v>
      </c>
      <c r="D515">
        <v>53</v>
      </c>
      <c r="E515">
        <v>1742</v>
      </c>
      <c r="F515">
        <v>32.867924000000002</v>
      </c>
      <c r="G515">
        <v>35</v>
      </c>
      <c r="H515">
        <v>1.45</v>
      </c>
      <c r="I515">
        <v>1</v>
      </c>
      <c r="J515">
        <v>18</v>
      </c>
      <c r="K515">
        <v>28</v>
      </c>
      <c r="L515">
        <v>34</v>
      </c>
      <c r="M515">
        <v>46</v>
      </c>
      <c r="N515">
        <v>47</v>
      </c>
      <c r="P515">
        <v>2</v>
      </c>
      <c r="Q515">
        <v>7</v>
      </c>
      <c r="R515">
        <v>12</v>
      </c>
      <c r="S515">
        <v>27</v>
      </c>
    </row>
    <row r="516" spans="1:19" hidden="1" x14ac:dyDescent="0.35">
      <c r="A516">
        <v>57220023700</v>
      </c>
      <c r="B516" t="s">
        <v>528</v>
      </c>
      <c r="C516" t="str">
        <f>_xlfn.XLOOKUP(A516,[1]Affiliations!$J$2:$J$5328,[1]Affiliations!$K$2:$K$5328,0)</f>
        <v>Pontifical Catholic University of Rio de Janeiro</v>
      </c>
      <c r="D516">
        <v>1</v>
      </c>
      <c r="E516">
        <v>12</v>
      </c>
      <c r="F516">
        <v>12</v>
      </c>
      <c r="G516">
        <v>1</v>
      </c>
      <c r="H516">
        <v>0.26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P516">
        <v>0</v>
      </c>
      <c r="Q516">
        <v>0</v>
      </c>
      <c r="R516">
        <v>0</v>
      </c>
      <c r="S516">
        <v>0</v>
      </c>
    </row>
    <row r="517" spans="1:19" hidden="1" x14ac:dyDescent="0.35">
      <c r="A517">
        <v>7004008950</v>
      </c>
      <c r="B517" t="s">
        <v>529</v>
      </c>
      <c r="C517" t="str">
        <f>_xlfn.XLOOKUP(A517,[1]Affiliations!$J$2:$J$5328,[1]Affiliations!$K$2:$K$5328,0)</f>
        <v>Universidade Federal de Santa Maria</v>
      </c>
      <c r="D517">
        <v>35</v>
      </c>
      <c r="E517">
        <v>446</v>
      </c>
      <c r="F517">
        <v>12.742857000000001</v>
      </c>
      <c r="G517">
        <v>33</v>
      </c>
      <c r="H517">
        <v>0.56999999999999995</v>
      </c>
      <c r="I517">
        <v>0</v>
      </c>
      <c r="J517">
        <v>3</v>
      </c>
      <c r="K517">
        <v>10</v>
      </c>
      <c r="L517">
        <v>20</v>
      </c>
      <c r="M517">
        <v>26</v>
      </c>
      <c r="N517">
        <v>33</v>
      </c>
      <c r="P517">
        <v>0</v>
      </c>
      <c r="Q517">
        <v>0</v>
      </c>
      <c r="R517">
        <v>0</v>
      </c>
      <c r="S517">
        <v>7</v>
      </c>
    </row>
    <row r="518" spans="1:19" x14ac:dyDescent="0.35">
      <c r="A518">
        <v>6505949953</v>
      </c>
      <c r="B518" t="s">
        <v>278</v>
      </c>
      <c r="C518" t="str">
        <f>_xlfn.XLOOKUP(A518,[1]Affiliations!$J$2:$J$5328,[1]Affiliations!$K$2:$K$5328,0)</f>
        <v>Universidade de Brasília (+1 more)</v>
      </c>
      <c r="D518">
        <v>108</v>
      </c>
      <c r="E518">
        <v>2480</v>
      </c>
      <c r="F518">
        <v>22.962962999999998</v>
      </c>
      <c r="G518">
        <v>35</v>
      </c>
      <c r="H518">
        <v>1.45</v>
      </c>
      <c r="I518">
        <v>2</v>
      </c>
      <c r="J518">
        <v>17</v>
      </c>
      <c r="K518">
        <v>34</v>
      </c>
      <c r="L518">
        <v>58</v>
      </c>
      <c r="M518">
        <v>86</v>
      </c>
      <c r="N518">
        <v>98</v>
      </c>
      <c r="P518">
        <v>0</v>
      </c>
      <c r="Q518">
        <v>8</v>
      </c>
      <c r="R518">
        <v>21</v>
      </c>
      <c r="S518">
        <v>53</v>
      </c>
    </row>
    <row r="519" spans="1:19" x14ac:dyDescent="0.35">
      <c r="A519">
        <v>56137085600</v>
      </c>
      <c r="B519" t="s">
        <v>217</v>
      </c>
      <c r="C519" t="str">
        <f>_xlfn.XLOOKUP(A519,[1]Affiliations!$J$2:$J$5328,[1]Affiliations!$K$2:$K$5328,0)</f>
        <v>Programa de Pós Graduação Em Engenharia e Tecnologia Dos Materiais (PGETEMA) (+3 more)</v>
      </c>
      <c r="D519">
        <v>6</v>
      </c>
      <c r="E519">
        <v>184</v>
      </c>
      <c r="F519">
        <v>30.666665999999999</v>
      </c>
      <c r="G519">
        <v>10</v>
      </c>
      <c r="H519">
        <v>1.44</v>
      </c>
      <c r="I519">
        <v>0</v>
      </c>
      <c r="J519">
        <v>0</v>
      </c>
      <c r="K519">
        <v>1</v>
      </c>
      <c r="L519">
        <v>4</v>
      </c>
      <c r="M519">
        <v>6</v>
      </c>
      <c r="N519">
        <v>6</v>
      </c>
      <c r="P519">
        <v>0</v>
      </c>
      <c r="Q519">
        <v>0</v>
      </c>
      <c r="R519">
        <v>2</v>
      </c>
      <c r="S519">
        <v>4</v>
      </c>
    </row>
    <row r="520" spans="1:19" x14ac:dyDescent="0.35">
      <c r="A520">
        <v>57193087272</v>
      </c>
      <c r="B520" t="s">
        <v>763</v>
      </c>
      <c r="C520" t="str">
        <f>_xlfn.XLOOKUP(A520,[1]Affiliations!$J$2:$J$5328,[1]Affiliations!$K$2:$K$5328,0)</f>
        <v>Universidade Federal Fluminense</v>
      </c>
      <c r="D520">
        <v>19</v>
      </c>
      <c r="E520">
        <v>540</v>
      </c>
      <c r="F520">
        <v>28.421053000000001</v>
      </c>
      <c r="G520">
        <v>12</v>
      </c>
      <c r="H520">
        <v>1.44</v>
      </c>
      <c r="I520">
        <v>1</v>
      </c>
      <c r="J520">
        <v>8</v>
      </c>
      <c r="K520">
        <v>10</v>
      </c>
      <c r="L520">
        <v>15</v>
      </c>
      <c r="M520">
        <v>16</v>
      </c>
      <c r="N520">
        <v>17</v>
      </c>
      <c r="P520">
        <v>0</v>
      </c>
      <c r="Q520">
        <v>2</v>
      </c>
      <c r="R520">
        <v>4</v>
      </c>
      <c r="S520">
        <v>10</v>
      </c>
    </row>
    <row r="521" spans="1:19" x14ac:dyDescent="0.35">
      <c r="A521">
        <v>7003376737</v>
      </c>
      <c r="B521" t="s">
        <v>1889</v>
      </c>
      <c r="C521" t="str">
        <f>_xlfn.XLOOKUP(A521,[1]Affiliations!$J$2:$J$5328,[1]Affiliations!$K$2:$K$5328,0)</f>
        <v>Federal University of Rio de Janeiro</v>
      </c>
      <c r="D521">
        <v>37</v>
      </c>
      <c r="E521">
        <v>1129</v>
      </c>
      <c r="F521">
        <v>30.513514000000001</v>
      </c>
      <c r="G521">
        <v>32</v>
      </c>
      <c r="H521">
        <v>1.44</v>
      </c>
      <c r="I521">
        <v>3</v>
      </c>
      <c r="J521">
        <v>9</v>
      </c>
      <c r="K521">
        <v>14</v>
      </c>
      <c r="L521">
        <v>26</v>
      </c>
      <c r="M521">
        <v>33</v>
      </c>
      <c r="N521">
        <v>33</v>
      </c>
      <c r="P521">
        <v>1</v>
      </c>
      <c r="Q521">
        <v>3</v>
      </c>
      <c r="R521">
        <v>6</v>
      </c>
      <c r="S521">
        <v>20</v>
      </c>
    </row>
    <row r="522" spans="1:19" x14ac:dyDescent="0.35">
      <c r="A522">
        <v>35299019400</v>
      </c>
      <c r="B522" t="s">
        <v>2083</v>
      </c>
      <c r="C522" t="str">
        <f>_xlfn.XLOOKUP(A522,[1]Affiliations!$J$2:$J$5328,[1]Affiliations!$K$2:$K$5328,0)</f>
        <v>University of Campinas (+2 more)</v>
      </c>
      <c r="D522">
        <v>22</v>
      </c>
      <c r="E522">
        <v>464</v>
      </c>
      <c r="F522">
        <v>21.090910000000001</v>
      </c>
      <c r="G522">
        <v>18</v>
      </c>
      <c r="H522">
        <v>1.44</v>
      </c>
      <c r="I522">
        <v>0</v>
      </c>
      <c r="J522">
        <v>2</v>
      </c>
      <c r="K522">
        <v>5</v>
      </c>
      <c r="L522">
        <v>12</v>
      </c>
      <c r="M522">
        <v>21</v>
      </c>
      <c r="N522">
        <v>21</v>
      </c>
      <c r="P522">
        <v>0</v>
      </c>
      <c r="Q522">
        <v>1</v>
      </c>
      <c r="R522">
        <v>3</v>
      </c>
      <c r="S522">
        <v>9</v>
      </c>
    </row>
    <row r="523" spans="1:19" x14ac:dyDescent="0.35">
      <c r="A523">
        <v>36614451700</v>
      </c>
      <c r="B523" t="s">
        <v>3153</v>
      </c>
      <c r="C523" t="str">
        <f>_xlfn.XLOOKUP(A523,[1]Affiliations!$J$2:$J$5328,[1]Affiliations!$K$2:$K$5328,0)</f>
        <v>Universidade Federal de Minas Gerais</v>
      </c>
      <c r="D523">
        <v>96</v>
      </c>
      <c r="E523">
        <v>3122</v>
      </c>
      <c r="F523">
        <v>32.520831999999999</v>
      </c>
      <c r="G523">
        <v>40</v>
      </c>
      <c r="H523">
        <v>1.44</v>
      </c>
      <c r="I523">
        <v>7</v>
      </c>
      <c r="J523">
        <v>42</v>
      </c>
      <c r="K523">
        <v>58</v>
      </c>
      <c r="L523">
        <v>72</v>
      </c>
      <c r="M523">
        <v>84</v>
      </c>
      <c r="N523">
        <v>96</v>
      </c>
      <c r="P523">
        <v>0</v>
      </c>
      <c r="Q523">
        <v>15</v>
      </c>
      <c r="R523">
        <v>29</v>
      </c>
      <c r="S523">
        <v>67</v>
      </c>
    </row>
    <row r="524" spans="1:19" hidden="1" x14ac:dyDescent="0.35">
      <c r="A524">
        <v>57842829100</v>
      </c>
      <c r="B524" t="s">
        <v>536</v>
      </c>
      <c r="C524" t="str">
        <f>_xlfn.XLOOKUP(A524,[1]Affiliations!$J$2:$J$5328,[1]Affiliations!$K$2:$K$5328,0)</f>
        <v>Universidade Federal do Espírito Santo</v>
      </c>
      <c r="D524">
        <v>4</v>
      </c>
      <c r="E524">
        <v>24</v>
      </c>
      <c r="F524">
        <v>6</v>
      </c>
      <c r="G524">
        <v>4</v>
      </c>
      <c r="H524">
        <v>1.59</v>
      </c>
      <c r="I524">
        <v>0</v>
      </c>
      <c r="J524">
        <v>0</v>
      </c>
      <c r="K524">
        <v>1</v>
      </c>
      <c r="L524">
        <v>1</v>
      </c>
      <c r="M524">
        <v>1</v>
      </c>
      <c r="N524">
        <v>1</v>
      </c>
      <c r="P524">
        <v>0</v>
      </c>
      <c r="Q524">
        <v>0</v>
      </c>
      <c r="R524">
        <v>0</v>
      </c>
      <c r="S524">
        <v>1</v>
      </c>
    </row>
    <row r="525" spans="1:19" hidden="1" x14ac:dyDescent="0.35">
      <c r="A525">
        <v>57217154962</v>
      </c>
      <c r="B525" t="s">
        <v>537</v>
      </c>
      <c r="C525" t="str">
        <f>_xlfn.XLOOKUP(A525,[1]Affiliations!$J$2:$J$5328,[1]Affiliations!$K$2:$K$5328,0)</f>
        <v>University of Campinas</v>
      </c>
      <c r="D525">
        <v>4</v>
      </c>
      <c r="E525">
        <v>37</v>
      </c>
      <c r="F525">
        <v>9.25</v>
      </c>
      <c r="G525">
        <v>2</v>
      </c>
      <c r="H525">
        <v>0.61</v>
      </c>
      <c r="I525">
        <v>0</v>
      </c>
      <c r="J525">
        <v>0</v>
      </c>
      <c r="K525">
        <v>0</v>
      </c>
      <c r="L525">
        <v>3</v>
      </c>
      <c r="M525">
        <v>3</v>
      </c>
      <c r="N525">
        <v>3</v>
      </c>
      <c r="P525">
        <v>0</v>
      </c>
      <c r="Q525">
        <v>0</v>
      </c>
      <c r="R525">
        <v>0</v>
      </c>
      <c r="S525">
        <v>1</v>
      </c>
    </row>
    <row r="526" spans="1:19" x14ac:dyDescent="0.35">
      <c r="A526">
        <v>7202476487</v>
      </c>
      <c r="B526" t="s">
        <v>4575</v>
      </c>
      <c r="C526" t="str">
        <f>_xlfn.XLOOKUP(A526,[1]Affiliations!$J$2:$J$5328,[1]Affiliations!$K$2:$K$5328,0)</f>
        <v>Universidade Federal do Rio Grande do Sul</v>
      </c>
      <c r="D526">
        <v>84</v>
      </c>
      <c r="E526">
        <v>1853</v>
      </c>
      <c r="F526">
        <v>22.059525000000001</v>
      </c>
      <c r="G526">
        <v>40</v>
      </c>
      <c r="H526">
        <v>1.44</v>
      </c>
      <c r="I526">
        <v>1</v>
      </c>
      <c r="J526">
        <v>6</v>
      </c>
      <c r="K526">
        <v>20</v>
      </c>
      <c r="L526">
        <v>46</v>
      </c>
      <c r="M526">
        <v>76</v>
      </c>
      <c r="N526">
        <v>80</v>
      </c>
      <c r="P526">
        <v>0</v>
      </c>
      <c r="Q526">
        <v>3</v>
      </c>
      <c r="R526">
        <v>12</v>
      </c>
      <c r="S526">
        <v>47</v>
      </c>
    </row>
    <row r="527" spans="1:19" hidden="1" x14ac:dyDescent="0.35">
      <c r="A527">
        <v>36631576000</v>
      </c>
      <c r="B527" t="s">
        <v>539</v>
      </c>
      <c r="C527" t="str">
        <f>_xlfn.XLOOKUP(A527,[1]Affiliations!$J$2:$J$5328,[1]Affiliations!$K$2:$K$5328,0)</f>
        <v>Universidade Federal do Espírito Santo (+1 more)</v>
      </c>
      <c r="D527">
        <v>37</v>
      </c>
      <c r="E527">
        <v>322</v>
      </c>
      <c r="F527">
        <v>8.7027024999999991</v>
      </c>
      <c r="G527">
        <v>12</v>
      </c>
      <c r="H527">
        <v>0.41</v>
      </c>
      <c r="I527">
        <v>0</v>
      </c>
      <c r="J527">
        <v>3</v>
      </c>
      <c r="K527">
        <v>8</v>
      </c>
      <c r="L527">
        <v>13</v>
      </c>
      <c r="M527">
        <v>20</v>
      </c>
      <c r="N527">
        <v>33</v>
      </c>
      <c r="P527">
        <v>0</v>
      </c>
      <c r="Q527">
        <v>0</v>
      </c>
      <c r="R527">
        <v>0</v>
      </c>
      <c r="S527">
        <v>5</v>
      </c>
    </row>
    <row r="528" spans="1:19" hidden="1" x14ac:dyDescent="0.35">
      <c r="A528">
        <v>22233425400</v>
      </c>
      <c r="B528" t="s">
        <v>540</v>
      </c>
      <c r="C528" t="str">
        <f>_xlfn.XLOOKUP(A528,[1]Affiliations!$J$2:$J$5328,[1]Affiliations!$K$2:$K$5328,0)</f>
        <v>Universidade Federal Fluminense</v>
      </c>
      <c r="D528">
        <v>3</v>
      </c>
      <c r="E528">
        <v>12</v>
      </c>
      <c r="F528">
        <v>4</v>
      </c>
      <c r="G528">
        <v>6</v>
      </c>
      <c r="H528">
        <v>0.3</v>
      </c>
      <c r="I528">
        <v>0</v>
      </c>
      <c r="J528">
        <v>0</v>
      </c>
      <c r="K528">
        <v>0</v>
      </c>
      <c r="L528">
        <v>0</v>
      </c>
      <c r="M528">
        <v>1</v>
      </c>
      <c r="N528">
        <v>1</v>
      </c>
      <c r="P528">
        <v>0</v>
      </c>
      <c r="Q528">
        <v>0</v>
      </c>
      <c r="R528">
        <v>0</v>
      </c>
      <c r="S528">
        <v>0</v>
      </c>
    </row>
    <row r="529" spans="1:19" x14ac:dyDescent="0.35">
      <c r="A529">
        <v>25823669100</v>
      </c>
      <c r="B529" t="s">
        <v>48</v>
      </c>
      <c r="C529" t="str">
        <f>_xlfn.XLOOKUP(A529,[1]Affiliations!$J$2:$J$5328,[1]Affiliations!$K$2:$K$5328,0)</f>
        <v>Federal University of Rio de Janeiro</v>
      </c>
      <c r="D529">
        <v>32</v>
      </c>
      <c r="E529">
        <v>1165</v>
      </c>
      <c r="F529">
        <v>36.40625</v>
      </c>
      <c r="G529">
        <v>21</v>
      </c>
      <c r="H529">
        <v>1.43</v>
      </c>
      <c r="I529">
        <v>0</v>
      </c>
      <c r="J529">
        <v>6</v>
      </c>
      <c r="K529">
        <v>12</v>
      </c>
      <c r="L529">
        <v>21</v>
      </c>
      <c r="M529">
        <v>26</v>
      </c>
      <c r="N529">
        <v>28</v>
      </c>
      <c r="P529">
        <v>0</v>
      </c>
      <c r="Q529">
        <v>5</v>
      </c>
      <c r="R529">
        <v>11</v>
      </c>
      <c r="S529">
        <v>21</v>
      </c>
    </row>
    <row r="530" spans="1:19" hidden="1" x14ac:dyDescent="0.35">
      <c r="A530">
        <v>56581651700</v>
      </c>
      <c r="B530" t="s">
        <v>542</v>
      </c>
      <c r="C530" t="str">
        <f>_xlfn.XLOOKUP(A530,[1]Affiliations!$J$2:$J$5328,[1]Affiliations!$K$2:$K$5328,0)</f>
        <v>Vizlab - X-Reality and GeoInformatics Lab</v>
      </c>
      <c r="D530">
        <v>20</v>
      </c>
      <c r="E530">
        <v>148</v>
      </c>
      <c r="F530">
        <v>7.4</v>
      </c>
      <c r="G530">
        <v>8</v>
      </c>
      <c r="H530">
        <v>0.97</v>
      </c>
      <c r="I530">
        <v>1</v>
      </c>
      <c r="J530">
        <v>1</v>
      </c>
      <c r="K530">
        <v>1</v>
      </c>
      <c r="L530">
        <v>5</v>
      </c>
      <c r="M530">
        <v>6</v>
      </c>
      <c r="N530">
        <v>13</v>
      </c>
      <c r="P530">
        <v>0</v>
      </c>
      <c r="Q530">
        <v>0</v>
      </c>
      <c r="R530">
        <v>0</v>
      </c>
      <c r="S530">
        <v>1</v>
      </c>
    </row>
    <row r="531" spans="1:19" hidden="1" x14ac:dyDescent="0.35">
      <c r="A531">
        <v>56610212300</v>
      </c>
      <c r="B531" t="s">
        <v>543</v>
      </c>
      <c r="C531" t="str">
        <f>_xlfn.XLOOKUP(A531,[1]Affiliations!$J$2:$J$5328,[1]Affiliations!$K$2:$K$5328,0)</f>
        <v>Universidade Federal Rural do Rio de Janeiro (+2 more)</v>
      </c>
      <c r="D531">
        <v>5</v>
      </c>
      <c r="E531">
        <v>94</v>
      </c>
      <c r="F531">
        <v>18.8</v>
      </c>
      <c r="G531">
        <v>4</v>
      </c>
      <c r="H531">
        <v>0.65</v>
      </c>
      <c r="I531">
        <v>0</v>
      </c>
      <c r="J531">
        <v>0</v>
      </c>
      <c r="K531">
        <v>1</v>
      </c>
      <c r="L531">
        <v>5</v>
      </c>
      <c r="M531">
        <v>5</v>
      </c>
      <c r="N531">
        <v>5</v>
      </c>
      <c r="P531">
        <v>0</v>
      </c>
      <c r="Q531">
        <v>0</v>
      </c>
      <c r="R531">
        <v>0</v>
      </c>
      <c r="S531">
        <v>1</v>
      </c>
    </row>
    <row r="532" spans="1:19" x14ac:dyDescent="0.35">
      <c r="A532">
        <v>35274386900</v>
      </c>
      <c r="B532" t="s">
        <v>526</v>
      </c>
      <c r="C532" t="str">
        <f>_xlfn.XLOOKUP(A532,[1]Affiliations!$J$2:$J$5328,[1]Affiliations!$K$2:$K$5328,0)</f>
        <v>Universidade de São Paulo</v>
      </c>
      <c r="D532">
        <v>27</v>
      </c>
      <c r="E532">
        <v>584</v>
      </c>
      <c r="F532">
        <v>21.629629999999999</v>
      </c>
      <c r="G532">
        <v>25</v>
      </c>
      <c r="H532">
        <v>1.43</v>
      </c>
      <c r="I532">
        <v>1</v>
      </c>
      <c r="J532">
        <v>6</v>
      </c>
      <c r="K532">
        <v>7</v>
      </c>
      <c r="L532">
        <v>17</v>
      </c>
      <c r="M532">
        <v>21</v>
      </c>
      <c r="N532">
        <v>22</v>
      </c>
      <c r="P532">
        <v>0</v>
      </c>
      <c r="Q532">
        <v>1</v>
      </c>
      <c r="R532">
        <v>2</v>
      </c>
      <c r="S532">
        <v>11</v>
      </c>
    </row>
    <row r="533" spans="1:19" x14ac:dyDescent="0.35">
      <c r="A533">
        <v>56900624400</v>
      </c>
      <c r="B533" t="s">
        <v>3454</v>
      </c>
      <c r="C533" t="str">
        <f>_xlfn.XLOOKUP(A533,[1]Affiliations!$J$2:$J$5328,[1]Affiliations!$K$2:$K$5328,0)</f>
        <v>Federal University of Rio de Janeiro</v>
      </c>
      <c r="D533">
        <v>10</v>
      </c>
      <c r="E533">
        <v>274</v>
      </c>
      <c r="F533">
        <v>27.4</v>
      </c>
      <c r="G533">
        <v>9</v>
      </c>
      <c r="H533">
        <v>1.43</v>
      </c>
      <c r="I533">
        <v>0</v>
      </c>
      <c r="J533">
        <v>0</v>
      </c>
      <c r="K533">
        <v>1</v>
      </c>
      <c r="L533">
        <v>5</v>
      </c>
      <c r="M533">
        <v>9</v>
      </c>
      <c r="N533">
        <v>9</v>
      </c>
      <c r="P533">
        <v>0</v>
      </c>
      <c r="Q533">
        <v>0</v>
      </c>
      <c r="R533">
        <v>2</v>
      </c>
      <c r="S533">
        <v>6</v>
      </c>
    </row>
    <row r="534" spans="1:19" hidden="1" x14ac:dyDescent="0.35">
      <c r="A534">
        <v>57223081640</v>
      </c>
      <c r="B534" t="s">
        <v>546</v>
      </c>
      <c r="C534" t="str">
        <f>_xlfn.XLOOKUP(A534,[1]Affiliations!$J$2:$J$5328,[1]Affiliations!$K$2:$K$5328,0)</f>
        <v>SENAI Innovation Institute for Manufacturing Systems and Laser Processing</v>
      </c>
      <c r="D534">
        <v>2</v>
      </c>
      <c r="E534">
        <v>94</v>
      </c>
      <c r="F534">
        <v>47</v>
      </c>
      <c r="G534">
        <v>2</v>
      </c>
      <c r="H534">
        <v>2.33</v>
      </c>
      <c r="I534">
        <v>0</v>
      </c>
      <c r="J534">
        <v>0</v>
      </c>
      <c r="K534">
        <v>1</v>
      </c>
      <c r="L534">
        <v>1</v>
      </c>
      <c r="M534">
        <v>2</v>
      </c>
      <c r="N534">
        <v>2</v>
      </c>
      <c r="P534">
        <v>0</v>
      </c>
      <c r="Q534">
        <v>1</v>
      </c>
      <c r="R534">
        <v>1</v>
      </c>
      <c r="S534">
        <v>1</v>
      </c>
    </row>
    <row r="535" spans="1:19" x14ac:dyDescent="0.35">
      <c r="A535">
        <v>37041692000</v>
      </c>
      <c r="B535" t="s">
        <v>3872</v>
      </c>
      <c r="C535" t="str">
        <f>_xlfn.XLOOKUP(A535,[1]Affiliations!$J$2:$J$5328,[1]Affiliations!$K$2:$K$5328,0)</f>
        <v>University of Western São Paulo</v>
      </c>
      <c r="D535">
        <v>61</v>
      </c>
      <c r="E535">
        <v>2239</v>
      </c>
      <c r="F535">
        <v>36.704917999999999</v>
      </c>
      <c r="G535">
        <v>22</v>
      </c>
      <c r="H535">
        <v>1.43</v>
      </c>
      <c r="I535">
        <v>2</v>
      </c>
      <c r="J535">
        <v>5</v>
      </c>
      <c r="K535">
        <v>11</v>
      </c>
      <c r="L535">
        <v>30</v>
      </c>
      <c r="M535">
        <v>40</v>
      </c>
      <c r="N535">
        <v>55</v>
      </c>
      <c r="P535">
        <v>2</v>
      </c>
      <c r="Q535">
        <v>8</v>
      </c>
      <c r="R535">
        <v>14</v>
      </c>
      <c r="S535">
        <v>26</v>
      </c>
    </row>
    <row r="536" spans="1:19" x14ac:dyDescent="0.35">
      <c r="A536">
        <v>23567383600</v>
      </c>
      <c r="B536" t="s">
        <v>5215</v>
      </c>
      <c r="C536" t="str">
        <f>_xlfn.XLOOKUP(A536,[1]Affiliations!$J$2:$J$5328,[1]Affiliations!$K$2:$K$5328,0)</f>
        <v>University of Campinas</v>
      </c>
      <c r="D536">
        <v>199</v>
      </c>
      <c r="E536">
        <v>3484</v>
      </c>
      <c r="F536">
        <v>17.507538</v>
      </c>
      <c r="G536">
        <v>34</v>
      </c>
      <c r="H536">
        <v>1.43</v>
      </c>
      <c r="I536">
        <v>2</v>
      </c>
      <c r="J536">
        <v>8</v>
      </c>
      <c r="K536">
        <v>17</v>
      </c>
      <c r="L536">
        <v>49</v>
      </c>
      <c r="M536">
        <v>82</v>
      </c>
      <c r="N536">
        <v>104</v>
      </c>
      <c r="P536">
        <v>2</v>
      </c>
      <c r="Q536">
        <v>11</v>
      </c>
      <c r="R536">
        <v>16</v>
      </c>
      <c r="S536">
        <v>46</v>
      </c>
    </row>
    <row r="537" spans="1:19" x14ac:dyDescent="0.35">
      <c r="A537">
        <v>36082295700</v>
      </c>
      <c r="B537" t="s">
        <v>568</v>
      </c>
      <c r="C537" t="str">
        <f>_xlfn.XLOOKUP(A537,[1]Affiliations!$J$2:$J$5328,[1]Affiliations!$K$2:$K$5328,0)</f>
        <v>Universidade Federal de Pernambuco</v>
      </c>
      <c r="D537">
        <v>18</v>
      </c>
      <c r="E537">
        <v>927</v>
      </c>
      <c r="F537">
        <v>51.5</v>
      </c>
      <c r="G537">
        <v>10</v>
      </c>
      <c r="H537">
        <v>1.42</v>
      </c>
      <c r="I537">
        <v>0</v>
      </c>
      <c r="J537">
        <v>2</v>
      </c>
      <c r="K537">
        <v>2</v>
      </c>
      <c r="L537">
        <v>6</v>
      </c>
      <c r="M537">
        <v>14</v>
      </c>
      <c r="N537">
        <v>16</v>
      </c>
      <c r="P537">
        <v>2</v>
      </c>
      <c r="Q537">
        <v>2</v>
      </c>
      <c r="R537">
        <v>4</v>
      </c>
      <c r="S537">
        <v>9</v>
      </c>
    </row>
    <row r="538" spans="1:19" hidden="1" x14ac:dyDescent="0.35">
      <c r="A538">
        <v>56184611600</v>
      </c>
      <c r="B538" t="s">
        <v>550</v>
      </c>
      <c r="C538" t="str">
        <f>_xlfn.XLOOKUP(A538,[1]Affiliations!$J$2:$J$5328,[1]Affiliations!$K$2:$K$5328,0)</f>
        <v>Pontifícia Universidade Católica do Rio Grande do Sul (+1 more)</v>
      </c>
      <c r="D538">
        <v>1</v>
      </c>
      <c r="E538">
        <v>68</v>
      </c>
      <c r="F538">
        <v>68</v>
      </c>
      <c r="G538">
        <v>3</v>
      </c>
      <c r="H538">
        <v>2.35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P538">
        <v>0</v>
      </c>
      <c r="Q538">
        <v>0</v>
      </c>
      <c r="R538">
        <v>1</v>
      </c>
      <c r="S538">
        <v>1</v>
      </c>
    </row>
    <row r="539" spans="1:19" hidden="1" x14ac:dyDescent="0.35">
      <c r="A539">
        <v>57209772054</v>
      </c>
      <c r="B539" t="s">
        <v>551</v>
      </c>
      <c r="C539" t="str">
        <f>_xlfn.XLOOKUP(A539,[1]Affiliations!$J$2:$J$5328,[1]Affiliations!$K$2:$K$5328,0)</f>
        <v>Pontifícia Universidade Católica do Rio Grande do Sul</v>
      </c>
      <c r="D539">
        <v>29</v>
      </c>
      <c r="E539">
        <v>438</v>
      </c>
      <c r="F539">
        <v>15.103448</v>
      </c>
      <c r="G539">
        <v>15</v>
      </c>
      <c r="H539">
        <v>0.8</v>
      </c>
      <c r="I539">
        <v>0</v>
      </c>
      <c r="J539">
        <v>5</v>
      </c>
      <c r="K539">
        <v>9</v>
      </c>
      <c r="L539">
        <v>16</v>
      </c>
      <c r="M539">
        <v>24</v>
      </c>
      <c r="N539">
        <v>28</v>
      </c>
      <c r="P539">
        <v>0</v>
      </c>
      <c r="Q539">
        <v>0</v>
      </c>
      <c r="R539">
        <v>0</v>
      </c>
      <c r="S539">
        <v>10</v>
      </c>
    </row>
    <row r="540" spans="1:19" hidden="1" x14ac:dyDescent="0.35">
      <c r="A540">
        <v>57226716378</v>
      </c>
      <c r="B540" t="s">
        <v>552</v>
      </c>
      <c r="C540" t="str">
        <f>_xlfn.XLOOKUP(A540,[1]Affiliations!$J$2:$J$5328,[1]Affiliations!$K$2:$K$5328,0)</f>
        <v>Laboratório Nacional de Luz Síncrotron (LNLS)</v>
      </c>
      <c r="D540">
        <v>1</v>
      </c>
      <c r="E540">
        <v>10</v>
      </c>
      <c r="F540">
        <v>10</v>
      </c>
      <c r="G540">
        <v>1</v>
      </c>
      <c r="H540">
        <v>0.36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P540">
        <v>0</v>
      </c>
      <c r="Q540">
        <v>0</v>
      </c>
      <c r="R540">
        <v>0</v>
      </c>
      <c r="S540">
        <v>0</v>
      </c>
    </row>
    <row r="541" spans="1:19" hidden="1" x14ac:dyDescent="0.35">
      <c r="A541">
        <v>56425304400</v>
      </c>
      <c r="B541" t="s">
        <v>553</v>
      </c>
      <c r="C541" t="str">
        <f>_xlfn.XLOOKUP(A541,[1]Affiliations!$J$2:$J$5328,[1]Affiliations!$K$2:$K$5328,0)</f>
        <v>Universidade Federal do Rio Grande do Sul (+1 more)</v>
      </c>
      <c r="D541">
        <v>12</v>
      </c>
      <c r="E541">
        <v>48</v>
      </c>
      <c r="F541">
        <v>4</v>
      </c>
      <c r="G541">
        <v>5</v>
      </c>
      <c r="H541">
        <v>0.45</v>
      </c>
      <c r="I541">
        <v>0</v>
      </c>
      <c r="J541">
        <v>0</v>
      </c>
      <c r="K541">
        <v>0</v>
      </c>
      <c r="L541">
        <v>1</v>
      </c>
      <c r="M541">
        <v>3</v>
      </c>
      <c r="N541">
        <v>6</v>
      </c>
      <c r="P541">
        <v>0</v>
      </c>
      <c r="Q541">
        <v>1</v>
      </c>
      <c r="R541">
        <v>1</v>
      </c>
      <c r="S541">
        <v>1</v>
      </c>
    </row>
    <row r="542" spans="1:19" hidden="1" x14ac:dyDescent="0.35">
      <c r="A542">
        <v>57209338215</v>
      </c>
      <c r="B542" t="s">
        <v>554</v>
      </c>
      <c r="C542" t="str">
        <f>_xlfn.XLOOKUP(A542,[1]Affiliations!$J$2:$J$5328,[1]Affiliations!$K$2:$K$5328,0)</f>
        <v>Universidade Federal Rural do Rio de Janeiro</v>
      </c>
      <c r="D542">
        <v>11</v>
      </c>
      <c r="E542">
        <v>100</v>
      </c>
      <c r="F542">
        <v>9.0909089999999999</v>
      </c>
      <c r="G542">
        <v>7</v>
      </c>
      <c r="H542">
        <v>0.56999999999999995</v>
      </c>
      <c r="I542">
        <v>0</v>
      </c>
      <c r="J542">
        <v>1</v>
      </c>
      <c r="K542">
        <v>4</v>
      </c>
      <c r="L542">
        <v>7</v>
      </c>
      <c r="M542">
        <v>7</v>
      </c>
      <c r="N542">
        <v>8</v>
      </c>
      <c r="P542">
        <v>0</v>
      </c>
      <c r="Q542">
        <v>0</v>
      </c>
      <c r="R542">
        <v>0</v>
      </c>
      <c r="S542">
        <v>2</v>
      </c>
    </row>
    <row r="543" spans="1:19" hidden="1" x14ac:dyDescent="0.35">
      <c r="A543">
        <v>58001313100</v>
      </c>
      <c r="B543" t="s">
        <v>555</v>
      </c>
      <c r="C543" t="str">
        <f>_xlfn.XLOOKUP(A543,[1]Affiliations!$J$2:$J$5328,[1]Affiliations!$K$2:$K$5328,0)</f>
        <v>Universidade de São Paulo</v>
      </c>
      <c r="D543">
        <v>4</v>
      </c>
      <c r="E543">
        <v>67</v>
      </c>
      <c r="F543">
        <v>16.75</v>
      </c>
      <c r="G543">
        <v>4</v>
      </c>
      <c r="H543">
        <v>2.41</v>
      </c>
      <c r="I543">
        <v>0</v>
      </c>
      <c r="J543">
        <v>0</v>
      </c>
      <c r="K543">
        <v>1</v>
      </c>
      <c r="L543">
        <v>1</v>
      </c>
      <c r="M543">
        <v>2</v>
      </c>
      <c r="N543">
        <v>4</v>
      </c>
      <c r="P543">
        <v>0</v>
      </c>
      <c r="Q543">
        <v>0</v>
      </c>
      <c r="R543">
        <v>2</v>
      </c>
      <c r="S543">
        <v>3</v>
      </c>
    </row>
    <row r="544" spans="1:19" x14ac:dyDescent="0.35">
      <c r="A544">
        <v>56048202300</v>
      </c>
      <c r="B544" t="s">
        <v>615</v>
      </c>
      <c r="C544" t="str">
        <f>_xlfn.XLOOKUP(A544,[1]Affiliations!$J$2:$J$5328,[1]Affiliations!$K$2:$K$5328,0)</f>
        <v>University of Campinas</v>
      </c>
      <c r="D544">
        <v>18</v>
      </c>
      <c r="E544">
        <v>444</v>
      </c>
      <c r="F544">
        <v>24.666665999999999</v>
      </c>
      <c r="G544">
        <v>11</v>
      </c>
      <c r="H544">
        <v>1.42</v>
      </c>
      <c r="I544">
        <v>0</v>
      </c>
      <c r="J544">
        <v>2</v>
      </c>
      <c r="K544">
        <v>4</v>
      </c>
      <c r="L544">
        <v>5</v>
      </c>
      <c r="M544">
        <v>11</v>
      </c>
      <c r="N544">
        <v>13</v>
      </c>
      <c r="P544">
        <v>0</v>
      </c>
      <c r="Q544">
        <v>2</v>
      </c>
      <c r="R544">
        <v>4</v>
      </c>
      <c r="S544">
        <v>8</v>
      </c>
    </row>
    <row r="545" spans="1:19" hidden="1" x14ac:dyDescent="0.35">
      <c r="A545">
        <v>57218502398</v>
      </c>
      <c r="B545" t="s">
        <v>557</v>
      </c>
      <c r="C545" t="str">
        <f>_xlfn.XLOOKUP(A545,[1]Affiliations!$J$2:$J$5328,[1]Affiliations!$K$2:$K$5328,0)</f>
        <v>Universidade Federal do Espírito Santo</v>
      </c>
      <c r="D545">
        <v>4</v>
      </c>
      <c r="E545">
        <v>219</v>
      </c>
      <c r="F545">
        <v>54.75</v>
      </c>
      <c r="G545">
        <v>4</v>
      </c>
      <c r="H545">
        <v>2.84</v>
      </c>
      <c r="I545">
        <v>0</v>
      </c>
      <c r="J545">
        <v>1</v>
      </c>
      <c r="K545">
        <v>1</v>
      </c>
      <c r="L545">
        <v>1</v>
      </c>
      <c r="M545">
        <v>2</v>
      </c>
      <c r="N545">
        <v>3</v>
      </c>
      <c r="P545">
        <v>0</v>
      </c>
      <c r="Q545">
        <v>2</v>
      </c>
      <c r="R545">
        <v>4</v>
      </c>
      <c r="S545">
        <v>4</v>
      </c>
    </row>
    <row r="546" spans="1:19" x14ac:dyDescent="0.35">
      <c r="A546">
        <v>21741336900</v>
      </c>
      <c r="B546" t="s">
        <v>2440</v>
      </c>
      <c r="C546" t="str">
        <f>_xlfn.XLOOKUP(A546,[1]Affiliations!$J$2:$J$5328,[1]Affiliations!$K$2:$K$5328,0)</f>
        <v>Universidade Federal Fluminense</v>
      </c>
      <c r="D546">
        <v>41</v>
      </c>
      <c r="E546">
        <v>957</v>
      </c>
      <c r="F546">
        <v>23.341463000000001</v>
      </c>
      <c r="G546">
        <v>21</v>
      </c>
      <c r="H546">
        <v>1.42</v>
      </c>
      <c r="I546">
        <v>0</v>
      </c>
      <c r="J546">
        <v>7</v>
      </c>
      <c r="K546">
        <v>14</v>
      </c>
      <c r="L546">
        <v>22</v>
      </c>
      <c r="M546">
        <v>33</v>
      </c>
      <c r="N546">
        <v>39</v>
      </c>
      <c r="P546">
        <v>0</v>
      </c>
      <c r="Q546">
        <v>3</v>
      </c>
      <c r="R546">
        <v>6</v>
      </c>
      <c r="S546">
        <v>19</v>
      </c>
    </row>
    <row r="547" spans="1:19" x14ac:dyDescent="0.35">
      <c r="A547">
        <v>57225841797</v>
      </c>
      <c r="B547" t="s">
        <v>2554</v>
      </c>
      <c r="C547" t="str">
        <f>_xlfn.XLOOKUP(A547,[1]Affiliations!$J$2:$J$5328,[1]Affiliations!$K$2:$K$5328,0)</f>
        <v>Federal University of Rio de Janeiro</v>
      </c>
      <c r="D547">
        <v>7</v>
      </c>
      <c r="E547">
        <v>243</v>
      </c>
      <c r="F547">
        <v>34.714286999999999</v>
      </c>
      <c r="G547">
        <v>6</v>
      </c>
      <c r="H547">
        <v>1.42</v>
      </c>
      <c r="I547">
        <v>0</v>
      </c>
      <c r="J547">
        <v>0</v>
      </c>
      <c r="K547">
        <v>4</v>
      </c>
      <c r="L547">
        <v>4</v>
      </c>
      <c r="M547">
        <v>6</v>
      </c>
      <c r="N547">
        <v>6</v>
      </c>
      <c r="P547">
        <v>0</v>
      </c>
      <c r="Q547">
        <v>1</v>
      </c>
      <c r="R547">
        <v>2</v>
      </c>
      <c r="S547">
        <v>4</v>
      </c>
    </row>
    <row r="548" spans="1:19" hidden="1" x14ac:dyDescent="0.35">
      <c r="A548">
        <v>6506700273</v>
      </c>
      <c r="B548" t="s">
        <v>560</v>
      </c>
      <c r="C548" t="str">
        <f>_xlfn.XLOOKUP(A548,[1]Affiliations!$J$2:$J$5328,[1]Affiliations!$K$2:$K$5328,0)</f>
        <v>Universidade de São Paulo</v>
      </c>
      <c r="D548">
        <v>6</v>
      </c>
      <c r="E548">
        <v>50</v>
      </c>
      <c r="F548">
        <v>8.3333329999999997</v>
      </c>
      <c r="G548">
        <v>7</v>
      </c>
      <c r="H548">
        <v>0.44</v>
      </c>
      <c r="I548">
        <v>0</v>
      </c>
      <c r="J548">
        <v>0</v>
      </c>
      <c r="K548">
        <v>1</v>
      </c>
      <c r="L548">
        <v>1</v>
      </c>
      <c r="M548">
        <v>3</v>
      </c>
      <c r="N548">
        <v>3</v>
      </c>
      <c r="P548">
        <v>0</v>
      </c>
      <c r="Q548">
        <v>0</v>
      </c>
      <c r="R548">
        <v>0</v>
      </c>
      <c r="S548">
        <v>1</v>
      </c>
    </row>
    <row r="549" spans="1:19" hidden="1" x14ac:dyDescent="0.35">
      <c r="A549">
        <v>57205511264</v>
      </c>
      <c r="B549" t="s">
        <v>561</v>
      </c>
      <c r="C549" t="str">
        <f>_xlfn.XLOOKUP(A549,[1]Affiliations!$J$2:$J$5328,[1]Affiliations!$K$2:$K$5328,0)</f>
        <v>Federal University of Rio de Janeiro</v>
      </c>
      <c r="D549">
        <v>6</v>
      </c>
      <c r="E549">
        <v>137</v>
      </c>
      <c r="F549">
        <v>22.833334000000001</v>
      </c>
      <c r="G549">
        <v>5</v>
      </c>
      <c r="H549">
        <v>0.49</v>
      </c>
      <c r="I549">
        <v>0</v>
      </c>
      <c r="J549">
        <v>0</v>
      </c>
      <c r="K549">
        <v>0</v>
      </c>
      <c r="L549">
        <v>4</v>
      </c>
      <c r="M549">
        <v>6</v>
      </c>
      <c r="N549">
        <v>6</v>
      </c>
      <c r="P549">
        <v>0</v>
      </c>
      <c r="Q549">
        <v>1</v>
      </c>
      <c r="R549">
        <v>1</v>
      </c>
      <c r="S549">
        <v>2</v>
      </c>
    </row>
    <row r="550" spans="1:19" hidden="1" x14ac:dyDescent="0.35">
      <c r="A550">
        <v>57209450179</v>
      </c>
      <c r="B550" t="s">
        <v>562</v>
      </c>
      <c r="C550" t="str">
        <f>_xlfn.XLOOKUP(A550,[1]Affiliations!$J$2:$J$5328,[1]Affiliations!$K$2:$K$5328,0)</f>
        <v>Universidade Federal do Paraná (+1 more)</v>
      </c>
      <c r="D550">
        <v>2</v>
      </c>
      <c r="E550">
        <v>11</v>
      </c>
      <c r="F550">
        <v>5.5</v>
      </c>
      <c r="G550">
        <v>2</v>
      </c>
      <c r="H550">
        <v>0.31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2</v>
      </c>
      <c r="P550">
        <v>0</v>
      </c>
      <c r="Q550">
        <v>0</v>
      </c>
      <c r="R550">
        <v>0</v>
      </c>
      <c r="S550">
        <v>0</v>
      </c>
    </row>
    <row r="551" spans="1:19" hidden="1" x14ac:dyDescent="0.35">
      <c r="A551">
        <v>55376168500</v>
      </c>
      <c r="B551" t="s">
        <v>563</v>
      </c>
      <c r="C551" t="str">
        <f>_xlfn.XLOOKUP(A551,[1]Affiliations!$J$2:$J$5328,[1]Affiliations!$K$2:$K$5328,0)</f>
        <v>Universidade Federal do Rio Grande do Sul (+1 more)</v>
      </c>
      <c r="D551">
        <v>17</v>
      </c>
      <c r="E551">
        <v>114</v>
      </c>
      <c r="F551">
        <v>6.7058825000000004</v>
      </c>
      <c r="G551">
        <v>7</v>
      </c>
      <c r="H551">
        <v>0.66</v>
      </c>
      <c r="I551">
        <v>0</v>
      </c>
      <c r="J551">
        <v>1</v>
      </c>
      <c r="K551">
        <v>5</v>
      </c>
      <c r="L551">
        <v>9</v>
      </c>
      <c r="M551">
        <v>11</v>
      </c>
      <c r="N551">
        <v>13</v>
      </c>
      <c r="P551">
        <v>0</v>
      </c>
      <c r="Q551">
        <v>0</v>
      </c>
      <c r="R551">
        <v>0</v>
      </c>
      <c r="S551">
        <v>2</v>
      </c>
    </row>
    <row r="552" spans="1:19" x14ac:dyDescent="0.35">
      <c r="A552">
        <v>55989421700</v>
      </c>
      <c r="B552" t="s">
        <v>3418</v>
      </c>
      <c r="C552" t="str">
        <f>_xlfn.XLOOKUP(A552,[1]Affiliations!$J$2:$J$5328,[1]Affiliations!$K$2:$K$5328,0)</f>
        <v>University of Campinas</v>
      </c>
      <c r="D552">
        <v>22</v>
      </c>
      <c r="E552">
        <v>956</v>
      </c>
      <c r="F552">
        <v>43.454543999999999</v>
      </c>
      <c r="G552">
        <v>16</v>
      </c>
      <c r="H552">
        <v>1.42</v>
      </c>
      <c r="I552">
        <v>2</v>
      </c>
      <c r="J552">
        <v>5</v>
      </c>
      <c r="K552">
        <v>7</v>
      </c>
      <c r="L552">
        <v>12</v>
      </c>
      <c r="M552">
        <v>17</v>
      </c>
      <c r="N552">
        <v>17</v>
      </c>
      <c r="P552">
        <v>2</v>
      </c>
      <c r="Q552">
        <v>2</v>
      </c>
      <c r="R552">
        <v>6</v>
      </c>
      <c r="S552">
        <v>13</v>
      </c>
    </row>
    <row r="553" spans="1:19" hidden="1" x14ac:dyDescent="0.35">
      <c r="A553">
        <v>23979602900</v>
      </c>
      <c r="B553" t="s">
        <v>565</v>
      </c>
      <c r="C553" t="str">
        <f>_xlfn.XLOOKUP(A553,[1]Affiliations!$J$2:$J$5328,[1]Affiliations!$K$2:$K$5328,0)</f>
        <v>Universidade de São Paulo</v>
      </c>
      <c r="D553">
        <v>7</v>
      </c>
      <c r="E553">
        <v>133</v>
      </c>
      <c r="F553">
        <v>19</v>
      </c>
      <c r="G553">
        <v>11</v>
      </c>
      <c r="H553">
        <v>0.53</v>
      </c>
      <c r="I553">
        <v>0</v>
      </c>
      <c r="J553">
        <v>0</v>
      </c>
      <c r="K553">
        <v>1</v>
      </c>
      <c r="L553">
        <v>3</v>
      </c>
      <c r="M553">
        <v>6</v>
      </c>
      <c r="N553">
        <v>6</v>
      </c>
      <c r="P553">
        <v>0</v>
      </c>
      <c r="Q553">
        <v>0</v>
      </c>
      <c r="R553">
        <v>0</v>
      </c>
      <c r="S553">
        <v>2</v>
      </c>
    </row>
    <row r="554" spans="1:19" x14ac:dyDescent="0.35">
      <c r="A554">
        <v>7005832618</v>
      </c>
      <c r="B554" t="s">
        <v>307</v>
      </c>
      <c r="C554" t="str">
        <f>_xlfn.XLOOKUP(A554,[1]Affiliations!$J$2:$J$5328,[1]Affiliations!$K$2:$K$5328,0)</f>
        <v>Universidade Federal do Ceará</v>
      </c>
      <c r="D554">
        <v>84</v>
      </c>
      <c r="E554">
        <v>2422</v>
      </c>
      <c r="F554">
        <v>28.833334000000001</v>
      </c>
      <c r="G554">
        <v>47</v>
      </c>
      <c r="H554">
        <v>1.41</v>
      </c>
      <c r="I554">
        <v>1</v>
      </c>
      <c r="J554">
        <v>9</v>
      </c>
      <c r="K554">
        <v>23</v>
      </c>
      <c r="L554">
        <v>55</v>
      </c>
      <c r="M554">
        <v>78</v>
      </c>
      <c r="N554">
        <v>81</v>
      </c>
      <c r="P554">
        <v>1</v>
      </c>
      <c r="Q554">
        <v>12</v>
      </c>
      <c r="R554">
        <v>19</v>
      </c>
      <c r="S554">
        <v>48</v>
      </c>
    </row>
    <row r="555" spans="1:19" x14ac:dyDescent="0.35">
      <c r="A555">
        <v>6506677034</v>
      </c>
      <c r="B555" t="s">
        <v>680</v>
      </c>
      <c r="C555" t="str">
        <f>_xlfn.XLOOKUP(A555,[1]Affiliations!$J$2:$J$5328,[1]Affiliations!$K$2:$K$5328,0)</f>
        <v>Centro Nacional de Pesquisa em Energia e Materiais</v>
      </c>
      <c r="D555">
        <v>51</v>
      </c>
      <c r="E555">
        <v>2165</v>
      </c>
      <c r="F555">
        <v>42.450980000000001</v>
      </c>
      <c r="G555">
        <v>33</v>
      </c>
      <c r="H555">
        <v>1.41</v>
      </c>
      <c r="I555">
        <v>3</v>
      </c>
      <c r="J555">
        <v>21</v>
      </c>
      <c r="K555">
        <v>33</v>
      </c>
      <c r="L555">
        <v>41</v>
      </c>
      <c r="M555">
        <v>48</v>
      </c>
      <c r="N555">
        <v>49</v>
      </c>
      <c r="P555">
        <v>3</v>
      </c>
      <c r="Q555">
        <v>6</v>
      </c>
      <c r="R555">
        <v>7</v>
      </c>
      <c r="S555">
        <v>28</v>
      </c>
    </row>
    <row r="556" spans="1:19" x14ac:dyDescent="0.35">
      <c r="A556">
        <v>57192113115</v>
      </c>
      <c r="B556" t="s">
        <v>782</v>
      </c>
      <c r="C556" t="str">
        <f>_xlfn.XLOOKUP(A556,[1]Affiliations!$J$2:$J$5328,[1]Affiliations!$K$2:$K$5328,0)</f>
        <v>Petróleo Brasileiro S.A. (+2 more)</v>
      </c>
      <c r="D556">
        <v>17</v>
      </c>
      <c r="E556">
        <v>760</v>
      </c>
      <c r="F556">
        <v>44.705883</v>
      </c>
      <c r="G556">
        <v>11</v>
      </c>
      <c r="H556">
        <v>1.41</v>
      </c>
      <c r="I556">
        <v>0</v>
      </c>
      <c r="J556">
        <v>1</v>
      </c>
      <c r="K556">
        <v>3</v>
      </c>
      <c r="L556">
        <v>9</v>
      </c>
      <c r="M556">
        <v>16</v>
      </c>
      <c r="N556">
        <v>17</v>
      </c>
      <c r="P556">
        <v>1</v>
      </c>
      <c r="Q556">
        <v>4</v>
      </c>
      <c r="R556">
        <v>8</v>
      </c>
      <c r="S556">
        <v>13</v>
      </c>
    </row>
    <row r="557" spans="1:19" x14ac:dyDescent="0.35">
      <c r="A557">
        <v>8516327500</v>
      </c>
      <c r="B557" t="s">
        <v>857</v>
      </c>
      <c r="C557" t="str">
        <f>_xlfn.XLOOKUP(A557,[1]Affiliations!$J$2:$J$5328,[1]Affiliations!$K$2:$K$5328,0)</f>
        <v>Federal University of Rio de Janeiro</v>
      </c>
      <c r="D557">
        <v>19</v>
      </c>
      <c r="E557">
        <v>727</v>
      </c>
      <c r="F557">
        <v>38.263157</v>
      </c>
      <c r="G557">
        <v>19</v>
      </c>
      <c r="H557">
        <v>1.41</v>
      </c>
      <c r="I557">
        <v>0</v>
      </c>
      <c r="J557">
        <v>4</v>
      </c>
      <c r="K557">
        <v>5</v>
      </c>
      <c r="L557">
        <v>13</v>
      </c>
      <c r="M557">
        <v>16</v>
      </c>
      <c r="N557">
        <v>18</v>
      </c>
      <c r="P557">
        <v>0</v>
      </c>
      <c r="Q557">
        <v>2</v>
      </c>
      <c r="R557">
        <v>7</v>
      </c>
      <c r="S557">
        <v>12</v>
      </c>
    </row>
    <row r="558" spans="1:19" hidden="1" x14ac:dyDescent="0.35">
      <c r="A558">
        <v>59454870900</v>
      </c>
      <c r="B558" t="s">
        <v>570</v>
      </c>
      <c r="C558" t="str">
        <f>_xlfn.XLOOKUP(A558,[1]Affiliations!$J$2:$J$5328,[1]Affiliations!$K$2:$K$5328,0)</f>
        <v>Universidade Federal do Rio Grande do Sul (+1 more)</v>
      </c>
      <c r="D558">
        <v>3</v>
      </c>
      <c r="E558">
        <v>11</v>
      </c>
      <c r="F558">
        <v>3.6666666999999999</v>
      </c>
      <c r="G558">
        <v>2</v>
      </c>
      <c r="H558">
        <v>0.48</v>
      </c>
      <c r="I558">
        <v>0</v>
      </c>
      <c r="J558">
        <v>0</v>
      </c>
      <c r="K558">
        <v>0</v>
      </c>
      <c r="L558">
        <v>2</v>
      </c>
      <c r="M558">
        <v>2</v>
      </c>
      <c r="N558">
        <v>3</v>
      </c>
      <c r="P558">
        <v>0</v>
      </c>
      <c r="Q558">
        <v>0</v>
      </c>
      <c r="R558">
        <v>0</v>
      </c>
      <c r="S558">
        <v>1</v>
      </c>
    </row>
    <row r="559" spans="1:19" x14ac:dyDescent="0.35">
      <c r="A559">
        <v>6602715112</v>
      </c>
      <c r="B559" t="s">
        <v>2206</v>
      </c>
      <c r="C559" t="str">
        <f>_xlfn.XLOOKUP(A559,[1]Affiliations!$J$2:$J$5328,[1]Affiliations!$K$2:$K$5328,0)</f>
        <v>University of Campinas</v>
      </c>
      <c r="D559">
        <v>79</v>
      </c>
      <c r="E559">
        <v>2356</v>
      </c>
      <c r="F559">
        <v>29.822783999999999</v>
      </c>
      <c r="G559">
        <v>37</v>
      </c>
      <c r="H559">
        <v>1.41</v>
      </c>
      <c r="I559">
        <v>8</v>
      </c>
      <c r="J559">
        <v>41</v>
      </c>
      <c r="K559">
        <v>54</v>
      </c>
      <c r="L559">
        <v>65</v>
      </c>
      <c r="M559">
        <v>68</v>
      </c>
      <c r="N559">
        <v>77</v>
      </c>
      <c r="P559">
        <v>0</v>
      </c>
      <c r="Q559">
        <v>9</v>
      </c>
      <c r="R559">
        <v>20</v>
      </c>
      <c r="S559">
        <v>40</v>
      </c>
    </row>
    <row r="560" spans="1:19" x14ac:dyDescent="0.35">
      <c r="A560">
        <v>55861050100</v>
      </c>
      <c r="B560" t="s">
        <v>3446</v>
      </c>
      <c r="C560" t="str">
        <f>_xlfn.XLOOKUP(A560,[1]Affiliations!$J$2:$J$5328,[1]Affiliations!$K$2:$K$5328,0)</f>
        <v>Universidade de São Paulo (+1 more)</v>
      </c>
      <c r="D560">
        <v>8</v>
      </c>
      <c r="E560">
        <v>186</v>
      </c>
      <c r="F560">
        <v>23.25</v>
      </c>
      <c r="G560">
        <v>7</v>
      </c>
      <c r="H560">
        <v>1.41</v>
      </c>
      <c r="I560">
        <v>0</v>
      </c>
      <c r="J560">
        <v>2</v>
      </c>
      <c r="K560">
        <v>2</v>
      </c>
      <c r="L560">
        <v>5</v>
      </c>
      <c r="M560">
        <v>6</v>
      </c>
      <c r="N560">
        <v>8</v>
      </c>
      <c r="P560">
        <v>0</v>
      </c>
      <c r="Q560">
        <v>1</v>
      </c>
      <c r="R560">
        <v>2</v>
      </c>
      <c r="S560">
        <v>5</v>
      </c>
    </row>
    <row r="561" spans="1:19" hidden="1" x14ac:dyDescent="0.35">
      <c r="A561">
        <v>7005141621</v>
      </c>
      <c r="B561" t="s">
        <v>573</v>
      </c>
      <c r="C561" t="str">
        <f>_xlfn.XLOOKUP(A561,[1]Affiliations!$J$2:$J$5328,[1]Affiliations!$K$2:$K$5328,0)</f>
        <v>Pontifical Catholic University of Rio de Janeiro (+1 more)</v>
      </c>
      <c r="D561">
        <v>8</v>
      </c>
      <c r="E561">
        <v>45</v>
      </c>
      <c r="F561">
        <v>5.625</v>
      </c>
      <c r="G561">
        <v>8</v>
      </c>
      <c r="H561">
        <v>0.35</v>
      </c>
      <c r="I561">
        <v>0</v>
      </c>
      <c r="J561">
        <v>0</v>
      </c>
      <c r="K561">
        <v>0</v>
      </c>
      <c r="L561">
        <v>0</v>
      </c>
      <c r="M561">
        <v>6</v>
      </c>
      <c r="N561">
        <v>8</v>
      </c>
      <c r="P561">
        <v>0</v>
      </c>
      <c r="Q561">
        <v>0</v>
      </c>
      <c r="R561">
        <v>0</v>
      </c>
      <c r="S561">
        <v>0</v>
      </c>
    </row>
    <row r="562" spans="1:19" hidden="1" x14ac:dyDescent="0.35">
      <c r="A562">
        <v>58000759200</v>
      </c>
      <c r="B562" t="s">
        <v>574</v>
      </c>
      <c r="C562" t="str">
        <f>_xlfn.XLOOKUP(A562,[1]Affiliations!$J$2:$J$5328,[1]Affiliations!$K$2:$K$5328,0)</f>
        <v>Universidade Federal Rural do Rio de Janeiro (+1 more)</v>
      </c>
      <c r="D562">
        <v>1</v>
      </c>
      <c r="E562">
        <v>6</v>
      </c>
      <c r="F562">
        <v>6</v>
      </c>
      <c r="G562">
        <v>1</v>
      </c>
      <c r="H562">
        <v>0.77</v>
      </c>
      <c r="I562">
        <v>0</v>
      </c>
      <c r="J562">
        <v>0</v>
      </c>
      <c r="K562">
        <v>0</v>
      </c>
      <c r="L562">
        <v>0</v>
      </c>
      <c r="M562">
        <v>1</v>
      </c>
      <c r="N562">
        <v>1</v>
      </c>
      <c r="P562">
        <v>0</v>
      </c>
      <c r="Q562">
        <v>0</v>
      </c>
      <c r="R562">
        <v>0</v>
      </c>
      <c r="S562">
        <v>0</v>
      </c>
    </row>
    <row r="563" spans="1:19" hidden="1" x14ac:dyDescent="0.35">
      <c r="A563">
        <v>57216781938</v>
      </c>
      <c r="B563" t="s">
        <v>575</v>
      </c>
      <c r="C563" t="str">
        <f>_xlfn.XLOOKUP(A563,[1]Affiliations!$J$2:$J$5328,[1]Affiliations!$K$2:$K$5328,0)</f>
        <v>Pontifical Catholic University of Rio de Janeiro (+1 more)</v>
      </c>
      <c r="D563">
        <v>5</v>
      </c>
      <c r="E563">
        <v>7</v>
      </c>
      <c r="F563">
        <v>1.4</v>
      </c>
      <c r="G563">
        <v>1</v>
      </c>
      <c r="H563">
        <v>0.09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P563">
        <v>0</v>
      </c>
      <c r="Q563">
        <v>0</v>
      </c>
      <c r="R563">
        <v>0</v>
      </c>
      <c r="S563">
        <v>0</v>
      </c>
    </row>
    <row r="564" spans="1:19" hidden="1" x14ac:dyDescent="0.35">
      <c r="A564">
        <v>57202905125</v>
      </c>
      <c r="B564" t="s">
        <v>576</v>
      </c>
      <c r="C564" t="str">
        <f>_xlfn.XLOOKUP(A564,[1]Affiliations!$J$2:$J$5328,[1]Affiliations!$K$2:$K$5328,0)</f>
        <v>Federal University of Rio de Janeiro</v>
      </c>
      <c r="D564">
        <v>2</v>
      </c>
      <c r="E564">
        <v>23</v>
      </c>
      <c r="F564">
        <v>11.5</v>
      </c>
      <c r="G564">
        <v>1</v>
      </c>
      <c r="H564">
        <v>0.44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P564">
        <v>0</v>
      </c>
      <c r="Q564">
        <v>0</v>
      </c>
      <c r="R564">
        <v>0</v>
      </c>
      <c r="S564">
        <v>1</v>
      </c>
    </row>
    <row r="565" spans="1:19" hidden="1" x14ac:dyDescent="0.35">
      <c r="A565">
        <v>57217628152</v>
      </c>
      <c r="B565" t="s">
        <v>577</v>
      </c>
      <c r="C565" t="str">
        <f>_xlfn.XLOOKUP(A565,[1]Affiliations!$J$2:$J$5328,[1]Affiliations!$K$2:$K$5328,0)</f>
        <v>Federal University of Rio de Janeiro</v>
      </c>
      <c r="D565">
        <v>2</v>
      </c>
      <c r="E565">
        <v>6</v>
      </c>
      <c r="F565">
        <v>3</v>
      </c>
      <c r="G565">
        <v>1</v>
      </c>
      <c r="H565">
        <v>0.15</v>
      </c>
      <c r="I565">
        <v>0</v>
      </c>
      <c r="J565">
        <v>0</v>
      </c>
      <c r="K565">
        <v>1</v>
      </c>
      <c r="L565">
        <v>1</v>
      </c>
      <c r="M565">
        <v>1</v>
      </c>
      <c r="N565">
        <v>2</v>
      </c>
      <c r="P565">
        <v>0</v>
      </c>
      <c r="Q565">
        <v>0</v>
      </c>
      <c r="R565">
        <v>0</v>
      </c>
      <c r="S565">
        <v>0</v>
      </c>
    </row>
    <row r="566" spans="1:19" x14ac:dyDescent="0.35">
      <c r="A566">
        <v>22986345400</v>
      </c>
      <c r="B566" t="s">
        <v>3924</v>
      </c>
      <c r="C566" t="str">
        <f>_xlfn.XLOOKUP(A566,[1]Affiliations!$J$2:$J$5328,[1]Affiliations!$K$2:$K$5328,0)</f>
        <v>Universidade Federal do Rio Grande do Norte</v>
      </c>
      <c r="D566">
        <v>14</v>
      </c>
      <c r="E566">
        <v>215</v>
      </c>
      <c r="F566">
        <v>15.357142</v>
      </c>
      <c r="G566">
        <v>8</v>
      </c>
      <c r="H566">
        <v>1.41</v>
      </c>
      <c r="I566">
        <v>0</v>
      </c>
      <c r="J566">
        <v>3</v>
      </c>
      <c r="K566">
        <v>5</v>
      </c>
      <c r="L566">
        <v>9</v>
      </c>
      <c r="M566">
        <v>12</v>
      </c>
      <c r="N566">
        <v>12</v>
      </c>
      <c r="P566">
        <v>0</v>
      </c>
      <c r="Q566">
        <v>0</v>
      </c>
      <c r="R566">
        <v>2</v>
      </c>
      <c r="S566">
        <v>7</v>
      </c>
    </row>
    <row r="567" spans="1:19" hidden="1" x14ac:dyDescent="0.35">
      <c r="A567">
        <v>59715658000</v>
      </c>
      <c r="B567" t="s">
        <v>579</v>
      </c>
      <c r="C567" t="str">
        <f>_xlfn.XLOOKUP(A567,[1]Affiliations!$J$2:$J$5328,[1]Affiliations!$K$2:$K$5328,0)</f>
        <v>Parque Tecnológico</v>
      </c>
      <c r="D567">
        <v>0</v>
      </c>
      <c r="G567">
        <v>0</v>
      </c>
    </row>
    <row r="568" spans="1:19" hidden="1" x14ac:dyDescent="0.35">
      <c r="A568">
        <v>57211435385</v>
      </c>
      <c r="B568" t="s">
        <v>580</v>
      </c>
      <c r="C568" t="str">
        <f>_xlfn.XLOOKUP(A568,[1]Affiliations!$J$2:$J$5328,[1]Affiliations!$K$2:$K$5328,0)</f>
        <v>Pontifícia Universidade Católica do Rio Grande do Sul</v>
      </c>
      <c r="D568">
        <v>2</v>
      </c>
      <c r="E568">
        <v>11</v>
      </c>
      <c r="F568">
        <v>5.5</v>
      </c>
      <c r="G568">
        <v>2</v>
      </c>
      <c r="H568">
        <v>0.41</v>
      </c>
      <c r="I568">
        <v>0</v>
      </c>
      <c r="J568">
        <v>2</v>
      </c>
      <c r="K568">
        <v>2</v>
      </c>
      <c r="L568">
        <v>2</v>
      </c>
      <c r="M568">
        <v>2</v>
      </c>
      <c r="N568">
        <v>2</v>
      </c>
      <c r="P568">
        <v>0</v>
      </c>
      <c r="Q568">
        <v>0</v>
      </c>
      <c r="R568">
        <v>0</v>
      </c>
      <c r="S568">
        <v>0</v>
      </c>
    </row>
    <row r="569" spans="1:19" x14ac:dyDescent="0.35">
      <c r="A569">
        <v>56405183700</v>
      </c>
      <c r="B569" t="s">
        <v>998</v>
      </c>
      <c r="C569" t="str">
        <f>_xlfn.XLOOKUP(A569,[1]Affiliations!$J$2:$J$5328,[1]Affiliations!$K$2:$K$5328,0)</f>
        <v>Federal University of Rio de Janeiro</v>
      </c>
      <c r="D569">
        <v>13</v>
      </c>
      <c r="E569">
        <v>287</v>
      </c>
      <c r="F569">
        <v>22.076923000000001</v>
      </c>
      <c r="G569">
        <v>8</v>
      </c>
      <c r="H569">
        <v>1.4</v>
      </c>
      <c r="I569">
        <v>0</v>
      </c>
      <c r="J569">
        <v>2</v>
      </c>
      <c r="K569">
        <v>4</v>
      </c>
      <c r="L569">
        <v>8</v>
      </c>
      <c r="M569">
        <v>9</v>
      </c>
      <c r="N569">
        <v>11</v>
      </c>
      <c r="P569">
        <v>0</v>
      </c>
      <c r="Q569">
        <v>1</v>
      </c>
      <c r="R569">
        <v>1</v>
      </c>
      <c r="S569">
        <v>4</v>
      </c>
    </row>
    <row r="570" spans="1:19" x14ac:dyDescent="0.35">
      <c r="A570">
        <v>14631953900</v>
      </c>
      <c r="B570" t="s">
        <v>2570</v>
      </c>
      <c r="C570" t="str">
        <f>_xlfn.XLOOKUP(A570,[1]Affiliations!$J$2:$J$5328,[1]Affiliations!$K$2:$K$5328,0)</f>
        <v>Universidade de São Paulo</v>
      </c>
      <c r="D570">
        <v>25</v>
      </c>
      <c r="E570">
        <v>507</v>
      </c>
      <c r="F570">
        <v>20.28</v>
      </c>
      <c r="G570">
        <v>19</v>
      </c>
      <c r="H570">
        <v>1.4</v>
      </c>
      <c r="I570">
        <v>0</v>
      </c>
      <c r="J570">
        <v>1</v>
      </c>
      <c r="K570">
        <v>6</v>
      </c>
      <c r="L570">
        <v>15</v>
      </c>
      <c r="M570">
        <v>18</v>
      </c>
      <c r="N570">
        <v>20</v>
      </c>
      <c r="P570">
        <v>0</v>
      </c>
      <c r="Q570">
        <v>2</v>
      </c>
      <c r="R570">
        <v>3</v>
      </c>
      <c r="S570">
        <v>13</v>
      </c>
    </row>
    <row r="571" spans="1:19" hidden="1" x14ac:dyDescent="0.35">
      <c r="A571">
        <v>57195462043</v>
      </c>
      <c r="B571" t="s">
        <v>583</v>
      </c>
      <c r="C571" t="str">
        <f>_xlfn.XLOOKUP(A571,[1]Affiliations!$J$2:$J$5328,[1]Affiliations!$K$2:$K$5328,0)</f>
        <v>Federal University of Rio de Janeiro</v>
      </c>
      <c r="D571">
        <v>2</v>
      </c>
      <c r="E571">
        <v>35</v>
      </c>
      <c r="F571">
        <v>17.5</v>
      </c>
      <c r="G571">
        <v>2</v>
      </c>
      <c r="H571">
        <v>0.48</v>
      </c>
      <c r="I571">
        <v>0</v>
      </c>
      <c r="J571">
        <v>0</v>
      </c>
      <c r="K571">
        <v>0</v>
      </c>
      <c r="L571">
        <v>1</v>
      </c>
      <c r="M571">
        <v>2</v>
      </c>
      <c r="N571">
        <v>2</v>
      </c>
      <c r="P571">
        <v>0</v>
      </c>
      <c r="Q571">
        <v>0</v>
      </c>
      <c r="R571">
        <v>0</v>
      </c>
      <c r="S571">
        <v>0</v>
      </c>
    </row>
    <row r="572" spans="1:19" hidden="1" x14ac:dyDescent="0.35">
      <c r="A572">
        <v>6603271532</v>
      </c>
      <c r="B572" t="s">
        <v>584</v>
      </c>
      <c r="C572" t="str">
        <f>_xlfn.XLOOKUP(A572,[1]Affiliations!$J$2:$J$5328,[1]Affiliations!$K$2:$K$5328,0)</f>
        <v>Universidade Federal de Santa Maria</v>
      </c>
      <c r="D572">
        <v>1</v>
      </c>
      <c r="E572">
        <v>18</v>
      </c>
      <c r="F572">
        <v>18</v>
      </c>
      <c r="G572">
        <v>13</v>
      </c>
      <c r="H572">
        <v>0.76</v>
      </c>
      <c r="I572">
        <v>0</v>
      </c>
      <c r="J572">
        <v>0</v>
      </c>
      <c r="K572">
        <v>1</v>
      </c>
      <c r="L572">
        <v>1</v>
      </c>
      <c r="M572">
        <v>1</v>
      </c>
      <c r="N572">
        <v>1</v>
      </c>
      <c r="P572">
        <v>0</v>
      </c>
      <c r="Q572">
        <v>0</v>
      </c>
      <c r="R572">
        <v>0</v>
      </c>
      <c r="S572">
        <v>0</v>
      </c>
    </row>
    <row r="573" spans="1:19" hidden="1" x14ac:dyDescent="0.35">
      <c r="A573">
        <v>58479453900</v>
      </c>
      <c r="B573" t="s">
        <v>585</v>
      </c>
      <c r="C573" t="str">
        <f>_xlfn.XLOOKUP(A573,[1]Affiliations!$J$2:$J$5328,[1]Affiliations!$K$2:$K$5328,0)</f>
        <v>Pontifical Catholic University of Rio de Janeiro</v>
      </c>
      <c r="D573">
        <v>2</v>
      </c>
      <c r="E573">
        <v>3</v>
      </c>
      <c r="F573">
        <v>1.5</v>
      </c>
      <c r="G573">
        <v>1</v>
      </c>
      <c r="H573">
        <v>0.14000000000000001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P573">
        <v>0</v>
      </c>
      <c r="Q573">
        <v>0</v>
      </c>
      <c r="R573">
        <v>0</v>
      </c>
      <c r="S573">
        <v>0</v>
      </c>
    </row>
    <row r="574" spans="1:19" hidden="1" x14ac:dyDescent="0.35">
      <c r="A574">
        <v>57878430500</v>
      </c>
      <c r="B574" t="s">
        <v>586</v>
      </c>
      <c r="C574" t="str">
        <f>_xlfn.XLOOKUP(A574,[1]Affiliations!$J$2:$J$5328,[1]Affiliations!$K$2:$K$5328,0)</f>
        <v>Pontifical Catholic University of Rio de Janeiro</v>
      </c>
      <c r="D574">
        <v>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5">
      <c r="A575">
        <v>57193750121</v>
      </c>
      <c r="B575" t="s">
        <v>2652</v>
      </c>
      <c r="C575" t="str">
        <f>_xlfn.XLOOKUP(A575,[1]Affiliations!$J$2:$J$5328,[1]Affiliations!$K$2:$K$5328,0)</f>
        <v>University of Campinas</v>
      </c>
      <c r="D575">
        <v>27</v>
      </c>
      <c r="E575">
        <v>151</v>
      </c>
      <c r="F575">
        <v>5.5925927</v>
      </c>
      <c r="G575">
        <v>8</v>
      </c>
      <c r="H575">
        <v>1.4</v>
      </c>
      <c r="I575">
        <v>0</v>
      </c>
      <c r="J575">
        <v>4</v>
      </c>
      <c r="K575">
        <v>8</v>
      </c>
      <c r="L575">
        <v>10</v>
      </c>
      <c r="M575">
        <v>11</v>
      </c>
      <c r="N575">
        <v>15</v>
      </c>
      <c r="P575">
        <v>0</v>
      </c>
      <c r="Q575">
        <v>1</v>
      </c>
      <c r="R575">
        <v>1</v>
      </c>
      <c r="S575">
        <v>6</v>
      </c>
    </row>
    <row r="576" spans="1:19" hidden="1" x14ac:dyDescent="0.35">
      <c r="A576">
        <v>58995963900</v>
      </c>
      <c r="B576" t="s">
        <v>588</v>
      </c>
      <c r="C576" t="str">
        <f>_xlfn.XLOOKUP(A576,[1]Affiliations!$J$2:$J$5328,[1]Affiliations!$K$2:$K$5328,0)</f>
        <v>Federal University of Rio de Janeiro</v>
      </c>
      <c r="D576">
        <v>1</v>
      </c>
      <c r="E576">
        <v>1</v>
      </c>
      <c r="F576">
        <v>1</v>
      </c>
      <c r="G576">
        <v>1</v>
      </c>
      <c r="H576">
        <v>0.14000000000000001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1</v>
      </c>
      <c r="P576">
        <v>0</v>
      </c>
      <c r="Q576">
        <v>0</v>
      </c>
      <c r="R576">
        <v>0</v>
      </c>
      <c r="S576">
        <v>0</v>
      </c>
    </row>
    <row r="577" spans="1:19" hidden="1" x14ac:dyDescent="0.35">
      <c r="A577">
        <v>57220803849</v>
      </c>
      <c r="B577" t="s">
        <v>589</v>
      </c>
      <c r="C577" t="str">
        <f>_xlfn.XLOOKUP(A577,[1]Affiliations!$J$2:$J$5328,[1]Affiliations!$K$2:$K$5328,0)</f>
        <v>Pontifical Catholic University of Rio de Janeiro</v>
      </c>
      <c r="D577">
        <v>1</v>
      </c>
      <c r="E577">
        <v>13</v>
      </c>
      <c r="F577">
        <v>13</v>
      </c>
      <c r="G577">
        <v>1</v>
      </c>
      <c r="H577">
        <v>1.56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1</v>
      </c>
      <c r="P577">
        <v>0</v>
      </c>
      <c r="Q577">
        <v>0</v>
      </c>
      <c r="R577">
        <v>0</v>
      </c>
      <c r="S577">
        <v>0</v>
      </c>
    </row>
    <row r="578" spans="1:19" hidden="1" x14ac:dyDescent="0.35">
      <c r="A578">
        <v>59548044900</v>
      </c>
      <c r="B578" t="s">
        <v>590</v>
      </c>
      <c r="C578" t="str">
        <f>_xlfn.XLOOKUP(A578,[1]Affiliations!$J$2:$J$5328,[1]Affiliations!$K$2:$K$5328,0)</f>
        <v>Universidade Federal de Pernambuco</v>
      </c>
      <c r="D578">
        <v>0</v>
      </c>
      <c r="G578">
        <v>1</v>
      </c>
    </row>
    <row r="579" spans="1:19" x14ac:dyDescent="0.35">
      <c r="A579">
        <v>6507101845</v>
      </c>
      <c r="B579" t="s">
        <v>3836</v>
      </c>
      <c r="C579" t="str">
        <f>_xlfn.XLOOKUP(A579,[1]Affiliations!$J$2:$J$5328,[1]Affiliations!$K$2:$K$5328,0)</f>
        <v>Universidade Federal de Minas Gerais</v>
      </c>
      <c r="D579">
        <v>71</v>
      </c>
      <c r="E579">
        <v>1989</v>
      </c>
      <c r="F579">
        <v>28.014084</v>
      </c>
      <c r="G579">
        <v>35</v>
      </c>
      <c r="H579">
        <v>1.4</v>
      </c>
      <c r="I579">
        <v>5</v>
      </c>
      <c r="J579">
        <v>12</v>
      </c>
      <c r="K579">
        <v>27</v>
      </c>
      <c r="L579">
        <v>35</v>
      </c>
      <c r="M579">
        <v>64</v>
      </c>
      <c r="N579">
        <v>68</v>
      </c>
      <c r="P579">
        <v>0</v>
      </c>
      <c r="Q579">
        <v>4</v>
      </c>
      <c r="R579">
        <v>14</v>
      </c>
      <c r="S579">
        <v>40</v>
      </c>
    </row>
    <row r="580" spans="1:19" hidden="1" x14ac:dyDescent="0.35">
      <c r="A580">
        <v>57279479300</v>
      </c>
      <c r="B580" t="s">
        <v>592</v>
      </c>
      <c r="C580" t="str">
        <f>_xlfn.XLOOKUP(A580,[1]Affiliations!$J$2:$J$5328,[1]Affiliations!$K$2:$K$5328,0)</f>
        <v>Universidade Federal Fluminense</v>
      </c>
      <c r="D580">
        <v>1</v>
      </c>
      <c r="E580">
        <v>14</v>
      </c>
      <c r="F580">
        <v>14</v>
      </c>
      <c r="G580">
        <v>1</v>
      </c>
      <c r="H580">
        <v>0.74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P580">
        <v>0</v>
      </c>
      <c r="Q580">
        <v>0</v>
      </c>
      <c r="R580">
        <v>0</v>
      </c>
      <c r="S580">
        <v>0</v>
      </c>
    </row>
    <row r="581" spans="1:19" hidden="1" x14ac:dyDescent="0.35">
      <c r="A581">
        <v>57462839200</v>
      </c>
      <c r="B581" t="s">
        <v>593</v>
      </c>
      <c r="C581" t="str">
        <f>_xlfn.XLOOKUP(A581,[1]Affiliations!$J$2:$J$5328,[1]Affiliations!$K$2:$K$5328,0)</f>
        <v>Pontifical Catholic University of Rio de Janeiro</v>
      </c>
      <c r="D581">
        <v>2</v>
      </c>
      <c r="E581">
        <v>15</v>
      </c>
      <c r="F581">
        <v>7.5</v>
      </c>
      <c r="G581">
        <v>2</v>
      </c>
      <c r="H581">
        <v>0.48</v>
      </c>
      <c r="I581">
        <v>0</v>
      </c>
      <c r="J581">
        <v>0</v>
      </c>
      <c r="K581">
        <v>1</v>
      </c>
      <c r="L581">
        <v>2</v>
      </c>
      <c r="M581">
        <v>2</v>
      </c>
      <c r="N581">
        <v>2</v>
      </c>
      <c r="P581">
        <v>0</v>
      </c>
      <c r="Q581">
        <v>0</v>
      </c>
      <c r="R581">
        <v>0</v>
      </c>
      <c r="S581">
        <v>0</v>
      </c>
    </row>
    <row r="582" spans="1:19" hidden="1" x14ac:dyDescent="0.35">
      <c r="A582">
        <v>6701590219</v>
      </c>
      <c r="B582" t="s">
        <v>594</v>
      </c>
      <c r="C582" t="str">
        <f>_xlfn.XLOOKUP(A582,[1]Affiliations!$J$2:$J$5328,[1]Affiliations!$K$2:$K$5328,0)</f>
        <v>Universidade de São Paulo</v>
      </c>
      <c r="D582">
        <v>20</v>
      </c>
      <c r="E582">
        <v>107</v>
      </c>
      <c r="F582">
        <v>5.35</v>
      </c>
      <c r="G582">
        <v>12</v>
      </c>
      <c r="H582">
        <v>0.19</v>
      </c>
      <c r="I582">
        <v>0</v>
      </c>
      <c r="J582">
        <v>0</v>
      </c>
      <c r="K582">
        <v>0</v>
      </c>
      <c r="L582">
        <v>2</v>
      </c>
      <c r="M582">
        <v>8</v>
      </c>
      <c r="N582">
        <v>18</v>
      </c>
      <c r="P582">
        <v>0</v>
      </c>
      <c r="Q582">
        <v>0</v>
      </c>
      <c r="R582">
        <v>0</v>
      </c>
      <c r="S582">
        <v>0</v>
      </c>
    </row>
    <row r="583" spans="1:19" x14ac:dyDescent="0.35">
      <c r="A583">
        <v>57198846320</v>
      </c>
      <c r="B583" t="s">
        <v>4560</v>
      </c>
      <c r="C583" t="str">
        <f>_xlfn.XLOOKUP(A583,[1]Affiliations!$J$2:$J$5328,[1]Affiliations!$K$2:$K$5328,0)</f>
        <v>University of Campinas (+1 more)</v>
      </c>
      <c r="D583">
        <v>9</v>
      </c>
      <c r="E583">
        <v>389</v>
      </c>
      <c r="F583">
        <v>43.22222</v>
      </c>
      <c r="G583">
        <v>15</v>
      </c>
      <c r="H583">
        <v>1.4</v>
      </c>
      <c r="I583">
        <v>0</v>
      </c>
      <c r="J583">
        <v>0</v>
      </c>
      <c r="K583">
        <v>1</v>
      </c>
      <c r="L583">
        <v>6</v>
      </c>
      <c r="M583">
        <v>9</v>
      </c>
      <c r="N583">
        <v>9</v>
      </c>
      <c r="P583">
        <v>0</v>
      </c>
      <c r="Q583">
        <v>1</v>
      </c>
      <c r="R583">
        <v>3</v>
      </c>
      <c r="S583">
        <v>5</v>
      </c>
    </row>
    <row r="584" spans="1:19" hidden="1" x14ac:dyDescent="0.35">
      <c r="A584">
        <v>58678068200</v>
      </c>
      <c r="B584" t="s">
        <v>596</v>
      </c>
      <c r="C584" t="str">
        <f>_xlfn.XLOOKUP(A584,[1]Affiliations!$J$2:$J$5328,[1]Affiliations!$K$2:$K$5328,0)</f>
        <v>SENAI Innovation Institute of Green Chemistry</v>
      </c>
      <c r="D584">
        <v>1</v>
      </c>
      <c r="E584">
        <v>0</v>
      </c>
      <c r="F584">
        <v>0</v>
      </c>
      <c r="G584">
        <v>0</v>
      </c>
      <c r="H584">
        <v>0</v>
      </c>
      <c r="P584">
        <v>0</v>
      </c>
      <c r="Q584">
        <v>0</v>
      </c>
      <c r="R584">
        <v>0</v>
      </c>
      <c r="S584">
        <v>0</v>
      </c>
    </row>
    <row r="585" spans="1:19" hidden="1" x14ac:dyDescent="0.35">
      <c r="A585">
        <v>56118906700</v>
      </c>
      <c r="B585" t="s">
        <v>597</v>
      </c>
      <c r="C585" t="str">
        <f>_xlfn.XLOOKUP(A585,[1]Affiliations!$J$2:$J$5328,[1]Affiliations!$K$2:$K$5328,0)</f>
        <v>Universidade Federal Fluminense</v>
      </c>
      <c r="D585">
        <v>1</v>
      </c>
      <c r="E585">
        <v>19</v>
      </c>
      <c r="F585">
        <v>19</v>
      </c>
      <c r="G585">
        <v>2</v>
      </c>
      <c r="H585">
        <v>0.73</v>
      </c>
      <c r="I585">
        <v>0</v>
      </c>
      <c r="J585">
        <v>0</v>
      </c>
      <c r="K585">
        <v>0</v>
      </c>
      <c r="L585">
        <v>0</v>
      </c>
      <c r="M585">
        <v>1</v>
      </c>
      <c r="N585">
        <v>1</v>
      </c>
      <c r="P585">
        <v>0</v>
      </c>
      <c r="Q585">
        <v>0</v>
      </c>
      <c r="R585">
        <v>0</v>
      </c>
      <c r="S585">
        <v>0</v>
      </c>
    </row>
    <row r="586" spans="1:19" x14ac:dyDescent="0.35">
      <c r="A586">
        <v>57223814367</v>
      </c>
      <c r="B586" t="s">
        <v>4673</v>
      </c>
      <c r="C586" t="str">
        <f>_xlfn.XLOOKUP(A586,[1]Affiliations!$J$2:$J$5328,[1]Affiliations!$K$2:$K$5328,0)</f>
        <v>Universidade de Brasília</v>
      </c>
      <c r="D586">
        <v>11</v>
      </c>
      <c r="E586">
        <v>74</v>
      </c>
      <c r="F586">
        <v>6.7272724999999998</v>
      </c>
      <c r="G586">
        <v>5</v>
      </c>
      <c r="H586">
        <v>1.4</v>
      </c>
      <c r="I586">
        <v>0</v>
      </c>
      <c r="J586">
        <v>0</v>
      </c>
      <c r="K586">
        <v>1</v>
      </c>
      <c r="L586">
        <v>2</v>
      </c>
      <c r="M586">
        <v>3</v>
      </c>
      <c r="N586">
        <v>9</v>
      </c>
      <c r="P586">
        <v>0</v>
      </c>
      <c r="Q586">
        <v>0</v>
      </c>
      <c r="R586">
        <v>1</v>
      </c>
      <c r="S586">
        <v>1</v>
      </c>
    </row>
    <row r="587" spans="1:19" hidden="1" x14ac:dyDescent="0.35">
      <c r="A587">
        <v>7004153805</v>
      </c>
      <c r="B587" t="s">
        <v>599</v>
      </c>
      <c r="C587" t="str">
        <f>_xlfn.XLOOKUP(A587,[1]Affiliations!$J$2:$J$5328,[1]Affiliations!$K$2:$K$5328,0)</f>
        <v>Universidade Federal do Rio Grande do Sul</v>
      </c>
      <c r="D587">
        <v>0</v>
      </c>
      <c r="G587">
        <v>8</v>
      </c>
    </row>
    <row r="588" spans="1:19" hidden="1" x14ac:dyDescent="0.35">
      <c r="A588">
        <v>59205811200</v>
      </c>
      <c r="B588" t="s">
        <v>600</v>
      </c>
      <c r="C588" t="str">
        <f>_xlfn.XLOOKUP(A588,[1]Affiliations!$J$2:$J$5328,[1]Affiliations!$K$2:$K$5328,0)</f>
        <v>Federal University of Rio de Janeiro</v>
      </c>
      <c r="D588">
        <v>1</v>
      </c>
      <c r="E588">
        <v>4</v>
      </c>
      <c r="F588">
        <v>4</v>
      </c>
      <c r="G588">
        <v>1</v>
      </c>
      <c r="H588">
        <v>0.49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P588">
        <v>0</v>
      </c>
      <c r="Q588">
        <v>0</v>
      </c>
      <c r="R588">
        <v>0</v>
      </c>
      <c r="S588">
        <v>0</v>
      </c>
    </row>
    <row r="589" spans="1:19" x14ac:dyDescent="0.35">
      <c r="A589">
        <v>15924643400</v>
      </c>
      <c r="B589" t="s">
        <v>5107</v>
      </c>
      <c r="C589" t="str">
        <f>_xlfn.XLOOKUP(A589,[1]Affiliations!$J$2:$J$5328,[1]Affiliations!$K$2:$K$5328,0)</f>
        <v>Pontifical Catholic University of Rio de Janeiro</v>
      </c>
      <c r="D589">
        <v>10</v>
      </c>
      <c r="E589">
        <v>268</v>
      </c>
      <c r="F589">
        <v>26.8</v>
      </c>
      <c r="G589">
        <v>7</v>
      </c>
      <c r="H589">
        <v>1.4</v>
      </c>
      <c r="I589">
        <v>0</v>
      </c>
      <c r="J589">
        <v>0</v>
      </c>
      <c r="K589">
        <v>2</v>
      </c>
      <c r="L589">
        <v>6</v>
      </c>
      <c r="M589">
        <v>9</v>
      </c>
      <c r="N589">
        <v>10</v>
      </c>
      <c r="P589">
        <v>0</v>
      </c>
      <c r="Q589">
        <v>1</v>
      </c>
      <c r="R589">
        <v>2</v>
      </c>
      <c r="S589">
        <v>4</v>
      </c>
    </row>
    <row r="590" spans="1:19" x14ac:dyDescent="0.35">
      <c r="A590">
        <v>56809542600</v>
      </c>
      <c r="B590" t="s">
        <v>5203</v>
      </c>
      <c r="C590" t="str">
        <f>_xlfn.XLOOKUP(A590,[1]Affiliations!$J$2:$J$5328,[1]Affiliations!$K$2:$K$5328,0)</f>
        <v>Universidade Federal do Ceará</v>
      </c>
      <c r="D590">
        <v>50</v>
      </c>
      <c r="E590">
        <v>1671</v>
      </c>
      <c r="F590">
        <v>33.42</v>
      </c>
      <c r="G590">
        <v>23</v>
      </c>
      <c r="H590">
        <v>1.4</v>
      </c>
      <c r="I590">
        <v>1</v>
      </c>
      <c r="J590">
        <v>6</v>
      </c>
      <c r="K590">
        <v>14</v>
      </c>
      <c r="L590">
        <v>31</v>
      </c>
      <c r="M590">
        <v>46</v>
      </c>
      <c r="N590">
        <v>48</v>
      </c>
      <c r="P590">
        <v>1</v>
      </c>
      <c r="Q590">
        <v>6</v>
      </c>
      <c r="R590">
        <v>12</v>
      </c>
      <c r="S590">
        <v>29</v>
      </c>
    </row>
    <row r="591" spans="1:19" hidden="1" x14ac:dyDescent="0.35">
      <c r="A591">
        <v>58654253800</v>
      </c>
      <c r="B591" t="s">
        <v>603</v>
      </c>
      <c r="C591" t="str">
        <f>_xlfn.XLOOKUP(A591,[1]Affiliations!$J$2:$J$5328,[1]Affiliations!$K$2:$K$5328,0)</f>
        <v>Observatório Nacional</v>
      </c>
      <c r="D591">
        <v>1</v>
      </c>
      <c r="E591">
        <v>3</v>
      </c>
      <c r="F591">
        <v>3</v>
      </c>
      <c r="G591">
        <v>1</v>
      </c>
      <c r="H591">
        <v>0.43</v>
      </c>
      <c r="I591">
        <v>0</v>
      </c>
      <c r="J591">
        <v>1</v>
      </c>
      <c r="K591">
        <v>1</v>
      </c>
      <c r="L591">
        <v>1</v>
      </c>
      <c r="M591">
        <v>1</v>
      </c>
      <c r="N591">
        <v>1</v>
      </c>
      <c r="P591">
        <v>0</v>
      </c>
      <c r="Q591">
        <v>0</v>
      </c>
      <c r="R591">
        <v>0</v>
      </c>
      <c r="S591">
        <v>0</v>
      </c>
    </row>
    <row r="592" spans="1:19" hidden="1" x14ac:dyDescent="0.35">
      <c r="A592">
        <v>57224224477</v>
      </c>
      <c r="B592" t="s">
        <v>604</v>
      </c>
      <c r="C592" t="str">
        <f>_xlfn.XLOOKUP(A592,[1]Affiliations!$J$2:$J$5328,[1]Affiliations!$K$2:$K$5328,0)</f>
        <v>Universidade de São Paulo</v>
      </c>
      <c r="D592">
        <v>5</v>
      </c>
      <c r="E592">
        <v>4</v>
      </c>
      <c r="F592">
        <v>0.8</v>
      </c>
      <c r="G592">
        <v>1</v>
      </c>
      <c r="H592">
        <v>0.18</v>
      </c>
      <c r="P592">
        <v>0</v>
      </c>
      <c r="Q592">
        <v>0</v>
      </c>
      <c r="R592">
        <v>0</v>
      </c>
      <c r="S592">
        <v>0</v>
      </c>
    </row>
    <row r="593" spans="1:19" x14ac:dyDescent="0.35">
      <c r="A593">
        <v>36625029600</v>
      </c>
      <c r="B593" t="s">
        <v>925</v>
      </c>
      <c r="C593" t="str">
        <f>_xlfn.XLOOKUP(A593,[1]Affiliations!$J$2:$J$5328,[1]Affiliations!$K$2:$K$5328,0)</f>
        <v>Universidade Federal Rural do Rio de Janeiro (+1 more)</v>
      </c>
      <c r="D593">
        <v>42</v>
      </c>
      <c r="E593">
        <v>1297</v>
      </c>
      <c r="F593">
        <v>30.880953000000002</v>
      </c>
      <c r="G593">
        <v>24</v>
      </c>
      <c r="H593">
        <v>1.39</v>
      </c>
      <c r="I593">
        <v>1</v>
      </c>
      <c r="J593">
        <v>4</v>
      </c>
      <c r="K593">
        <v>9</v>
      </c>
      <c r="L593">
        <v>23</v>
      </c>
      <c r="M593">
        <v>33</v>
      </c>
      <c r="N593">
        <v>36</v>
      </c>
      <c r="P593">
        <v>1</v>
      </c>
      <c r="Q593">
        <v>5</v>
      </c>
      <c r="R593">
        <v>9</v>
      </c>
      <c r="S593">
        <v>24</v>
      </c>
    </row>
    <row r="594" spans="1:19" hidden="1" x14ac:dyDescent="0.35">
      <c r="A594">
        <v>57196392041</v>
      </c>
      <c r="B594" t="s">
        <v>606</v>
      </c>
      <c r="C594" t="str">
        <f>_xlfn.XLOOKUP(A594,[1]Affiliations!$J$2:$J$5328,[1]Affiliations!$K$2:$K$5328,0)</f>
        <v>Universidade de São Paulo</v>
      </c>
      <c r="D594">
        <v>6</v>
      </c>
      <c r="E594">
        <v>22</v>
      </c>
      <c r="F594">
        <v>3.6666666999999999</v>
      </c>
      <c r="G594">
        <v>2</v>
      </c>
      <c r="H594">
        <v>0.21</v>
      </c>
      <c r="I594">
        <v>0</v>
      </c>
      <c r="J594">
        <v>0</v>
      </c>
      <c r="K594">
        <v>1</v>
      </c>
      <c r="L594">
        <v>2</v>
      </c>
      <c r="M594">
        <v>3</v>
      </c>
      <c r="N594">
        <v>4</v>
      </c>
      <c r="P594">
        <v>0</v>
      </c>
      <c r="Q594">
        <v>0</v>
      </c>
      <c r="R594">
        <v>0</v>
      </c>
      <c r="S594">
        <v>0</v>
      </c>
    </row>
    <row r="595" spans="1:19" hidden="1" x14ac:dyDescent="0.35">
      <c r="A595">
        <v>57224006273</v>
      </c>
      <c r="B595" t="s">
        <v>607</v>
      </c>
      <c r="C595" t="str">
        <f>_xlfn.XLOOKUP(A595,[1]Affiliations!$J$2:$J$5328,[1]Affiliations!$K$2:$K$5328,0)</f>
        <v>Federal University of Rio de Janeiro</v>
      </c>
      <c r="D595">
        <v>2</v>
      </c>
      <c r="E595">
        <v>35</v>
      </c>
      <c r="F595">
        <v>17.5</v>
      </c>
      <c r="G595">
        <v>2</v>
      </c>
      <c r="H595">
        <v>0.85</v>
      </c>
      <c r="I595">
        <v>0</v>
      </c>
      <c r="J595">
        <v>1</v>
      </c>
      <c r="K595">
        <v>1</v>
      </c>
      <c r="L595">
        <v>1</v>
      </c>
      <c r="M595">
        <v>2</v>
      </c>
      <c r="N595">
        <v>2</v>
      </c>
      <c r="P595">
        <v>0</v>
      </c>
      <c r="Q595">
        <v>0</v>
      </c>
      <c r="R595">
        <v>0</v>
      </c>
      <c r="S595">
        <v>1</v>
      </c>
    </row>
    <row r="596" spans="1:19" x14ac:dyDescent="0.35">
      <c r="A596">
        <v>8675907400</v>
      </c>
      <c r="B596" t="s">
        <v>962</v>
      </c>
      <c r="C596" t="str">
        <f>_xlfn.XLOOKUP(A596,[1]Affiliations!$J$2:$J$5328,[1]Affiliations!$K$2:$K$5328,0)</f>
        <v>Universidade Federal de Goiás (+3 more)</v>
      </c>
      <c r="D596">
        <v>138</v>
      </c>
      <c r="E596">
        <v>4060</v>
      </c>
      <c r="F596">
        <v>29.420290000000001</v>
      </c>
      <c r="G596">
        <v>45</v>
      </c>
      <c r="H596">
        <v>1.39</v>
      </c>
      <c r="I596">
        <v>6</v>
      </c>
      <c r="J596">
        <v>26</v>
      </c>
      <c r="K596">
        <v>45</v>
      </c>
      <c r="L596">
        <v>87</v>
      </c>
      <c r="M596">
        <v>110</v>
      </c>
      <c r="N596">
        <v>115</v>
      </c>
      <c r="P596">
        <v>3</v>
      </c>
      <c r="Q596">
        <v>17</v>
      </c>
      <c r="R596">
        <v>42</v>
      </c>
      <c r="S596">
        <v>75</v>
      </c>
    </row>
    <row r="597" spans="1:19" hidden="1" x14ac:dyDescent="0.35">
      <c r="A597">
        <v>56069754700</v>
      </c>
      <c r="B597" t="s">
        <v>609</v>
      </c>
      <c r="C597" t="str">
        <f>_xlfn.XLOOKUP(A597,[1]Affiliations!$J$2:$J$5328,[1]Affiliations!$K$2:$K$5328,0)</f>
        <v>Federal University of Rio de Janeiro</v>
      </c>
      <c r="D597">
        <v>3</v>
      </c>
      <c r="E597">
        <v>14</v>
      </c>
      <c r="F597">
        <v>4.6666664999999998</v>
      </c>
      <c r="G597">
        <v>3</v>
      </c>
      <c r="H597">
        <v>0.21</v>
      </c>
      <c r="I597">
        <v>0</v>
      </c>
      <c r="J597">
        <v>0</v>
      </c>
      <c r="K597">
        <v>0</v>
      </c>
      <c r="L597">
        <v>0</v>
      </c>
      <c r="M597">
        <v>1</v>
      </c>
      <c r="N597">
        <v>1</v>
      </c>
      <c r="P597">
        <v>0</v>
      </c>
      <c r="Q597">
        <v>0</v>
      </c>
      <c r="R597">
        <v>0</v>
      </c>
      <c r="S597">
        <v>0</v>
      </c>
    </row>
    <row r="598" spans="1:19" hidden="1" x14ac:dyDescent="0.35">
      <c r="A598">
        <v>8777611000</v>
      </c>
      <c r="B598" t="s">
        <v>610</v>
      </c>
      <c r="C598" t="str">
        <f>_xlfn.XLOOKUP(A598,[1]Affiliations!$J$2:$J$5328,[1]Affiliations!$K$2:$K$5328,0)</f>
        <v>Universidade Federal Fluminense</v>
      </c>
      <c r="D598">
        <v>2</v>
      </c>
      <c r="E598">
        <v>92</v>
      </c>
      <c r="F598">
        <v>46</v>
      </c>
      <c r="G598">
        <v>3</v>
      </c>
      <c r="H598">
        <v>0.92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2</v>
      </c>
      <c r="P598">
        <v>0</v>
      </c>
      <c r="Q598">
        <v>1</v>
      </c>
      <c r="R598">
        <v>1</v>
      </c>
      <c r="S598">
        <v>1</v>
      </c>
    </row>
    <row r="599" spans="1:19" hidden="1" x14ac:dyDescent="0.35">
      <c r="A599">
        <v>56362632200</v>
      </c>
      <c r="B599" t="s">
        <v>611</v>
      </c>
      <c r="C599" t="str">
        <f>_xlfn.XLOOKUP(A599,[1]Affiliations!$J$2:$J$5328,[1]Affiliations!$K$2:$K$5328,0)</f>
        <v>Universidade Federal do Rio Grande do Sul (+1 more)</v>
      </c>
      <c r="D599">
        <v>1</v>
      </c>
      <c r="E599">
        <v>4</v>
      </c>
      <c r="F599">
        <v>4</v>
      </c>
      <c r="G599">
        <v>2</v>
      </c>
      <c r="H599">
        <v>0.62</v>
      </c>
      <c r="I599">
        <v>0</v>
      </c>
      <c r="J599">
        <v>0</v>
      </c>
      <c r="K599">
        <v>0</v>
      </c>
      <c r="L599">
        <v>0</v>
      </c>
      <c r="M599">
        <v>1</v>
      </c>
      <c r="N599">
        <v>1</v>
      </c>
      <c r="P599">
        <v>0</v>
      </c>
      <c r="Q599">
        <v>0</v>
      </c>
      <c r="R599">
        <v>0</v>
      </c>
      <c r="S599">
        <v>0</v>
      </c>
    </row>
    <row r="600" spans="1:19" hidden="1" x14ac:dyDescent="0.35">
      <c r="A600">
        <v>57217783147</v>
      </c>
      <c r="B600" t="s">
        <v>612</v>
      </c>
      <c r="C600" t="str">
        <f>_xlfn.XLOOKUP(A600,[1]Affiliations!$J$2:$J$5328,[1]Affiliations!$K$2:$K$5328,0)</f>
        <v>Universidade Federal de Santa Maria</v>
      </c>
      <c r="D600">
        <v>1</v>
      </c>
      <c r="E600">
        <v>17</v>
      </c>
      <c r="F600">
        <v>17</v>
      </c>
      <c r="G600">
        <v>1</v>
      </c>
      <c r="H600">
        <v>0.95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P600">
        <v>0</v>
      </c>
      <c r="Q600">
        <v>0</v>
      </c>
      <c r="R600">
        <v>0</v>
      </c>
      <c r="S600">
        <v>0</v>
      </c>
    </row>
    <row r="601" spans="1:19" x14ac:dyDescent="0.35">
      <c r="A601">
        <v>55637506900</v>
      </c>
      <c r="B601" t="s">
        <v>3146</v>
      </c>
      <c r="C601" t="str">
        <f>_xlfn.XLOOKUP(A601,[1]Affiliations!$J$2:$J$5328,[1]Affiliations!$K$2:$K$5328,0)</f>
        <v>Jožef Stefan Institute (+1 more)</v>
      </c>
      <c r="D601">
        <v>29</v>
      </c>
      <c r="E601">
        <v>1223</v>
      </c>
      <c r="F601">
        <v>42.172412999999999</v>
      </c>
      <c r="G601">
        <v>18</v>
      </c>
      <c r="H601">
        <v>1.39</v>
      </c>
      <c r="I601">
        <v>6</v>
      </c>
      <c r="J601">
        <v>16</v>
      </c>
      <c r="K601">
        <v>21</v>
      </c>
      <c r="L601">
        <v>26</v>
      </c>
      <c r="M601">
        <v>29</v>
      </c>
      <c r="N601">
        <v>29</v>
      </c>
      <c r="P601">
        <v>0</v>
      </c>
      <c r="Q601">
        <v>8</v>
      </c>
      <c r="R601">
        <v>14</v>
      </c>
      <c r="S601">
        <v>21</v>
      </c>
    </row>
    <row r="602" spans="1:19" hidden="1" x14ac:dyDescent="0.35">
      <c r="A602">
        <v>56518079700</v>
      </c>
      <c r="B602" t="s">
        <v>614</v>
      </c>
      <c r="C602" t="str">
        <f>_xlfn.XLOOKUP(A602,[1]Affiliations!$J$2:$J$5328,[1]Affiliations!$K$2:$K$5328,0)</f>
        <v>Universidade do Estado do Rio de Janeiro (+1 more)</v>
      </c>
      <c r="D602">
        <v>4</v>
      </c>
      <c r="E602">
        <v>6</v>
      </c>
      <c r="F602">
        <v>1.5</v>
      </c>
      <c r="G602">
        <v>3</v>
      </c>
      <c r="H602">
        <v>0.19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2</v>
      </c>
      <c r="P602">
        <v>0</v>
      </c>
      <c r="Q602">
        <v>0</v>
      </c>
      <c r="R602">
        <v>0</v>
      </c>
      <c r="S602">
        <v>0</v>
      </c>
    </row>
    <row r="603" spans="1:19" x14ac:dyDescent="0.35">
      <c r="A603">
        <v>8274373700</v>
      </c>
      <c r="B603" t="s">
        <v>3512</v>
      </c>
      <c r="C603" t="str">
        <f>_xlfn.XLOOKUP(A603,[1]Affiliations!$J$2:$J$5328,[1]Affiliations!$K$2:$K$5328,0)</f>
        <v>Universidade de São Paulo</v>
      </c>
      <c r="D603">
        <v>9</v>
      </c>
      <c r="E603">
        <v>306</v>
      </c>
      <c r="F603">
        <v>34</v>
      </c>
      <c r="G603">
        <v>10</v>
      </c>
      <c r="H603">
        <v>1.39</v>
      </c>
      <c r="I603">
        <v>0</v>
      </c>
      <c r="J603">
        <v>2</v>
      </c>
      <c r="K603">
        <v>6</v>
      </c>
      <c r="L603">
        <v>7</v>
      </c>
      <c r="M603">
        <v>8</v>
      </c>
      <c r="N603">
        <v>9</v>
      </c>
      <c r="P603">
        <v>0</v>
      </c>
      <c r="Q603">
        <v>1</v>
      </c>
      <c r="R603">
        <v>3</v>
      </c>
      <c r="S603">
        <v>6</v>
      </c>
    </row>
    <row r="604" spans="1:19" hidden="1" x14ac:dyDescent="0.35">
      <c r="A604">
        <v>57219091149</v>
      </c>
      <c r="B604" t="s">
        <v>616</v>
      </c>
      <c r="C604" t="str">
        <f>_xlfn.XLOOKUP(A604,[1]Affiliations!$J$2:$J$5328,[1]Affiliations!$K$2:$K$5328,0)</f>
        <v>Vizlab - X-Reality and GeoInformatics Lab (+1 more)</v>
      </c>
      <c r="D604">
        <v>2</v>
      </c>
      <c r="E604">
        <v>31</v>
      </c>
      <c r="F604">
        <v>15.5</v>
      </c>
      <c r="G604">
        <v>2</v>
      </c>
      <c r="H604">
        <v>1.1299999999999999</v>
      </c>
      <c r="I604">
        <v>0</v>
      </c>
      <c r="J604">
        <v>0</v>
      </c>
      <c r="K604">
        <v>0</v>
      </c>
      <c r="L604">
        <v>1</v>
      </c>
      <c r="M604">
        <v>2</v>
      </c>
      <c r="N604">
        <v>2</v>
      </c>
      <c r="P604">
        <v>0</v>
      </c>
      <c r="Q604">
        <v>0</v>
      </c>
      <c r="R604">
        <v>0</v>
      </c>
      <c r="S604">
        <v>1</v>
      </c>
    </row>
    <row r="605" spans="1:19" hidden="1" x14ac:dyDescent="0.35">
      <c r="A605">
        <v>57209714655</v>
      </c>
      <c r="B605" t="s">
        <v>617</v>
      </c>
      <c r="C605" t="str">
        <f>_xlfn.XLOOKUP(A605,[1]Affiliations!$J$2:$J$5328,[1]Affiliations!$K$2:$K$5328,0)</f>
        <v>Universidade Federal de Minas Gerais</v>
      </c>
      <c r="D605">
        <v>1</v>
      </c>
      <c r="E605">
        <v>40</v>
      </c>
      <c r="F605">
        <v>40</v>
      </c>
      <c r="G605">
        <v>1</v>
      </c>
      <c r="H605">
        <v>1.25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P605">
        <v>0</v>
      </c>
      <c r="Q605">
        <v>0</v>
      </c>
      <c r="R605">
        <v>0</v>
      </c>
      <c r="S605">
        <v>1</v>
      </c>
    </row>
    <row r="606" spans="1:19" hidden="1" x14ac:dyDescent="0.35">
      <c r="A606">
        <v>57219555973</v>
      </c>
      <c r="B606" t="s">
        <v>618</v>
      </c>
      <c r="C606" t="str">
        <f>_xlfn.XLOOKUP(A606,[1]Affiliations!$J$2:$J$5328,[1]Affiliations!$K$2:$K$5328,0)</f>
        <v>Federal University of Santa Catarina</v>
      </c>
      <c r="D606">
        <v>1</v>
      </c>
      <c r="E606">
        <v>6</v>
      </c>
      <c r="F606">
        <v>6</v>
      </c>
      <c r="G606">
        <v>1</v>
      </c>
      <c r="H606">
        <v>0.11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1</v>
      </c>
      <c r="P606">
        <v>0</v>
      </c>
      <c r="Q606">
        <v>0</v>
      </c>
      <c r="R606">
        <v>0</v>
      </c>
      <c r="S606">
        <v>0</v>
      </c>
    </row>
    <row r="607" spans="1:19" x14ac:dyDescent="0.35">
      <c r="A607">
        <v>57210997940</v>
      </c>
      <c r="B607" t="s">
        <v>4154</v>
      </c>
      <c r="C607" t="str">
        <f>_xlfn.XLOOKUP(A607,[1]Affiliations!$J$2:$J$5328,[1]Affiliations!$K$2:$K$5328,0)</f>
        <v>UFRJ</v>
      </c>
      <c r="D607">
        <v>6</v>
      </c>
      <c r="E607">
        <v>412</v>
      </c>
      <c r="F607">
        <v>68.666663999999997</v>
      </c>
      <c r="G607">
        <v>5</v>
      </c>
      <c r="H607">
        <v>1.39</v>
      </c>
      <c r="I607">
        <v>0</v>
      </c>
      <c r="J607">
        <v>3</v>
      </c>
      <c r="K607">
        <v>4</v>
      </c>
      <c r="L607">
        <v>4</v>
      </c>
      <c r="M607">
        <v>4</v>
      </c>
      <c r="N607">
        <v>5</v>
      </c>
      <c r="P607">
        <v>1</v>
      </c>
      <c r="Q607">
        <v>3</v>
      </c>
      <c r="R607">
        <v>3</v>
      </c>
      <c r="S607">
        <v>5</v>
      </c>
    </row>
    <row r="608" spans="1:19" x14ac:dyDescent="0.35">
      <c r="A608">
        <v>15840884400</v>
      </c>
      <c r="B608" t="s">
        <v>4546</v>
      </c>
      <c r="C608" t="str">
        <f>_xlfn.XLOOKUP(A608,[1]Affiliations!$J$2:$J$5328,[1]Affiliations!$K$2:$K$5328,0)</f>
        <v>Universidade de São Paulo</v>
      </c>
      <c r="D608">
        <v>96</v>
      </c>
      <c r="E608">
        <v>2485</v>
      </c>
      <c r="F608">
        <v>25.885415999999999</v>
      </c>
      <c r="G608">
        <v>31</v>
      </c>
      <c r="H608">
        <v>1.39</v>
      </c>
      <c r="I608">
        <v>13</v>
      </c>
      <c r="J608">
        <v>37</v>
      </c>
      <c r="K608">
        <v>59</v>
      </c>
      <c r="L608">
        <v>82</v>
      </c>
      <c r="M608">
        <v>89</v>
      </c>
      <c r="N608">
        <v>91</v>
      </c>
      <c r="P608">
        <v>1</v>
      </c>
      <c r="Q608">
        <v>9</v>
      </c>
      <c r="R608">
        <v>14</v>
      </c>
      <c r="S608">
        <v>51</v>
      </c>
    </row>
    <row r="609" spans="1:19" hidden="1" x14ac:dyDescent="0.35">
      <c r="A609">
        <v>57673209500</v>
      </c>
      <c r="B609" t="s">
        <v>621</v>
      </c>
      <c r="C609" t="str">
        <f>_xlfn.XLOOKUP(A609,[1]Affiliations!$J$2:$J$5328,[1]Affiliations!$K$2:$K$5328,0)</f>
        <v>Universidade Federal do Paraná</v>
      </c>
      <c r="D609">
        <v>1</v>
      </c>
      <c r="E609">
        <v>2</v>
      </c>
      <c r="F609">
        <v>2</v>
      </c>
      <c r="G609">
        <v>1</v>
      </c>
      <c r="H609">
        <v>0.2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1</v>
      </c>
      <c r="P609">
        <v>0</v>
      </c>
      <c r="Q609">
        <v>0</v>
      </c>
      <c r="R609">
        <v>0</v>
      </c>
      <c r="S609">
        <v>0</v>
      </c>
    </row>
    <row r="610" spans="1:19" hidden="1" x14ac:dyDescent="0.35">
      <c r="A610">
        <v>60151872000</v>
      </c>
      <c r="B610" t="s">
        <v>622</v>
      </c>
      <c r="C610" t="str">
        <f>_xlfn.XLOOKUP(A610,[1]Affiliations!$J$2:$J$5328,[1]Affiliations!$K$2:$K$5328,0)</f>
        <v>Pontifical Catholic University of Rio de Janeiro</v>
      </c>
      <c r="D610">
        <v>0</v>
      </c>
      <c r="G610">
        <v>1</v>
      </c>
    </row>
    <row r="611" spans="1:19" hidden="1" x14ac:dyDescent="0.35">
      <c r="A611">
        <v>57212265266</v>
      </c>
      <c r="B611" t="s">
        <v>623</v>
      </c>
      <c r="C611" t="str">
        <f>_xlfn.XLOOKUP(A611,[1]Affiliations!$J$2:$J$5328,[1]Affiliations!$K$2:$K$5328,0)</f>
        <v>Federal University of Pará</v>
      </c>
      <c r="D611">
        <v>9</v>
      </c>
      <c r="E611">
        <v>53</v>
      </c>
      <c r="F611">
        <v>5.8888889999999998</v>
      </c>
      <c r="G611">
        <v>5</v>
      </c>
      <c r="H611">
        <v>0.65</v>
      </c>
      <c r="I611">
        <v>0</v>
      </c>
      <c r="J611">
        <v>2</v>
      </c>
      <c r="K611">
        <v>2</v>
      </c>
      <c r="L611">
        <v>2</v>
      </c>
      <c r="M611">
        <v>8</v>
      </c>
      <c r="N611">
        <v>9</v>
      </c>
      <c r="P611">
        <v>0</v>
      </c>
      <c r="Q611">
        <v>0</v>
      </c>
      <c r="R611">
        <v>0</v>
      </c>
      <c r="S611">
        <v>1</v>
      </c>
    </row>
    <row r="612" spans="1:19" hidden="1" x14ac:dyDescent="0.35">
      <c r="A612">
        <v>59573051600</v>
      </c>
      <c r="B612" t="s">
        <v>624</v>
      </c>
      <c r="C612" t="str">
        <f>_xlfn.XLOOKUP(A612,[1]Affiliations!$J$2:$J$5328,[1]Affiliations!$K$2:$K$5328,0)</f>
        <v>Federal University of Pará</v>
      </c>
      <c r="D612">
        <v>1</v>
      </c>
      <c r="E612">
        <v>4</v>
      </c>
      <c r="F612">
        <v>4</v>
      </c>
      <c r="G612">
        <v>1</v>
      </c>
      <c r="H612">
        <v>0.1</v>
      </c>
      <c r="I612">
        <v>0</v>
      </c>
      <c r="J612">
        <v>0</v>
      </c>
      <c r="K612">
        <v>0</v>
      </c>
      <c r="L612">
        <v>0</v>
      </c>
      <c r="M612">
        <v>1</v>
      </c>
      <c r="N612">
        <v>1</v>
      </c>
      <c r="P612">
        <v>0</v>
      </c>
      <c r="Q612">
        <v>0</v>
      </c>
      <c r="R612">
        <v>0</v>
      </c>
      <c r="S612">
        <v>0</v>
      </c>
    </row>
    <row r="613" spans="1:19" x14ac:dyDescent="0.35">
      <c r="A613">
        <v>35202976600</v>
      </c>
      <c r="B613" t="s">
        <v>237</v>
      </c>
      <c r="C613" t="str">
        <f>_xlfn.XLOOKUP(A613,[1]Affiliations!$J$2:$J$5328,[1]Affiliations!$K$2:$K$5328,0)</f>
        <v>University of Campinas (+1 more)</v>
      </c>
      <c r="D613">
        <v>53</v>
      </c>
      <c r="E613">
        <v>1888</v>
      </c>
      <c r="F613">
        <v>35.622642999999997</v>
      </c>
      <c r="G613">
        <v>26</v>
      </c>
      <c r="H613">
        <v>1.38</v>
      </c>
      <c r="I613">
        <v>2</v>
      </c>
      <c r="J613">
        <v>8</v>
      </c>
      <c r="K613">
        <v>16</v>
      </c>
      <c r="L613">
        <v>35</v>
      </c>
      <c r="M613">
        <v>43</v>
      </c>
      <c r="N613">
        <v>51</v>
      </c>
      <c r="P613">
        <v>2</v>
      </c>
      <c r="Q613">
        <v>7</v>
      </c>
      <c r="R613">
        <v>11</v>
      </c>
      <c r="S613">
        <v>24</v>
      </c>
    </row>
    <row r="614" spans="1:19" x14ac:dyDescent="0.35">
      <c r="A614">
        <v>9739246100</v>
      </c>
      <c r="B614" t="s">
        <v>693</v>
      </c>
      <c r="C614" t="str">
        <f>_xlfn.XLOOKUP(A614,[1]Affiliations!$J$2:$J$5328,[1]Affiliations!$K$2:$K$5328,0)</f>
        <v>Universidade de São Paulo</v>
      </c>
      <c r="D614">
        <v>14</v>
      </c>
      <c r="E614">
        <v>354</v>
      </c>
      <c r="F614">
        <v>25.285715</v>
      </c>
      <c r="G614">
        <v>11</v>
      </c>
      <c r="H614">
        <v>1.38</v>
      </c>
      <c r="I614">
        <v>0</v>
      </c>
      <c r="J614">
        <v>4</v>
      </c>
      <c r="K614">
        <v>5</v>
      </c>
      <c r="L614">
        <v>11</v>
      </c>
      <c r="M614">
        <v>12</v>
      </c>
      <c r="N614">
        <v>14</v>
      </c>
      <c r="P614">
        <v>0</v>
      </c>
      <c r="Q614">
        <v>0</v>
      </c>
      <c r="R614">
        <v>2</v>
      </c>
      <c r="S614">
        <v>7</v>
      </c>
    </row>
    <row r="615" spans="1:19" x14ac:dyDescent="0.35">
      <c r="A615">
        <v>57219155714</v>
      </c>
      <c r="B615" t="s">
        <v>1278</v>
      </c>
      <c r="C615" t="str">
        <f>_xlfn.XLOOKUP(A615,[1]Affiliations!$J$2:$J$5328,[1]Affiliations!$K$2:$K$5328,0)</f>
        <v>Universidade Federal de Minas Gerais</v>
      </c>
      <c r="D615">
        <v>26</v>
      </c>
      <c r="E615">
        <v>505</v>
      </c>
      <c r="F615">
        <v>19.423076999999999</v>
      </c>
      <c r="G615">
        <v>11</v>
      </c>
      <c r="H615">
        <v>1.38</v>
      </c>
      <c r="I615">
        <v>0</v>
      </c>
      <c r="J615">
        <v>0</v>
      </c>
      <c r="K615">
        <v>6</v>
      </c>
      <c r="L615">
        <v>14</v>
      </c>
      <c r="M615">
        <v>18</v>
      </c>
      <c r="N615">
        <v>20</v>
      </c>
      <c r="P615">
        <v>1</v>
      </c>
      <c r="Q615">
        <v>2</v>
      </c>
      <c r="R615">
        <v>7</v>
      </c>
      <c r="S615">
        <v>11</v>
      </c>
    </row>
    <row r="616" spans="1:19" hidden="1" x14ac:dyDescent="0.35">
      <c r="A616">
        <v>57222027711</v>
      </c>
      <c r="B616" t="s">
        <v>628</v>
      </c>
      <c r="C616" t="str">
        <f>_xlfn.XLOOKUP(A616,[1]Affiliations!$J$2:$J$5328,[1]Affiliations!$K$2:$K$5328,0)</f>
        <v>Universidade Federal de Santa Maria</v>
      </c>
      <c r="D616">
        <v>5</v>
      </c>
      <c r="E616">
        <v>37</v>
      </c>
      <c r="F616">
        <v>7.4</v>
      </c>
      <c r="G616">
        <v>3</v>
      </c>
      <c r="H616">
        <v>0.49</v>
      </c>
      <c r="I616">
        <v>0</v>
      </c>
      <c r="J616">
        <v>1</v>
      </c>
      <c r="K616">
        <v>1</v>
      </c>
      <c r="L616">
        <v>3</v>
      </c>
      <c r="M616">
        <v>3</v>
      </c>
      <c r="N616">
        <v>4</v>
      </c>
      <c r="P616">
        <v>0</v>
      </c>
      <c r="Q616">
        <v>0</v>
      </c>
      <c r="R616">
        <v>0</v>
      </c>
      <c r="S616">
        <v>3</v>
      </c>
    </row>
    <row r="617" spans="1:19" hidden="1" x14ac:dyDescent="0.35">
      <c r="A617">
        <v>49963015100</v>
      </c>
      <c r="B617" t="s">
        <v>629</v>
      </c>
      <c r="C617" t="str">
        <f>_xlfn.XLOOKUP(A617,[1]Affiliations!$J$2:$J$5328,[1]Affiliations!$K$2:$K$5328,0)</f>
        <v>Universidade Federal do Rio Grande do Sul</v>
      </c>
      <c r="D617">
        <v>4</v>
      </c>
      <c r="E617">
        <v>56</v>
      </c>
      <c r="F617">
        <v>14</v>
      </c>
      <c r="G617">
        <v>4</v>
      </c>
      <c r="H617">
        <v>1.22</v>
      </c>
      <c r="I617">
        <v>1</v>
      </c>
      <c r="J617">
        <v>1</v>
      </c>
      <c r="K617">
        <v>1</v>
      </c>
      <c r="L617">
        <v>2</v>
      </c>
      <c r="M617">
        <v>3</v>
      </c>
      <c r="N617">
        <v>4</v>
      </c>
      <c r="P617">
        <v>0</v>
      </c>
      <c r="Q617">
        <v>0</v>
      </c>
      <c r="R617">
        <v>1</v>
      </c>
      <c r="S617">
        <v>2</v>
      </c>
    </row>
    <row r="618" spans="1:19" x14ac:dyDescent="0.35">
      <c r="A618">
        <v>57204640431</v>
      </c>
      <c r="B618" t="s">
        <v>1886</v>
      </c>
      <c r="C618" t="str">
        <f>_xlfn.XLOOKUP(A618,[1]Affiliations!$J$2:$J$5328,[1]Affiliations!$K$2:$K$5328,0)</f>
        <v>Federal University of Rio de Janeiro</v>
      </c>
      <c r="D618">
        <v>5</v>
      </c>
      <c r="E618">
        <v>166</v>
      </c>
      <c r="F618">
        <v>33.200000000000003</v>
      </c>
      <c r="G618">
        <v>3</v>
      </c>
      <c r="H618">
        <v>1.38</v>
      </c>
      <c r="I618">
        <v>0</v>
      </c>
      <c r="J618">
        <v>1</v>
      </c>
      <c r="K618">
        <v>1</v>
      </c>
      <c r="L618">
        <v>2</v>
      </c>
      <c r="M618">
        <v>3</v>
      </c>
      <c r="N618">
        <v>4</v>
      </c>
      <c r="P618">
        <v>0</v>
      </c>
      <c r="Q618">
        <v>1</v>
      </c>
      <c r="R618">
        <v>2</v>
      </c>
      <c r="S618">
        <v>3</v>
      </c>
    </row>
    <row r="619" spans="1:19" hidden="1" x14ac:dyDescent="0.35">
      <c r="A619">
        <v>57205318575</v>
      </c>
      <c r="B619" t="s">
        <v>631</v>
      </c>
      <c r="C619" t="str">
        <f>_xlfn.XLOOKUP(A619,[1]Affiliations!$J$2:$J$5328,[1]Affiliations!$K$2:$K$5328,0)</f>
        <v>Universidade Federal de Pernambuco</v>
      </c>
      <c r="D619">
        <v>7</v>
      </c>
      <c r="E619">
        <v>147</v>
      </c>
      <c r="F619">
        <v>21</v>
      </c>
      <c r="G619">
        <v>5</v>
      </c>
      <c r="H619">
        <v>1.1399999999999999</v>
      </c>
      <c r="I619">
        <v>0</v>
      </c>
      <c r="J619">
        <v>0</v>
      </c>
      <c r="K619">
        <v>0</v>
      </c>
      <c r="L619">
        <v>5</v>
      </c>
      <c r="M619">
        <v>6</v>
      </c>
      <c r="N619">
        <v>6</v>
      </c>
      <c r="P619">
        <v>0</v>
      </c>
      <c r="Q619">
        <v>1</v>
      </c>
      <c r="R619">
        <v>2</v>
      </c>
      <c r="S619">
        <v>4</v>
      </c>
    </row>
    <row r="620" spans="1:19" hidden="1" x14ac:dyDescent="0.35">
      <c r="A620">
        <v>59188089800</v>
      </c>
      <c r="B620" t="s">
        <v>632</v>
      </c>
      <c r="C620" t="str">
        <f>_xlfn.XLOOKUP(A620,[1]Affiliations!$J$2:$J$5328,[1]Affiliations!$K$2:$K$5328,0)</f>
        <v>Universidade Federal do Rio Grande do Sul</v>
      </c>
      <c r="D620">
        <v>1</v>
      </c>
      <c r="E620">
        <v>8</v>
      </c>
      <c r="F620">
        <v>8</v>
      </c>
      <c r="G620">
        <v>1</v>
      </c>
      <c r="H620">
        <v>1.05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P620">
        <v>0</v>
      </c>
      <c r="Q620">
        <v>0</v>
      </c>
      <c r="R620">
        <v>0</v>
      </c>
      <c r="S620">
        <v>1</v>
      </c>
    </row>
    <row r="621" spans="1:19" hidden="1" x14ac:dyDescent="0.35">
      <c r="A621">
        <v>57205768241</v>
      </c>
      <c r="B621" t="s">
        <v>633</v>
      </c>
      <c r="C621" t="str">
        <f>_xlfn.XLOOKUP(A621,[1]Affiliations!$J$2:$J$5328,[1]Affiliations!$K$2:$K$5328,0)</f>
        <v>Vizlab - X-Reality and GeoInformatics Lab</v>
      </c>
      <c r="D621">
        <v>15</v>
      </c>
      <c r="E621">
        <v>77</v>
      </c>
      <c r="F621">
        <v>5.1333330000000004</v>
      </c>
      <c r="G621">
        <v>5</v>
      </c>
      <c r="H621">
        <v>0.35</v>
      </c>
      <c r="I621">
        <v>0</v>
      </c>
      <c r="J621">
        <v>0</v>
      </c>
      <c r="K621">
        <v>2</v>
      </c>
      <c r="L621">
        <v>4</v>
      </c>
      <c r="M621">
        <v>7</v>
      </c>
      <c r="N621">
        <v>13</v>
      </c>
      <c r="P621">
        <v>0</v>
      </c>
      <c r="Q621">
        <v>0</v>
      </c>
      <c r="R621">
        <v>0</v>
      </c>
      <c r="S621">
        <v>1</v>
      </c>
    </row>
    <row r="622" spans="1:19" x14ac:dyDescent="0.35">
      <c r="A622">
        <v>6602181331</v>
      </c>
      <c r="B622" t="s">
        <v>2014</v>
      </c>
      <c r="C622" t="str">
        <f>_xlfn.XLOOKUP(A622,[1]Affiliations!$J$2:$J$5328,[1]Affiliations!$K$2:$K$5328,0)</f>
        <v>Pontifícia Universidade Católica do Rio Grande do Sul</v>
      </c>
      <c r="D622">
        <v>73</v>
      </c>
      <c r="E622">
        <v>2188</v>
      </c>
      <c r="F622">
        <v>29.972602999999999</v>
      </c>
      <c r="G622">
        <v>45</v>
      </c>
      <c r="H622">
        <v>1.38</v>
      </c>
      <c r="I622">
        <v>5</v>
      </c>
      <c r="J622">
        <v>20</v>
      </c>
      <c r="K622">
        <v>31</v>
      </c>
      <c r="L622">
        <v>44</v>
      </c>
      <c r="M622">
        <v>67</v>
      </c>
      <c r="N622">
        <v>71</v>
      </c>
      <c r="P622">
        <v>2</v>
      </c>
      <c r="Q622">
        <v>8</v>
      </c>
      <c r="R622">
        <v>17</v>
      </c>
      <c r="S622">
        <v>38</v>
      </c>
    </row>
    <row r="623" spans="1:19" hidden="1" x14ac:dyDescent="0.35">
      <c r="A623">
        <v>55219946400</v>
      </c>
      <c r="B623" t="s">
        <v>635</v>
      </c>
      <c r="C623" t="str">
        <f>_xlfn.XLOOKUP(A623,[1]Affiliations!$J$2:$J$5328,[1]Affiliations!$K$2:$K$5328,0)</f>
        <v>Universidade do Estado do Rio de Janeiro</v>
      </c>
      <c r="D623">
        <v>8</v>
      </c>
      <c r="E623">
        <v>37</v>
      </c>
      <c r="F623">
        <v>4.625</v>
      </c>
      <c r="G623">
        <v>4</v>
      </c>
      <c r="H623">
        <v>0.65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5</v>
      </c>
      <c r="P623">
        <v>0</v>
      </c>
      <c r="Q623">
        <v>0</v>
      </c>
      <c r="R623">
        <v>0</v>
      </c>
      <c r="S623">
        <v>1</v>
      </c>
    </row>
    <row r="624" spans="1:19" x14ac:dyDescent="0.35">
      <c r="A624">
        <v>35603208000</v>
      </c>
      <c r="B624" t="s">
        <v>2318</v>
      </c>
      <c r="C624" t="str">
        <f>_xlfn.XLOOKUP(A624,[1]Affiliations!$J$2:$J$5328,[1]Affiliations!$K$2:$K$5328,0)</f>
        <v>Universidade Federal de Minas Gerais (+1 more)</v>
      </c>
      <c r="D624">
        <v>51</v>
      </c>
      <c r="E624">
        <v>810</v>
      </c>
      <c r="F624">
        <v>15.882353</v>
      </c>
      <c r="G624">
        <v>15</v>
      </c>
      <c r="H624">
        <v>1.38</v>
      </c>
      <c r="I624">
        <v>0</v>
      </c>
      <c r="J624">
        <v>2</v>
      </c>
      <c r="K624">
        <v>6</v>
      </c>
      <c r="L624">
        <v>17</v>
      </c>
      <c r="M624">
        <v>20</v>
      </c>
      <c r="N624">
        <v>25</v>
      </c>
      <c r="P624">
        <v>1</v>
      </c>
      <c r="Q624">
        <v>5</v>
      </c>
      <c r="R624">
        <v>7</v>
      </c>
      <c r="S624">
        <v>14</v>
      </c>
    </row>
    <row r="625" spans="1:19" hidden="1" x14ac:dyDescent="0.35">
      <c r="A625">
        <v>57423729800</v>
      </c>
      <c r="B625" t="s">
        <v>637</v>
      </c>
      <c r="C625" t="str">
        <f>_xlfn.XLOOKUP(A625,[1]Affiliations!$J$2:$J$5328,[1]Affiliations!$K$2:$K$5328,0)</f>
        <v>Universidade Tecnológica Federal do Paraná</v>
      </c>
      <c r="D625">
        <v>9</v>
      </c>
      <c r="E625">
        <v>72</v>
      </c>
      <c r="F625">
        <v>8</v>
      </c>
      <c r="G625">
        <v>2</v>
      </c>
      <c r="H625">
        <v>1.18</v>
      </c>
      <c r="I625">
        <v>0</v>
      </c>
      <c r="J625">
        <v>0</v>
      </c>
      <c r="K625">
        <v>0</v>
      </c>
      <c r="L625">
        <v>2</v>
      </c>
      <c r="M625">
        <v>2</v>
      </c>
      <c r="N625">
        <v>3</v>
      </c>
      <c r="P625">
        <v>0</v>
      </c>
      <c r="Q625">
        <v>1</v>
      </c>
      <c r="R625">
        <v>1</v>
      </c>
      <c r="S625">
        <v>2</v>
      </c>
    </row>
    <row r="626" spans="1:19" x14ac:dyDescent="0.35">
      <c r="A626">
        <v>6603199696</v>
      </c>
      <c r="B626" t="s">
        <v>4917</v>
      </c>
      <c r="C626" t="str">
        <f>_xlfn.XLOOKUP(A626,[1]Affiliations!$J$2:$J$5328,[1]Affiliations!$K$2:$K$5328,0)</f>
        <v>Universidade de São Paulo</v>
      </c>
      <c r="D626">
        <v>84</v>
      </c>
      <c r="E626">
        <v>1761</v>
      </c>
      <c r="F626">
        <v>20.964285</v>
      </c>
      <c r="G626">
        <v>32</v>
      </c>
      <c r="H626">
        <v>1.38</v>
      </c>
      <c r="I626">
        <v>1</v>
      </c>
      <c r="J626">
        <v>12</v>
      </c>
      <c r="K626">
        <v>26</v>
      </c>
      <c r="L626">
        <v>59</v>
      </c>
      <c r="M626">
        <v>69</v>
      </c>
      <c r="N626">
        <v>73</v>
      </c>
      <c r="P626">
        <v>0</v>
      </c>
      <c r="Q626">
        <v>6</v>
      </c>
      <c r="R626">
        <v>12</v>
      </c>
      <c r="S626">
        <v>38</v>
      </c>
    </row>
    <row r="627" spans="1:19" hidden="1" x14ac:dyDescent="0.35">
      <c r="A627">
        <v>60084404000</v>
      </c>
      <c r="B627" t="s">
        <v>639</v>
      </c>
      <c r="C627" t="str">
        <f>_xlfn.XLOOKUP(A627,[1]Affiliations!$J$2:$J$5328,[1]Affiliations!$K$2:$K$5328,0)</f>
        <v>Federal University of Rio de Janeiro</v>
      </c>
      <c r="D627">
        <v>0</v>
      </c>
      <c r="G627">
        <v>0</v>
      </c>
    </row>
    <row r="628" spans="1:19" hidden="1" x14ac:dyDescent="0.35">
      <c r="A628">
        <v>58184905400</v>
      </c>
      <c r="B628" t="s">
        <v>640</v>
      </c>
      <c r="C628" t="str">
        <f>_xlfn.XLOOKUP(A628,[1]Affiliations!$J$2:$J$5328,[1]Affiliations!$K$2:$K$5328,0)</f>
        <v>Universidade Estadual Paulista “Júlio de Mesquita Filho”</v>
      </c>
      <c r="D628">
        <v>1</v>
      </c>
      <c r="E628">
        <v>14</v>
      </c>
      <c r="F628">
        <v>14</v>
      </c>
      <c r="G628">
        <v>1</v>
      </c>
      <c r="H628">
        <v>1.1299999999999999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P628">
        <v>0</v>
      </c>
      <c r="Q628">
        <v>0</v>
      </c>
      <c r="R628">
        <v>0</v>
      </c>
      <c r="S628">
        <v>1</v>
      </c>
    </row>
    <row r="629" spans="1:19" x14ac:dyDescent="0.35">
      <c r="A629">
        <v>54966721000</v>
      </c>
      <c r="B629" t="s">
        <v>5058</v>
      </c>
      <c r="C629" t="str">
        <f>_xlfn.XLOOKUP(A629,[1]Affiliations!$J$2:$J$5328,[1]Affiliations!$K$2:$K$5328,0)</f>
        <v>Universidade Federal de Minas Gerais</v>
      </c>
      <c r="D629">
        <v>37</v>
      </c>
      <c r="E629">
        <v>763</v>
      </c>
      <c r="F629">
        <v>20.621621999999999</v>
      </c>
      <c r="G629">
        <v>16</v>
      </c>
      <c r="H629">
        <v>1.38</v>
      </c>
      <c r="I629">
        <v>1</v>
      </c>
      <c r="J629">
        <v>11</v>
      </c>
      <c r="K629">
        <v>18</v>
      </c>
      <c r="L629">
        <v>22</v>
      </c>
      <c r="M629">
        <v>34</v>
      </c>
      <c r="N629">
        <v>36</v>
      </c>
      <c r="P629">
        <v>1</v>
      </c>
      <c r="Q629">
        <v>3</v>
      </c>
      <c r="R629">
        <v>9</v>
      </c>
      <c r="S629">
        <v>16</v>
      </c>
    </row>
    <row r="630" spans="1:19" hidden="1" x14ac:dyDescent="0.35">
      <c r="A630">
        <v>55671613100</v>
      </c>
      <c r="B630" t="s">
        <v>642</v>
      </c>
      <c r="C630" t="str">
        <f>_xlfn.XLOOKUP(A630,[1]Affiliations!$J$2:$J$5328,[1]Affiliations!$K$2:$K$5328,0)</f>
        <v>Universidade Federal de Santa Maria</v>
      </c>
      <c r="D630">
        <v>5</v>
      </c>
      <c r="E630">
        <v>78</v>
      </c>
      <c r="F630">
        <v>15.6</v>
      </c>
      <c r="G630">
        <v>6</v>
      </c>
      <c r="H630">
        <v>0.75</v>
      </c>
      <c r="I630">
        <v>0</v>
      </c>
      <c r="J630">
        <v>1</v>
      </c>
      <c r="K630">
        <v>1</v>
      </c>
      <c r="L630">
        <v>3</v>
      </c>
      <c r="M630">
        <v>5</v>
      </c>
      <c r="N630">
        <v>5</v>
      </c>
      <c r="P630">
        <v>0</v>
      </c>
      <c r="Q630">
        <v>0</v>
      </c>
      <c r="R630">
        <v>0</v>
      </c>
      <c r="S630">
        <v>3</v>
      </c>
    </row>
    <row r="631" spans="1:19" x14ac:dyDescent="0.35">
      <c r="A631">
        <v>7102720385</v>
      </c>
      <c r="B631" t="s">
        <v>4342</v>
      </c>
      <c r="C631" t="str">
        <f>_xlfn.XLOOKUP(A631,[1]Affiliations!$J$2:$J$5328,[1]Affiliations!$K$2:$K$5328,0)</f>
        <v>IMAM-AquaRio – Rio de Janeiro Aquarium Research Center (+1 more)</v>
      </c>
      <c r="D631">
        <v>89</v>
      </c>
      <c r="E631">
        <v>2852</v>
      </c>
      <c r="F631">
        <v>32.044944999999998</v>
      </c>
      <c r="G631">
        <v>55</v>
      </c>
      <c r="H631">
        <v>1.37</v>
      </c>
      <c r="I631">
        <v>3</v>
      </c>
      <c r="J631">
        <v>11</v>
      </c>
      <c r="K631">
        <v>24</v>
      </c>
      <c r="L631">
        <v>47</v>
      </c>
      <c r="M631">
        <v>66</v>
      </c>
      <c r="N631">
        <v>72</v>
      </c>
      <c r="P631">
        <v>4</v>
      </c>
      <c r="Q631">
        <v>15</v>
      </c>
      <c r="R631">
        <v>22</v>
      </c>
      <c r="S631">
        <v>46</v>
      </c>
    </row>
    <row r="632" spans="1:19" hidden="1" x14ac:dyDescent="0.35">
      <c r="A632">
        <v>57197973208</v>
      </c>
      <c r="B632" t="s">
        <v>644</v>
      </c>
      <c r="C632" t="str">
        <f>_xlfn.XLOOKUP(A632,[1]Affiliations!$J$2:$J$5328,[1]Affiliations!$K$2:$K$5328,0)</f>
        <v>Universidade Estadual do Norte Fluminense</v>
      </c>
      <c r="D632">
        <v>1</v>
      </c>
      <c r="E632">
        <v>39</v>
      </c>
      <c r="F632">
        <v>39</v>
      </c>
      <c r="G632">
        <v>2</v>
      </c>
      <c r="H632">
        <v>1.1399999999999999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P632">
        <v>0</v>
      </c>
      <c r="Q632">
        <v>0</v>
      </c>
      <c r="R632">
        <v>0</v>
      </c>
      <c r="S632">
        <v>1</v>
      </c>
    </row>
    <row r="633" spans="1:19" hidden="1" x14ac:dyDescent="0.35">
      <c r="A633">
        <v>57214183574</v>
      </c>
      <c r="B633" t="s">
        <v>645</v>
      </c>
      <c r="C633" t="str">
        <f>_xlfn.XLOOKUP(A633,[1]Affiliations!$J$2:$J$5328,[1]Affiliations!$K$2:$K$5328,0)</f>
        <v>University of Campinas</v>
      </c>
      <c r="D633">
        <v>1</v>
      </c>
      <c r="E633">
        <v>3</v>
      </c>
      <c r="F633">
        <v>3</v>
      </c>
      <c r="G633">
        <v>2</v>
      </c>
      <c r="H633">
        <v>0.22</v>
      </c>
      <c r="I633">
        <v>0</v>
      </c>
      <c r="J633">
        <v>0</v>
      </c>
      <c r="K633">
        <v>0</v>
      </c>
      <c r="L633">
        <v>0</v>
      </c>
      <c r="M633">
        <v>1</v>
      </c>
      <c r="N633">
        <v>1</v>
      </c>
      <c r="P633">
        <v>0</v>
      </c>
      <c r="Q633">
        <v>0</v>
      </c>
      <c r="R633">
        <v>0</v>
      </c>
      <c r="S633">
        <v>0</v>
      </c>
    </row>
    <row r="634" spans="1:19" hidden="1" x14ac:dyDescent="0.35">
      <c r="A634">
        <v>35111013800</v>
      </c>
      <c r="B634" t="s">
        <v>646</v>
      </c>
      <c r="C634" t="str">
        <f>_xlfn.XLOOKUP(A634,[1]Affiliations!$J$2:$J$5328,[1]Affiliations!$K$2:$K$5328,0)</f>
        <v>Federal University of Rio de Janeiro</v>
      </c>
      <c r="D634">
        <v>0</v>
      </c>
      <c r="G634">
        <v>3</v>
      </c>
    </row>
    <row r="635" spans="1:19" hidden="1" x14ac:dyDescent="0.35">
      <c r="A635">
        <v>8872131800</v>
      </c>
      <c r="B635" t="s">
        <v>647</v>
      </c>
      <c r="C635" t="str">
        <f>_xlfn.XLOOKUP(A635,[1]Affiliations!$J$2:$J$5328,[1]Affiliations!$K$2:$K$5328,0)</f>
        <v>Petróleo Brasileiro S.A. (+2 more)</v>
      </c>
      <c r="D635">
        <v>2</v>
      </c>
      <c r="E635">
        <v>22</v>
      </c>
      <c r="F635">
        <v>11</v>
      </c>
      <c r="G635">
        <v>10</v>
      </c>
      <c r="H635">
        <v>0.83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P635">
        <v>0</v>
      </c>
      <c r="Q635">
        <v>0</v>
      </c>
      <c r="R635">
        <v>0</v>
      </c>
      <c r="S635">
        <v>1</v>
      </c>
    </row>
    <row r="636" spans="1:19" hidden="1" x14ac:dyDescent="0.35">
      <c r="A636">
        <v>57190879336</v>
      </c>
      <c r="B636" t="s">
        <v>648</v>
      </c>
      <c r="C636" t="str">
        <f>_xlfn.XLOOKUP(A636,[1]Affiliations!$J$2:$J$5328,[1]Affiliations!$K$2:$K$5328,0)</f>
        <v>Universidade Federal de Santa Maria</v>
      </c>
      <c r="D636">
        <v>9</v>
      </c>
      <c r="E636">
        <v>42</v>
      </c>
      <c r="F636">
        <v>4.6666664999999998</v>
      </c>
      <c r="G636">
        <v>3</v>
      </c>
      <c r="H636">
        <v>0.28999999999999998</v>
      </c>
      <c r="I636">
        <v>0</v>
      </c>
      <c r="J636">
        <v>1</v>
      </c>
      <c r="K636">
        <v>1</v>
      </c>
      <c r="L636">
        <v>6</v>
      </c>
      <c r="M636">
        <v>7</v>
      </c>
      <c r="N636">
        <v>7</v>
      </c>
      <c r="P636">
        <v>0</v>
      </c>
      <c r="Q636">
        <v>0</v>
      </c>
      <c r="R636">
        <v>0</v>
      </c>
      <c r="S636">
        <v>1</v>
      </c>
    </row>
    <row r="637" spans="1:19" hidden="1" x14ac:dyDescent="0.35">
      <c r="A637">
        <v>6602250793</v>
      </c>
      <c r="B637" t="s">
        <v>649</v>
      </c>
      <c r="C637" t="str">
        <f>_xlfn.XLOOKUP(A637,[1]Affiliations!$J$2:$J$5328,[1]Affiliations!$K$2:$K$5328,0)</f>
        <v>Universidade de São Paulo (+1 more)</v>
      </c>
      <c r="D637">
        <v>35</v>
      </c>
      <c r="E637">
        <v>237</v>
      </c>
      <c r="F637">
        <v>6.7714286000000001</v>
      </c>
      <c r="G637">
        <v>17</v>
      </c>
      <c r="H637">
        <v>0.53</v>
      </c>
      <c r="I637">
        <v>0</v>
      </c>
      <c r="J637">
        <v>0</v>
      </c>
      <c r="K637">
        <v>5</v>
      </c>
      <c r="L637">
        <v>13</v>
      </c>
      <c r="M637">
        <v>15</v>
      </c>
      <c r="N637">
        <v>22</v>
      </c>
      <c r="P637">
        <v>0</v>
      </c>
      <c r="Q637">
        <v>0</v>
      </c>
      <c r="R637">
        <v>0</v>
      </c>
      <c r="S637">
        <v>6</v>
      </c>
    </row>
    <row r="638" spans="1:19" x14ac:dyDescent="0.35">
      <c r="A638">
        <v>53986506900</v>
      </c>
      <c r="B638" t="s">
        <v>4387</v>
      </c>
      <c r="C638" t="str">
        <f>_xlfn.XLOOKUP(A638,[1]Affiliations!$J$2:$J$5328,[1]Affiliations!$K$2:$K$5328,0)</f>
        <v>Federal University of Rio de Janeiro</v>
      </c>
      <c r="D638">
        <v>24</v>
      </c>
      <c r="E638">
        <v>897</v>
      </c>
      <c r="F638">
        <v>37.375</v>
      </c>
      <c r="G638">
        <v>13</v>
      </c>
      <c r="H638">
        <v>1.37</v>
      </c>
      <c r="I638">
        <v>8</v>
      </c>
      <c r="J638">
        <v>12</v>
      </c>
      <c r="K638">
        <v>12</v>
      </c>
      <c r="L638">
        <v>18</v>
      </c>
      <c r="M638">
        <v>20</v>
      </c>
      <c r="N638">
        <v>22</v>
      </c>
      <c r="P638">
        <v>0</v>
      </c>
      <c r="Q638">
        <v>5</v>
      </c>
      <c r="R638">
        <v>9</v>
      </c>
      <c r="S638">
        <v>11</v>
      </c>
    </row>
    <row r="639" spans="1:19" hidden="1" x14ac:dyDescent="0.35">
      <c r="A639">
        <v>57210968741</v>
      </c>
      <c r="B639" t="s">
        <v>651</v>
      </c>
      <c r="C639" t="str">
        <f>_xlfn.XLOOKUP(A639,[1]Affiliations!$J$2:$J$5328,[1]Affiliations!$K$2:$K$5328,0)</f>
        <v>Universidade Federal Fluminense (+1 more)</v>
      </c>
      <c r="D639">
        <v>3</v>
      </c>
      <c r="E639">
        <v>3</v>
      </c>
      <c r="F639">
        <v>1</v>
      </c>
      <c r="G639">
        <v>1</v>
      </c>
      <c r="H639">
        <v>0.03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</v>
      </c>
      <c r="P639">
        <v>0</v>
      </c>
      <c r="Q639">
        <v>0</v>
      </c>
      <c r="R639">
        <v>0</v>
      </c>
      <c r="S639">
        <v>0</v>
      </c>
    </row>
    <row r="640" spans="1:19" hidden="1" x14ac:dyDescent="0.35">
      <c r="A640">
        <v>30667535000</v>
      </c>
      <c r="B640" t="s">
        <v>652</v>
      </c>
      <c r="C640" t="str">
        <f>_xlfn.XLOOKUP(A640,[1]Affiliations!$J$2:$J$5328,[1]Affiliations!$K$2:$K$5328,0)</f>
        <v>Universidade Federal Fluminense (+2 more)</v>
      </c>
      <c r="D640">
        <v>3</v>
      </c>
      <c r="E640">
        <v>12</v>
      </c>
      <c r="F640">
        <v>4</v>
      </c>
      <c r="G640">
        <v>6</v>
      </c>
      <c r="H640">
        <v>1.1100000000000001</v>
      </c>
      <c r="I640">
        <v>0</v>
      </c>
      <c r="J640">
        <v>0</v>
      </c>
      <c r="K640">
        <v>0</v>
      </c>
      <c r="L640">
        <v>0</v>
      </c>
      <c r="M640">
        <v>1</v>
      </c>
      <c r="N640">
        <v>1</v>
      </c>
      <c r="P640">
        <v>0</v>
      </c>
      <c r="Q640">
        <v>0</v>
      </c>
      <c r="R640">
        <v>0</v>
      </c>
      <c r="S640">
        <v>0</v>
      </c>
    </row>
    <row r="641" spans="1:19" hidden="1" x14ac:dyDescent="0.35">
      <c r="A641">
        <v>59361690200</v>
      </c>
      <c r="B641" t="s">
        <v>653</v>
      </c>
      <c r="C641" t="str">
        <f>_xlfn.XLOOKUP(A641,[1]Affiliations!$J$2:$J$5328,[1]Affiliations!$K$2:$K$5328,0)</f>
        <v>Universidade Tecnológica Federal do Paraná</v>
      </c>
      <c r="D641">
        <v>1</v>
      </c>
      <c r="E641">
        <v>1</v>
      </c>
      <c r="F641">
        <v>1</v>
      </c>
      <c r="G641">
        <v>1</v>
      </c>
      <c r="H641">
        <v>1.72</v>
      </c>
      <c r="P641">
        <v>0</v>
      </c>
      <c r="Q641">
        <v>0</v>
      </c>
      <c r="R641">
        <v>0</v>
      </c>
      <c r="S641">
        <v>0</v>
      </c>
    </row>
    <row r="642" spans="1:19" x14ac:dyDescent="0.35">
      <c r="A642">
        <v>57155864600</v>
      </c>
      <c r="B642" t="s">
        <v>4486</v>
      </c>
      <c r="C642" t="str">
        <f>_xlfn.XLOOKUP(A642,[1]Affiliations!$J$2:$J$5328,[1]Affiliations!$K$2:$K$5328,0)</f>
        <v>Universidade Federal do Espírito Santo</v>
      </c>
      <c r="D642">
        <v>13</v>
      </c>
      <c r="E642">
        <v>320</v>
      </c>
      <c r="F642">
        <v>24.615385</v>
      </c>
      <c r="G642">
        <v>11</v>
      </c>
      <c r="H642">
        <v>1.37</v>
      </c>
      <c r="I642">
        <v>0</v>
      </c>
      <c r="J642">
        <v>1</v>
      </c>
      <c r="K642">
        <v>3</v>
      </c>
      <c r="L642">
        <v>8</v>
      </c>
      <c r="M642">
        <v>12</v>
      </c>
      <c r="N642">
        <v>12</v>
      </c>
      <c r="P642">
        <v>0</v>
      </c>
      <c r="Q642">
        <v>0</v>
      </c>
      <c r="R642">
        <v>1</v>
      </c>
      <c r="S642">
        <v>6</v>
      </c>
    </row>
    <row r="643" spans="1:19" hidden="1" x14ac:dyDescent="0.35">
      <c r="A643">
        <v>56716292500</v>
      </c>
      <c r="B643" t="s">
        <v>655</v>
      </c>
      <c r="C643" t="str">
        <f>_xlfn.XLOOKUP(A643,[1]Affiliations!$J$2:$J$5328,[1]Affiliations!$K$2:$K$5328,0)</f>
        <v>Federal University of Rio de Janeiro</v>
      </c>
      <c r="D643">
        <v>3</v>
      </c>
      <c r="E643">
        <v>1</v>
      </c>
      <c r="F643">
        <v>0.33333333999999998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1</v>
      </c>
      <c r="P643">
        <v>0</v>
      </c>
      <c r="Q643">
        <v>0</v>
      </c>
      <c r="R643">
        <v>0</v>
      </c>
      <c r="S643">
        <v>0</v>
      </c>
    </row>
    <row r="644" spans="1:19" hidden="1" x14ac:dyDescent="0.35">
      <c r="A644">
        <v>55195353900</v>
      </c>
      <c r="B644" t="s">
        <v>656</v>
      </c>
      <c r="C644" t="str">
        <f>_xlfn.XLOOKUP(A644,[1]Affiliations!$J$2:$J$5328,[1]Affiliations!$K$2:$K$5328,0)</f>
        <v>Federal University of Santa Catarina</v>
      </c>
      <c r="D644">
        <v>11</v>
      </c>
      <c r="E644">
        <v>89</v>
      </c>
      <c r="F644">
        <v>8.0909089999999999</v>
      </c>
      <c r="G644">
        <v>6</v>
      </c>
      <c r="H644">
        <v>0.87</v>
      </c>
      <c r="I644">
        <v>0</v>
      </c>
      <c r="J644">
        <v>1</v>
      </c>
      <c r="K644">
        <v>1</v>
      </c>
      <c r="L644">
        <v>1</v>
      </c>
      <c r="M644">
        <v>5</v>
      </c>
      <c r="N644">
        <v>6</v>
      </c>
      <c r="P644">
        <v>0</v>
      </c>
      <c r="Q644">
        <v>0</v>
      </c>
      <c r="R644">
        <v>0</v>
      </c>
      <c r="S644">
        <v>2</v>
      </c>
    </row>
    <row r="645" spans="1:19" hidden="1" x14ac:dyDescent="0.35">
      <c r="A645">
        <v>56993916000</v>
      </c>
      <c r="B645" t="s">
        <v>657</v>
      </c>
      <c r="C645" t="str">
        <f>_xlfn.XLOOKUP(A645,[1]Affiliations!$J$2:$J$5328,[1]Affiliations!$K$2:$K$5328,0)</f>
        <v>Universidade Federal do Rio Grande do Sul</v>
      </c>
      <c r="D645">
        <v>10</v>
      </c>
      <c r="E645">
        <v>64</v>
      </c>
      <c r="F645">
        <v>6.4</v>
      </c>
      <c r="G645">
        <v>5</v>
      </c>
      <c r="H645">
        <v>0.5</v>
      </c>
      <c r="I645">
        <v>0</v>
      </c>
      <c r="J645">
        <v>0</v>
      </c>
      <c r="K645">
        <v>1</v>
      </c>
      <c r="L645">
        <v>4</v>
      </c>
      <c r="M645">
        <v>5</v>
      </c>
      <c r="N645">
        <v>7</v>
      </c>
      <c r="P645">
        <v>0</v>
      </c>
      <c r="Q645">
        <v>0</v>
      </c>
      <c r="R645">
        <v>0</v>
      </c>
      <c r="S645">
        <v>2</v>
      </c>
    </row>
    <row r="646" spans="1:19" hidden="1" x14ac:dyDescent="0.35">
      <c r="A646">
        <v>56993878900</v>
      </c>
      <c r="B646" t="s">
        <v>658</v>
      </c>
      <c r="C646" t="str">
        <f>_xlfn.XLOOKUP(A646,[1]Affiliations!$J$2:$J$5328,[1]Affiliations!$K$2:$K$5328,0)</f>
        <v>Universidade Federal do Rio Grande do Sul</v>
      </c>
      <c r="D646">
        <v>5</v>
      </c>
      <c r="E646">
        <v>35</v>
      </c>
      <c r="F646">
        <v>7</v>
      </c>
      <c r="G646">
        <v>4</v>
      </c>
      <c r="H646">
        <v>0.56999999999999995</v>
      </c>
      <c r="I646">
        <v>0</v>
      </c>
      <c r="J646">
        <v>0</v>
      </c>
      <c r="K646">
        <v>0</v>
      </c>
      <c r="L646">
        <v>1</v>
      </c>
      <c r="M646">
        <v>2</v>
      </c>
      <c r="N646">
        <v>3</v>
      </c>
      <c r="P646">
        <v>0</v>
      </c>
      <c r="Q646">
        <v>0</v>
      </c>
      <c r="R646">
        <v>0</v>
      </c>
      <c r="S646">
        <v>1</v>
      </c>
    </row>
    <row r="647" spans="1:19" hidden="1" x14ac:dyDescent="0.35">
      <c r="A647">
        <v>15922006300</v>
      </c>
      <c r="B647" t="s">
        <v>659</v>
      </c>
      <c r="C647" t="str">
        <f>_xlfn.XLOOKUP(A647,[1]Affiliations!$J$2:$J$5328,[1]Affiliations!$K$2:$K$5328,0)</f>
        <v>Pontifical Catholic University of Rio de Janeiro</v>
      </c>
      <c r="D647">
        <v>33</v>
      </c>
      <c r="E647">
        <v>258</v>
      </c>
      <c r="F647">
        <v>7.8181820000000002</v>
      </c>
      <c r="G647">
        <v>15</v>
      </c>
      <c r="H647">
        <v>0.43</v>
      </c>
      <c r="I647">
        <v>1</v>
      </c>
      <c r="J647">
        <v>4</v>
      </c>
      <c r="K647">
        <v>6</v>
      </c>
      <c r="L647">
        <v>7</v>
      </c>
      <c r="M647">
        <v>11</v>
      </c>
      <c r="N647">
        <v>17</v>
      </c>
      <c r="P647">
        <v>0</v>
      </c>
      <c r="Q647">
        <v>0</v>
      </c>
      <c r="R647">
        <v>0</v>
      </c>
      <c r="S647">
        <v>6</v>
      </c>
    </row>
    <row r="648" spans="1:19" hidden="1" x14ac:dyDescent="0.35">
      <c r="A648">
        <v>57204589444</v>
      </c>
      <c r="B648" t="s">
        <v>660</v>
      </c>
      <c r="C648" t="str">
        <f>_xlfn.XLOOKUP(A648,[1]Affiliations!$J$2:$J$5328,[1]Affiliations!$K$2:$K$5328,0)</f>
        <v>Federal University of Rio de Janeiro</v>
      </c>
      <c r="D648">
        <v>2</v>
      </c>
      <c r="E648">
        <v>12</v>
      </c>
      <c r="F648">
        <v>6</v>
      </c>
      <c r="G648">
        <v>2</v>
      </c>
      <c r="H648">
        <v>0.26</v>
      </c>
      <c r="I648">
        <v>0</v>
      </c>
      <c r="J648">
        <v>0</v>
      </c>
      <c r="K648">
        <v>1</v>
      </c>
      <c r="L648">
        <v>2</v>
      </c>
      <c r="M648">
        <v>2</v>
      </c>
      <c r="N648">
        <v>2</v>
      </c>
      <c r="P648">
        <v>0</v>
      </c>
      <c r="Q648">
        <v>0</v>
      </c>
      <c r="R648">
        <v>0</v>
      </c>
      <c r="S648">
        <v>0</v>
      </c>
    </row>
    <row r="649" spans="1:19" hidden="1" x14ac:dyDescent="0.35">
      <c r="A649">
        <v>56319500100</v>
      </c>
      <c r="B649" t="s">
        <v>661</v>
      </c>
      <c r="C649" t="str">
        <f>_xlfn.XLOOKUP(A649,[1]Affiliations!$J$2:$J$5328,[1]Affiliations!$K$2:$K$5328,0)</f>
        <v>Federal University of the Acre</v>
      </c>
      <c r="D649">
        <v>21</v>
      </c>
      <c r="E649">
        <v>94</v>
      </c>
      <c r="F649">
        <v>4.4761905999999998</v>
      </c>
      <c r="G649">
        <v>7</v>
      </c>
      <c r="H649">
        <v>0.19</v>
      </c>
      <c r="I649">
        <v>0</v>
      </c>
      <c r="J649">
        <v>2</v>
      </c>
      <c r="K649">
        <v>4</v>
      </c>
      <c r="L649">
        <v>10</v>
      </c>
      <c r="M649">
        <v>13</v>
      </c>
      <c r="N649">
        <v>15</v>
      </c>
      <c r="P649">
        <v>0</v>
      </c>
      <c r="Q649">
        <v>0</v>
      </c>
      <c r="R649">
        <v>0</v>
      </c>
      <c r="S649">
        <v>1</v>
      </c>
    </row>
    <row r="650" spans="1:19" hidden="1" x14ac:dyDescent="0.35">
      <c r="A650">
        <v>57201418202</v>
      </c>
      <c r="B650" t="s">
        <v>662</v>
      </c>
      <c r="C650" t="str">
        <f>_xlfn.XLOOKUP(A650,[1]Affiliations!$J$2:$J$5328,[1]Affiliations!$K$2:$K$5328,0)</f>
        <v>Universidade Federal do Rio Grande do Sul</v>
      </c>
      <c r="D650">
        <v>1</v>
      </c>
      <c r="E650">
        <v>0</v>
      </c>
      <c r="F650">
        <v>0</v>
      </c>
      <c r="G650">
        <v>0</v>
      </c>
      <c r="H650">
        <v>0</v>
      </c>
      <c r="P650">
        <v>0</v>
      </c>
      <c r="Q650">
        <v>0</v>
      </c>
      <c r="R650">
        <v>0</v>
      </c>
      <c r="S650">
        <v>0</v>
      </c>
    </row>
    <row r="651" spans="1:19" hidden="1" x14ac:dyDescent="0.35">
      <c r="A651">
        <v>57194940636</v>
      </c>
      <c r="B651" t="s">
        <v>663</v>
      </c>
      <c r="C651" t="str">
        <f>_xlfn.XLOOKUP(A651,[1]Affiliations!$J$2:$J$5328,[1]Affiliations!$K$2:$K$5328,0)</f>
        <v>Universidade Federal de Pernambuco</v>
      </c>
      <c r="D651">
        <v>2</v>
      </c>
      <c r="E651">
        <v>79</v>
      </c>
      <c r="F651">
        <v>39.5</v>
      </c>
      <c r="G651">
        <v>3</v>
      </c>
      <c r="H651">
        <v>1.7</v>
      </c>
      <c r="I651">
        <v>0</v>
      </c>
      <c r="J651">
        <v>0</v>
      </c>
      <c r="K651">
        <v>0</v>
      </c>
      <c r="L651">
        <v>1</v>
      </c>
      <c r="M651">
        <v>2</v>
      </c>
      <c r="N651">
        <v>2</v>
      </c>
      <c r="P651">
        <v>0</v>
      </c>
      <c r="Q651">
        <v>0</v>
      </c>
      <c r="R651">
        <v>1</v>
      </c>
      <c r="S651">
        <v>1</v>
      </c>
    </row>
    <row r="652" spans="1:19" hidden="1" x14ac:dyDescent="0.35">
      <c r="A652">
        <v>57201425718</v>
      </c>
      <c r="B652" t="s">
        <v>664</v>
      </c>
      <c r="C652" t="str">
        <f>_xlfn.XLOOKUP(A652,[1]Affiliations!$J$2:$J$5328,[1]Affiliations!$K$2:$K$5328,0)</f>
        <v>TRANSPETRO</v>
      </c>
      <c r="D652">
        <v>2</v>
      </c>
      <c r="E652">
        <v>0</v>
      </c>
      <c r="F652">
        <v>0</v>
      </c>
      <c r="G652">
        <v>0</v>
      </c>
      <c r="H652">
        <v>0</v>
      </c>
      <c r="P652">
        <v>0</v>
      </c>
      <c r="Q652">
        <v>0</v>
      </c>
      <c r="R652">
        <v>0</v>
      </c>
      <c r="S652">
        <v>0</v>
      </c>
    </row>
    <row r="653" spans="1:19" hidden="1" x14ac:dyDescent="0.35">
      <c r="A653">
        <v>16199548300</v>
      </c>
      <c r="B653" t="s">
        <v>665</v>
      </c>
      <c r="C653" t="str">
        <f>_xlfn.XLOOKUP(A653,[1]Affiliations!$J$2:$J$5328,[1]Affiliations!$K$2:$K$5328,0)</f>
        <v>Instituto Nacional de Metrologia, Qualidade e Tecnologia</v>
      </c>
      <c r="D653">
        <v>4</v>
      </c>
      <c r="E653">
        <v>75</v>
      </c>
      <c r="F653">
        <v>18.75</v>
      </c>
      <c r="G653">
        <v>14</v>
      </c>
      <c r="H653">
        <v>0.63</v>
      </c>
      <c r="I653">
        <v>0</v>
      </c>
      <c r="J653">
        <v>0</v>
      </c>
      <c r="K653">
        <v>0</v>
      </c>
      <c r="L653">
        <v>1</v>
      </c>
      <c r="M653">
        <v>2</v>
      </c>
      <c r="N653">
        <v>4</v>
      </c>
      <c r="P653">
        <v>0</v>
      </c>
      <c r="Q653">
        <v>0</v>
      </c>
      <c r="R653">
        <v>0</v>
      </c>
      <c r="S653">
        <v>2</v>
      </c>
    </row>
    <row r="654" spans="1:19" hidden="1" x14ac:dyDescent="0.35">
      <c r="A654">
        <v>58845483800</v>
      </c>
      <c r="B654" t="s">
        <v>666</v>
      </c>
      <c r="C654" t="str">
        <f>_xlfn.XLOOKUP(A654,[1]Affiliations!$J$2:$J$5328,[1]Affiliations!$K$2:$K$5328,0)</f>
        <v>Consalt- Consultoria Mineral Ltda</v>
      </c>
      <c r="D654">
        <v>1</v>
      </c>
      <c r="E654">
        <v>5</v>
      </c>
      <c r="F654">
        <v>5</v>
      </c>
      <c r="G654">
        <v>1</v>
      </c>
      <c r="H654">
        <v>0.72</v>
      </c>
      <c r="P654">
        <v>0</v>
      </c>
      <c r="Q654">
        <v>0</v>
      </c>
      <c r="R654">
        <v>0</v>
      </c>
      <c r="S654">
        <v>0</v>
      </c>
    </row>
    <row r="655" spans="1:19" x14ac:dyDescent="0.35">
      <c r="A655">
        <v>57212266880</v>
      </c>
      <c r="B655" t="s">
        <v>502</v>
      </c>
      <c r="C655" t="str">
        <f>_xlfn.XLOOKUP(A655,[1]Affiliations!$J$2:$J$5328,[1]Affiliations!$K$2:$K$5328,0)</f>
        <v>Universidade Federal Fluminense (+1 more)</v>
      </c>
      <c r="D655">
        <v>6</v>
      </c>
      <c r="E655">
        <v>45</v>
      </c>
      <c r="F655">
        <v>7.5</v>
      </c>
      <c r="G655">
        <v>4</v>
      </c>
      <c r="H655">
        <v>1.36</v>
      </c>
      <c r="I655">
        <v>0</v>
      </c>
      <c r="J655">
        <v>3</v>
      </c>
      <c r="K655">
        <v>3</v>
      </c>
      <c r="L655">
        <v>5</v>
      </c>
      <c r="M655">
        <v>6</v>
      </c>
      <c r="N655">
        <v>6</v>
      </c>
      <c r="P655">
        <v>0</v>
      </c>
      <c r="Q655">
        <v>1</v>
      </c>
      <c r="R655">
        <v>1</v>
      </c>
      <c r="S655">
        <v>1</v>
      </c>
    </row>
    <row r="656" spans="1:19" hidden="1" x14ac:dyDescent="0.35">
      <c r="A656">
        <v>6504059493</v>
      </c>
      <c r="B656" t="s">
        <v>668</v>
      </c>
      <c r="C656" t="str">
        <f>_xlfn.XLOOKUP(A656,[1]Affiliations!$J$2:$J$5328,[1]Affiliations!$K$2:$K$5328,0)</f>
        <v>DEMa</v>
      </c>
      <c r="D656">
        <v>2</v>
      </c>
      <c r="E656">
        <v>7</v>
      </c>
      <c r="F656">
        <v>3.5</v>
      </c>
      <c r="G656">
        <v>6</v>
      </c>
      <c r="H656">
        <v>0.19</v>
      </c>
      <c r="I656">
        <v>0</v>
      </c>
      <c r="J656">
        <v>0</v>
      </c>
      <c r="K656">
        <v>1</v>
      </c>
      <c r="L656">
        <v>1</v>
      </c>
      <c r="M656">
        <v>1</v>
      </c>
      <c r="N656">
        <v>2</v>
      </c>
      <c r="P656">
        <v>0</v>
      </c>
      <c r="Q656">
        <v>0</v>
      </c>
      <c r="R656">
        <v>0</v>
      </c>
      <c r="S656">
        <v>0</v>
      </c>
    </row>
    <row r="657" spans="1:19" hidden="1" x14ac:dyDescent="0.35">
      <c r="A657">
        <v>58682277800</v>
      </c>
      <c r="B657" t="s">
        <v>669</v>
      </c>
      <c r="C657" t="str">
        <f>_xlfn.XLOOKUP(A657,[1]Affiliations!$J$2:$J$5328,[1]Affiliations!$K$2:$K$5328,0)</f>
        <v>Universidade de São Paulo</v>
      </c>
      <c r="D657">
        <v>1</v>
      </c>
      <c r="E657">
        <v>4</v>
      </c>
      <c r="F657">
        <v>4</v>
      </c>
      <c r="G657">
        <v>1</v>
      </c>
      <c r="H657">
        <v>1.34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1</v>
      </c>
      <c r="P657">
        <v>0</v>
      </c>
      <c r="Q657">
        <v>0</v>
      </c>
      <c r="R657">
        <v>0</v>
      </c>
      <c r="S657">
        <v>0</v>
      </c>
    </row>
    <row r="658" spans="1:19" hidden="1" x14ac:dyDescent="0.35">
      <c r="A658">
        <v>55316903700</v>
      </c>
      <c r="B658" t="s">
        <v>670</v>
      </c>
      <c r="C658" t="str">
        <f>_xlfn.XLOOKUP(A658,[1]Affiliations!$J$2:$J$5328,[1]Affiliations!$K$2:$K$5328,0)</f>
        <v>Federal University of Rio de Janeiro</v>
      </c>
      <c r="D658">
        <v>3</v>
      </c>
      <c r="E658">
        <v>27</v>
      </c>
      <c r="F658">
        <v>9</v>
      </c>
      <c r="G658">
        <v>5</v>
      </c>
      <c r="H658">
        <v>0.97</v>
      </c>
      <c r="I658">
        <v>0</v>
      </c>
      <c r="J658">
        <v>1</v>
      </c>
      <c r="K658">
        <v>2</v>
      </c>
      <c r="L658">
        <v>3</v>
      </c>
      <c r="M658">
        <v>3</v>
      </c>
      <c r="N658">
        <v>3</v>
      </c>
      <c r="P658">
        <v>0</v>
      </c>
      <c r="Q658">
        <v>0</v>
      </c>
      <c r="R658">
        <v>0</v>
      </c>
      <c r="S658">
        <v>1</v>
      </c>
    </row>
    <row r="659" spans="1:19" x14ac:dyDescent="0.35">
      <c r="A659">
        <v>56538591500</v>
      </c>
      <c r="B659" t="s">
        <v>2388</v>
      </c>
      <c r="C659" t="str">
        <f>_xlfn.XLOOKUP(A659,[1]Affiliations!$J$2:$J$5328,[1]Affiliations!$K$2:$K$5328,0)</f>
        <v>Universidade de São Paulo</v>
      </c>
      <c r="D659">
        <v>19</v>
      </c>
      <c r="E659">
        <v>479</v>
      </c>
      <c r="F659">
        <v>25.210526000000002</v>
      </c>
      <c r="G659">
        <v>12</v>
      </c>
      <c r="H659">
        <v>1.36</v>
      </c>
      <c r="I659">
        <v>0</v>
      </c>
      <c r="J659">
        <v>6</v>
      </c>
      <c r="K659">
        <v>6</v>
      </c>
      <c r="L659">
        <v>12</v>
      </c>
      <c r="M659">
        <v>16</v>
      </c>
      <c r="N659">
        <v>18</v>
      </c>
      <c r="P659">
        <v>0</v>
      </c>
      <c r="Q659">
        <v>0</v>
      </c>
      <c r="R659">
        <v>4</v>
      </c>
      <c r="S659">
        <v>9</v>
      </c>
    </row>
    <row r="660" spans="1:19" x14ac:dyDescent="0.35">
      <c r="A660">
        <v>56404041200</v>
      </c>
      <c r="B660" t="s">
        <v>2415</v>
      </c>
      <c r="C660" t="str">
        <f>_xlfn.XLOOKUP(A660,[1]Affiliations!$J$2:$J$5328,[1]Affiliations!$K$2:$K$5328,0)</f>
        <v>University of Campinas (+1 more)</v>
      </c>
      <c r="D660">
        <v>18</v>
      </c>
      <c r="E660">
        <v>417</v>
      </c>
      <c r="F660">
        <v>23.166665999999999</v>
      </c>
      <c r="G660">
        <v>10</v>
      </c>
      <c r="H660">
        <v>1.36</v>
      </c>
      <c r="I660">
        <v>1</v>
      </c>
      <c r="J660">
        <v>6</v>
      </c>
      <c r="K660">
        <v>11</v>
      </c>
      <c r="L660">
        <v>17</v>
      </c>
      <c r="M660">
        <v>17</v>
      </c>
      <c r="N660">
        <v>17</v>
      </c>
      <c r="P660">
        <v>1</v>
      </c>
      <c r="Q660">
        <v>1</v>
      </c>
      <c r="R660">
        <v>2</v>
      </c>
      <c r="S660">
        <v>7</v>
      </c>
    </row>
    <row r="661" spans="1:19" x14ac:dyDescent="0.35">
      <c r="A661">
        <v>55043216900</v>
      </c>
      <c r="B661" t="s">
        <v>2661</v>
      </c>
      <c r="C661" t="str">
        <f>_xlfn.XLOOKUP(A661,[1]Affiliations!$J$2:$J$5328,[1]Affiliations!$K$2:$K$5328,0)</f>
        <v>Federal University of Rio de Janeiro</v>
      </c>
      <c r="D661">
        <v>20</v>
      </c>
      <c r="E661">
        <v>567</v>
      </c>
      <c r="F661">
        <v>28.35</v>
      </c>
      <c r="G661">
        <v>15</v>
      </c>
      <c r="H661">
        <v>1.36</v>
      </c>
      <c r="I661">
        <v>0</v>
      </c>
      <c r="J661">
        <v>3</v>
      </c>
      <c r="K661">
        <v>9</v>
      </c>
      <c r="L661">
        <v>15</v>
      </c>
      <c r="M661">
        <v>18</v>
      </c>
      <c r="N661">
        <v>20</v>
      </c>
      <c r="P661">
        <v>0</v>
      </c>
      <c r="Q661">
        <v>2</v>
      </c>
      <c r="R661">
        <v>3</v>
      </c>
      <c r="S661">
        <v>14</v>
      </c>
    </row>
    <row r="662" spans="1:19" hidden="1" x14ac:dyDescent="0.35">
      <c r="A662">
        <v>35785163100</v>
      </c>
      <c r="B662" t="s">
        <v>674</v>
      </c>
      <c r="C662" t="str">
        <f>_xlfn.XLOOKUP(A662,[1]Affiliations!$J$2:$J$5328,[1]Affiliations!$K$2:$K$5328,0)</f>
        <v>Instituto Nacional de Metrologia, Qualidade e Tecnologia</v>
      </c>
      <c r="D662">
        <v>16</v>
      </c>
      <c r="E662">
        <v>91</v>
      </c>
      <c r="F662">
        <v>5.6875</v>
      </c>
      <c r="G662">
        <v>10</v>
      </c>
      <c r="H662">
        <v>0.26</v>
      </c>
      <c r="I662">
        <v>0</v>
      </c>
      <c r="J662">
        <v>0</v>
      </c>
      <c r="K662">
        <v>0</v>
      </c>
      <c r="L662">
        <v>8</v>
      </c>
      <c r="M662">
        <v>14</v>
      </c>
      <c r="N662">
        <v>16</v>
      </c>
      <c r="P662">
        <v>0</v>
      </c>
      <c r="Q662">
        <v>0</v>
      </c>
      <c r="R662">
        <v>0</v>
      </c>
      <c r="S662">
        <v>0</v>
      </c>
    </row>
    <row r="663" spans="1:19" hidden="1" x14ac:dyDescent="0.35">
      <c r="A663">
        <v>57196043686</v>
      </c>
      <c r="B663" t="s">
        <v>675</v>
      </c>
      <c r="C663" t="str">
        <f>_xlfn.XLOOKUP(A663,[1]Affiliations!$J$2:$J$5328,[1]Affiliations!$K$2:$K$5328,0)</f>
        <v>Universidade de Brasília</v>
      </c>
      <c r="D663">
        <v>3</v>
      </c>
      <c r="E663">
        <v>93</v>
      </c>
      <c r="F663">
        <v>31</v>
      </c>
      <c r="G663">
        <v>3</v>
      </c>
      <c r="H663">
        <v>1.4</v>
      </c>
      <c r="I663">
        <v>0</v>
      </c>
      <c r="J663">
        <v>1</v>
      </c>
      <c r="K663">
        <v>1</v>
      </c>
      <c r="L663">
        <v>2</v>
      </c>
      <c r="M663">
        <v>3</v>
      </c>
      <c r="N663">
        <v>3</v>
      </c>
      <c r="P663">
        <v>0</v>
      </c>
      <c r="Q663">
        <v>0</v>
      </c>
      <c r="R663">
        <v>0</v>
      </c>
      <c r="S663">
        <v>2</v>
      </c>
    </row>
    <row r="664" spans="1:19" hidden="1" x14ac:dyDescent="0.35">
      <c r="A664">
        <v>57219657080</v>
      </c>
      <c r="B664" t="s">
        <v>676</v>
      </c>
      <c r="C664" t="str">
        <f>_xlfn.XLOOKUP(A664,[1]Affiliations!$J$2:$J$5328,[1]Affiliations!$K$2:$K$5328,0)</f>
        <v>Federal University of Rio de Janeiro</v>
      </c>
      <c r="D664">
        <v>11</v>
      </c>
      <c r="E664">
        <v>73</v>
      </c>
      <c r="F664">
        <v>6.6363634999999999</v>
      </c>
      <c r="G664">
        <v>4</v>
      </c>
      <c r="H664">
        <v>0.4</v>
      </c>
      <c r="I664">
        <v>0</v>
      </c>
      <c r="J664">
        <v>0</v>
      </c>
      <c r="K664">
        <v>1</v>
      </c>
      <c r="L664">
        <v>6</v>
      </c>
      <c r="M664">
        <v>8</v>
      </c>
      <c r="N664">
        <v>10</v>
      </c>
      <c r="P664">
        <v>0</v>
      </c>
      <c r="Q664">
        <v>0</v>
      </c>
      <c r="R664">
        <v>0</v>
      </c>
      <c r="S664">
        <v>1</v>
      </c>
    </row>
    <row r="665" spans="1:19" hidden="1" x14ac:dyDescent="0.35">
      <c r="A665">
        <v>56242191200</v>
      </c>
      <c r="B665" t="s">
        <v>677</v>
      </c>
      <c r="C665" t="str">
        <f>_xlfn.XLOOKUP(A665,[1]Affiliations!$J$2:$J$5328,[1]Affiliations!$K$2:$K$5328,0)</f>
        <v>Universidade Federal Rural do Rio de Janeiro</v>
      </c>
      <c r="D665">
        <v>0</v>
      </c>
      <c r="G665">
        <v>1</v>
      </c>
    </row>
    <row r="666" spans="1:19" hidden="1" x14ac:dyDescent="0.35">
      <c r="A666">
        <v>6602126509</v>
      </c>
      <c r="B666" t="s">
        <v>678</v>
      </c>
      <c r="C666" t="str">
        <f>_xlfn.XLOOKUP(A666,[1]Affiliations!$J$2:$J$5328,[1]Affiliations!$K$2:$K$5328,0)</f>
        <v>Brazilian Navy (IEAPM)</v>
      </c>
      <c r="D666">
        <v>7</v>
      </c>
      <c r="E666">
        <v>81</v>
      </c>
      <c r="F666">
        <v>11.571427999999999</v>
      </c>
      <c r="G666">
        <v>11</v>
      </c>
      <c r="H666">
        <v>0.51</v>
      </c>
      <c r="I666">
        <v>0</v>
      </c>
      <c r="J666">
        <v>1</v>
      </c>
      <c r="K666">
        <v>1</v>
      </c>
      <c r="L666">
        <v>3</v>
      </c>
      <c r="M666">
        <v>4</v>
      </c>
      <c r="N666">
        <v>6</v>
      </c>
      <c r="P666">
        <v>0</v>
      </c>
      <c r="Q666">
        <v>0</v>
      </c>
      <c r="R666">
        <v>0</v>
      </c>
      <c r="S666">
        <v>2</v>
      </c>
    </row>
    <row r="667" spans="1:19" hidden="1" x14ac:dyDescent="0.35">
      <c r="A667">
        <v>55942376400</v>
      </c>
      <c r="B667" t="s">
        <v>679</v>
      </c>
      <c r="C667" t="str">
        <f>_xlfn.XLOOKUP(A667,[1]Affiliations!$J$2:$J$5328,[1]Affiliations!$K$2:$K$5328,0)</f>
        <v>Universidade Federal Rural do Rio de Janeiro (+3 more)</v>
      </c>
      <c r="D667">
        <v>44</v>
      </c>
      <c r="E667">
        <v>485</v>
      </c>
      <c r="F667">
        <v>11.022727</v>
      </c>
      <c r="G667">
        <v>13</v>
      </c>
      <c r="H667">
        <v>0.63</v>
      </c>
      <c r="I667">
        <v>0</v>
      </c>
      <c r="J667">
        <v>3</v>
      </c>
      <c r="K667">
        <v>10</v>
      </c>
      <c r="L667">
        <v>31</v>
      </c>
      <c r="M667">
        <v>32</v>
      </c>
      <c r="N667">
        <v>34</v>
      </c>
      <c r="P667">
        <v>0</v>
      </c>
      <c r="Q667">
        <v>0</v>
      </c>
      <c r="R667">
        <v>0</v>
      </c>
      <c r="S667">
        <v>6</v>
      </c>
    </row>
    <row r="668" spans="1:19" x14ac:dyDescent="0.35">
      <c r="A668">
        <v>14619829600</v>
      </c>
      <c r="B668" t="s">
        <v>5171</v>
      </c>
      <c r="C668" t="str">
        <f>_xlfn.XLOOKUP(A668,[1]Affiliations!$J$2:$J$5328,[1]Affiliations!$K$2:$K$5328,0)</f>
        <v>University of Campinas</v>
      </c>
      <c r="D668">
        <v>83</v>
      </c>
      <c r="E668">
        <v>855</v>
      </c>
      <c r="F668">
        <v>10.301205</v>
      </c>
      <c r="G668">
        <v>18</v>
      </c>
      <c r="H668">
        <v>1.36</v>
      </c>
      <c r="I668">
        <v>0</v>
      </c>
      <c r="J668">
        <v>4</v>
      </c>
      <c r="K668">
        <v>12</v>
      </c>
      <c r="L668">
        <v>27</v>
      </c>
      <c r="M668">
        <v>40</v>
      </c>
      <c r="N668">
        <v>43</v>
      </c>
      <c r="P668">
        <v>1</v>
      </c>
      <c r="Q668">
        <v>7</v>
      </c>
      <c r="R668">
        <v>10</v>
      </c>
      <c r="S668">
        <v>19</v>
      </c>
    </row>
    <row r="669" spans="1:19" hidden="1" x14ac:dyDescent="0.35">
      <c r="A669">
        <v>58314372800</v>
      </c>
      <c r="B669" t="s">
        <v>681</v>
      </c>
      <c r="C669" t="str">
        <f>_xlfn.XLOOKUP(A669,[1]Affiliations!$J$2:$J$5328,[1]Affiliations!$K$2:$K$5328,0)</f>
        <v>Universidade Federal do Rio Grande do Norte</v>
      </c>
      <c r="D669">
        <v>1</v>
      </c>
      <c r="E669">
        <v>14</v>
      </c>
      <c r="F669">
        <v>14</v>
      </c>
      <c r="G669">
        <v>2</v>
      </c>
      <c r="H669">
        <v>1.24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P669">
        <v>0</v>
      </c>
      <c r="Q669">
        <v>0</v>
      </c>
      <c r="R669">
        <v>0</v>
      </c>
      <c r="S669">
        <v>1</v>
      </c>
    </row>
    <row r="670" spans="1:19" hidden="1" x14ac:dyDescent="0.35">
      <c r="A670">
        <v>60151650000</v>
      </c>
      <c r="B670" t="s">
        <v>682</v>
      </c>
      <c r="C670" t="str">
        <f>_xlfn.XLOOKUP(A670,[1]Affiliations!$J$2:$J$5328,[1]Affiliations!$K$2:$K$5328,0)</f>
        <v>Pontifical Catholic University of Rio de Janeiro</v>
      </c>
      <c r="D670">
        <v>0</v>
      </c>
      <c r="G670">
        <v>0</v>
      </c>
    </row>
    <row r="671" spans="1:19" hidden="1" x14ac:dyDescent="0.35">
      <c r="A671">
        <v>53983573700</v>
      </c>
      <c r="B671" t="s">
        <v>683</v>
      </c>
      <c r="C671" t="str">
        <f>_xlfn.XLOOKUP(A671,[1]Affiliations!$J$2:$J$5328,[1]Affiliations!$K$2:$K$5328,0)</f>
        <v>Universidade Federal de Minas Gerais (+3 more)</v>
      </c>
      <c r="D671">
        <v>13</v>
      </c>
      <c r="E671">
        <v>110</v>
      </c>
      <c r="F671">
        <v>8.4615379999999991</v>
      </c>
      <c r="G671">
        <v>7</v>
      </c>
      <c r="H671">
        <v>0.47</v>
      </c>
      <c r="I671">
        <v>0</v>
      </c>
      <c r="J671">
        <v>0</v>
      </c>
      <c r="K671">
        <v>1</v>
      </c>
      <c r="L671">
        <v>4</v>
      </c>
      <c r="M671">
        <v>9</v>
      </c>
      <c r="N671">
        <v>11</v>
      </c>
      <c r="P671">
        <v>0</v>
      </c>
      <c r="Q671">
        <v>0</v>
      </c>
      <c r="R671">
        <v>0</v>
      </c>
      <c r="S671">
        <v>2</v>
      </c>
    </row>
    <row r="672" spans="1:19" hidden="1" x14ac:dyDescent="0.35">
      <c r="A672">
        <v>55228464600</v>
      </c>
      <c r="B672" t="s">
        <v>684</v>
      </c>
      <c r="C672" t="str">
        <f>_xlfn.XLOOKUP(A672,[1]Affiliations!$J$2:$J$5328,[1]Affiliations!$K$2:$K$5328,0)</f>
        <v>Laboratório Nacional Agropecuário (LANAGRO)</v>
      </c>
      <c r="D672">
        <v>3</v>
      </c>
      <c r="E672">
        <v>83</v>
      </c>
      <c r="F672">
        <v>27.666665999999999</v>
      </c>
      <c r="G672">
        <v>4</v>
      </c>
      <c r="H672">
        <v>1.07</v>
      </c>
      <c r="I672">
        <v>0</v>
      </c>
      <c r="J672">
        <v>1</v>
      </c>
      <c r="K672">
        <v>2</v>
      </c>
      <c r="L672">
        <v>2</v>
      </c>
      <c r="M672">
        <v>2</v>
      </c>
      <c r="N672">
        <v>3</v>
      </c>
      <c r="P672">
        <v>0</v>
      </c>
      <c r="Q672">
        <v>0</v>
      </c>
      <c r="R672">
        <v>1</v>
      </c>
      <c r="S672">
        <v>1</v>
      </c>
    </row>
    <row r="673" spans="1:19" hidden="1" x14ac:dyDescent="0.35">
      <c r="A673">
        <v>7003646663</v>
      </c>
      <c r="B673" t="s">
        <v>685</v>
      </c>
      <c r="C673" t="str">
        <f>_xlfn.XLOOKUP(A673,[1]Affiliations!$J$2:$J$5328,[1]Affiliations!$K$2:$K$5328,0)</f>
        <v>Universidade Federal do Espírito Santo</v>
      </c>
      <c r="D673">
        <v>61</v>
      </c>
      <c r="E673">
        <v>307</v>
      </c>
      <c r="F673">
        <v>5.0327869999999999</v>
      </c>
      <c r="G673">
        <v>17</v>
      </c>
      <c r="H673">
        <v>0.36</v>
      </c>
      <c r="I673">
        <v>0</v>
      </c>
      <c r="J673">
        <v>0</v>
      </c>
      <c r="K673">
        <v>0</v>
      </c>
      <c r="L673">
        <v>8</v>
      </c>
      <c r="M673">
        <v>19</v>
      </c>
      <c r="N673">
        <v>46</v>
      </c>
      <c r="P673">
        <v>0</v>
      </c>
      <c r="Q673">
        <v>0</v>
      </c>
      <c r="R673">
        <v>0</v>
      </c>
      <c r="S673">
        <v>0</v>
      </c>
    </row>
    <row r="674" spans="1:19" hidden="1" x14ac:dyDescent="0.35">
      <c r="A674">
        <v>57274459500</v>
      </c>
      <c r="B674" t="s">
        <v>686</v>
      </c>
      <c r="C674" t="str">
        <f>_xlfn.XLOOKUP(A674,[1]Affiliations!$J$2:$J$5328,[1]Affiliations!$K$2:$K$5328,0)</f>
        <v>Universidade Federal de Itajubá</v>
      </c>
      <c r="D674">
        <v>1</v>
      </c>
      <c r="E674">
        <v>5</v>
      </c>
      <c r="F674">
        <v>5</v>
      </c>
      <c r="G674">
        <v>1</v>
      </c>
      <c r="H674">
        <v>1.1399999999999999</v>
      </c>
      <c r="P674">
        <v>0</v>
      </c>
      <c r="Q674">
        <v>0</v>
      </c>
      <c r="R674">
        <v>0</v>
      </c>
      <c r="S674">
        <v>0</v>
      </c>
    </row>
    <row r="675" spans="1:19" hidden="1" x14ac:dyDescent="0.35">
      <c r="A675">
        <v>58954633100</v>
      </c>
      <c r="B675" t="s">
        <v>687</v>
      </c>
      <c r="C675" t="str">
        <f>_xlfn.XLOOKUP(A675,[1]Affiliations!$J$2:$J$5328,[1]Affiliations!$K$2:$K$5328,0)</f>
        <v>University of Campinas</v>
      </c>
      <c r="D675">
        <v>1</v>
      </c>
      <c r="E675">
        <v>4</v>
      </c>
      <c r="F675">
        <v>4</v>
      </c>
      <c r="G675">
        <v>1</v>
      </c>
      <c r="H675">
        <v>0.47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P675">
        <v>0</v>
      </c>
      <c r="Q675">
        <v>0</v>
      </c>
      <c r="R675">
        <v>0</v>
      </c>
      <c r="S675">
        <v>0</v>
      </c>
    </row>
    <row r="676" spans="1:19" x14ac:dyDescent="0.35">
      <c r="A676">
        <v>57204240845</v>
      </c>
      <c r="B676" t="s">
        <v>2823</v>
      </c>
      <c r="C676" t="str">
        <f>_xlfn.XLOOKUP(A676,[1]Affiliations!$J$2:$J$5328,[1]Affiliations!$K$2:$K$5328,0)</f>
        <v>Universidade Federal de Minas Gerais</v>
      </c>
      <c r="D676">
        <v>63</v>
      </c>
      <c r="E676">
        <v>2201</v>
      </c>
      <c r="F676">
        <v>34.936509999999998</v>
      </c>
      <c r="G676">
        <v>29</v>
      </c>
      <c r="H676">
        <v>1.35</v>
      </c>
      <c r="I676">
        <v>12</v>
      </c>
      <c r="J676">
        <v>33</v>
      </c>
      <c r="K676">
        <v>40</v>
      </c>
      <c r="L676">
        <v>53</v>
      </c>
      <c r="M676">
        <v>58</v>
      </c>
      <c r="N676">
        <v>58</v>
      </c>
      <c r="P676">
        <v>0</v>
      </c>
      <c r="Q676">
        <v>12</v>
      </c>
      <c r="R676">
        <v>26</v>
      </c>
      <c r="S676">
        <v>47</v>
      </c>
    </row>
    <row r="677" spans="1:19" hidden="1" x14ac:dyDescent="0.35">
      <c r="A677">
        <v>6505950372</v>
      </c>
      <c r="B677" t="s">
        <v>689</v>
      </c>
      <c r="C677" t="str">
        <f>_xlfn.XLOOKUP(A677,[1]Affiliations!$J$2:$J$5328,[1]Affiliations!$K$2:$K$5328,0)</f>
        <v>Natural Gas and Biofuels</v>
      </c>
      <c r="D677">
        <v>1</v>
      </c>
      <c r="E677">
        <v>8</v>
      </c>
      <c r="F677">
        <v>8</v>
      </c>
      <c r="G677">
        <v>6</v>
      </c>
      <c r="H677">
        <v>0.45</v>
      </c>
      <c r="I677">
        <v>0</v>
      </c>
      <c r="J677">
        <v>0</v>
      </c>
      <c r="K677">
        <v>1</v>
      </c>
      <c r="L677">
        <v>1</v>
      </c>
      <c r="M677">
        <v>1</v>
      </c>
      <c r="N677">
        <v>1</v>
      </c>
      <c r="P677">
        <v>0</v>
      </c>
      <c r="Q677">
        <v>0</v>
      </c>
      <c r="R677">
        <v>0</v>
      </c>
      <c r="S677">
        <v>1</v>
      </c>
    </row>
    <row r="678" spans="1:19" x14ac:dyDescent="0.35">
      <c r="A678">
        <v>57226456707</v>
      </c>
      <c r="B678" t="s">
        <v>2919</v>
      </c>
      <c r="C678" t="str">
        <f>_xlfn.XLOOKUP(A678,[1]Affiliations!$J$2:$J$5328,[1]Affiliations!$K$2:$K$5328,0)</f>
        <v>Universidade Tecnológica Federal do Paraná</v>
      </c>
      <c r="D678">
        <v>8</v>
      </c>
      <c r="E678">
        <v>101</v>
      </c>
      <c r="F678">
        <v>12.625</v>
      </c>
      <c r="G678">
        <v>4</v>
      </c>
      <c r="H678">
        <v>1.35</v>
      </c>
      <c r="I678">
        <v>0</v>
      </c>
      <c r="J678">
        <v>0</v>
      </c>
      <c r="K678">
        <v>4</v>
      </c>
      <c r="L678">
        <v>4</v>
      </c>
      <c r="M678">
        <v>6</v>
      </c>
      <c r="N678">
        <v>6</v>
      </c>
      <c r="P678">
        <v>0</v>
      </c>
      <c r="Q678">
        <v>1</v>
      </c>
      <c r="R678">
        <v>2</v>
      </c>
      <c r="S678">
        <v>3</v>
      </c>
    </row>
    <row r="679" spans="1:19" hidden="1" x14ac:dyDescent="0.35">
      <c r="A679">
        <v>7102727167</v>
      </c>
      <c r="B679" t="s">
        <v>691</v>
      </c>
      <c r="C679" t="str">
        <f>_xlfn.XLOOKUP(A679,[1]Affiliations!$J$2:$J$5328,[1]Affiliations!$K$2:$K$5328,0)</f>
        <v>Universidade Federal de Minas Gerais</v>
      </c>
      <c r="D679">
        <v>12</v>
      </c>
      <c r="E679">
        <v>120</v>
      </c>
      <c r="F679">
        <v>10</v>
      </c>
      <c r="G679">
        <v>9</v>
      </c>
      <c r="H679">
        <v>0.33</v>
      </c>
      <c r="I679">
        <v>0</v>
      </c>
      <c r="J679">
        <v>2</v>
      </c>
      <c r="K679">
        <v>3</v>
      </c>
      <c r="L679">
        <v>5</v>
      </c>
      <c r="M679">
        <v>5</v>
      </c>
      <c r="N679">
        <v>5</v>
      </c>
      <c r="P679">
        <v>0</v>
      </c>
      <c r="Q679">
        <v>0</v>
      </c>
      <c r="R679">
        <v>0</v>
      </c>
      <c r="S679">
        <v>2</v>
      </c>
    </row>
    <row r="680" spans="1:19" x14ac:dyDescent="0.35">
      <c r="A680">
        <v>30567512600</v>
      </c>
      <c r="B680" t="s">
        <v>3395</v>
      </c>
      <c r="C680" t="str">
        <f>_xlfn.XLOOKUP(A680,[1]Affiliations!$J$2:$J$5328,[1]Affiliations!$K$2:$K$5328,0)</f>
        <v>Universidade Estadual Paulista “Júlio de Mesquita Filho”</v>
      </c>
      <c r="D680">
        <v>37</v>
      </c>
      <c r="E680">
        <v>812</v>
      </c>
      <c r="F680">
        <v>21.945945999999999</v>
      </c>
      <c r="G680">
        <v>23</v>
      </c>
      <c r="H680">
        <v>1.35</v>
      </c>
      <c r="I680">
        <v>0</v>
      </c>
      <c r="J680">
        <v>3</v>
      </c>
      <c r="K680">
        <v>7</v>
      </c>
      <c r="L680">
        <v>21</v>
      </c>
      <c r="M680">
        <v>33</v>
      </c>
      <c r="N680">
        <v>34</v>
      </c>
      <c r="P680">
        <v>0</v>
      </c>
      <c r="Q680">
        <v>1</v>
      </c>
      <c r="R680">
        <v>6</v>
      </c>
      <c r="S680">
        <v>22</v>
      </c>
    </row>
    <row r="681" spans="1:19" x14ac:dyDescent="0.35">
      <c r="A681">
        <v>55861473200</v>
      </c>
      <c r="B681" t="s">
        <v>4607</v>
      </c>
      <c r="C681" t="str">
        <f>_xlfn.XLOOKUP(A681,[1]Affiliations!$J$2:$J$5328,[1]Affiliations!$K$2:$K$5328,0)</f>
        <v>Federal University of Rio de Janeiro</v>
      </c>
      <c r="D681">
        <v>22</v>
      </c>
      <c r="E681">
        <v>735</v>
      </c>
      <c r="F681">
        <v>33.409092000000001</v>
      </c>
      <c r="G681">
        <v>15</v>
      </c>
      <c r="H681">
        <v>1.35</v>
      </c>
      <c r="I681">
        <v>0</v>
      </c>
      <c r="J681">
        <v>8</v>
      </c>
      <c r="K681">
        <v>9</v>
      </c>
      <c r="L681">
        <v>13</v>
      </c>
      <c r="M681">
        <v>18</v>
      </c>
      <c r="N681">
        <v>19</v>
      </c>
      <c r="P681">
        <v>1</v>
      </c>
      <c r="Q681">
        <v>7</v>
      </c>
      <c r="R681">
        <v>11</v>
      </c>
      <c r="S681">
        <v>13</v>
      </c>
    </row>
    <row r="682" spans="1:19" hidden="1" x14ac:dyDescent="0.35">
      <c r="A682">
        <v>57193760718</v>
      </c>
      <c r="B682" t="s">
        <v>694</v>
      </c>
      <c r="C682" t="str">
        <f>_xlfn.XLOOKUP(A682,[1]Affiliations!$J$2:$J$5328,[1]Affiliations!$K$2:$K$5328,0)</f>
        <v>Pontifical Catholic University of Rio de Janeiro</v>
      </c>
      <c r="D682">
        <v>1</v>
      </c>
      <c r="E682">
        <v>13</v>
      </c>
      <c r="F682">
        <v>13</v>
      </c>
      <c r="G682">
        <v>1</v>
      </c>
      <c r="H682">
        <v>0.5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P682">
        <v>0</v>
      </c>
      <c r="Q682">
        <v>0</v>
      </c>
      <c r="R682">
        <v>0</v>
      </c>
      <c r="S682">
        <v>0</v>
      </c>
    </row>
    <row r="683" spans="1:19" hidden="1" x14ac:dyDescent="0.35">
      <c r="A683">
        <v>31168189300</v>
      </c>
      <c r="B683" t="s">
        <v>695</v>
      </c>
      <c r="C683" t="str">
        <f>_xlfn.XLOOKUP(A683,[1]Affiliations!$J$2:$J$5328,[1]Affiliations!$K$2:$K$5328,0)</f>
        <v>OPTIMATECH Ltd.a. (+3 more)</v>
      </c>
      <c r="D683">
        <v>12</v>
      </c>
      <c r="E683">
        <v>292</v>
      </c>
      <c r="F683">
        <v>24.333334000000001</v>
      </c>
      <c r="G683">
        <v>7</v>
      </c>
      <c r="H683">
        <v>0.91</v>
      </c>
      <c r="I683">
        <v>0</v>
      </c>
      <c r="J683">
        <v>0</v>
      </c>
      <c r="K683">
        <v>0</v>
      </c>
      <c r="L683">
        <v>4</v>
      </c>
      <c r="M683">
        <v>8</v>
      </c>
      <c r="N683">
        <v>11</v>
      </c>
      <c r="P683">
        <v>1</v>
      </c>
      <c r="Q683">
        <v>2</v>
      </c>
      <c r="R683">
        <v>3</v>
      </c>
      <c r="S683">
        <v>6</v>
      </c>
    </row>
    <row r="684" spans="1:19" hidden="1" x14ac:dyDescent="0.35">
      <c r="A684">
        <v>58562510800</v>
      </c>
      <c r="B684" t="s">
        <v>696</v>
      </c>
      <c r="C684" t="str">
        <f>_xlfn.XLOOKUP(A684,[1]Affiliations!$J$2:$J$5328,[1]Affiliations!$K$2:$K$5328,0)</f>
        <v>Universidade Federal do Rio Grande do Norte</v>
      </c>
      <c r="D684">
        <v>1</v>
      </c>
      <c r="E684">
        <v>12</v>
      </c>
      <c r="F684">
        <v>12</v>
      </c>
      <c r="G684">
        <v>1</v>
      </c>
      <c r="H684">
        <v>1.01</v>
      </c>
      <c r="I684">
        <v>0</v>
      </c>
      <c r="J684">
        <v>1</v>
      </c>
      <c r="K684">
        <v>1</v>
      </c>
      <c r="L684">
        <v>1</v>
      </c>
      <c r="M684">
        <v>1</v>
      </c>
      <c r="N684">
        <v>1</v>
      </c>
      <c r="P684">
        <v>0</v>
      </c>
      <c r="Q684">
        <v>0</v>
      </c>
      <c r="R684">
        <v>0</v>
      </c>
      <c r="S684">
        <v>1</v>
      </c>
    </row>
    <row r="685" spans="1:19" hidden="1" x14ac:dyDescent="0.35">
      <c r="A685">
        <v>59242071200</v>
      </c>
      <c r="B685" t="s">
        <v>697</v>
      </c>
      <c r="C685" t="str">
        <f>_xlfn.XLOOKUP(A685,[1]Affiliations!$J$2:$J$5328,[1]Affiliations!$K$2:$K$5328,0)</f>
        <v>Pontifical Catholic University of Rio de Janeiro</v>
      </c>
      <c r="D685">
        <v>2</v>
      </c>
      <c r="E685">
        <v>4</v>
      </c>
      <c r="F685">
        <v>2</v>
      </c>
      <c r="G685">
        <v>1</v>
      </c>
      <c r="H685">
        <v>0.5</v>
      </c>
      <c r="I685">
        <v>0</v>
      </c>
      <c r="J685">
        <v>0</v>
      </c>
      <c r="K685">
        <v>0</v>
      </c>
      <c r="L685">
        <v>0</v>
      </c>
      <c r="M685">
        <v>1</v>
      </c>
      <c r="N685">
        <v>1</v>
      </c>
      <c r="P685">
        <v>0</v>
      </c>
      <c r="Q685">
        <v>0</v>
      </c>
      <c r="R685">
        <v>0</v>
      </c>
      <c r="S685">
        <v>0</v>
      </c>
    </row>
    <row r="686" spans="1:19" hidden="1" x14ac:dyDescent="0.35">
      <c r="A686">
        <v>57508638100</v>
      </c>
      <c r="B686" t="s">
        <v>698</v>
      </c>
      <c r="C686" t="str">
        <f>_xlfn.XLOOKUP(A686,[1]Affiliations!$J$2:$J$5328,[1]Affiliations!$K$2:$K$5328,0)</f>
        <v>Universidade do Estado do Rio de Janeiro (+1 more)</v>
      </c>
      <c r="D686">
        <v>4</v>
      </c>
      <c r="E686">
        <v>24</v>
      </c>
      <c r="F686">
        <v>6</v>
      </c>
      <c r="G686">
        <v>3</v>
      </c>
      <c r="H686">
        <v>0.57999999999999996</v>
      </c>
      <c r="I686">
        <v>0</v>
      </c>
      <c r="J686">
        <v>0</v>
      </c>
      <c r="K686">
        <v>0</v>
      </c>
      <c r="L686">
        <v>2</v>
      </c>
      <c r="M686">
        <v>2</v>
      </c>
      <c r="N686">
        <v>2</v>
      </c>
      <c r="P686">
        <v>0</v>
      </c>
      <c r="Q686">
        <v>0</v>
      </c>
      <c r="R686">
        <v>0</v>
      </c>
      <c r="S686">
        <v>0</v>
      </c>
    </row>
    <row r="687" spans="1:19" hidden="1" x14ac:dyDescent="0.35">
      <c r="A687">
        <v>36766838000</v>
      </c>
      <c r="B687" t="s">
        <v>699</v>
      </c>
      <c r="C687" t="str">
        <f>_xlfn.XLOOKUP(A687,[1]Affiliations!$J$2:$J$5328,[1]Affiliations!$K$2:$K$5328,0)</f>
        <v>Instituto Federal de Educação, Ciência e Tecnologia de Santa Catarina</v>
      </c>
      <c r="D687">
        <v>5</v>
      </c>
      <c r="E687">
        <v>26</v>
      </c>
      <c r="F687">
        <v>5.2</v>
      </c>
      <c r="G687">
        <v>3</v>
      </c>
      <c r="H687">
        <v>0.39</v>
      </c>
      <c r="I687">
        <v>0</v>
      </c>
      <c r="J687">
        <v>0</v>
      </c>
      <c r="K687">
        <v>1</v>
      </c>
      <c r="L687">
        <v>1</v>
      </c>
      <c r="M687">
        <v>2</v>
      </c>
      <c r="N687">
        <v>4</v>
      </c>
      <c r="P687">
        <v>0</v>
      </c>
      <c r="Q687">
        <v>0</v>
      </c>
      <c r="R687">
        <v>0</v>
      </c>
      <c r="S687">
        <v>0</v>
      </c>
    </row>
    <row r="688" spans="1:19" hidden="1" x14ac:dyDescent="0.35">
      <c r="A688">
        <v>57672932400</v>
      </c>
      <c r="B688" t="s">
        <v>700</v>
      </c>
      <c r="C688" t="str">
        <f>_xlfn.XLOOKUP(A688,[1]Affiliations!$J$2:$J$5328,[1]Affiliations!$K$2:$K$5328,0)</f>
        <v>Universidade Federal do Paraná</v>
      </c>
      <c r="D688">
        <v>3</v>
      </c>
      <c r="E688">
        <v>9</v>
      </c>
      <c r="F688">
        <v>3</v>
      </c>
      <c r="G688">
        <v>2</v>
      </c>
      <c r="H688">
        <v>0.41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3</v>
      </c>
      <c r="P688">
        <v>0</v>
      </c>
      <c r="Q688">
        <v>0</v>
      </c>
      <c r="R688">
        <v>0</v>
      </c>
      <c r="S688">
        <v>0</v>
      </c>
    </row>
    <row r="689" spans="1:19" hidden="1" x14ac:dyDescent="0.35">
      <c r="A689">
        <v>58628027100</v>
      </c>
      <c r="B689" t="s">
        <v>701</v>
      </c>
      <c r="C689" t="str">
        <f>_xlfn.XLOOKUP(A689,[1]Affiliations!$J$2:$J$5328,[1]Affiliations!$K$2:$K$5328,0)</f>
        <v>Universidade do Estado do Rio de Janeiro (+1 more)</v>
      </c>
      <c r="D689">
        <v>1</v>
      </c>
      <c r="E689">
        <v>6</v>
      </c>
      <c r="F689">
        <v>6</v>
      </c>
      <c r="G689">
        <v>1</v>
      </c>
      <c r="H689">
        <v>1.23</v>
      </c>
      <c r="I689">
        <v>0</v>
      </c>
      <c r="J689">
        <v>0</v>
      </c>
      <c r="K689">
        <v>0</v>
      </c>
      <c r="L689">
        <v>0</v>
      </c>
      <c r="M689">
        <v>1</v>
      </c>
      <c r="N689">
        <v>1</v>
      </c>
      <c r="P689">
        <v>0</v>
      </c>
      <c r="Q689">
        <v>0</v>
      </c>
      <c r="R689">
        <v>0</v>
      </c>
      <c r="S689">
        <v>0</v>
      </c>
    </row>
    <row r="690" spans="1:19" hidden="1" x14ac:dyDescent="0.35">
      <c r="A690">
        <v>57201683473</v>
      </c>
      <c r="B690" t="s">
        <v>702</v>
      </c>
      <c r="C690" t="str">
        <f>_xlfn.XLOOKUP(A690,[1]Affiliations!$J$2:$J$5328,[1]Affiliations!$K$2:$K$5328,0)</f>
        <v>Université Gustave Eiffel (+1 more)</v>
      </c>
      <c r="D690">
        <v>8</v>
      </c>
      <c r="E690">
        <v>72</v>
      </c>
      <c r="F690">
        <v>9</v>
      </c>
      <c r="G690">
        <v>4</v>
      </c>
      <c r="H690">
        <v>0.6</v>
      </c>
      <c r="I690">
        <v>0</v>
      </c>
      <c r="J690">
        <v>0</v>
      </c>
      <c r="K690">
        <v>0</v>
      </c>
      <c r="L690">
        <v>4</v>
      </c>
      <c r="M690">
        <v>5</v>
      </c>
      <c r="N690">
        <v>6</v>
      </c>
      <c r="P690">
        <v>0</v>
      </c>
      <c r="Q690">
        <v>0</v>
      </c>
      <c r="R690">
        <v>1</v>
      </c>
      <c r="S690">
        <v>2</v>
      </c>
    </row>
    <row r="691" spans="1:19" hidden="1" x14ac:dyDescent="0.35">
      <c r="A691">
        <v>36105176500</v>
      </c>
      <c r="B691" t="s">
        <v>703</v>
      </c>
      <c r="C691" t="str">
        <f>_xlfn.XLOOKUP(A691,[1]Affiliations!$J$2:$J$5328,[1]Affiliations!$K$2:$K$5328,0)</f>
        <v>Federal University of Santa Catarina</v>
      </c>
      <c r="D691">
        <v>2</v>
      </c>
      <c r="E691">
        <v>31</v>
      </c>
      <c r="F691">
        <v>15.5</v>
      </c>
      <c r="G691">
        <v>4</v>
      </c>
      <c r="H691">
        <v>0.86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2</v>
      </c>
      <c r="P691">
        <v>0</v>
      </c>
      <c r="Q691">
        <v>0</v>
      </c>
      <c r="R691">
        <v>0</v>
      </c>
      <c r="S691">
        <v>0</v>
      </c>
    </row>
    <row r="692" spans="1:19" hidden="1" x14ac:dyDescent="0.35">
      <c r="A692">
        <v>55218136600</v>
      </c>
      <c r="B692" t="s">
        <v>704</v>
      </c>
      <c r="C692" t="str">
        <f>_xlfn.XLOOKUP(A692,[1]Affiliations!$J$2:$J$5328,[1]Affiliations!$K$2:$K$5328,0)</f>
        <v>Federal University of Rio de Janeiro</v>
      </c>
      <c r="D692">
        <v>20</v>
      </c>
      <c r="E692">
        <v>107</v>
      </c>
      <c r="F692">
        <v>5.35</v>
      </c>
      <c r="G692">
        <v>6</v>
      </c>
      <c r="H692">
        <v>0.28000000000000003</v>
      </c>
      <c r="I692">
        <v>0</v>
      </c>
      <c r="J692">
        <v>0</v>
      </c>
      <c r="K692">
        <v>0</v>
      </c>
      <c r="L692">
        <v>8</v>
      </c>
      <c r="M692">
        <v>12</v>
      </c>
      <c r="N692">
        <v>14</v>
      </c>
      <c r="P692">
        <v>0</v>
      </c>
      <c r="Q692">
        <v>0</v>
      </c>
      <c r="R692">
        <v>0</v>
      </c>
      <c r="S692">
        <v>1</v>
      </c>
    </row>
    <row r="693" spans="1:19" hidden="1" x14ac:dyDescent="0.35">
      <c r="A693">
        <v>59975204500</v>
      </c>
      <c r="B693" t="s">
        <v>705</v>
      </c>
      <c r="C693" t="str">
        <f>_xlfn.XLOOKUP(A693,[1]Affiliations!$J$2:$J$5328,[1]Affiliations!$K$2:$K$5328,0)</f>
        <v>DEMa</v>
      </c>
      <c r="D693">
        <v>5</v>
      </c>
      <c r="E693">
        <v>44</v>
      </c>
      <c r="F693">
        <v>8.8000000000000007</v>
      </c>
      <c r="G693">
        <v>5</v>
      </c>
      <c r="H693">
        <v>0.54</v>
      </c>
      <c r="I693">
        <v>0</v>
      </c>
      <c r="J693">
        <v>0</v>
      </c>
      <c r="K693">
        <v>2</v>
      </c>
      <c r="L693">
        <v>2</v>
      </c>
      <c r="M693">
        <v>4</v>
      </c>
      <c r="N693">
        <v>5</v>
      </c>
      <c r="P693">
        <v>0</v>
      </c>
      <c r="Q693">
        <v>0</v>
      </c>
      <c r="R693">
        <v>0</v>
      </c>
      <c r="S693">
        <v>0</v>
      </c>
    </row>
    <row r="694" spans="1:19" x14ac:dyDescent="0.35">
      <c r="A694">
        <v>57204422954</v>
      </c>
      <c r="B694" t="s">
        <v>4740</v>
      </c>
      <c r="C694" t="str">
        <f>_xlfn.XLOOKUP(A694,[1]Affiliations!$J$2:$J$5328,[1]Affiliations!$K$2:$K$5328,0)</f>
        <v>Universidade Federal de Goiás</v>
      </c>
      <c r="D694">
        <v>35</v>
      </c>
      <c r="E694">
        <v>759</v>
      </c>
      <c r="F694">
        <v>21.685714999999998</v>
      </c>
      <c r="G694">
        <v>16</v>
      </c>
      <c r="H694">
        <v>1.35</v>
      </c>
      <c r="I694">
        <v>2</v>
      </c>
      <c r="J694">
        <v>8</v>
      </c>
      <c r="K694">
        <v>14</v>
      </c>
      <c r="L694">
        <v>26</v>
      </c>
      <c r="M694">
        <v>26</v>
      </c>
      <c r="N694">
        <v>28</v>
      </c>
      <c r="P694">
        <v>2</v>
      </c>
      <c r="Q694">
        <v>6</v>
      </c>
      <c r="R694">
        <v>14</v>
      </c>
      <c r="S694">
        <v>21</v>
      </c>
    </row>
    <row r="695" spans="1:19" hidden="1" x14ac:dyDescent="0.35">
      <c r="A695">
        <v>57190002936</v>
      </c>
      <c r="B695" t="s">
        <v>707</v>
      </c>
      <c r="C695" t="str">
        <f>_xlfn.XLOOKUP(A695,[1]Affiliations!$J$2:$J$5328,[1]Affiliations!$K$2:$K$5328,0)</f>
        <v>Universidade Federal de Mato Grosso</v>
      </c>
      <c r="D695">
        <v>2</v>
      </c>
      <c r="E695">
        <v>49</v>
      </c>
      <c r="F695">
        <v>24.5</v>
      </c>
      <c r="G695">
        <v>2</v>
      </c>
      <c r="H695">
        <v>0.87</v>
      </c>
      <c r="I695">
        <v>0</v>
      </c>
      <c r="J695">
        <v>1</v>
      </c>
      <c r="K695">
        <v>1</v>
      </c>
      <c r="L695">
        <v>1</v>
      </c>
      <c r="M695">
        <v>1</v>
      </c>
      <c r="N695">
        <v>1</v>
      </c>
      <c r="P695">
        <v>0</v>
      </c>
      <c r="Q695">
        <v>0</v>
      </c>
      <c r="R695">
        <v>0</v>
      </c>
      <c r="S695">
        <v>1</v>
      </c>
    </row>
    <row r="696" spans="1:19" x14ac:dyDescent="0.35">
      <c r="A696">
        <v>6603397081</v>
      </c>
      <c r="B696" t="s">
        <v>257</v>
      </c>
      <c r="C696" t="str">
        <f>_xlfn.XLOOKUP(A696,[1]Affiliations!$J$2:$J$5328,[1]Affiliations!$K$2:$K$5328,0)</f>
        <v>Universidade de São Paulo</v>
      </c>
      <c r="D696">
        <v>36</v>
      </c>
      <c r="E696">
        <v>821</v>
      </c>
      <c r="F696">
        <v>22.805554999999998</v>
      </c>
      <c r="G696">
        <v>27</v>
      </c>
      <c r="H696">
        <v>1.34</v>
      </c>
      <c r="I696">
        <v>0</v>
      </c>
      <c r="J696">
        <v>3</v>
      </c>
      <c r="K696">
        <v>8</v>
      </c>
      <c r="L696">
        <v>24</v>
      </c>
      <c r="M696">
        <v>33</v>
      </c>
      <c r="N696">
        <v>36</v>
      </c>
      <c r="P696">
        <v>0</v>
      </c>
      <c r="Q696">
        <v>1</v>
      </c>
      <c r="R696">
        <v>7</v>
      </c>
      <c r="S696">
        <v>14</v>
      </c>
    </row>
    <row r="697" spans="1:19" x14ac:dyDescent="0.35">
      <c r="A697">
        <v>57218312032</v>
      </c>
      <c r="B697" t="s">
        <v>869</v>
      </c>
      <c r="C697" t="str">
        <f>_xlfn.XLOOKUP(A697,[1]Affiliations!$J$2:$J$5328,[1]Affiliations!$K$2:$K$5328,0)</f>
        <v>Universidade Federal de Pernambuco</v>
      </c>
      <c r="D697">
        <v>7</v>
      </c>
      <c r="E697">
        <v>128</v>
      </c>
      <c r="F697">
        <v>18.285715</v>
      </c>
      <c r="G697">
        <v>6</v>
      </c>
      <c r="H697">
        <v>1.34</v>
      </c>
      <c r="I697">
        <v>0</v>
      </c>
      <c r="J697">
        <v>3</v>
      </c>
      <c r="K697">
        <v>3</v>
      </c>
      <c r="L697">
        <v>5</v>
      </c>
      <c r="M697">
        <v>7</v>
      </c>
      <c r="N697">
        <v>7</v>
      </c>
      <c r="P697">
        <v>0</v>
      </c>
      <c r="Q697">
        <v>0</v>
      </c>
      <c r="R697">
        <v>1</v>
      </c>
      <c r="S697">
        <v>4</v>
      </c>
    </row>
    <row r="698" spans="1:19" hidden="1" x14ac:dyDescent="0.35">
      <c r="A698">
        <v>57193677043</v>
      </c>
      <c r="B698" t="s">
        <v>710</v>
      </c>
      <c r="C698" t="str">
        <f>_xlfn.XLOOKUP(A698,[1]Affiliations!$J$2:$J$5328,[1]Affiliations!$K$2:$K$5328,0)</f>
        <v>Universidade do Estado do Rio de Janeiro (+1 more)</v>
      </c>
      <c r="D698">
        <v>6</v>
      </c>
      <c r="E698">
        <v>97</v>
      </c>
      <c r="F698">
        <v>16.166665999999999</v>
      </c>
      <c r="G698">
        <v>6</v>
      </c>
      <c r="H698">
        <v>0.94</v>
      </c>
      <c r="I698">
        <v>0</v>
      </c>
      <c r="J698">
        <v>0</v>
      </c>
      <c r="K698">
        <v>2</v>
      </c>
      <c r="L698">
        <v>3</v>
      </c>
      <c r="M698">
        <v>5</v>
      </c>
      <c r="N698">
        <v>6</v>
      </c>
      <c r="P698">
        <v>0</v>
      </c>
      <c r="Q698">
        <v>0</v>
      </c>
      <c r="R698">
        <v>0</v>
      </c>
      <c r="S698">
        <v>3</v>
      </c>
    </row>
    <row r="699" spans="1:19" x14ac:dyDescent="0.35">
      <c r="A699">
        <v>56646334100</v>
      </c>
      <c r="B699" t="s">
        <v>1294</v>
      </c>
      <c r="C699" t="str">
        <f>_xlfn.XLOOKUP(A699,[1]Affiliations!$J$2:$J$5328,[1]Affiliations!$K$2:$K$5328,0)</f>
        <v>Federal University of Rio de Janeiro</v>
      </c>
      <c r="D699">
        <v>8</v>
      </c>
      <c r="E699">
        <v>227</v>
      </c>
      <c r="F699">
        <v>28.375</v>
      </c>
      <c r="G699">
        <v>7</v>
      </c>
      <c r="H699">
        <v>1.34</v>
      </c>
      <c r="I699">
        <v>0</v>
      </c>
      <c r="J699">
        <v>3</v>
      </c>
      <c r="K699">
        <v>4</v>
      </c>
      <c r="L699">
        <v>6</v>
      </c>
      <c r="M699">
        <v>7</v>
      </c>
      <c r="N699">
        <v>8</v>
      </c>
      <c r="P699">
        <v>0</v>
      </c>
      <c r="Q699">
        <v>2</v>
      </c>
      <c r="R699">
        <v>2</v>
      </c>
      <c r="S699">
        <v>4</v>
      </c>
    </row>
    <row r="700" spans="1:19" hidden="1" x14ac:dyDescent="0.35">
      <c r="A700">
        <v>59247663600</v>
      </c>
      <c r="B700" t="s">
        <v>712</v>
      </c>
      <c r="C700" t="str">
        <f>_xlfn.XLOOKUP(A700,[1]Affiliations!$J$2:$J$5328,[1]Affiliations!$K$2:$K$5328,0)</f>
        <v>Federal University of Rio de Janeiro</v>
      </c>
      <c r="D700">
        <v>0</v>
      </c>
      <c r="G700">
        <v>1</v>
      </c>
    </row>
    <row r="701" spans="1:19" hidden="1" x14ac:dyDescent="0.35">
      <c r="A701">
        <v>57219238736</v>
      </c>
      <c r="B701" t="s">
        <v>713</v>
      </c>
      <c r="C701" t="str">
        <f>_xlfn.XLOOKUP(A701,[1]Affiliations!$J$2:$J$5328,[1]Affiliations!$K$2:$K$5328,0)</f>
        <v>University of Campinas</v>
      </c>
      <c r="D701">
        <v>2</v>
      </c>
      <c r="E701">
        <v>11</v>
      </c>
      <c r="F701">
        <v>5.5</v>
      </c>
      <c r="G701">
        <v>1</v>
      </c>
      <c r="H701">
        <v>0.16</v>
      </c>
      <c r="I701">
        <v>0</v>
      </c>
      <c r="J701">
        <v>0</v>
      </c>
      <c r="K701">
        <v>0</v>
      </c>
      <c r="L701">
        <v>1</v>
      </c>
      <c r="M701">
        <v>2</v>
      </c>
      <c r="N701">
        <v>2</v>
      </c>
      <c r="P701">
        <v>0</v>
      </c>
      <c r="Q701">
        <v>0</v>
      </c>
      <c r="R701">
        <v>0</v>
      </c>
      <c r="S701">
        <v>0</v>
      </c>
    </row>
    <row r="702" spans="1:19" x14ac:dyDescent="0.35">
      <c r="A702">
        <v>55898795500</v>
      </c>
      <c r="B702" t="s">
        <v>1394</v>
      </c>
      <c r="C702" t="str">
        <f>_xlfn.XLOOKUP(A702,[1]Affiliations!$J$2:$J$5328,[1]Affiliations!$K$2:$K$5328,0)</f>
        <v>Universidade Federal do Espírito Santo</v>
      </c>
      <c r="D702">
        <v>45</v>
      </c>
      <c r="E702">
        <v>741</v>
      </c>
      <c r="F702">
        <v>16.466667000000001</v>
      </c>
      <c r="G702">
        <v>16</v>
      </c>
      <c r="H702">
        <v>1.34</v>
      </c>
      <c r="I702">
        <v>0</v>
      </c>
      <c r="J702">
        <v>2</v>
      </c>
      <c r="K702">
        <v>4</v>
      </c>
      <c r="L702">
        <v>15</v>
      </c>
      <c r="M702">
        <v>26</v>
      </c>
      <c r="N702">
        <v>31</v>
      </c>
      <c r="P702">
        <v>1</v>
      </c>
      <c r="Q702">
        <v>2</v>
      </c>
      <c r="R702">
        <v>8</v>
      </c>
      <c r="S702">
        <v>18</v>
      </c>
    </row>
    <row r="703" spans="1:19" x14ac:dyDescent="0.35">
      <c r="A703">
        <v>6603036578</v>
      </c>
      <c r="B703" t="s">
        <v>1425</v>
      </c>
      <c r="C703" t="str">
        <f>_xlfn.XLOOKUP(A703,[1]Affiliations!$J$2:$J$5328,[1]Affiliations!$K$2:$K$5328,0)</f>
        <v>Universidade de São Paulo</v>
      </c>
      <c r="D703">
        <v>55</v>
      </c>
      <c r="E703">
        <v>1648</v>
      </c>
      <c r="F703">
        <v>29.963636000000001</v>
      </c>
      <c r="G703">
        <v>37</v>
      </c>
      <c r="H703">
        <v>1.34</v>
      </c>
      <c r="I703">
        <v>0</v>
      </c>
      <c r="J703">
        <v>16</v>
      </c>
      <c r="K703">
        <v>36</v>
      </c>
      <c r="L703">
        <v>48</v>
      </c>
      <c r="M703">
        <v>49</v>
      </c>
      <c r="N703">
        <v>53</v>
      </c>
      <c r="P703">
        <v>1</v>
      </c>
      <c r="Q703">
        <v>7</v>
      </c>
      <c r="R703">
        <v>12</v>
      </c>
      <c r="S703">
        <v>27</v>
      </c>
    </row>
    <row r="704" spans="1:19" hidden="1" x14ac:dyDescent="0.35">
      <c r="A704">
        <v>57202995543</v>
      </c>
      <c r="B704" t="s">
        <v>716</v>
      </c>
      <c r="C704" t="str">
        <f>_xlfn.XLOOKUP(A704,[1]Affiliations!$J$2:$J$5328,[1]Affiliations!$K$2:$K$5328,0)</f>
        <v>Federal University of Rio de Janeiro</v>
      </c>
      <c r="D704">
        <v>1</v>
      </c>
      <c r="E704">
        <v>11</v>
      </c>
      <c r="F704">
        <v>11</v>
      </c>
      <c r="G704">
        <v>1</v>
      </c>
      <c r="H704">
        <v>4.75</v>
      </c>
      <c r="P704">
        <v>0</v>
      </c>
      <c r="Q704">
        <v>0</v>
      </c>
      <c r="R704">
        <v>0</v>
      </c>
      <c r="S704">
        <v>0</v>
      </c>
    </row>
    <row r="705" spans="1:19" hidden="1" x14ac:dyDescent="0.35">
      <c r="A705">
        <v>57407846800</v>
      </c>
      <c r="B705" t="s">
        <v>717</v>
      </c>
      <c r="C705" t="str">
        <f>_xlfn.XLOOKUP(A705,[1]Affiliations!$J$2:$J$5328,[1]Affiliations!$K$2:$K$5328,0)</f>
        <v>Pontifical Catholic University of Rio de Janeiro</v>
      </c>
      <c r="D705">
        <v>4</v>
      </c>
      <c r="E705">
        <v>11</v>
      </c>
      <c r="F705">
        <v>2.75</v>
      </c>
      <c r="G705">
        <v>3</v>
      </c>
      <c r="H705">
        <v>0.56999999999999995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P705">
        <v>0</v>
      </c>
      <c r="Q705">
        <v>0</v>
      </c>
      <c r="R705">
        <v>0</v>
      </c>
      <c r="S705">
        <v>0</v>
      </c>
    </row>
    <row r="706" spans="1:19" hidden="1" x14ac:dyDescent="0.35">
      <c r="A706">
        <v>57210973265</v>
      </c>
      <c r="B706" t="s">
        <v>718</v>
      </c>
      <c r="C706" t="str">
        <f>_xlfn.XLOOKUP(A706,[1]Affiliations!$J$2:$J$5328,[1]Affiliations!$K$2:$K$5328,0)</f>
        <v>Federal University of Rio de Janeiro</v>
      </c>
      <c r="D706">
        <v>2</v>
      </c>
      <c r="E706">
        <v>8</v>
      </c>
      <c r="F706">
        <v>4</v>
      </c>
      <c r="G706">
        <v>1</v>
      </c>
      <c r="H706">
        <v>0.16</v>
      </c>
      <c r="I706">
        <v>0</v>
      </c>
      <c r="J706">
        <v>0</v>
      </c>
      <c r="K706">
        <v>0</v>
      </c>
      <c r="L706">
        <v>0</v>
      </c>
      <c r="M706">
        <v>1</v>
      </c>
      <c r="N706">
        <v>2</v>
      </c>
      <c r="P706">
        <v>0</v>
      </c>
      <c r="Q706">
        <v>0</v>
      </c>
      <c r="R706">
        <v>0</v>
      </c>
      <c r="S706">
        <v>0</v>
      </c>
    </row>
    <row r="707" spans="1:19" hidden="1" x14ac:dyDescent="0.35">
      <c r="A707">
        <v>57222631122</v>
      </c>
      <c r="B707" t="s">
        <v>719</v>
      </c>
      <c r="C707" t="str">
        <f>_xlfn.XLOOKUP(A707,[1]Affiliations!$J$2:$J$5328,[1]Affiliations!$K$2:$K$5328,0)</f>
        <v>Federal University of Rio de Janeiro</v>
      </c>
      <c r="D707">
        <v>5</v>
      </c>
      <c r="E707">
        <v>41</v>
      </c>
      <c r="F707">
        <v>8.1999999999999993</v>
      </c>
      <c r="G707">
        <v>3</v>
      </c>
      <c r="H707">
        <v>0.5</v>
      </c>
      <c r="I707">
        <v>0</v>
      </c>
      <c r="J707">
        <v>0</v>
      </c>
      <c r="K707">
        <v>1</v>
      </c>
      <c r="L707">
        <v>3</v>
      </c>
      <c r="M707">
        <v>5</v>
      </c>
      <c r="N707">
        <v>5</v>
      </c>
      <c r="P707">
        <v>0</v>
      </c>
      <c r="Q707">
        <v>0</v>
      </c>
      <c r="R707">
        <v>0</v>
      </c>
      <c r="S707">
        <v>1</v>
      </c>
    </row>
    <row r="708" spans="1:19" hidden="1" x14ac:dyDescent="0.35">
      <c r="A708">
        <v>58143622900</v>
      </c>
      <c r="B708" t="s">
        <v>720</v>
      </c>
      <c r="C708" t="str">
        <f>_xlfn.XLOOKUP(A708,[1]Affiliations!$J$2:$J$5328,[1]Affiliations!$K$2:$K$5328,0)</f>
        <v>Universidade Federal de Ouro Preto</v>
      </c>
      <c r="D708">
        <v>3</v>
      </c>
      <c r="E708">
        <v>22</v>
      </c>
      <c r="F708">
        <v>7.3333335000000002</v>
      </c>
      <c r="G708">
        <v>2</v>
      </c>
      <c r="H708">
        <v>1.19</v>
      </c>
      <c r="I708">
        <v>0</v>
      </c>
      <c r="J708">
        <v>0</v>
      </c>
      <c r="K708">
        <v>1</v>
      </c>
      <c r="L708">
        <v>2</v>
      </c>
      <c r="M708">
        <v>2</v>
      </c>
      <c r="N708">
        <v>2</v>
      </c>
      <c r="P708">
        <v>0</v>
      </c>
      <c r="Q708">
        <v>0</v>
      </c>
      <c r="R708">
        <v>0</v>
      </c>
      <c r="S708">
        <v>2</v>
      </c>
    </row>
    <row r="709" spans="1:19" hidden="1" x14ac:dyDescent="0.35">
      <c r="A709">
        <v>57917254600</v>
      </c>
      <c r="B709" t="s">
        <v>721</v>
      </c>
      <c r="C709" t="str">
        <f>_xlfn.XLOOKUP(A709,[1]Affiliations!$J$2:$J$5328,[1]Affiliations!$K$2:$K$5328,0)</f>
        <v>Universidade Federal de Goiás</v>
      </c>
      <c r="D709">
        <v>1</v>
      </c>
      <c r="E709">
        <v>5</v>
      </c>
      <c r="F709">
        <v>5</v>
      </c>
      <c r="G709">
        <v>1</v>
      </c>
      <c r="H709">
        <v>0.36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P709">
        <v>0</v>
      </c>
      <c r="Q709">
        <v>0</v>
      </c>
      <c r="R709">
        <v>0</v>
      </c>
      <c r="S709">
        <v>0</v>
      </c>
    </row>
    <row r="710" spans="1:19" hidden="1" x14ac:dyDescent="0.35">
      <c r="A710">
        <v>59569344300</v>
      </c>
      <c r="B710" t="s">
        <v>722</v>
      </c>
      <c r="C710" t="str">
        <f>_xlfn.XLOOKUP(A710,[1]Affiliations!$J$2:$J$5328,[1]Affiliations!$K$2:$K$5328,0)</f>
        <v>Universidade Federal do Rio Grande do Norte</v>
      </c>
      <c r="D710">
        <v>3</v>
      </c>
      <c r="E710">
        <v>20</v>
      </c>
      <c r="F710">
        <v>6.6666664999999998</v>
      </c>
      <c r="G710">
        <v>5</v>
      </c>
      <c r="H710">
        <v>1.75</v>
      </c>
      <c r="I710">
        <v>0</v>
      </c>
      <c r="J710">
        <v>1</v>
      </c>
      <c r="K710">
        <v>1</v>
      </c>
      <c r="L710">
        <v>1</v>
      </c>
      <c r="M710">
        <v>1</v>
      </c>
      <c r="N710">
        <v>1</v>
      </c>
      <c r="P710">
        <v>0</v>
      </c>
      <c r="Q710">
        <v>0</v>
      </c>
      <c r="R710">
        <v>0</v>
      </c>
      <c r="S710">
        <v>0</v>
      </c>
    </row>
    <row r="711" spans="1:19" hidden="1" x14ac:dyDescent="0.35">
      <c r="A711">
        <v>57559750100</v>
      </c>
      <c r="B711" t="s">
        <v>723</v>
      </c>
      <c r="C711" t="str">
        <f>_xlfn.XLOOKUP(A711,[1]Affiliations!$J$2:$J$5328,[1]Affiliations!$K$2:$K$5328,0)</f>
        <v>Universidade Federal de Pernambuco</v>
      </c>
      <c r="D711">
        <v>1</v>
      </c>
      <c r="E711">
        <v>13</v>
      </c>
      <c r="F711">
        <v>13</v>
      </c>
      <c r="G711">
        <v>1</v>
      </c>
      <c r="H711">
        <v>1.1399999999999999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P711">
        <v>0</v>
      </c>
      <c r="Q711">
        <v>0</v>
      </c>
      <c r="R711">
        <v>0</v>
      </c>
      <c r="S711">
        <v>1</v>
      </c>
    </row>
    <row r="712" spans="1:19" x14ac:dyDescent="0.35">
      <c r="A712">
        <v>7005366522</v>
      </c>
      <c r="B712" t="s">
        <v>2749</v>
      </c>
      <c r="C712" t="str">
        <f>_xlfn.XLOOKUP(A712,[1]Affiliations!$J$2:$J$5328,[1]Affiliations!$K$2:$K$5328,0)</f>
        <v>Universidade Federal Fluminense</v>
      </c>
      <c r="D712">
        <v>15</v>
      </c>
      <c r="E712">
        <v>437</v>
      </c>
      <c r="F712">
        <v>29.133333</v>
      </c>
      <c r="G712">
        <v>28</v>
      </c>
      <c r="H712">
        <v>1.34</v>
      </c>
      <c r="I712">
        <v>0</v>
      </c>
      <c r="J712">
        <v>5</v>
      </c>
      <c r="K712">
        <v>8</v>
      </c>
      <c r="L712">
        <v>12</v>
      </c>
      <c r="M712">
        <v>12</v>
      </c>
      <c r="N712">
        <v>15</v>
      </c>
      <c r="P712">
        <v>0</v>
      </c>
      <c r="Q712">
        <v>1</v>
      </c>
      <c r="R712">
        <v>3</v>
      </c>
      <c r="S712">
        <v>10</v>
      </c>
    </row>
    <row r="713" spans="1:19" hidden="1" x14ac:dyDescent="0.35">
      <c r="A713">
        <v>57203409025</v>
      </c>
      <c r="B713" t="s">
        <v>725</v>
      </c>
      <c r="C713" t="str">
        <f>_xlfn.XLOOKUP(A713,[1]Affiliations!$J$2:$J$5328,[1]Affiliations!$K$2:$K$5328,0)</f>
        <v>Pontifical Catholic University of Rio de Janeiro (+2 more)</v>
      </c>
      <c r="D713">
        <v>15</v>
      </c>
      <c r="E713">
        <v>357</v>
      </c>
      <c r="F713">
        <v>23.8</v>
      </c>
      <c r="G713">
        <v>6</v>
      </c>
      <c r="H713">
        <v>2</v>
      </c>
      <c r="I713">
        <v>0</v>
      </c>
      <c r="J713">
        <v>0</v>
      </c>
      <c r="K713">
        <v>0</v>
      </c>
      <c r="L713">
        <v>3</v>
      </c>
      <c r="M713">
        <v>4</v>
      </c>
      <c r="N713">
        <v>7</v>
      </c>
      <c r="P713">
        <v>0</v>
      </c>
      <c r="Q713">
        <v>2</v>
      </c>
      <c r="R713">
        <v>3</v>
      </c>
      <c r="S713">
        <v>5</v>
      </c>
    </row>
    <row r="714" spans="1:19" x14ac:dyDescent="0.35">
      <c r="A714">
        <v>7005055020</v>
      </c>
      <c r="B714" t="s">
        <v>2992</v>
      </c>
      <c r="C714" t="str">
        <f>_xlfn.XLOOKUP(A714,[1]Affiliations!$J$2:$J$5328,[1]Affiliations!$K$2:$K$5328,0)</f>
        <v>Universidade Federal de Viçosa</v>
      </c>
      <c r="D714">
        <v>18</v>
      </c>
      <c r="E714">
        <v>669</v>
      </c>
      <c r="F714">
        <v>37.166668000000001</v>
      </c>
      <c r="G714">
        <v>31</v>
      </c>
      <c r="H714">
        <v>1.34</v>
      </c>
      <c r="I714">
        <v>0</v>
      </c>
      <c r="J714">
        <v>6</v>
      </c>
      <c r="K714">
        <v>10</v>
      </c>
      <c r="L714">
        <v>16</v>
      </c>
      <c r="M714">
        <v>18</v>
      </c>
      <c r="N714">
        <v>18</v>
      </c>
      <c r="P714">
        <v>0</v>
      </c>
      <c r="Q714">
        <v>1</v>
      </c>
      <c r="R714">
        <v>5</v>
      </c>
      <c r="S714">
        <v>12</v>
      </c>
    </row>
    <row r="715" spans="1:19" x14ac:dyDescent="0.35">
      <c r="A715">
        <v>57188973063</v>
      </c>
      <c r="B715" t="s">
        <v>3458</v>
      </c>
      <c r="C715" t="str">
        <f>_xlfn.XLOOKUP(A715,[1]Affiliations!$J$2:$J$5328,[1]Affiliations!$K$2:$K$5328,0)</f>
        <v>Universidade Federal de Minas Gerais</v>
      </c>
      <c r="D715">
        <v>87</v>
      </c>
      <c r="E715">
        <v>2699</v>
      </c>
      <c r="F715">
        <v>31.02299</v>
      </c>
      <c r="G715">
        <v>31</v>
      </c>
      <c r="H715">
        <v>1.34</v>
      </c>
      <c r="I715">
        <v>12</v>
      </c>
      <c r="J715">
        <v>47</v>
      </c>
      <c r="K715">
        <v>59</v>
      </c>
      <c r="L715">
        <v>74</v>
      </c>
      <c r="M715">
        <v>80</v>
      </c>
      <c r="N715">
        <v>80</v>
      </c>
      <c r="P715">
        <v>1</v>
      </c>
      <c r="Q715">
        <v>16</v>
      </c>
      <c r="R715">
        <v>38</v>
      </c>
      <c r="S715">
        <v>67</v>
      </c>
    </row>
    <row r="716" spans="1:19" hidden="1" x14ac:dyDescent="0.35">
      <c r="A716">
        <v>57207814815</v>
      </c>
      <c r="B716" t="s">
        <v>728</v>
      </c>
      <c r="C716" t="str">
        <f>_xlfn.XLOOKUP(A716,[1]Affiliations!$J$2:$J$5328,[1]Affiliations!$K$2:$K$5328,0)</f>
        <v>Federal University of Rio de Janeiro</v>
      </c>
      <c r="D716">
        <v>1</v>
      </c>
      <c r="E716">
        <v>16</v>
      </c>
      <c r="F716">
        <v>16</v>
      </c>
      <c r="G716">
        <v>1</v>
      </c>
      <c r="H716">
        <v>0.82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P716">
        <v>0</v>
      </c>
      <c r="Q716">
        <v>0</v>
      </c>
      <c r="R716">
        <v>0</v>
      </c>
      <c r="S716">
        <v>1</v>
      </c>
    </row>
    <row r="717" spans="1:19" hidden="1" x14ac:dyDescent="0.35">
      <c r="A717">
        <v>57209317117</v>
      </c>
      <c r="B717" t="s">
        <v>729</v>
      </c>
      <c r="C717" t="str">
        <f>_xlfn.XLOOKUP(A717,[1]Affiliations!$J$2:$J$5328,[1]Affiliations!$K$2:$K$5328,0)</f>
        <v>Federal University of Rio de Janeiro</v>
      </c>
      <c r="D717">
        <v>2</v>
      </c>
      <c r="E717">
        <v>21</v>
      </c>
      <c r="F717">
        <v>10.5</v>
      </c>
      <c r="G717">
        <v>2</v>
      </c>
      <c r="H717">
        <v>0.32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2</v>
      </c>
      <c r="P717">
        <v>0</v>
      </c>
      <c r="Q717">
        <v>0</v>
      </c>
      <c r="R717">
        <v>0</v>
      </c>
      <c r="S717">
        <v>1</v>
      </c>
    </row>
    <row r="718" spans="1:19" hidden="1" x14ac:dyDescent="0.35">
      <c r="A718">
        <v>41261201300</v>
      </c>
      <c r="B718" t="s">
        <v>730</v>
      </c>
      <c r="C718" t="str">
        <f>_xlfn.XLOOKUP(A718,[1]Affiliations!$J$2:$J$5328,[1]Affiliations!$K$2:$K$5328,0)</f>
        <v>Federal University of Rio de Janeiro</v>
      </c>
      <c r="D718">
        <v>2</v>
      </c>
      <c r="E718">
        <v>24</v>
      </c>
      <c r="F718">
        <v>12</v>
      </c>
      <c r="G718">
        <v>3</v>
      </c>
      <c r="H718">
        <v>0.54</v>
      </c>
      <c r="I718">
        <v>0</v>
      </c>
      <c r="J718">
        <v>0</v>
      </c>
      <c r="K718">
        <v>0</v>
      </c>
      <c r="L718">
        <v>0</v>
      </c>
      <c r="M718">
        <v>1</v>
      </c>
      <c r="N718">
        <v>1</v>
      </c>
      <c r="P718">
        <v>0</v>
      </c>
      <c r="Q718">
        <v>0</v>
      </c>
      <c r="R718">
        <v>0</v>
      </c>
      <c r="S718">
        <v>1</v>
      </c>
    </row>
    <row r="719" spans="1:19" hidden="1" x14ac:dyDescent="0.35">
      <c r="A719">
        <v>57205237538</v>
      </c>
      <c r="B719" t="s">
        <v>731</v>
      </c>
      <c r="C719" t="str">
        <f>_xlfn.XLOOKUP(A719,[1]Affiliations!$J$2:$J$5328,[1]Affiliations!$K$2:$K$5328,0)</f>
        <v>Observatório Nacional</v>
      </c>
      <c r="D719">
        <v>6</v>
      </c>
      <c r="E719">
        <v>33</v>
      </c>
      <c r="F719">
        <v>5.5</v>
      </c>
      <c r="G719">
        <v>3</v>
      </c>
      <c r="H719">
        <v>0.34</v>
      </c>
      <c r="I719">
        <v>0</v>
      </c>
      <c r="J719">
        <v>2</v>
      </c>
      <c r="K719">
        <v>3</v>
      </c>
      <c r="L719">
        <v>4</v>
      </c>
      <c r="M719">
        <v>5</v>
      </c>
      <c r="N719">
        <v>6</v>
      </c>
      <c r="P719">
        <v>0</v>
      </c>
      <c r="Q719">
        <v>0</v>
      </c>
      <c r="R719">
        <v>0</v>
      </c>
      <c r="S719">
        <v>0</v>
      </c>
    </row>
    <row r="720" spans="1:19" hidden="1" x14ac:dyDescent="0.35">
      <c r="A720">
        <v>60026108300</v>
      </c>
      <c r="B720" t="s">
        <v>732</v>
      </c>
      <c r="C720" t="str">
        <f>_xlfn.XLOOKUP(A720,[1]Affiliations!$J$2:$J$5328,[1]Affiliations!$K$2:$K$5328,0)</f>
        <v>Pontifical Catholic University of Rio de Janeiro</v>
      </c>
      <c r="D720">
        <v>0</v>
      </c>
      <c r="G720">
        <v>0</v>
      </c>
    </row>
    <row r="721" spans="1:19" hidden="1" x14ac:dyDescent="0.35">
      <c r="A721">
        <v>59364174500</v>
      </c>
      <c r="B721" t="s">
        <v>733</v>
      </c>
      <c r="C721" t="str">
        <f>_xlfn.XLOOKUP(A721,[1]Affiliations!$J$2:$J$5328,[1]Affiliations!$K$2:$K$5328,0)</f>
        <v>Universidade Federal de Minas Gerais</v>
      </c>
      <c r="D721">
        <v>1</v>
      </c>
      <c r="E721">
        <v>6</v>
      </c>
      <c r="F721">
        <v>6</v>
      </c>
      <c r="G721">
        <v>1</v>
      </c>
      <c r="H721">
        <v>0.39</v>
      </c>
      <c r="I721">
        <v>0</v>
      </c>
      <c r="J721">
        <v>1</v>
      </c>
      <c r="K721">
        <v>1</v>
      </c>
      <c r="L721">
        <v>1</v>
      </c>
      <c r="M721">
        <v>1</v>
      </c>
      <c r="N721">
        <v>1</v>
      </c>
      <c r="P721">
        <v>0</v>
      </c>
      <c r="Q721">
        <v>0</v>
      </c>
      <c r="R721">
        <v>0</v>
      </c>
      <c r="S721">
        <v>1</v>
      </c>
    </row>
    <row r="722" spans="1:19" x14ac:dyDescent="0.35">
      <c r="A722">
        <v>8840167700</v>
      </c>
      <c r="B722" t="s">
        <v>3511</v>
      </c>
      <c r="C722" t="str">
        <f>_xlfn.XLOOKUP(A722,[1]Affiliations!$J$2:$J$5328,[1]Affiliations!$K$2:$K$5328,0)</f>
        <v>Universidade Federal Fluminense</v>
      </c>
      <c r="D722">
        <v>18</v>
      </c>
      <c r="E722">
        <v>340</v>
      </c>
      <c r="F722">
        <v>18.88889</v>
      </c>
      <c r="G722">
        <v>11</v>
      </c>
      <c r="H722">
        <v>1.34</v>
      </c>
      <c r="I722">
        <v>1</v>
      </c>
      <c r="J722">
        <v>7</v>
      </c>
      <c r="K722">
        <v>10</v>
      </c>
      <c r="L722">
        <v>14</v>
      </c>
      <c r="M722">
        <v>16</v>
      </c>
      <c r="N722">
        <v>17</v>
      </c>
      <c r="P722">
        <v>0</v>
      </c>
      <c r="Q722">
        <v>0</v>
      </c>
      <c r="R722">
        <v>2</v>
      </c>
      <c r="S722">
        <v>9</v>
      </c>
    </row>
    <row r="723" spans="1:19" hidden="1" x14ac:dyDescent="0.35">
      <c r="A723">
        <v>57191538490</v>
      </c>
      <c r="B723" t="s">
        <v>735</v>
      </c>
      <c r="C723" t="str">
        <f>_xlfn.XLOOKUP(A723,[1]Affiliations!$J$2:$J$5328,[1]Affiliations!$K$2:$K$5328,0)</f>
        <v>Universidade Federal do Rio Grande do Sul</v>
      </c>
      <c r="D723">
        <v>2</v>
      </c>
      <c r="E723">
        <v>5</v>
      </c>
      <c r="F723">
        <v>2.5</v>
      </c>
      <c r="G723">
        <v>2</v>
      </c>
      <c r="H723">
        <v>1.21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P723">
        <v>0</v>
      </c>
      <c r="Q723">
        <v>0</v>
      </c>
      <c r="R723">
        <v>0</v>
      </c>
      <c r="S723">
        <v>0</v>
      </c>
    </row>
    <row r="724" spans="1:19" hidden="1" x14ac:dyDescent="0.35">
      <c r="A724">
        <v>57205630152</v>
      </c>
      <c r="B724" t="s">
        <v>736</v>
      </c>
      <c r="C724" t="str">
        <f>_xlfn.XLOOKUP(A724,[1]Affiliations!$J$2:$J$5328,[1]Affiliations!$K$2:$K$5328,0)</f>
        <v>Universidade do Estado do Rio de Janeiro</v>
      </c>
      <c r="D724">
        <v>2</v>
      </c>
      <c r="E724">
        <v>6</v>
      </c>
      <c r="F724">
        <v>3</v>
      </c>
      <c r="G724">
        <v>2</v>
      </c>
      <c r="H724">
        <v>7.0000000000000007E-2</v>
      </c>
      <c r="I724">
        <v>0</v>
      </c>
      <c r="J724">
        <v>0</v>
      </c>
      <c r="K724">
        <v>0</v>
      </c>
      <c r="L724">
        <v>0</v>
      </c>
      <c r="M724">
        <v>2</v>
      </c>
      <c r="N724">
        <v>2</v>
      </c>
      <c r="P724">
        <v>0</v>
      </c>
      <c r="Q724">
        <v>0</v>
      </c>
      <c r="R724">
        <v>0</v>
      </c>
      <c r="S724">
        <v>0</v>
      </c>
    </row>
    <row r="725" spans="1:19" hidden="1" x14ac:dyDescent="0.35">
      <c r="A725">
        <v>60089121800</v>
      </c>
      <c r="B725" t="s">
        <v>737</v>
      </c>
      <c r="C725" t="str">
        <f>_xlfn.XLOOKUP(A725,[1]Affiliations!$J$2:$J$5328,[1]Affiliations!$K$2:$K$5328,0)</f>
        <v>Universidade de São Paulo</v>
      </c>
      <c r="D725">
        <v>0</v>
      </c>
      <c r="G725">
        <v>0</v>
      </c>
    </row>
    <row r="726" spans="1:19" x14ac:dyDescent="0.35">
      <c r="A726">
        <v>7005773417</v>
      </c>
      <c r="B726" t="s">
        <v>3931</v>
      </c>
      <c r="C726" t="str">
        <f>_xlfn.XLOOKUP(A726,[1]Affiliations!$J$2:$J$5328,[1]Affiliations!$K$2:$K$5328,0)</f>
        <v>University of São Paulo (+1 more)</v>
      </c>
      <c r="D726">
        <v>43</v>
      </c>
      <c r="E726">
        <v>471</v>
      </c>
      <c r="F726">
        <v>10.953488</v>
      </c>
      <c r="G726">
        <v>24</v>
      </c>
      <c r="H726">
        <v>1.34</v>
      </c>
      <c r="I726">
        <v>0</v>
      </c>
      <c r="J726">
        <v>0</v>
      </c>
      <c r="K726">
        <v>3</v>
      </c>
      <c r="L726">
        <v>15</v>
      </c>
      <c r="M726">
        <v>22</v>
      </c>
      <c r="N726">
        <v>35</v>
      </c>
      <c r="P726">
        <v>0</v>
      </c>
      <c r="Q726">
        <v>0</v>
      </c>
      <c r="R726">
        <v>1</v>
      </c>
      <c r="S726">
        <v>9</v>
      </c>
    </row>
    <row r="727" spans="1:19" x14ac:dyDescent="0.35">
      <c r="A727">
        <v>57804366700</v>
      </c>
      <c r="B727" t="s">
        <v>4842</v>
      </c>
      <c r="C727" t="str">
        <f>_xlfn.XLOOKUP(A727,[1]Affiliations!$J$2:$J$5328,[1]Affiliations!$K$2:$K$5328,0)</f>
        <v>Federal University of Rio de Janeiro</v>
      </c>
      <c r="D727">
        <v>17</v>
      </c>
      <c r="E727">
        <v>438</v>
      </c>
      <c r="F727">
        <v>25.764706</v>
      </c>
      <c r="G727">
        <v>14</v>
      </c>
      <c r="H727">
        <v>1.34</v>
      </c>
      <c r="I727">
        <v>0</v>
      </c>
      <c r="J727">
        <v>5</v>
      </c>
      <c r="K727">
        <v>8</v>
      </c>
      <c r="L727">
        <v>13</v>
      </c>
      <c r="M727">
        <v>17</v>
      </c>
      <c r="N727">
        <v>17</v>
      </c>
      <c r="P727">
        <v>0</v>
      </c>
      <c r="Q727">
        <v>0</v>
      </c>
      <c r="R727">
        <v>4</v>
      </c>
      <c r="S727">
        <v>10</v>
      </c>
    </row>
    <row r="728" spans="1:19" hidden="1" x14ac:dyDescent="0.35">
      <c r="A728">
        <v>58660582700</v>
      </c>
      <c r="B728" t="s">
        <v>740</v>
      </c>
      <c r="C728" t="str">
        <f>_xlfn.XLOOKUP(A728,[1]Affiliations!$J$2:$J$5328,[1]Affiliations!$K$2:$K$5328,0)</f>
        <v>Federal University of Rio de Janeiro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5">
      <c r="A729">
        <v>6701872941</v>
      </c>
      <c r="B729" t="s">
        <v>5064</v>
      </c>
      <c r="C729" t="str">
        <f>_xlfn.XLOOKUP(A729,[1]Affiliations!$J$2:$J$5328,[1]Affiliations!$K$2:$K$5328,0)</f>
        <v>Empresa Brasileira de Pesquisa Agropecuária</v>
      </c>
      <c r="D729">
        <v>74</v>
      </c>
      <c r="E729">
        <v>1799</v>
      </c>
      <c r="F729">
        <v>24.31081</v>
      </c>
      <c r="G729">
        <v>57</v>
      </c>
      <c r="H729">
        <v>1.34</v>
      </c>
      <c r="I729">
        <v>2</v>
      </c>
      <c r="J729">
        <v>5</v>
      </c>
      <c r="K729">
        <v>17</v>
      </c>
      <c r="L729">
        <v>37</v>
      </c>
      <c r="M729">
        <v>56</v>
      </c>
      <c r="N729">
        <v>62</v>
      </c>
      <c r="P729">
        <v>0</v>
      </c>
      <c r="Q729">
        <v>6</v>
      </c>
      <c r="R729">
        <v>12</v>
      </c>
      <c r="S729">
        <v>31</v>
      </c>
    </row>
    <row r="730" spans="1:19" x14ac:dyDescent="0.35">
      <c r="A730">
        <v>6603128143</v>
      </c>
      <c r="B730" t="s">
        <v>5313</v>
      </c>
      <c r="C730" t="str">
        <f>_xlfn.XLOOKUP(A730,[1]Affiliations!$J$2:$J$5328,[1]Affiliations!$K$2:$K$5328,0)</f>
        <v>Universidade de São Paulo</v>
      </c>
      <c r="D730">
        <v>105</v>
      </c>
      <c r="E730">
        <v>3430</v>
      </c>
      <c r="F730">
        <v>32.666668000000001</v>
      </c>
      <c r="G730">
        <v>53</v>
      </c>
      <c r="H730">
        <v>1.34</v>
      </c>
      <c r="I730">
        <v>6</v>
      </c>
      <c r="J730">
        <v>25</v>
      </c>
      <c r="K730">
        <v>46</v>
      </c>
      <c r="L730">
        <v>71</v>
      </c>
      <c r="M730">
        <v>88</v>
      </c>
      <c r="N730">
        <v>93</v>
      </c>
      <c r="P730">
        <v>3</v>
      </c>
      <c r="Q730">
        <v>12</v>
      </c>
      <c r="R730">
        <v>21</v>
      </c>
      <c r="S730">
        <v>53</v>
      </c>
    </row>
    <row r="731" spans="1:19" hidden="1" x14ac:dyDescent="0.35">
      <c r="A731">
        <v>60006689300</v>
      </c>
      <c r="B731" t="s">
        <v>743</v>
      </c>
      <c r="C731" t="str">
        <f>_xlfn.XLOOKUP(A731,[1]Affiliations!$J$2:$J$5328,[1]Affiliations!$K$2:$K$5328,0)</f>
        <v>Universidade de São Paulo (+1 more)</v>
      </c>
      <c r="D731">
        <v>0</v>
      </c>
      <c r="G731">
        <v>0</v>
      </c>
    </row>
    <row r="732" spans="1:19" x14ac:dyDescent="0.35">
      <c r="A732">
        <v>57219725481</v>
      </c>
      <c r="B732" t="s">
        <v>1269</v>
      </c>
      <c r="C732" t="str">
        <f>_xlfn.XLOOKUP(A732,[1]Affiliations!$J$2:$J$5328,[1]Affiliations!$K$2:$K$5328,0)</f>
        <v>Federal University of Santa Catarina</v>
      </c>
      <c r="D732">
        <v>9</v>
      </c>
      <c r="E732">
        <v>178</v>
      </c>
      <c r="F732">
        <v>19.777778999999999</v>
      </c>
      <c r="G732">
        <v>6</v>
      </c>
      <c r="H732">
        <v>1.33</v>
      </c>
      <c r="I732">
        <v>0</v>
      </c>
      <c r="J732">
        <v>2</v>
      </c>
      <c r="K732">
        <v>4</v>
      </c>
      <c r="L732">
        <v>5</v>
      </c>
      <c r="M732">
        <v>8</v>
      </c>
      <c r="N732">
        <v>8</v>
      </c>
      <c r="P732">
        <v>0</v>
      </c>
      <c r="Q732">
        <v>1</v>
      </c>
      <c r="R732">
        <v>2</v>
      </c>
      <c r="S732">
        <v>6</v>
      </c>
    </row>
    <row r="733" spans="1:19" hidden="1" x14ac:dyDescent="0.35">
      <c r="A733">
        <v>23088487900</v>
      </c>
      <c r="B733" t="s">
        <v>745</v>
      </c>
      <c r="C733" t="str">
        <f>_xlfn.XLOOKUP(A733,[1]Affiliations!$J$2:$J$5328,[1]Affiliations!$K$2:$K$5328,0)</f>
        <v>Federal University of Santa Catarina</v>
      </c>
      <c r="D733">
        <v>25</v>
      </c>
      <c r="E733">
        <v>94</v>
      </c>
      <c r="F733">
        <v>3.76</v>
      </c>
      <c r="G733">
        <v>7</v>
      </c>
      <c r="H733">
        <v>0.78</v>
      </c>
      <c r="I733">
        <v>0</v>
      </c>
      <c r="J733">
        <v>1</v>
      </c>
      <c r="K733">
        <v>3</v>
      </c>
      <c r="L733">
        <v>6</v>
      </c>
      <c r="M733">
        <v>7</v>
      </c>
      <c r="N733">
        <v>12</v>
      </c>
      <c r="P733">
        <v>0</v>
      </c>
      <c r="Q733">
        <v>0</v>
      </c>
      <c r="R733">
        <v>0</v>
      </c>
      <c r="S733">
        <v>2</v>
      </c>
    </row>
    <row r="734" spans="1:19" hidden="1" x14ac:dyDescent="0.35">
      <c r="A734">
        <v>57203183626</v>
      </c>
      <c r="B734" t="s">
        <v>746</v>
      </c>
      <c r="C734" t="str">
        <f>_xlfn.XLOOKUP(A734,[1]Affiliations!$J$2:$J$5328,[1]Affiliations!$K$2:$K$5328,0)</f>
        <v>Federal University of Rio de Janeiro</v>
      </c>
      <c r="D734">
        <v>1</v>
      </c>
      <c r="E734">
        <v>16</v>
      </c>
      <c r="F734">
        <v>16</v>
      </c>
      <c r="G734">
        <v>1</v>
      </c>
      <c r="H734">
        <v>0.36</v>
      </c>
      <c r="I734">
        <v>0</v>
      </c>
      <c r="J734">
        <v>0</v>
      </c>
      <c r="K734">
        <v>1</v>
      </c>
      <c r="L734">
        <v>1</v>
      </c>
      <c r="M734">
        <v>1</v>
      </c>
      <c r="N734">
        <v>1</v>
      </c>
      <c r="P734">
        <v>0</v>
      </c>
      <c r="Q734">
        <v>0</v>
      </c>
      <c r="R734">
        <v>0</v>
      </c>
      <c r="S734">
        <v>0</v>
      </c>
    </row>
    <row r="735" spans="1:19" hidden="1" x14ac:dyDescent="0.35">
      <c r="A735">
        <v>57218365372</v>
      </c>
      <c r="B735" t="s">
        <v>747</v>
      </c>
      <c r="C735" t="str">
        <f>_xlfn.XLOOKUP(A735,[1]Affiliations!$J$2:$J$5328,[1]Affiliations!$K$2:$K$5328,0)</f>
        <v>Fluminense Federal Institute - IFF</v>
      </c>
      <c r="D735">
        <v>1</v>
      </c>
      <c r="E735">
        <v>8</v>
      </c>
      <c r="F735">
        <v>8</v>
      </c>
      <c r="G735">
        <v>1</v>
      </c>
      <c r="H735">
        <v>0.23</v>
      </c>
      <c r="I735">
        <v>0</v>
      </c>
      <c r="J735">
        <v>0</v>
      </c>
      <c r="K735">
        <v>1</v>
      </c>
      <c r="L735">
        <v>1</v>
      </c>
      <c r="M735">
        <v>1</v>
      </c>
      <c r="N735">
        <v>1</v>
      </c>
      <c r="P735">
        <v>0</v>
      </c>
      <c r="Q735">
        <v>0</v>
      </c>
      <c r="R735">
        <v>0</v>
      </c>
      <c r="S735">
        <v>0</v>
      </c>
    </row>
    <row r="736" spans="1:19" hidden="1" x14ac:dyDescent="0.35">
      <c r="A736">
        <v>57192958390</v>
      </c>
      <c r="B736" t="s">
        <v>748</v>
      </c>
      <c r="C736" t="str">
        <f>_xlfn.XLOOKUP(A736,[1]Affiliations!$J$2:$J$5328,[1]Affiliations!$K$2:$K$5328,0)</f>
        <v>University of Campinas (+1 more)</v>
      </c>
      <c r="D736">
        <v>12</v>
      </c>
      <c r="E736">
        <v>112</v>
      </c>
      <c r="F736">
        <v>9.3333329999999997</v>
      </c>
      <c r="G736">
        <v>7</v>
      </c>
      <c r="H736">
        <v>0.95</v>
      </c>
      <c r="I736">
        <v>0</v>
      </c>
      <c r="J736">
        <v>1</v>
      </c>
      <c r="K736">
        <v>4</v>
      </c>
      <c r="L736">
        <v>8</v>
      </c>
      <c r="M736">
        <v>12</v>
      </c>
      <c r="N736">
        <v>12</v>
      </c>
      <c r="P736">
        <v>0</v>
      </c>
      <c r="Q736">
        <v>0</v>
      </c>
      <c r="R736">
        <v>0</v>
      </c>
      <c r="S736">
        <v>3</v>
      </c>
    </row>
    <row r="737" spans="1:19" hidden="1" x14ac:dyDescent="0.35">
      <c r="A737">
        <v>57720039300</v>
      </c>
      <c r="B737" t="s">
        <v>749</v>
      </c>
      <c r="C737" t="str">
        <f>_xlfn.XLOOKUP(A737,[1]Affiliations!$J$2:$J$5328,[1]Affiliations!$K$2:$K$5328,0)</f>
        <v>Universidade de São Paulo</v>
      </c>
      <c r="D737">
        <v>3</v>
      </c>
      <c r="E737">
        <v>20</v>
      </c>
      <c r="F737">
        <v>6.6666664999999998</v>
      </c>
      <c r="G737">
        <v>3</v>
      </c>
      <c r="H737">
        <v>0.51</v>
      </c>
      <c r="I737">
        <v>0</v>
      </c>
      <c r="J737">
        <v>0</v>
      </c>
      <c r="K737">
        <v>0</v>
      </c>
      <c r="L737">
        <v>2</v>
      </c>
      <c r="M737">
        <v>3</v>
      </c>
      <c r="N737">
        <v>3</v>
      </c>
      <c r="P737">
        <v>0</v>
      </c>
      <c r="Q737">
        <v>0</v>
      </c>
      <c r="R737">
        <v>0</v>
      </c>
      <c r="S737">
        <v>1</v>
      </c>
    </row>
    <row r="738" spans="1:19" hidden="1" x14ac:dyDescent="0.35">
      <c r="A738">
        <v>58040224400</v>
      </c>
      <c r="B738" t="s">
        <v>750</v>
      </c>
      <c r="C738" t="str">
        <f>_xlfn.XLOOKUP(A738,[1]Affiliations!$J$2:$J$5328,[1]Affiliations!$K$2:$K$5328,0)</f>
        <v>University of Campinas</v>
      </c>
      <c r="D738">
        <v>1</v>
      </c>
      <c r="E738">
        <v>0</v>
      </c>
      <c r="F738">
        <v>0</v>
      </c>
      <c r="G738">
        <v>0</v>
      </c>
      <c r="H738">
        <v>0</v>
      </c>
      <c r="P738">
        <v>0</v>
      </c>
      <c r="Q738">
        <v>0</v>
      </c>
      <c r="R738">
        <v>0</v>
      </c>
      <c r="S738">
        <v>0</v>
      </c>
    </row>
    <row r="739" spans="1:19" hidden="1" x14ac:dyDescent="0.35">
      <c r="A739">
        <v>57217547174</v>
      </c>
      <c r="B739" t="s">
        <v>751</v>
      </c>
      <c r="C739" t="str">
        <f>_xlfn.XLOOKUP(A739,[1]Affiliations!$J$2:$J$5328,[1]Affiliations!$K$2:$K$5328,0)</f>
        <v>Laboratório Nacional de Computação Científica</v>
      </c>
      <c r="D739">
        <v>9</v>
      </c>
      <c r="E739">
        <v>23</v>
      </c>
      <c r="F739">
        <v>2.5555555999999999</v>
      </c>
      <c r="G739">
        <v>3</v>
      </c>
      <c r="H739">
        <v>0.75</v>
      </c>
      <c r="I739">
        <v>0</v>
      </c>
      <c r="J739">
        <v>0</v>
      </c>
      <c r="K739">
        <v>0</v>
      </c>
      <c r="L739">
        <v>2</v>
      </c>
      <c r="M739">
        <v>6</v>
      </c>
      <c r="N739">
        <v>6</v>
      </c>
      <c r="P739">
        <v>0</v>
      </c>
      <c r="Q739">
        <v>0</v>
      </c>
      <c r="R739">
        <v>0</v>
      </c>
      <c r="S739">
        <v>2</v>
      </c>
    </row>
    <row r="740" spans="1:19" hidden="1" x14ac:dyDescent="0.35">
      <c r="A740">
        <v>57812419200</v>
      </c>
      <c r="B740" t="s">
        <v>752</v>
      </c>
      <c r="C740" t="str">
        <f>_xlfn.XLOOKUP(A740,[1]Affiliations!$J$2:$J$5328,[1]Affiliations!$K$2:$K$5328,0)</f>
        <v>Federal University of Rio de Janeiro</v>
      </c>
      <c r="D740">
        <v>5</v>
      </c>
      <c r="E740">
        <v>43</v>
      </c>
      <c r="F740">
        <v>8.6</v>
      </c>
      <c r="G740">
        <v>3</v>
      </c>
      <c r="H740">
        <v>0.3</v>
      </c>
      <c r="I740">
        <v>0</v>
      </c>
      <c r="J740">
        <v>1</v>
      </c>
      <c r="K740">
        <v>2</v>
      </c>
      <c r="L740">
        <v>3</v>
      </c>
      <c r="M740">
        <v>4</v>
      </c>
      <c r="N740">
        <v>5</v>
      </c>
      <c r="P740">
        <v>0</v>
      </c>
      <c r="Q740">
        <v>0</v>
      </c>
      <c r="R740">
        <v>0</v>
      </c>
      <c r="S740">
        <v>0</v>
      </c>
    </row>
    <row r="741" spans="1:19" hidden="1" x14ac:dyDescent="0.35">
      <c r="A741">
        <v>7005777434</v>
      </c>
      <c r="B741" t="s">
        <v>753</v>
      </c>
      <c r="C741" t="str">
        <f>_xlfn.XLOOKUP(A741,[1]Affiliations!$J$2:$J$5328,[1]Affiliations!$K$2:$K$5328,0)</f>
        <v>Sa ̃o Carlos Federal University (+1 more)</v>
      </c>
      <c r="D741">
        <v>40</v>
      </c>
      <c r="E741">
        <v>408</v>
      </c>
      <c r="F741">
        <v>10.199999999999999</v>
      </c>
      <c r="G741">
        <v>26</v>
      </c>
      <c r="H741">
        <v>0.52</v>
      </c>
      <c r="I741">
        <v>0</v>
      </c>
      <c r="J741">
        <v>2</v>
      </c>
      <c r="K741">
        <v>17</v>
      </c>
      <c r="L741">
        <v>28</v>
      </c>
      <c r="M741">
        <v>33</v>
      </c>
      <c r="N741">
        <v>39</v>
      </c>
      <c r="P741">
        <v>0</v>
      </c>
      <c r="Q741">
        <v>0</v>
      </c>
      <c r="R741">
        <v>0</v>
      </c>
      <c r="S741">
        <v>8</v>
      </c>
    </row>
    <row r="742" spans="1:19" x14ac:dyDescent="0.35">
      <c r="A742">
        <v>7202477473</v>
      </c>
      <c r="B742" t="s">
        <v>1986</v>
      </c>
      <c r="C742" t="str">
        <f>_xlfn.XLOOKUP(A742,[1]Affiliations!$J$2:$J$5328,[1]Affiliations!$K$2:$K$5328,0)</f>
        <v>University of Nottingham (+1 more)</v>
      </c>
      <c r="D742">
        <v>133</v>
      </c>
      <c r="E742">
        <v>3991</v>
      </c>
      <c r="F742">
        <v>30.007518999999998</v>
      </c>
      <c r="G742">
        <v>85</v>
      </c>
      <c r="H742">
        <v>1.33</v>
      </c>
      <c r="I742">
        <v>10</v>
      </c>
      <c r="J742">
        <v>35</v>
      </c>
      <c r="K742">
        <v>70</v>
      </c>
      <c r="L742">
        <v>104</v>
      </c>
      <c r="M742">
        <v>120</v>
      </c>
      <c r="N742">
        <v>126</v>
      </c>
      <c r="P742">
        <v>1</v>
      </c>
      <c r="Q742">
        <v>13</v>
      </c>
      <c r="R742">
        <v>30</v>
      </c>
      <c r="S742">
        <v>65</v>
      </c>
    </row>
    <row r="743" spans="1:19" hidden="1" x14ac:dyDescent="0.35">
      <c r="A743">
        <v>58157443100</v>
      </c>
      <c r="B743" t="s">
        <v>755</v>
      </c>
      <c r="C743" t="str">
        <f>_xlfn.XLOOKUP(A743,[1]Affiliations!$J$2:$J$5328,[1]Affiliations!$K$2:$K$5328,0)</f>
        <v>Universidade Estadual do Norte Fluminense</v>
      </c>
      <c r="D743">
        <v>2</v>
      </c>
      <c r="E743">
        <v>7</v>
      </c>
      <c r="F743">
        <v>3.5</v>
      </c>
      <c r="G743">
        <v>2</v>
      </c>
      <c r="H743">
        <v>0.39</v>
      </c>
      <c r="I743">
        <v>0</v>
      </c>
      <c r="J743">
        <v>0</v>
      </c>
      <c r="K743">
        <v>0</v>
      </c>
      <c r="L743">
        <v>0</v>
      </c>
      <c r="M743">
        <v>1</v>
      </c>
      <c r="N743">
        <v>2</v>
      </c>
      <c r="P743">
        <v>0</v>
      </c>
      <c r="Q743">
        <v>0</v>
      </c>
      <c r="R743">
        <v>0</v>
      </c>
      <c r="S743">
        <v>0</v>
      </c>
    </row>
    <row r="744" spans="1:19" hidden="1" x14ac:dyDescent="0.35">
      <c r="A744">
        <v>55902801700</v>
      </c>
      <c r="B744" t="s">
        <v>756</v>
      </c>
      <c r="C744" t="str">
        <f>_xlfn.XLOOKUP(A744,[1]Affiliations!$J$2:$J$5328,[1]Affiliations!$K$2:$K$5328,0)</f>
        <v>Universidade Federal do Rio Grande do Sul</v>
      </c>
      <c r="D744">
        <v>10</v>
      </c>
      <c r="E744">
        <v>133</v>
      </c>
      <c r="F744">
        <v>13.3</v>
      </c>
      <c r="G744">
        <v>10</v>
      </c>
      <c r="H744">
        <v>0.62</v>
      </c>
      <c r="I744">
        <v>0</v>
      </c>
      <c r="J744">
        <v>1</v>
      </c>
      <c r="K744">
        <v>2</v>
      </c>
      <c r="L744">
        <v>2</v>
      </c>
      <c r="M744">
        <v>8</v>
      </c>
      <c r="N744">
        <v>10</v>
      </c>
      <c r="P744">
        <v>0</v>
      </c>
      <c r="Q744">
        <v>0</v>
      </c>
      <c r="R744">
        <v>0</v>
      </c>
      <c r="S744">
        <v>3</v>
      </c>
    </row>
    <row r="745" spans="1:19" hidden="1" x14ac:dyDescent="0.35">
      <c r="A745">
        <v>57189386583</v>
      </c>
      <c r="B745" t="s">
        <v>757</v>
      </c>
      <c r="C745" t="str">
        <f>_xlfn.XLOOKUP(A745,[1]Affiliations!$J$2:$J$5328,[1]Affiliations!$K$2:$K$5328,0)</f>
        <v>Universidade Federal do Ceará</v>
      </c>
      <c r="D745">
        <v>22</v>
      </c>
      <c r="E745">
        <v>200</v>
      </c>
      <c r="F745">
        <v>9.0909089999999999</v>
      </c>
      <c r="G745">
        <v>8</v>
      </c>
      <c r="H745">
        <v>0.47</v>
      </c>
      <c r="I745">
        <v>0</v>
      </c>
      <c r="J745">
        <v>1</v>
      </c>
      <c r="K745">
        <v>2</v>
      </c>
      <c r="L745">
        <v>10</v>
      </c>
      <c r="M745">
        <v>13</v>
      </c>
      <c r="N745">
        <v>20</v>
      </c>
      <c r="P745">
        <v>0</v>
      </c>
      <c r="Q745">
        <v>0</v>
      </c>
      <c r="R745">
        <v>0</v>
      </c>
      <c r="S745">
        <v>6</v>
      </c>
    </row>
    <row r="746" spans="1:19" hidden="1" x14ac:dyDescent="0.35">
      <c r="A746">
        <v>57203919753</v>
      </c>
      <c r="B746" t="s">
        <v>758</v>
      </c>
      <c r="C746" t="str">
        <f>_xlfn.XLOOKUP(A746,[1]Affiliations!$J$2:$J$5328,[1]Affiliations!$K$2:$K$5328,0)</f>
        <v>Instituto de Pesquisas Tecnologicas</v>
      </c>
      <c r="D746">
        <v>10</v>
      </c>
      <c r="E746">
        <v>0</v>
      </c>
      <c r="F746">
        <v>0</v>
      </c>
      <c r="G746">
        <v>3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1</v>
      </c>
      <c r="P746">
        <v>0</v>
      </c>
      <c r="Q746">
        <v>0</v>
      </c>
      <c r="R746">
        <v>0</v>
      </c>
      <c r="S746">
        <v>0</v>
      </c>
    </row>
    <row r="747" spans="1:19" hidden="1" x14ac:dyDescent="0.35">
      <c r="A747">
        <v>59030338500</v>
      </c>
      <c r="B747" t="s">
        <v>759</v>
      </c>
      <c r="C747" t="str">
        <f>_xlfn.XLOOKUP(A747,[1]Affiliations!$J$2:$J$5328,[1]Affiliations!$K$2:$K$5328,0)</f>
        <v>Vizlab - X-Reality and GeoInformatics Lab</v>
      </c>
      <c r="D747">
        <v>3</v>
      </c>
      <c r="E747">
        <v>6</v>
      </c>
      <c r="F747">
        <v>2</v>
      </c>
      <c r="G747">
        <v>2</v>
      </c>
      <c r="H747">
        <v>0.16</v>
      </c>
      <c r="I747">
        <v>0</v>
      </c>
      <c r="J747">
        <v>0</v>
      </c>
      <c r="K747">
        <v>0</v>
      </c>
      <c r="L747">
        <v>1</v>
      </c>
      <c r="M747">
        <v>2</v>
      </c>
      <c r="N747">
        <v>3</v>
      </c>
      <c r="P747">
        <v>0</v>
      </c>
      <c r="Q747">
        <v>0</v>
      </c>
      <c r="R747">
        <v>0</v>
      </c>
      <c r="S747">
        <v>0</v>
      </c>
    </row>
    <row r="748" spans="1:19" hidden="1" x14ac:dyDescent="0.35">
      <c r="A748">
        <v>56117320900</v>
      </c>
      <c r="B748" t="s">
        <v>760</v>
      </c>
      <c r="C748" t="str">
        <f>_xlfn.XLOOKUP(A748,[1]Affiliations!$J$2:$J$5328,[1]Affiliations!$K$2:$K$5328,0)</f>
        <v>Vizlab - X-Reality and GeoInformatics Lab (+1 more)</v>
      </c>
      <c r="D748">
        <v>6</v>
      </c>
      <c r="E748">
        <v>20</v>
      </c>
      <c r="F748">
        <v>3.3333333000000001</v>
      </c>
      <c r="G748">
        <v>3</v>
      </c>
      <c r="H748">
        <v>0.28000000000000003</v>
      </c>
      <c r="I748">
        <v>0</v>
      </c>
      <c r="J748">
        <v>0</v>
      </c>
      <c r="K748">
        <v>3</v>
      </c>
      <c r="L748">
        <v>5</v>
      </c>
      <c r="M748">
        <v>5</v>
      </c>
      <c r="N748">
        <v>6</v>
      </c>
      <c r="P748">
        <v>0</v>
      </c>
      <c r="Q748">
        <v>0</v>
      </c>
      <c r="R748">
        <v>0</v>
      </c>
      <c r="S748">
        <v>0</v>
      </c>
    </row>
    <row r="749" spans="1:19" x14ac:dyDescent="0.35">
      <c r="A749">
        <v>6505865815</v>
      </c>
      <c r="B749" t="s">
        <v>2268</v>
      </c>
      <c r="C749" t="str">
        <f>_xlfn.XLOOKUP(A749,[1]Affiliations!$J$2:$J$5328,[1]Affiliations!$K$2:$K$5328,0)</f>
        <v>Universidade de São Paulo</v>
      </c>
      <c r="D749">
        <v>96</v>
      </c>
      <c r="E749">
        <v>2763</v>
      </c>
      <c r="F749">
        <v>28.78125</v>
      </c>
      <c r="G749">
        <v>33</v>
      </c>
      <c r="H749">
        <v>1.33</v>
      </c>
      <c r="I749">
        <v>2</v>
      </c>
      <c r="J749">
        <v>13</v>
      </c>
      <c r="K749">
        <v>20</v>
      </c>
      <c r="L749">
        <v>47</v>
      </c>
      <c r="M749">
        <v>73</v>
      </c>
      <c r="N749">
        <v>92</v>
      </c>
      <c r="P749">
        <v>2</v>
      </c>
      <c r="Q749">
        <v>6</v>
      </c>
      <c r="R749">
        <v>12</v>
      </c>
      <c r="S749">
        <v>51</v>
      </c>
    </row>
    <row r="750" spans="1:19" hidden="1" x14ac:dyDescent="0.35">
      <c r="A750">
        <v>57203163697</v>
      </c>
      <c r="B750" t="s">
        <v>762</v>
      </c>
      <c r="C750" t="str">
        <f>_xlfn.XLOOKUP(A750,[1]Affiliations!$J$2:$J$5328,[1]Affiliations!$K$2:$K$5328,0)</f>
        <v>Federal University of Rio de Janeiro</v>
      </c>
      <c r="D750">
        <v>1</v>
      </c>
      <c r="E750">
        <v>5</v>
      </c>
      <c r="F750">
        <v>5</v>
      </c>
      <c r="G750">
        <v>1</v>
      </c>
      <c r="H750">
        <v>1.26</v>
      </c>
      <c r="P750">
        <v>0</v>
      </c>
      <c r="Q750">
        <v>0</v>
      </c>
      <c r="R750">
        <v>0</v>
      </c>
      <c r="S750">
        <v>0</v>
      </c>
    </row>
    <row r="751" spans="1:19" x14ac:dyDescent="0.35">
      <c r="A751">
        <v>50561755500</v>
      </c>
      <c r="B751" t="s">
        <v>2848</v>
      </c>
      <c r="C751" t="str">
        <f>_xlfn.XLOOKUP(A751,[1]Affiliations!$J$2:$J$5328,[1]Affiliations!$K$2:$K$5328,0)</f>
        <v>University of Campinas (+2 more)</v>
      </c>
      <c r="D751">
        <v>23</v>
      </c>
      <c r="E751">
        <v>777</v>
      </c>
      <c r="F751">
        <v>33.782608000000003</v>
      </c>
      <c r="G751">
        <v>16</v>
      </c>
      <c r="H751">
        <v>1.33</v>
      </c>
      <c r="I751">
        <v>2</v>
      </c>
      <c r="J751">
        <v>5</v>
      </c>
      <c r="K751">
        <v>11</v>
      </c>
      <c r="L751">
        <v>12</v>
      </c>
      <c r="M751">
        <v>18</v>
      </c>
      <c r="N751">
        <v>20</v>
      </c>
      <c r="P751">
        <v>1</v>
      </c>
      <c r="Q751">
        <v>3</v>
      </c>
      <c r="R751">
        <v>5</v>
      </c>
      <c r="S751">
        <v>12</v>
      </c>
    </row>
    <row r="752" spans="1:19" hidden="1" x14ac:dyDescent="0.35">
      <c r="A752">
        <v>57223862253</v>
      </c>
      <c r="B752" t="s">
        <v>764</v>
      </c>
      <c r="C752" t="str">
        <f>_xlfn.XLOOKUP(A752,[1]Affiliations!$J$2:$J$5328,[1]Affiliations!$K$2:$K$5328,0)</f>
        <v>Federal University of Rio de Janeiro</v>
      </c>
      <c r="D752">
        <v>5</v>
      </c>
      <c r="E752">
        <v>23</v>
      </c>
      <c r="F752">
        <v>4.5999999999999996</v>
      </c>
      <c r="G752">
        <v>4</v>
      </c>
      <c r="H752">
        <v>1.1000000000000001</v>
      </c>
      <c r="I752">
        <v>0</v>
      </c>
      <c r="J752">
        <v>0</v>
      </c>
      <c r="K752">
        <v>1</v>
      </c>
      <c r="L752">
        <v>2</v>
      </c>
      <c r="M752">
        <v>2</v>
      </c>
      <c r="N752">
        <v>2</v>
      </c>
      <c r="P752">
        <v>0</v>
      </c>
      <c r="Q752">
        <v>0</v>
      </c>
      <c r="R752">
        <v>0</v>
      </c>
      <c r="S752">
        <v>1</v>
      </c>
    </row>
    <row r="753" spans="1:19" hidden="1" x14ac:dyDescent="0.35">
      <c r="A753">
        <v>58550313600</v>
      </c>
      <c r="B753" t="s">
        <v>765</v>
      </c>
      <c r="C753" t="str">
        <f>_xlfn.XLOOKUP(A753,[1]Affiliations!$J$2:$J$5328,[1]Affiliations!$K$2:$K$5328,0)</f>
        <v>Universidade Federal do Rio Grande do Sul</v>
      </c>
      <c r="D753">
        <v>2</v>
      </c>
      <c r="E753">
        <v>6</v>
      </c>
      <c r="F753">
        <v>3</v>
      </c>
      <c r="G753">
        <v>2</v>
      </c>
      <c r="H753">
        <v>0.5</v>
      </c>
      <c r="I753">
        <v>0</v>
      </c>
      <c r="J753">
        <v>0</v>
      </c>
      <c r="K753">
        <v>0</v>
      </c>
      <c r="L753">
        <v>1</v>
      </c>
      <c r="M753">
        <v>2</v>
      </c>
      <c r="N753">
        <v>2</v>
      </c>
      <c r="P753">
        <v>0</v>
      </c>
      <c r="Q753">
        <v>0</v>
      </c>
      <c r="R753">
        <v>0</v>
      </c>
      <c r="S753">
        <v>0</v>
      </c>
    </row>
    <row r="754" spans="1:19" x14ac:dyDescent="0.35">
      <c r="A754">
        <v>55831761600</v>
      </c>
      <c r="B754" t="s">
        <v>3394</v>
      </c>
      <c r="C754" t="str">
        <f>_xlfn.XLOOKUP(A754,[1]Affiliations!$J$2:$J$5328,[1]Affiliations!$K$2:$K$5328,0)</f>
        <v>University of Campinas</v>
      </c>
      <c r="D754">
        <v>35</v>
      </c>
      <c r="E754">
        <v>729</v>
      </c>
      <c r="F754">
        <v>20.828571</v>
      </c>
      <c r="G754">
        <v>13</v>
      </c>
      <c r="H754">
        <v>1.33</v>
      </c>
      <c r="I754">
        <v>0</v>
      </c>
      <c r="J754">
        <v>6</v>
      </c>
      <c r="K754">
        <v>10</v>
      </c>
      <c r="L754">
        <v>16</v>
      </c>
      <c r="M754">
        <v>24</v>
      </c>
      <c r="N754">
        <v>28</v>
      </c>
      <c r="P754">
        <v>0</v>
      </c>
      <c r="Q754">
        <v>2</v>
      </c>
      <c r="R754">
        <v>7</v>
      </c>
      <c r="S754">
        <v>16</v>
      </c>
    </row>
    <row r="755" spans="1:19" hidden="1" x14ac:dyDescent="0.35">
      <c r="A755">
        <v>58574876300</v>
      </c>
      <c r="B755" t="s">
        <v>767</v>
      </c>
      <c r="C755" t="str">
        <f>_xlfn.XLOOKUP(A755,[1]Affiliations!$J$2:$J$5328,[1]Affiliations!$K$2:$K$5328,0)</f>
        <v>Universidade Tecnológica Federal do Paraná</v>
      </c>
      <c r="D755">
        <v>9</v>
      </c>
      <c r="E755">
        <v>13</v>
      </c>
      <c r="F755">
        <v>1.4444444000000001</v>
      </c>
      <c r="G755">
        <v>2</v>
      </c>
      <c r="H755">
        <v>0.35</v>
      </c>
      <c r="I755">
        <v>0</v>
      </c>
      <c r="J755">
        <v>0</v>
      </c>
      <c r="K755">
        <v>0</v>
      </c>
      <c r="L755">
        <v>2</v>
      </c>
      <c r="M755">
        <v>2</v>
      </c>
      <c r="N755">
        <v>3</v>
      </c>
      <c r="P755">
        <v>0</v>
      </c>
      <c r="Q755">
        <v>0</v>
      </c>
      <c r="R755">
        <v>0</v>
      </c>
      <c r="S755">
        <v>1</v>
      </c>
    </row>
    <row r="756" spans="1:19" hidden="1" x14ac:dyDescent="0.35">
      <c r="A756">
        <v>7006254140</v>
      </c>
      <c r="B756" t="s">
        <v>768</v>
      </c>
      <c r="C756" t="str">
        <f>_xlfn.XLOOKUP(A756,[1]Affiliations!$J$2:$J$5328,[1]Affiliations!$K$2:$K$5328,0)</f>
        <v>Universidade Federal de Santa Maria</v>
      </c>
      <c r="D756">
        <v>143</v>
      </c>
      <c r="E756">
        <v>766</v>
      </c>
      <c r="F756">
        <v>5.356643</v>
      </c>
      <c r="G756">
        <v>23</v>
      </c>
      <c r="H756">
        <v>0.36</v>
      </c>
      <c r="I756">
        <v>0</v>
      </c>
      <c r="J756">
        <v>1</v>
      </c>
      <c r="K756">
        <v>5</v>
      </c>
      <c r="L756">
        <v>12</v>
      </c>
      <c r="M756">
        <v>60</v>
      </c>
      <c r="N756">
        <v>127</v>
      </c>
      <c r="P756">
        <v>0</v>
      </c>
      <c r="Q756">
        <v>0</v>
      </c>
      <c r="R756">
        <v>0</v>
      </c>
      <c r="S756">
        <v>6</v>
      </c>
    </row>
    <row r="757" spans="1:19" hidden="1" x14ac:dyDescent="0.35">
      <c r="A757">
        <v>57195512331</v>
      </c>
      <c r="B757" t="s">
        <v>769</v>
      </c>
      <c r="C757" t="str">
        <f>_xlfn.XLOOKUP(A757,[1]Affiliations!$J$2:$J$5328,[1]Affiliations!$K$2:$K$5328,0)</f>
        <v>Universidade Federal de Santa Maria</v>
      </c>
      <c r="D757">
        <v>6</v>
      </c>
      <c r="E757">
        <v>47</v>
      </c>
      <c r="F757">
        <v>7.8333335000000002</v>
      </c>
      <c r="G757">
        <v>5</v>
      </c>
      <c r="H757">
        <v>0.43</v>
      </c>
      <c r="I757">
        <v>0</v>
      </c>
      <c r="J757">
        <v>1</v>
      </c>
      <c r="K757">
        <v>1</v>
      </c>
      <c r="L757">
        <v>3</v>
      </c>
      <c r="M757">
        <v>5</v>
      </c>
      <c r="N757">
        <v>6</v>
      </c>
      <c r="P757">
        <v>0</v>
      </c>
      <c r="Q757">
        <v>0</v>
      </c>
      <c r="R757">
        <v>0</v>
      </c>
      <c r="S757">
        <v>1</v>
      </c>
    </row>
    <row r="758" spans="1:19" hidden="1" x14ac:dyDescent="0.35">
      <c r="A758">
        <v>22733389900</v>
      </c>
      <c r="B758" t="s">
        <v>770</v>
      </c>
      <c r="C758" t="str">
        <f>_xlfn.XLOOKUP(A758,[1]Affiliations!$J$2:$J$5328,[1]Affiliations!$K$2:$K$5328,0)</f>
        <v>Universidade Federal do Rio Grande do Sul</v>
      </c>
      <c r="D758">
        <v>10</v>
      </c>
      <c r="E758">
        <v>26</v>
      </c>
      <c r="F758">
        <v>2.6</v>
      </c>
      <c r="G758">
        <v>8</v>
      </c>
      <c r="H758">
        <v>0.4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6</v>
      </c>
      <c r="P758">
        <v>0</v>
      </c>
      <c r="Q758">
        <v>0</v>
      </c>
      <c r="R758">
        <v>0</v>
      </c>
      <c r="S758">
        <v>0</v>
      </c>
    </row>
    <row r="759" spans="1:19" hidden="1" x14ac:dyDescent="0.35">
      <c r="A759">
        <v>57224478241</v>
      </c>
      <c r="B759" t="s">
        <v>771</v>
      </c>
      <c r="C759" t="str">
        <f>_xlfn.XLOOKUP(A759,[1]Affiliations!$J$2:$J$5328,[1]Affiliations!$K$2:$K$5328,0)</f>
        <v>Federal University of Rio de Janeiro</v>
      </c>
      <c r="D759">
        <v>1</v>
      </c>
      <c r="E759">
        <v>3</v>
      </c>
      <c r="F759">
        <v>3</v>
      </c>
      <c r="G759">
        <v>1</v>
      </c>
      <c r="H759">
        <v>0.22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P759">
        <v>0</v>
      </c>
      <c r="Q759">
        <v>0</v>
      </c>
      <c r="R759">
        <v>0</v>
      </c>
      <c r="S759">
        <v>0</v>
      </c>
    </row>
    <row r="760" spans="1:19" x14ac:dyDescent="0.35">
      <c r="A760">
        <v>6504780383</v>
      </c>
      <c r="B760" t="s">
        <v>3945</v>
      </c>
      <c r="C760" t="str">
        <f>_xlfn.XLOOKUP(A760,[1]Affiliations!$J$2:$J$5328,[1]Affiliations!$K$2:$K$5328,0)</f>
        <v>Centro Nacional de Pesquisa em Energia e Materiais</v>
      </c>
      <c r="D760">
        <v>22</v>
      </c>
      <c r="E760">
        <v>675</v>
      </c>
      <c r="F760">
        <v>30.681818</v>
      </c>
      <c r="G760">
        <v>15</v>
      </c>
      <c r="H760">
        <v>1.33</v>
      </c>
      <c r="I760">
        <v>4</v>
      </c>
      <c r="J760">
        <v>7</v>
      </c>
      <c r="K760">
        <v>15</v>
      </c>
      <c r="L760">
        <v>18</v>
      </c>
      <c r="M760">
        <v>20</v>
      </c>
      <c r="N760">
        <v>20</v>
      </c>
      <c r="P760">
        <v>0</v>
      </c>
      <c r="Q760">
        <v>2</v>
      </c>
      <c r="R760">
        <v>5</v>
      </c>
      <c r="S760">
        <v>14</v>
      </c>
    </row>
    <row r="761" spans="1:19" x14ac:dyDescent="0.35">
      <c r="A761">
        <v>7201374995</v>
      </c>
      <c r="B761" t="s">
        <v>4520</v>
      </c>
      <c r="C761" t="str">
        <f>_xlfn.XLOOKUP(A761,[1]Affiliations!$J$2:$J$5328,[1]Affiliations!$K$2:$K$5328,0)</f>
        <v>Universidade de Brasília</v>
      </c>
      <c r="D761">
        <v>73</v>
      </c>
      <c r="E761">
        <v>1923</v>
      </c>
      <c r="F761">
        <v>26.342466000000002</v>
      </c>
      <c r="G761">
        <v>38</v>
      </c>
      <c r="H761">
        <v>1.33</v>
      </c>
      <c r="I761">
        <v>6</v>
      </c>
      <c r="J761">
        <v>22</v>
      </c>
      <c r="K761">
        <v>37</v>
      </c>
      <c r="L761">
        <v>54</v>
      </c>
      <c r="M761">
        <v>68</v>
      </c>
      <c r="N761">
        <v>72</v>
      </c>
      <c r="P761">
        <v>0</v>
      </c>
      <c r="Q761">
        <v>4</v>
      </c>
      <c r="R761">
        <v>17</v>
      </c>
      <c r="S761">
        <v>38</v>
      </c>
    </row>
    <row r="762" spans="1:19" hidden="1" x14ac:dyDescent="0.35">
      <c r="A762">
        <v>58995248300</v>
      </c>
      <c r="B762" t="s">
        <v>774</v>
      </c>
      <c r="C762" t="str">
        <f>_xlfn.XLOOKUP(A762,[1]Affiliations!$J$2:$J$5328,[1]Affiliations!$K$2:$K$5328,0)</f>
        <v>Universidade Federal do Ceará</v>
      </c>
      <c r="D762">
        <v>2</v>
      </c>
      <c r="E762">
        <v>2</v>
      </c>
      <c r="F762">
        <v>1</v>
      </c>
      <c r="G762">
        <v>1</v>
      </c>
      <c r="H762">
        <v>0.14000000000000001</v>
      </c>
      <c r="I762">
        <v>0</v>
      </c>
      <c r="J762">
        <v>0</v>
      </c>
      <c r="K762">
        <v>0</v>
      </c>
      <c r="L762">
        <v>1</v>
      </c>
      <c r="M762">
        <v>2</v>
      </c>
      <c r="N762">
        <v>2</v>
      </c>
      <c r="P762">
        <v>0</v>
      </c>
      <c r="Q762">
        <v>0</v>
      </c>
      <c r="R762">
        <v>0</v>
      </c>
      <c r="S762">
        <v>0</v>
      </c>
    </row>
    <row r="763" spans="1:19" hidden="1" x14ac:dyDescent="0.35">
      <c r="A763">
        <v>59300230900</v>
      </c>
      <c r="B763" t="s">
        <v>775</v>
      </c>
      <c r="C763" t="str">
        <f>_xlfn.XLOOKUP(A763,[1]Affiliations!$J$2:$J$5328,[1]Affiliations!$K$2:$K$5328,0)</f>
        <v>Federal University of Rio de Janeiro</v>
      </c>
      <c r="D763">
        <v>0</v>
      </c>
      <c r="G763">
        <v>1</v>
      </c>
    </row>
    <row r="764" spans="1:19" hidden="1" x14ac:dyDescent="0.35">
      <c r="A764">
        <v>57195200645</v>
      </c>
      <c r="B764" t="s">
        <v>776</v>
      </c>
      <c r="C764" t="str">
        <f>_xlfn.XLOOKUP(A764,[1]Affiliations!$J$2:$J$5328,[1]Affiliations!$K$2:$K$5328,0)</f>
        <v>Universidade Federal da Bahia</v>
      </c>
      <c r="D764">
        <v>1</v>
      </c>
      <c r="E764">
        <v>2</v>
      </c>
      <c r="F764">
        <v>2</v>
      </c>
      <c r="G764">
        <v>1</v>
      </c>
      <c r="H764">
        <v>0.17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5">
      <c r="A765">
        <v>50462510200</v>
      </c>
      <c r="B765" t="s">
        <v>5288</v>
      </c>
      <c r="C765" t="str">
        <f>_xlfn.XLOOKUP(A765,[1]Affiliations!$J$2:$J$5328,[1]Affiliations!$K$2:$K$5328,0)</f>
        <v>University of Campinas (+1 more)</v>
      </c>
      <c r="D765">
        <v>37</v>
      </c>
      <c r="E765">
        <v>903</v>
      </c>
      <c r="F765">
        <v>24.405404999999998</v>
      </c>
      <c r="G765">
        <v>20</v>
      </c>
      <c r="H765">
        <v>1.33</v>
      </c>
      <c r="I765">
        <v>0</v>
      </c>
      <c r="J765">
        <v>3</v>
      </c>
      <c r="K765">
        <v>9</v>
      </c>
      <c r="L765">
        <v>26</v>
      </c>
      <c r="M765">
        <v>35</v>
      </c>
      <c r="N765">
        <v>36</v>
      </c>
      <c r="P765">
        <v>0</v>
      </c>
      <c r="Q765">
        <v>3</v>
      </c>
      <c r="R765">
        <v>4</v>
      </c>
      <c r="S765">
        <v>19</v>
      </c>
    </row>
    <row r="766" spans="1:19" hidden="1" x14ac:dyDescent="0.35">
      <c r="A766">
        <v>57196664331</v>
      </c>
      <c r="B766" t="s">
        <v>778</v>
      </c>
      <c r="C766" t="str">
        <f>_xlfn.XLOOKUP(A766,[1]Affiliations!$J$2:$J$5328,[1]Affiliations!$K$2:$K$5328,0)</f>
        <v>SINTEF (+4 more)</v>
      </c>
      <c r="D766">
        <v>24</v>
      </c>
      <c r="E766">
        <v>183</v>
      </c>
      <c r="F766">
        <v>7.625</v>
      </c>
      <c r="G766">
        <v>10</v>
      </c>
      <c r="H766">
        <v>0.75</v>
      </c>
      <c r="I766">
        <v>0</v>
      </c>
      <c r="J766">
        <v>0</v>
      </c>
      <c r="K766">
        <v>4</v>
      </c>
      <c r="L766">
        <v>12</v>
      </c>
      <c r="M766">
        <v>13</v>
      </c>
      <c r="N766">
        <v>14</v>
      </c>
      <c r="P766">
        <v>0</v>
      </c>
      <c r="Q766">
        <v>0</v>
      </c>
      <c r="R766">
        <v>0</v>
      </c>
      <c r="S766">
        <v>2</v>
      </c>
    </row>
    <row r="767" spans="1:19" x14ac:dyDescent="0.35">
      <c r="A767">
        <v>8967238700</v>
      </c>
      <c r="B767" t="s">
        <v>250</v>
      </c>
      <c r="C767" t="str">
        <f>_xlfn.XLOOKUP(A767,[1]Affiliations!$J$2:$J$5328,[1]Affiliations!$K$2:$K$5328,0)</f>
        <v>Universidade Federal de Viçosa</v>
      </c>
      <c r="D767">
        <v>181</v>
      </c>
      <c r="E767">
        <v>8394</v>
      </c>
      <c r="F767">
        <v>46.375689999999999</v>
      </c>
      <c r="G767">
        <v>60</v>
      </c>
      <c r="H767">
        <v>1.32</v>
      </c>
      <c r="I767">
        <v>17</v>
      </c>
      <c r="J767">
        <v>72</v>
      </c>
      <c r="K767">
        <v>114</v>
      </c>
      <c r="L767">
        <v>143</v>
      </c>
      <c r="M767">
        <v>166</v>
      </c>
      <c r="N767">
        <v>173</v>
      </c>
      <c r="P767">
        <v>4</v>
      </c>
      <c r="Q767">
        <v>19</v>
      </c>
      <c r="R767">
        <v>36</v>
      </c>
      <c r="S767">
        <v>89</v>
      </c>
    </row>
    <row r="768" spans="1:19" hidden="1" x14ac:dyDescent="0.35">
      <c r="A768">
        <v>57200216312</v>
      </c>
      <c r="B768" t="s">
        <v>780</v>
      </c>
      <c r="C768" t="str">
        <f>_xlfn.XLOOKUP(A768,[1]Affiliations!$J$2:$J$5328,[1]Affiliations!$K$2:$K$5328,0)</f>
        <v>Federal University of Rio de Janeiro</v>
      </c>
      <c r="D768">
        <v>4</v>
      </c>
      <c r="E768">
        <v>5</v>
      </c>
      <c r="F768">
        <v>1.25</v>
      </c>
      <c r="G768">
        <v>1</v>
      </c>
      <c r="H768">
        <v>0.57999999999999996</v>
      </c>
      <c r="I768">
        <v>0</v>
      </c>
      <c r="J768">
        <v>0</v>
      </c>
      <c r="K768">
        <v>0</v>
      </c>
      <c r="L768">
        <v>0</v>
      </c>
      <c r="M768">
        <v>1</v>
      </c>
      <c r="N768">
        <v>1</v>
      </c>
      <c r="P768">
        <v>0</v>
      </c>
      <c r="Q768">
        <v>0</v>
      </c>
      <c r="R768">
        <v>0</v>
      </c>
      <c r="S768">
        <v>0</v>
      </c>
    </row>
    <row r="769" spans="1:19" hidden="1" x14ac:dyDescent="0.35">
      <c r="A769">
        <v>56680805100</v>
      </c>
      <c r="B769" t="s">
        <v>781</v>
      </c>
      <c r="C769" t="str">
        <f>_xlfn.XLOOKUP(A769,[1]Affiliations!$J$2:$J$5328,[1]Affiliations!$K$2:$K$5328,0)</f>
        <v>Universidade Federal do Rio Grande do Norte</v>
      </c>
      <c r="D769">
        <v>1</v>
      </c>
      <c r="E769">
        <v>4</v>
      </c>
      <c r="F769">
        <v>4</v>
      </c>
      <c r="G769">
        <v>1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5">
      <c r="A770">
        <v>55880814000</v>
      </c>
      <c r="B770" t="s">
        <v>556</v>
      </c>
      <c r="C770" t="str">
        <f>_xlfn.XLOOKUP(A770,[1]Affiliations!$J$2:$J$5328,[1]Affiliations!$K$2:$K$5328,0)</f>
        <v>Federal University of Rio de Janeiro (+1 more)</v>
      </c>
      <c r="D770">
        <v>12</v>
      </c>
      <c r="E770">
        <v>475</v>
      </c>
      <c r="F770">
        <v>39.583331999999999</v>
      </c>
      <c r="G770">
        <v>9</v>
      </c>
      <c r="H770">
        <v>1.32</v>
      </c>
      <c r="I770">
        <v>0</v>
      </c>
      <c r="J770">
        <v>4</v>
      </c>
      <c r="K770">
        <v>4</v>
      </c>
      <c r="L770">
        <v>8</v>
      </c>
      <c r="M770">
        <v>8</v>
      </c>
      <c r="N770">
        <v>8</v>
      </c>
      <c r="P770">
        <v>1</v>
      </c>
      <c r="Q770">
        <v>2</v>
      </c>
      <c r="R770">
        <v>2</v>
      </c>
      <c r="S770">
        <v>2</v>
      </c>
    </row>
    <row r="771" spans="1:19" hidden="1" x14ac:dyDescent="0.35">
      <c r="A771">
        <v>57221519803</v>
      </c>
      <c r="B771" t="s">
        <v>783</v>
      </c>
      <c r="C771" t="str">
        <f>_xlfn.XLOOKUP(A771,[1]Affiliations!$J$2:$J$5328,[1]Affiliations!$K$2:$K$5328,0)</f>
        <v>University of Campinas</v>
      </c>
      <c r="D771">
        <v>1</v>
      </c>
      <c r="E771">
        <v>1</v>
      </c>
      <c r="F771">
        <v>1</v>
      </c>
      <c r="G771">
        <v>1</v>
      </c>
      <c r="H771">
        <v>0.59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P771">
        <v>0</v>
      </c>
      <c r="Q771">
        <v>0</v>
      </c>
      <c r="R771">
        <v>0</v>
      </c>
      <c r="S771">
        <v>0</v>
      </c>
    </row>
    <row r="772" spans="1:19" hidden="1" x14ac:dyDescent="0.35">
      <c r="A772">
        <v>57361122100</v>
      </c>
      <c r="B772" t="s">
        <v>784</v>
      </c>
      <c r="C772" t="str">
        <f>_xlfn.XLOOKUP(A772,[1]Affiliations!$J$2:$J$5328,[1]Affiliations!$K$2:$K$5328,0)</f>
        <v>Pontifical Catholic University of Rio de Janeiro</v>
      </c>
      <c r="D772">
        <v>1</v>
      </c>
      <c r="E772">
        <v>6</v>
      </c>
      <c r="F772">
        <v>6</v>
      </c>
      <c r="G772">
        <v>1</v>
      </c>
      <c r="H772">
        <v>0.41</v>
      </c>
      <c r="I772">
        <v>0</v>
      </c>
      <c r="J772">
        <v>1</v>
      </c>
      <c r="K772">
        <v>1</v>
      </c>
      <c r="L772">
        <v>1</v>
      </c>
      <c r="M772">
        <v>1</v>
      </c>
      <c r="N772">
        <v>1</v>
      </c>
      <c r="P772">
        <v>0</v>
      </c>
      <c r="Q772">
        <v>0</v>
      </c>
      <c r="R772">
        <v>0</v>
      </c>
      <c r="S772">
        <v>0</v>
      </c>
    </row>
    <row r="773" spans="1:19" hidden="1" x14ac:dyDescent="0.35">
      <c r="A773">
        <v>57209451579</v>
      </c>
      <c r="B773" t="s">
        <v>785</v>
      </c>
      <c r="C773" t="str">
        <f>_xlfn.XLOOKUP(A773,[1]Affiliations!$J$2:$J$5328,[1]Affiliations!$K$2:$K$5328,0)</f>
        <v>Universidade Federal do Paraná</v>
      </c>
      <c r="D773">
        <v>1</v>
      </c>
      <c r="E773">
        <v>9</v>
      </c>
      <c r="F773">
        <v>9</v>
      </c>
      <c r="G773">
        <v>1</v>
      </c>
      <c r="H773">
        <v>0.42</v>
      </c>
      <c r="I773">
        <v>0</v>
      </c>
      <c r="J773">
        <v>0</v>
      </c>
      <c r="K773">
        <v>0</v>
      </c>
      <c r="L773">
        <v>0</v>
      </c>
      <c r="M773">
        <v>1</v>
      </c>
      <c r="N773">
        <v>1</v>
      </c>
      <c r="P773">
        <v>0</v>
      </c>
      <c r="Q773">
        <v>0</v>
      </c>
      <c r="R773">
        <v>0</v>
      </c>
      <c r="S773">
        <v>0</v>
      </c>
    </row>
    <row r="774" spans="1:19" x14ac:dyDescent="0.35">
      <c r="A774">
        <v>57708859100</v>
      </c>
      <c r="B774" t="s">
        <v>1766</v>
      </c>
      <c r="C774" t="str">
        <f>_xlfn.XLOOKUP(A774,[1]Affiliations!$J$2:$J$5328,[1]Affiliations!$K$2:$K$5328,0)</f>
        <v>Federal University of Santa Catarina</v>
      </c>
      <c r="D774">
        <v>5</v>
      </c>
      <c r="E774">
        <v>172</v>
      </c>
      <c r="F774">
        <v>34.4</v>
      </c>
      <c r="G774">
        <v>5</v>
      </c>
      <c r="H774">
        <v>1.32</v>
      </c>
      <c r="I774">
        <v>0</v>
      </c>
      <c r="J774">
        <v>1</v>
      </c>
      <c r="K774">
        <v>2</v>
      </c>
      <c r="L774">
        <v>3</v>
      </c>
      <c r="M774">
        <v>5</v>
      </c>
      <c r="N774">
        <v>5</v>
      </c>
      <c r="P774">
        <v>1</v>
      </c>
      <c r="Q774">
        <v>1</v>
      </c>
      <c r="R774">
        <v>3</v>
      </c>
      <c r="S774">
        <v>4</v>
      </c>
    </row>
    <row r="775" spans="1:19" hidden="1" x14ac:dyDescent="0.35">
      <c r="A775">
        <v>15841636400</v>
      </c>
      <c r="B775" t="s">
        <v>787</v>
      </c>
      <c r="C775" t="str">
        <f>_xlfn.XLOOKUP(A775,[1]Affiliations!$J$2:$J$5328,[1]Affiliations!$K$2:$K$5328,0)</f>
        <v>Universidade Federal Fluminense</v>
      </c>
      <c r="D775">
        <v>11</v>
      </c>
      <c r="E775">
        <v>60</v>
      </c>
      <c r="F775">
        <v>5.4545455</v>
      </c>
      <c r="G775">
        <v>3</v>
      </c>
      <c r="H775">
        <v>0.39</v>
      </c>
      <c r="I775">
        <v>0</v>
      </c>
      <c r="J775">
        <v>0</v>
      </c>
      <c r="K775">
        <v>0</v>
      </c>
      <c r="L775">
        <v>2</v>
      </c>
      <c r="M775">
        <v>3</v>
      </c>
      <c r="N775">
        <v>3</v>
      </c>
      <c r="P775">
        <v>0</v>
      </c>
      <c r="Q775">
        <v>0</v>
      </c>
      <c r="R775">
        <v>0</v>
      </c>
      <c r="S775">
        <v>2</v>
      </c>
    </row>
    <row r="776" spans="1:19" hidden="1" x14ac:dyDescent="0.35">
      <c r="A776">
        <v>59692914500</v>
      </c>
      <c r="B776" t="s">
        <v>788</v>
      </c>
      <c r="C776" t="str">
        <f>_xlfn.XLOOKUP(A776,[1]Affiliations!$J$2:$J$5328,[1]Affiliations!$K$2:$K$5328,0)</f>
        <v>Pontifical Catholic University of Rio de Janeiro</v>
      </c>
      <c r="D776">
        <v>0</v>
      </c>
      <c r="G776">
        <v>1</v>
      </c>
    </row>
    <row r="777" spans="1:19" hidden="1" x14ac:dyDescent="0.35">
      <c r="A777">
        <v>57204005130</v>
      </c>
      <c r="B777" t="s">
        <v>789</v>
      </c>
      <c r="C777" t="str">
        <f>_xlfn.XLOOKUP(A777,[1]Affiliations!$J$2:$J$5328,[1]Affiliations!$K$2:$K$5328,0)</f>
        <v>Universidade Federal Fluminense</v>
      </c>
      <c r="D777">
        <v>4</v>
      </c>
      <c r="E777">
        <v>8</v>
      </c>
      <c r="F777">
        <v>2</v>
      </c>
      <c r="G777">
        <v>2</v>
      </c>
      <c r="H777">
        <v>0.21</v>
      </c>
      <c r="I777">
        <v>0</v>
      </c>
      <c r="J777">
        <v>1</v>
      </c>
      <c r="K777">
        <v>1</v>
      </c>
      <c r="L777">
        <v>2</v>
      </c>
      <c r="M777">
        <v>2</v>
      </c>
      <c r="N777">
        <v>2</v>
      </c>
      <c r="P777">
        <v>0</v>
      </c>
      <c r="Q777">
        <v>0</v>
      </c>
      <c r="R777">
        <v>0</v>
      </c>
      <c r="S777">
        <v>0</v>
      </c>
    </row>
    <row r="778" spans="1:19" hidden="1" x14ac:dyDescent="0.35">
      <c r="A778">
        <v>57195404168</v>
      </c>
      <c r="B778" t="s">
        <v>790</v>
      </c>
      <c r="C778" t="str">
        <f>_xlfn.XLOOKUP(A778,[1]Affiliations!$J$2:$J$5328,[1]Affiliations!$K$2:$K$5328,0)</f>
        <v>Instituto Nacional de Tecnologia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0</v>
      </c>
      <c r="Q778">
        <v>0</v>
      </c>
      <c r="R778">
        <v>0</v>
      </c>
      <c r="S778">
        <v>0</v>
      </c>
    </row>
    <row r="779" spans="1:19" hidden="1" x14ac:dyDescent="0.35">
      <c r="A779">
        <v>7103378986</v>
      </c>
      <c r="B779" t="s">
        <v>791</v>
      </c>
      <c r="C779" t="str">
        <f>_xlfn.XLOOKUP(A779,[1]Affiliations!$J$2:$J$5328,[1]Affiliations!$K$2:$K$5328,0)</f>
        <v>Universidade de São Paulo</v>
      </c>
      <c r="D779">
        <v>29</v>
      </c>
      <c r="E779">
        <v>148</v>
      </c>
      <c r="F779">
        <v>5.1034484000000004</v>
      </c>
      <c r="G779">
        <v>15</v>
      </c>
      <c r="H779">
        <v>0.48</v>
      </c>
      <c r="I779">
        <v>0</v>
      </c>
      <c r="J779">
        <v>1</v>
      </c>
      <c r="K779">
        <v>2</v>
      </c>
      <c r="L779">
        <v>9</v>
      </c>
      <c r="M779">
        <v>12</v>
      </c>
      <c r="N779">
        <v>15</v>
      </c>
      <c r="P779">
        <v>0</v>
      </c>
      <c r="Q779">
        <v>0</v>
      </c>
      <c r="R779">
        <v>0</v>
      </c>
      <c r="S779">
        <v>4</v>
      </c>
    </row>
    <row r="780" spans="1:19" hidden="1" x14ac:dyDescent="0.35">
      <c r="A780">
        <v>58165958400</v>
      </c>
      <c r="B780" t="s">
        <v>792</v>
      </c>
      <c r="C780" t="str">
        <f>_xlfn.XLOOKUP(A780,[1]Affiliations!$J$2:$J$5328,[1]Affiliations!$K$2:$K$5328,0)</f>
        <v>Engineering Simulation and Scientific Software (+1 more)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1</v>
      </c>
      <c r="P780">
        <v>0</v>
      </c>
      <c r="Q780">
        <v>0</v>
      </c>
      <c r="R780">
        <v>0</v>
      </c>
      <c r="S780">
        <v>0</v>
      </c>
    </row>
    <row r="781" spans="1:19" hidden="1" x14ac:dyDescent="0.35">
      <c r="A781">
        <v>57201268506</v>
      </c>
      <c r="B781" t="s">
        <v>793</v>
      </c>
      <c r="C781" t="str">
        <f>_xlfn.XLOOKUP(A781,[1]Affiliations!$J$2:$J$5328,[1]Affiliations!$K$2:$K$5328,0)</f>
        <v>Pontifical Catholic University of Rio de Janeiro</v>
      </c>
      <c r="D781">
        <v>1</v>
      </c>
      <c r="E781">
        <v>5</v>
      </c>
      <c r="F781">
        <v>5</v>
      </c>
      <c r="G781">
        <v>1</v>
      </c>
      <c r="H781">
        <v>0.72</v>
      </c>
      <c r="P781">
        <v>0</v>
      </c>
      <c r="Q781">
        <v>0</v>
      </c>
      <c r="R781">
        <v>0</v>
      </c>
      <c r="S781">
        <v>0</v>
      </c>
    </row>
    <row r="782" spans="1:19" hidden="1" x14ac:dyDescent="0.35">
      <c r="A782">
        <v>56769341600</v>
      </c>
      <c r="B782" t="s">
        <v>794</v>
      </c>
      <c r="C782" t="str">
        <f>_xlfn.XLOOKUP(A782,[1]Affiliations!$J$2:$J$5328,[1]Affiliations!$K$2:$K$5328,0)</f>
        <v>Universidade de São Paulo (+1 more)</v>
      </c>
      <c r="D782">
        <v>7</v>
      </c>
      <c r="E782">
        <v>25</v>
      </c>
      <c r="F782">
        <v>3.5714285000000001</v>
      </c>
      <c r="G782">
        <v>3</v>
      </c>
      <c r="H782">
        <v>0.35</v>
      </c>
      <c r="I782">
        <v>0</v>
      </c>
      <c r="J782">
        <v>0</v>
      </c>
      <c r="K782">
        <v>2</v>
      </c>
      <c r="L782">
        <v>3</v>
      </c>
      <c r="M782">
        <v>5</v>
      </c>
      <c r="N782">
        <v>6</v>
      </c>
      <c r="P782">
        <v>0</v>
      </c>
      <c r="Q782">
        <v>0</v>
      </c>
      <c r="R782">
        <v>0</v>
      </c>
      <c r="S782">
        <v>0</v>
      </c>
    </row>
    <row r="783" spans="1:19" hidden="1" x14ac:dyDescent="0.35">
      <c r="A783">
        <v>59167619700</v>
      </c>
      <c r="B783" t="s">
        <v>795</v>
      </c>
      <c r="C783" t="str">
        <f>_xlfn.XLOOKUP(A783,[1]Affiliations!$J$2:$J$5328,[1]Affiliations!$K$2:$K$5328,0)</f>
        <v>Federal University of Rio de Janeiro</v>
      </c>
      <c r="D783">
        <v>1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1</v>
      </c>
      <c r="N783">
        <v>1</v>
      </c>
      <c r="P783">
        <v>0</v>
      </c>
      <c r="Q783">
        <v>0</v>
      </c>
      <c r="R783">
        <v>0</v>
      </c>
      <c r="S783">
        <v>0</v>
      </c>
    </row>
    <row r="784" spans="1:19" hidden="1" x14ac:dyDescent="0.35">
      <c r="A784">
        <v>56011320900</v>
      </c>
      <c r="B784" t="s">
        <v>796</v>
      </c>
      <c r="C784" t="str">
        <f>_xlfn.XLOOKUP(A784,[1]Affiliations!$J$2:$J$5328,[1]Affiliations!$K$2:$K$5328,0)</f>
        <v>Nuclear Engineering Institute Rio de Janeiro (+1 more)</v>
      </c>
      <c r="D784">
        <v>2</v>
      </c>
      <c r="E784">
        <v>6</v>
      </c>
      <c r="F784">
        <v>3</v>
      </c>
      <c r="G784">
        <v>2</v>
      </c>
      <c r="H784">
        <v>0.4</v>
      </c>
      <c r="I784">
        <v>0</v>
      </c>
      <c r="J784">
        <v>0</v>
      </c>
      <c r="K784">
        <v>0</v>
      </c>
      <c r="L784">
        <v>2</v>
      </c>
      <c r="M784">
        <v>2</v>
      </c>
      <c r="N784">
        <v>2</v>
      </c>
      <c r="P784">
        <v>0</v>
      </c>
      <c r="Q784">
        <v>0</v>
      </c>
      <c r="R784">
        <v>0</v>
      </c>
      <c r="S784">
        <v>0</v>
      </c>
    </row>
    <row r="785" spans="1:19" hidden="1" x14ac:dyDescent="0.35">
      <c r="A785">
        <v>60099706100</v>
      </c>
      <c r="B785" t="s">
        <v>797</v>
      </c>
      <c r="C785" t="str">
        <f>_xlfn.XLOOKUP(A785,[1]Affiliations!$J$2:$J$5328,[1]Affiliations!$K$2:$K$5328,0)</f>
        <v>Universidade de Estadual de Rio de Janeiro</v>
      </c>
      <c r="D785">
        <v>0</v>
      </c>
      <c r="G785">
        <v>0</v>
      </c>
    </row>
    <row r="786" spans="1:19" hidden="1" x14ac:dyDescent="0.35">
      <c r="A786">
        <v>8410021500</v>
      </c>
      <c r="B786" t="s">
        <v>798</v>
      </c>
      <c r="C786" t="str">
        <f>_xlfn.XLOOKUP(A786,[1]Affiliations!$J$2:$J$5328,[1]Affiliations!$K$2:$K$5328,0)</f>
        <v>Universidade Federal de Itajubá</v>
      </c>
      <c r="D786">
        <v>1</v>
      </c>
      <c r="E786">
        <v>1</v>
      </c>
      <c r="F786">
        <v>1</v>
      </c>
      <c r="G786">
        <v>2</v>
      </c>
      <c r="H786">
        <v>0</v>
      </c>
      <c r="P786">
        <v>0</v>
      </c>
      <c r="Q786">
        <v>0</v>
      </c>
      <c r="R786">
        <v>0</v>
      </c>
      <c r="S786">
        <v>0</v>
      </c>
    </row>
    <row r="787" spans="1:19" hidden="1" x14ac:dyDescent="0.35">
      <c r="A787">
        <v>59226270700</v>
      </c>
      <c r="B787" t="s">
        <v>799</v>
      </c>
      <c r="C787" t="str">
        <f>_xlfn.XLOOKUP(A787,[1]Affiliations!$J$2:$J$5328,[1]Affiliations!$K$2:$K$5328,0)</f>
        <v>Federal University of Rio de Janeiro</v>
      </c>
      <c r="D787">
        <v>1</v>
      </c>
      <c r="E787">
        <v>4</v>
      </c>
      <c r="F787">
        <v>4</v>
      </c>
      <c r="G787">
        <v>1</v>
      </c>
      <c r="H787">
        <v>0.56000000000000005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P787">
        <v>0</v>
      </c>
      <c r="Q787">
        <v>0</v>
      </c>
      <c r="R787">
        <v>0</v>
      </c>
      <c r="S787">
        <v>0</v>
      </c>
    </row>
    <row r="788" spans="1:19" hidden="1" x14ac:dyDescent="0.35">
      <c r="A788">
        <v>57189846150</v>
      </c>
      <c r="B788" t="s">
        <v>800</v>
      </c>
      <c r="C788" t="str">
        <f>_xlfn.XLOOKUP(A788,[1]Affiliations!$J$2:$J$5328,[1]Affiliations!$K$2:$K$5328,0)</f>
        <v>Universidade Federal de Pernambuco</v>
      </c>
      <c r="D788">
        <v>4</v>
      </c>
      <c r="E788">
        <v>26</v>
      </c>
      <c r="F788">
        <v>6.5</v>
      </c>
      <c r="G788">
        <v>3</v>
      </c>
      <c r="H788">
        <v>0.4</v>
      </c>
      <c r="I788">
        <v>0</v>
      </c>
      <c r="J788">
        <v>0</v>
      </c>
      <c r="K788">
        <v>0</v>
      </c>
      <c r="L788">
        <v>0</v>
      </c>
      <c r="M788">
        <v>3</v>
      </c>
      <c r="N788">
        <v>3</v>
      </c>
      <c r="P788">
        <v>0</v>
      </c>
      <c r="Q788">
        <v>0</v>
      </c>
      <c r="R788">
        <v>0</v>
      </c>
      <c r="S788">
        <v>0</v>
      </c>
    </row>
    <row r="789" spans="1:19" hidden="1" x14ac:dyDescent="0.35">
      <c r="A789">
        <v>57200886724</v>
      </c>
      <c r="B789" t="s">
        <v>801</v>
      </c>
      <c r="C789" t="str">
        <f>_xlfn.XLOOKUP(A789,[1]Affiliations!$J$2:$J$5328,[1]Affiliations!$K$2:$K$5328,0)</f>
        <v>Universidade Federal do Espírito Santo</v>
      </c>
      <c r="D789">
        <v>2</v>
      </c>
      <c r="E789">
        <v>39</v>
      </c>
      <c r="F789">
        <v>19.5</v>
      </c>
      <c r="G789">
        <v>2</v>
      </c>
      <c r="H789">
        <v>0.74</v>
      </c>
      <c r="I789">
        <v>0</v>
      </c>
      <c r="J789">
        <v>1</v>
      </c>
      <c r="K789">
        <v>2</v>
      </c>
      <c r="L789">
        <v>2</v>
      </c>
      <c r="M789">
        <v>2</v>
      </c>
      <c r="N789">
        <v>2</v>
      </c>
      <c r="P789">
        <v>0</v>
      </c>
      <c r="Q789">
        <v>0</v>
      </c>
      <c r="R789">
        <v>0</v>
      </c>
      <c r="S789">
        <v>1</v>
      </c>
    </row>
    <row r="790" spans="1:19" x14ac:dyDescent="0.35">
      <c r="A790">
        <v>8284642700</v>
      </c>
      <c r="B790" t="s">
        <v>2064</v>
      </c>
      <c r="C790" t="str">
        <f>_xlfn.XLOOKUP(A790,[1]Affiliations!$J$2:$J$5328,[1]Affiliations!$K$2:$K$5328,0)</f>
        <v>Universidade Federal de Minas Gerais</v>
      </c>
      <c r="D790">
        <v>49</v>
      </c>
      <c r="E790">
        <v>1781</v>
      </c>
      <c r="F790">
        <v>36.346939999999996</v>
      </c>
      <c r="G790">
        <v>34</v>
      </c>
      <c r="H790">
        <v>1.32</v>
      </c>
      <c r="I790">
        <v>4</v>
      </c>
      <c r="J790">
        <v>13</v>
      </c>
      <c r="K790">
        <v>23</v>
      </c>
      <c r="L790">
        <v>37</v>
      </c>
      <c r="M790">
        <v>45</v>
      </c>
      <c r="N790">
        <v>49</v>
      </c>
      <c r="P790">
        <v>1</v>
      </c>
      <c r="Q790">
        <v>5</v>
      </c>
      <c r="R790">
        <v>9</v>
      </c>
      <c r="S790">
        <v>22</v>
      </c>
    </row>
    <row r="791" spans="1:19" hidden="1" x14ac:dyDescent="0.35">
      <c r="A791">
        <v>36794567000</v>
      </c>
      <c r="B791" t="s">
        <v>803</v>
      </c>
      <c r="C791" t="str">
        <f>_xlfn.XLOOKUP(A791,[1]Affiliations!$J$2:$J$5328,[1]Affiliations!$K$2:$K$5328,0)</f>
        <v>Federal University of Rio de Janeiro</v>
      </c>
      <c r="D791">
        <v>3</v>
      </c>
      <c r="E791">
        <v>26</v>
      </c>
      <c r="F791">
        <v>8.6666670000000003</v>
      </c>
      <c r="G791">
        <v>8</v>
      </c>
      <c r="H791">
        <v>0.57999999999999996</v>
      </c>
      <c r="I791">
        <v>0</v>
      </c>
      <c r="J791">
        <v>0</v>
      </c>
      <c r="K791">
        <v>1</v>
      </c>
      <c r="L791">
        <v>3</v>
      </c>
      <c r="M791">
        <v>3</v>
      </c>
      <c r="N791">
        <v>3</v>
      </c>
      <c r="P791">
        <v>0</v>
      </c>
      <c r="Q791">
        <v>0</v>
      </c>
      <c r="R791">
        <v>0</v>
      </c>
      <c r="S791">
        <v>0</v>
      </c>
    </row>
    <row r="792" spans="1:19" x14ac:dyDescent="0.35">
      <c r="A792">
        <v>55311752500</v>
      </c>
      <c r="B792" t="s">
        <v>3761</v>
      </c>
      <c r="C792" t="str">
        <f>_xlfn.XLOOKUP(A792,[1]Affiliations!$J$2:$J$5328,[1]Affiliations!$K$2:$K$5328,0)</f>
        <v>Universidade de São Paulo (+1 more)</v>
      </c>
      <c r="D792">
        <v>34</v>
      </c>
      <c r="E792">
        <v>704</v>
      </c>
      <c r="F792">
        <v>20.705883</v>
      </c>
      <c r="G792">
        <v>17</v>
      </c>
      <c r="H792">
        <v>1.32</v>
      </c>
      <c r="I792">
        <v>2</v>
      </c>
      <c r="J792">
        <v>4</v>
      </c>
      <c r="K792">
        <v>15</v>
      </c>
      <c r="L792">
        <v>20</v>
      </c>
      <c r="M792">
        <v>29</v>
      </c>
      <c r="N792">
        <v>31</v>
      </c>
      <c r="P792">
        <v>0</v>
      </c>
      <c r="Q792">
        <v>1</v>
      </c>
      <c r="R792">
        <v>6</v>
      </c>
      <c r="S792">
        <v>14</v>
      </c>
    </row>
    <row r="793" spans="1:19" hidden="1" x14ac:dyDescent="0.35">
      <c r="A793">
        <v>60123760500</v>
      </c>
      <c r="B793" t="s">
        <v>805</v>
      </c>
      <c r="C793" t="str">
        <f>_xlfn.XLOOKUP(A793,[1]Affiliations!$J$2:$J$5328,[1]Affiliations!$K$2:$K$5328,0)</f>
        <v>Science and Technology of Espírito Santo</v>
      </c>
      <c r="D793">
        <v>0</v>
      </c>
      <c r="G793">
        <v>0</v>
      </c>
    </row>
    <row r="794" spans="1:19" x14ac:dyDescent="0.35">
      <c r="A794">
        <v>7202834278</v>
      </c>
      <c r="B794" t="s">
        <v>3875</v>
      </c>
      <c r="C794" t="str">
        <f>_xlfn.XLOOKUP(A794,[1]Affiliations!$J$2:$J$5328,[1]Affiliations!$K$2:$K$5328,0)</f>
        <v>University of Aveiro (+1 more)</v>
      </c>
      <c r="D794">
        <v>57</v>
      </c>
      <c r="E794">
        <v>1181</v>
      </c>
      <c r="F794">
        <v>20.719297000000001</v>
      </c>
      <c r="G794">
        <v>23</v>
      </c>
      <c r="H794">
        <v>1.32</v>
      </c>
      <c r="I794">
        <v>1</v>
      </c>
      <c r="J794">
        <v>13</v>
      </c>
      <c r="K794">
        <v>22</v>
      </c>
      <c r="L794">
        <v>34</v>
      </c>
      <c r="M794">
        <v>48</v>
      </c>
      <c r="N794">
        <v>50</v>
      </c>
      <c r="P794">
        <v>0</v>
      </c>
      <c r="Q794">
        <v>4</v>
      </c>
      <c r="R794">
        <v>11</v>
      </c>
      <c r="S794">
        <v>29</v>
      </c>
    </row>
    <row r="795" spans="1:19" hidden="1" x14ac:dyDescent="0.35">
      <c r="A795">
        <v>57224795319</v>
      </c>
      <c r="B795" t="s">
        <v>807</v>
      </c>
      <c r="C795" t="str">
        <f>_xlfn.XLOOKUP(A795,[1]Affiliations!$J$2:$J$5328,[1]Affiliations!$K$2:$K$5328,0)</f>
        <v>Universidade Federal de Pernambuco</v>
      </c>
      <c r="D795">
        <v>4</v>
      </c>
      <c r="E795">
        <v>48</v>
      </c>
      <c r="F795">
        <v>12</v>
      </c>
      <c r="G795">
        <v>4</v>
      </c>
      <c r="H795">
        <v>0.97</v>
      </c>
      <c r="I795">
        <v>0</v>
      </c>
      <c r="J795">
        <v>0</v>
      </c>
      <c r="K795">
        <v>0</v>
      </c>
      <c r="L795">
        <v>3</v>
      </c>
      <c r="M795">
        <v>4</v>
      </c>
      <c r="N795">
        <v>4</v>
      </c>
      <c r="P795">
        <v>0</v>
      </c>
      <c r="Q795">
        <v>0</v>
      </c>
      <c r="R795">
        <v>0</v>
      </c>
      <c r="S795">
        <v>3</v>
      </c>
    </row>
    <row r="796" spans="1:19" hidden="1" x14ac:dyDescent="0.35">
      <c r="A796">
        <v>56915370000</v>
      </c>
      <c r="B796" t="s">
        <v>808</v>
      </c>
      <c r="C796" t="str">
        <f>_xlfn.XLOOKUP(A796,[1]Affiliations!$J$2:$J$5328,[1]Affiliations!$K$2:$K$5328,0)</f>
        <v>Federal University of Rio de Janeiro</v>
      </c>
      <c r="D796">
        <v>4</v>
      </c>
      <c r="E796">
        <v>28</v>
      </c>
      <c r="F796">
        <v>7</v>
      </c>
      <c r="G796">
        <v>4</v>
      </c>
      <c r="H796">
        <v>0.95</v>
      </c>
      <c r="I796">
        <v>0</v>
      </c>
      <c r="J796">
        <v>0</v>
      </c>
      <c r="K796">
        <v>0</v>
      </c>
      <c r="L796">
        <v>0</v>
      </c>
      <c r="M796">
        <v>1</v>
      </c>
      <c r="N796">
        <v>4</v>
      </c>
      <c r="P796">
        <v>0</v>
      </c>
      <c r="Q796">
        <v>0</v>
      </c>
      <c r="R796">
        <v>0</v>
      </c>
      <c r="S796">
        <v>0</v>
      </c>
    </row>
    <row r="797" spans="1:19" hidden="1" x14ac:dyDescent="0.35">
      <c r="A797">
        <v>57189842426</v>
      </c>
      <c r="B797" t="s">
        <v>809</v>
      </c>
      <c r="C797" t="str">
        <f>_xlfn.XLOOKUP(A797,[1]Affiliations!$J$2:$J$5328,[1]Affiliations!$K$2:$K$5328,0)</f>
        <v>Federal University of Rio de Janeiro</v>
      </c>
      <c r="D797">
        <v>8</v>
      </c>
      <c r="E797">
        <v>89</v>
      </c>
      <c r="F797">
        <v>11.125</v>
      </c>
      <c r="G797">
        <v>7</v>
      </c>
      <c r="H797">
        <v>0.63</v>
      </c>
      <c r="I797">
        <v>0</v>
      </c>
      <c r="J797">
        <v>0</v>
      </c>
      <c r="K797">
        <v>4</v>
      </c>
      <c r="L797">
        <v>5</v>
      </c>
      <c r="M797">
        <v>8</v>
      </c>
      <c r="N797">
        <v>8</v>
      </c>
      <c r="P797">
        <v>0</v>
      </c>
      <c r="Q797">
        <v>0</v>
      </c>
      <c r="R797">
        <v>0</v>
      </c>
      <c r="S797">
        <v>1</v>
      </c>
    </row>
    <row r="798" spans="1:19" x14ac:dyDescent="0.35">
      <c r="A798">
        <v>57215863719</v>
      </c>
      <c r="B798" t="s">
        <v>4442</v>
      </c>
      <c r="C798" t="str">
        <f>_xlfn.XLOOKUP(A798,[1]Affiliations!$J$2:$J$5328,[1]Affiliations!$K$2:$K$5328,0)</f>
        <v>Universidade Estadual Paulista “Júlio de Mesquita Filho”</v>
      </c>
      <c r="D798">
        <v>15</v>
      </c>
      <c r="E798">
        <v>255</v>
      </c>
      <c r="F798">
        <v>17</v>
      </c>
      <c r="G798">
        <v>7</v>
      </c>
      <c r="H798">
        <v>1.32</v>
      </c>
      <c r="I798">
        <v>2</v>
      </c>
      <c r="J798">
        <v>2</v>
      </c>
      <c r="K798">
        <v>4</v>
      </c>
      <c r="L798">
        <v>7</v>
      </c>
      <c r="M798">
        <v>8</v>
      </c>
      <c r="N798">
        <v>9</v>
      </c>
      <c r="P798">
        <v>1</v>
      </c>
      <c r="Q798">
        <v>1</v>
      </c>
      <c r="R798">
        <v>3</v>
      </c>
      <c r="S798">
        <v>5</v>
      </c>
    </row>
    <row r="799" spans="1:19" hidden="1" x14ac:dyDescent="0.35">
      <c r="A799">
        <v>57699564900</v>
      </c>
      <c r="B799" t="s">
        <v>811</v>
      </c>
      <c r="C799" t="str">
        <f>_xlfn.XLOOKUP(A799,[1]Affiliations!$J$2:$J$5328,[1]Affiliations!$K$2:$K$5328,0)</f>
        <v>Federal University of Rio de Janeiro</v>
      </c>
      <c r="D799">
        <v>1</v>
      </c>
      <c r="E799">
        <v>2</v>
      </c>
      <c r="F799">
        <v>2</v>
      </c>
      <c r="G799">
        <v>1</v>
      </c>
      <c r="H799">
        <v>7.0000000000000007E-2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1</v>
      </c>
      <c r="P799">
        <v>0</v>
      </c>
      <c r="Q799">
        <v>0</v>
      </c>
      <c r="R799">
        <v>0</v>
      </c>
      <c r="S799">
        <v>0</v>
      </c>
    </row>
    <row r="800" spans="1:19" hidden="1" x14ac:dyDescent="0.35">
      <c r="A800">
        <v>57210136366</v>
      </c>
      <c r="B800" t="s">
        <v>812</v>
      </c>
      <c r="C800" t="str">
        <f>_xlfn.XLOOKUP(A800,[1]Affiliations!$J$2:$J$5328,[1]Affiliations!$K$2:$K$5328,0)</f>
        <v>Universidade Federal de Viçosa</v>
      </c>
      <c r="D800">
        <v>1</v>
      </c>
      <c r="E800">
        <v>59</v>
      </c>
      <c r="F800">
        <v>59</v>
      </c>
      <c r="G800">
        <v>1</v>
      </c>
      <c r="H800">
        <v>1.52</v>
      </c>
      <c r="I800">
        <v>0</v>
      </c>
      <c r="J800">
        <v>1</v>
      </c>
      <c r="K800">
        <v>1</v>
      </c>
      <c r="L800">
        <v>1</v>
      </c>
      <c r="M800">
        <v>1</v>
      </c>
      <c r="N800">
        <v>1</v>
      </c>
      <c r="P800">
        <v>0</v>
      </c>
      <c r="Q800">
        <v>0</v>
      </c>
      <c r="R800">
        <v>1</v>
      </c>
      <c r="S800">
        <v>1</v>
      </c>
    </row>
    <row r="801" spans="1:19" hidden="1" x14ac:dyDescent="0.35">
      <c r="A801">
        <v>23491456500</v>
      </c>
      <c r="B801" t="s">
        <v>813</v>
      </c>
      <c r="C801" t="str">
        <f>_xlfn.XLOOKUP(A801,[1]Affiliations!$J$2:$J$5328,[1]Affiliations!$K$2:$K$5328,0)</f>
        <v>Universidade Federal de Santa Maria</v>
      </c>
      <c r="D801">
        <v>7</v>
      </c>
      <c r="E801">
        <v>82</v>
      </c>
      <c r="F801">
        <v>11.714286</v>
      </c>
      <c r="G801">
        <v>10</v>
      </c>
      <c r="H801">
        <v>0.47</v>
      </c>
      <c r="I801">
        <v>0</v>
      </c>
      <c r="J801">
        <v>1</v>
      </c>
      <c r="K801">
        <v>3</v>
      </c>
      <c r="L801">
        <v>3</v>
      </c>
      <c r="M801">
        <v>6</v>
      </c>
      <c r="N801">
        <v>7</v>
      </c>
      <c r="P801">
        <v>0</v>
      </c>
      <c r="Q801">
        <v>0</v>
      </c>
      <c r="R801">
        <v>0</v>
      </c>
      <c r="S801">
        <v>1</v>
      </c>
    </row>
    <row r="802" spans="1:19" x14ac:dyDescent="0.35">
      <c r="A802">
        <v>7004527155</v>
      </c>
      <c r="B802" t="s">
        <v>491</v>
      </c>
      <c r="C802" t="str">
        <f>_xlfn.XLOOKUP(A802,[1]Affiliations!$J$2:$J$5328,[1]Affiliations!$K$2:$K$5328,0)</f>
        <v>Universidade Federal do Rio Grande do Norte (+3 more)</v>
      </c>
      <c r="D802">
        <v>124</v>
      </c>
      <c r="E802">
        <v>2374</v>
      </c>
      <c r="F802">
        <v>19.145160000000001</v>
      </c>
      <c r="G802">
        <v>41</v>
      </c>
      <c r="H802">
        <v>1.31</v>
      </c>
      <c r="I802">
        <v>1</v>
      </c>
      <c r="J802">
        <v>26</v>
      </c>
      <c r="K802">
        <v>45</v>
      </c>
      <c r="L802">
        <v>79</v>
      </c>
      <c r="M802">
        <v>104</v>
      </c>
      <c r="N802">
        <v>107</v>
      </c>
      <c r="P802">
        <v>0</v>
      </c>
      <c r="Q802">
        <v>3</v>
      </c>
      <c r="R802">
        <v>19</v>
      </c>
      <c r="S802">
        <v>64</v>
      </c>
    </row>
    <row r="803" spans="1:19" hidden="1" x14ac:dyDescent="0.35">
      <c r="A803">
        <v>59681491000</v>
      </c>
      <c r="B803" t="s">
        <v>815</v>
      </c>
      <c r="C803" t="str">
        <f>_xlfn.XLOOKUP(A803,[1]Affiliations!$J$2:$J$5328,[1]Affiliations!$K$2:$K$5328,0)</f>
        <v>Federal University of Rio de Janeiro</v>
      </c>
      <c r="D803">
        <v>5</v>
      </c>
      <c r="E803">
        <v>8</v>
      </c>
      <c r="F803">
        <v>1.6</v>
      </c>
      <c r="G803">
        <v>2</v>
      </c>
      <c r="H803">
        <v>0.39</v>
      </c>
      <c r="I803">
        <v>0</v>
      </c>
      <c r="J803">
        <v>0</v>
      </c>
      <c r="K803">
        <v>1</v>
      </c>
      <c r="L803">
        <v>3</v>
      </c>
      <c r="M803">
        <v>5</v>
      </c>
      <c r="N803">
        <v>5</v>
      </c>
      <c r="P803">
        <v>0</v>
      </c>
      <c r="Q803">
        <v>0</v>
      </c>
      <c r="R803">
        <v>0</v>
      </c>
      <c r="S803">
        <v>0</v>
      </c>
    </row>
    <row r="804" spans="1:19" x14ac:dyDescent="0.35">
      <c r="A804">
        <v>7003678450</v>
      </c>
      <c r="B804" t="s">
        <v>567</v>
      </c>
      <c r="C804" t="str">
        <f>_xlfn.XLOOKUP(A804,[1]Affiliations!$J$2:$J$5328,[1]Affiliations!$K$2:$K$5328,0)</f>
        <v>DEMa</v>
      </c>
      <c r="D804">
        <v>167</v>
      </c>
      <c r="E804">
        <v>4890</v>
      </c>
      <c r="F804">
        <v>29.281437</v>
      </c>
      <c r="G804">
        <v>48</v>
      </c>
      <c r="H804">
        <v>1.31</v>
      </c>
      <c r="I804">
        <v>0</v>
      </c>
      <c r="J804">
        <v>23</v>
      </c>
      <c r="K804">
        <v>95</v>
      </c>
      <c r="L804">
        <v>129</v>
      </c>
      <c r="M804">
        <v>158</v>
      </c>
      <c r="N804">
        <v>163</v>
      </c>
      <c r="P804">
        <v>2</v>
      </c>
      <c r="Q804">
        <v>14</v>
      </c>
      <c r="R804">
        <v>34</v>
      </c>
      <c r="S804">
        <v>104</v>
      </c>
    </row>
    <row r="805" spans="1:19" x14ac:dyDescent="0.35">
      <c r="A805">
        <v>57192957393</v>
      </c>
      <c r="B805" t="s">
        <v>1656</v>
      </c>
      <c r="C805" t="str">
        <f>_xlfn.XLOOKUP(A805,[1]Affiliations!$J$2:$J$5328,[1]Affiliations!$K$2:$K$5328,0)</f>
        <v>Centro Nacional de Pesquisa em Energia e Materiais</v>
      </c>
      <c r="D805">
        <v>9</v>
      </c>
      <c r="E805">
        <v>342</v>
      </c>
      <c r="F805">
        <v>38</v>
      </c>
      <c r="G805">
        <v>6</v>
      </c>
      <c r="H805">
        <v>1.31</v>
      </c>
      <c r="I805">
        <v>2</v>
      </c>
      <c r="J805">
        <v>5</v>
      </c>
      <c r="K805">
        <v>9</v>
      </c>
      <c r="L805">
        <v>9</v>
      </c>
      <c r="M805">
        <v>9</v>
      </c>
      <c r="N805">
        <v>9</v>
      </c>
      <c r="P805">
        <v>0</v>
      </c>
      <c r="Q805">
        <v>2</v>
      </c>
      <c r="R805">
        <v>3</v>
      </c>
      <c r="S805">
        <v>5</v>
      </c>
    </row>
    <row r="806" spans="1:19" hidden="1" x14ac:dyDescent="0.35">
      <c r="A806">
        <v>57202264113</v>
      </c>
      <c r="B806" t="s">
        <v>818</v>
      </c>
      <c r="C806" t="str">
        <f>_xlfn.XLOOKUP(A806,[1]Affiliations!$J$2:$J$5328,[1]Affiliations!$K$2:$K$5328,0)</f>
        <v>Universidade de São Paulo</v>
      </c>
      <c r="D806">
        <v>6</v>
      </c>
      <c r="E806">
        <v>59</v>
      </c>
      <c r="F806">
        <v>9.8333329999999997</v>
      </c>
      <c r="G806">
        <v>4</v>
      </c>
      <c r="H806">
        <v>0.62</v>
      </c>
      <c r="I806">
        <v>0</v>
      </c>
      <c r="J806">
        <v>0</v>
      </c>
      <c r="K806">
        <v>1</v>
      </c>
      <c r="L806">
        <v>4</v>
      </c>
      <c r="M806">
        <v>5</v>
      </c>
      <c r="N806">
        <v>5</v>
      </c>
      <c r="P806">
        <v>0</v>
      </c>
      <c r="Q806">
        <v>0</v>
      </c>
      <c r="R806">
        <v>0</v>
      </c>
      <c r="S806">
        <v>2</v>
      </c>
    </row>
    <row r="807" spans="1:19" x14ac:dyDescent="0.35">
      <c r="A807">
        <v>57004785300</v>
      </c>
      <c r="B807" t="s">
        <v>1784</v>
      </c>
      <c r="C807" t="str">
        <f>_xlfn.XLOOKUP(A807,[1]Affiliations!$J$2:$J$5328,[1]Affiliations!$K$2:$K$5328,0)</f>
        <v>Federal University of Rio de Janeiro</v>
      </c>
      <c r="D807">
        <v>16</v>
      </c>
      <c r="E807">
        <v>637</v>
      </c>
      <c r="F807">
        <v>39.8125</v>
      </c>
      <c r="G807">
        <v>18</v>
      </c>
      <c r="H807">
        <v>1.31</v>
      </c>
      <c r="I807">
        <v>0</v>
      </c>
      <c r="J807">
        <v>0</v>
      </c>
      <c r="K807">
        <v>2</v>
      </c>
      <c r="L807">
        <v>9</v>
      </c>
      <c r="M807">
        <v>15</v>
      </c>
      <c r="N807">
        <v>15</v>
      </c>
      <c r="P807">
        <v>0</v>
      </c>
      <c r="Q807">
        <v>1</v>
      </c>
      <c r="R807">
        <v>2</v>
      </c>
      <c r="S807">
        <v>12</v>
      </c>
    </row>
    <row r="808" spans="1:19" x14ac:dyDescent="0.35">
      <c r="A808">
        <v>57202098969</v>
      </c>
      <c r="B808" t="s">
        <v>3201</v>
      </c>
      <c r="C808" t="str">
        <f>_xlfn.XLOOKUP(A808,[1]Affiliations!$J$2:$J$5328,[1]Affiliations!$K$2:$K$5328,0)</f>
        <v>Universidade Federal de Goiás</v>
      </c>
      <c r="D808">
        <v>16</v>
      </c>
      <c r="E808">
        <v>391</v>
      </c>
      <c r="F808">
        <v>24.4375</v>
      </c>
      <c r="G808">
        <v>13</v>
      </c>
      <c r="H808">
        <v>1.31</v>
      </c>
      <c r="I808">
        <v>1</v>
      </c>
      <c r="J808">
        <v>1</v>
      </c>
      <c r="K808">
        <v>2</v>
      </c>
      <c r="L808">
        <v>11</v>
      </c>
      <c r="M808">
        <v>14</v>
      </c>
      <c r="N808">
        <v>15</v>
      </c>
      <c r="P808">
        <v>0</v>
      </c>
      <c r="Q808">
        <v>3</v>
      </c>
      <c r="R808">
        <v>10</v>
      </c>
      <c r="S808">
        <v>15</v>
      </c>
    </row>
    <row r="809" spans="1:19" hidden="1" x14ac:dyDescent="0.35">
      <c r="A809">
        <v>57204914888</v>
      </c>
      <c r="B809" t="s">
        <v>821</v>
      </c>
      <c r="C809" t="str">
        <f>_xlfn.XLOOKUP(A809,[1]Affiliations!$J$2:$J$5328,[1]Affiliations!$K$2:$K$5328,0)</f>
        <v>Instituto SENAI de Inovação em Engenharia de Superfícies</v>
      </c>
      <c r="D809">
        <v>1</v>
      </c>
      <c r="E809">
        <v>17</v>
      </c>
      <c r="F809">
        <v>17</v>
      </c>
      <c r="G809">
        <v>1</v>
      </c>
      <c r="H809">
        <v>0.65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P809">
        <v>0</v>
      </c>
      <c r="Q809">
        <v>0</v>
      </c>
      <c r="R809">
        <v>0</v>
      </c>
      <c r="S809">
        <v>0</v>
      </c>
    </row>
    <row r="810" spans="1:19" hidden="1" x14ac:dyDescent="0.35">
      <c r="A810">
        <v>57223656943</v>
      </c>
      <c r="B810" t="s">
        <v>822</v>
      </c>
      <c r="C810" t="str">
        <f>_xlfn.XLOOKUP(A810,[1]Affiliations!$J$2:$J$5328,[1]Affiliations!$K$2:$K$5328,0)</f>
        <v>Serviço Nacional de Aprendizagem Industrial</v>
      </c>
      <c r="D810">
        <v>3</v>
      </c>
      <c r="E810">
        <v>31</v>
      </c>
      <c r="F810">
        <v>10.333333</v>
      </c>
      <c r="G810">
        <v>2</v>
      </c>
      <c r="H810">
        <v>1.06</v>
      </c>
      <c r="I810">
        <v>0</v>
      </c>
      <c r="J810">
        <v>0</v>
      </c>
      <c r="K810">
        <v>1</v>
      </c>
      <c r="L810">
        <v>1</v>
      </c>
      <c r="M810">
        <v>1</v>
      </c>
      <c r="N810">
        <v>2</v>
      </c>
      <c r="P810">
        <v>0</v>
      </c>
      <c r="Q810">
        <v>1</v>
      </c>
      <c r="R810">
        <v>1</v>
      </c>
      <c r="S810">
        <v>1</v>
      </c>
    </row>
    <row r="811" spans="1:19" hidden="1" x14ac:dyDescent="0.35">
      <c r="A811">
        <v>57190611058</v>
      </c>
      <c r="B811" t="s">
        <v>823</v>
      </c>
      <c r="C811" t="str">
        <f>_xlfn.XLOOKUP(A811,[1]Affiliations!$J$2:$J$5328,[1]Affiliations!$K$2:$K$5328,0)</f>
        <v>Universidade Federal de Goiás (+1 more)</v>
      </c>
      <c r="D811">
        <v>7</v>
      </c>
      <c r="E811">
        <v>236</v>
      </c>
      <c r="F811">
        <v>33.714286999999999</v>
      </c>
      <c r="G811">
        <v>7</v>
      </c>
      <c r="H811">
        <v>1.41</v>
      </c>
      <c r="I811">
        <v>0</v>
      </c>
      <c r="J811">
        <v>1</v>
      </c>
      <c r="K811">
        <v>2</v>
      </c>
      <c r="L811">
        <v>5</v>
      </c>
      <c r="M811">
        <v>5</v>
      </c>
      <c r="N811">
        <v>6</v>
      </c>
      <c r="P811">
        <v>0</v>
      </c>
      <c r="Q811">
        <v>0</v>
      </c>
      <c r="R811">
        <v>0</v>
      </c>
      <c r="S811">
        <v>7</v>
      </c>
    </row>
    <row r="812" spans="1:19" x14ac:dyDescent="0.35">
      <c r="A812">
        <v>59158056700</v>
      </c>
      <c r="B812" t="s">
        <v>3290</v>
      </c>
      <c r="C812" t="str">
        <f>_xlfn.XLOOKUP(A812,[1]Affiliations!$J$2:$J$5328,[1]Affiliations!$K$2:$K$5328,0)</f>
        <v>Universidade Federal de Ouro Preto</v>
      </c>
      <c r="D812">
        <v>17</v>
      </c>
      <c r="E812">
        <v>467</v>
      </c>
      <c r="F812">
        <v>27.470589</v>
      </c>
      <c r="G812">
        <v>11</v>
      </c>
      <c r="H812">
        <v>1.31</v>
      </c>
      <c r="I812">
        <v>1</v>
      </c>
      <c r="J812">
        <v>6</v>
      </c>
      <c r="K812">
        <v>9</v>
      </c>
      <c r="L812">
        <v>14</v>
      </c>
      <c r="M812">
        <v>15</v>
      </c>
      <c r="N812">
        <v>15</v>
      </c>
      <c r="P812">
        <v>1</v>
      </c>
      <c r="Q812">
        <v>2</v>
      </c>
      <c r="R812">
        <v>3</v>
      </c>
      <c r="S812">
        <v>10</v>
      </c>
    </row>
    <row r="813" spans="1:19" hidden="1" x14ac:dyDescent="0.35">
      <c r="A813">
        <v>57190954190</v>
      </c>
      <c r="B813" t="s">
        <v>825</v>
      </c>
      <c r="C813" t="str">
        <f>_xlfn.XLOOKUP(A813,[1]Affiliations!$J$2:$J$5328,[1]Affiliations!$K$2:$K$5328,0)</f>
        <v>Universidade de São Paulo</v>
      </c>
      <c r="D813">
        <v>3</v>
      </c>
      <c r="E813">
        <v>32</v>
      </c>
      <c r="F813">
        <v>10.666667</v>
      </c>
      <c r="G813">
        <v>2</v>
      </c>
      <c r="H813">
        <v>0.48</v>
      </c>
      <c r="I813">
        <v>0</v>
      </c>
      <c r="J813">
        <v>0</v>
      </c>
      <c r="K813">
        <v>2</v>
      </c>
      <c r="L813">
        <v>2</v>
      </c>
      <c r="M813">
        <v>2</v>
      </c>
      <c r="N813">
        <v>3</v>
      </c>
      <c r="P813">
        <v>0</v>
      </c>
      <c r="Q813">
        <v>0</v>
      </c>
      <c r="R813">
        <v>0</v>
      </c>
      <c r="S813">
        <v>0</v>
      </c>
    </row>
    <row r="814" spans="1:19" hidden="1" x14ac:dyDescent="0.35">
      <c r="A814">
        <v>57903774900</v>
      </c>
      <c r="B814" t="s">
        <v>826</v>
      </c>
      <c r="C814" t="str">
        <f>_xlfn.XLOOKUP(A814,[1]Affiliations!$J$2:$J$5328,[1]Affiliations!$K$2:$K$5328,0)</f>
        <v>Federal University of Rio de Janeiro</v>
      </c>
      <c r="D814">
        <v>1</v>
      </c>
      <c r="E814">
        <v>2</v>
      </c>
      <c r="F814">
        <v>2</v>
      </c>
      <c r="G814">
        <v>1</v>
      </c>
      <c r="H814">
        <v>7.0000000000000007E-2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1</v>
      </c>
      <c r="P814">
        <v>0</v>
      </c>
      <c r="Q814">
        <v>0</v>
      </c>
      <c r="R814">
        <v>0</v>
      </c>
      <c r="S814">
        <v>0</v>
      </c>
    </row>
    <row r="815" spans="1:19" hidden="1" x14ac:dyDescent="0.35">
      <c r="A815">
        <v>56414996900</v>
      </c>
      <c r="B815" t="s">
        <v>827</v>
      </c>
      <c r="C815" t="str">
        <f>_xlfn.XLOOKUP(A815,[1]Affiliations!$J$2:$J$5328,[1]Affiliations!$K$2:$K$5328,0)</f>
        <v>Universidade de São Paulo (+1 more)</v>
      </c>
      <c r="D815">
        <v>11</v>
      </c>
      <c r="E815">
        <v>26</v>
      </c>
      <c r="F815">
        <v>2.3636363</v>
      </c>
      <c r="G815">
        <v>4</v>
      </c>
      <c r="H815">
        <v>7.0000000000000007E-2</v>
      </c>
      <c r="I815">
        <v>0</v>
      </c>
      <c r="J815">
        <v>0</v>
      </c>
      <c r="K815">
        <v>0</v>
      </c>
      <c r="L815">
        <v>2</v>
      </c>
      <c r="M815">
        <v>4</v>
      </c>
      <c r="N815">
        <v>9</v>
      </c>
      <c r="P815">
        <v>0</v>
      </c>
      <c r="Q815">
        <v>0</v>
      </c>
      <c r="R815">
        <v>0</v>
      </c>
      <c r="S815">
        <v>0</v>
      </c>
    </row>
    <row r="816" spans="1:19" x14ac:dyDescent="0.35">
      <c r="A816">
        <v>36648008700</v>
      </c>
      <c r="B816" t="s">
        <v>4178</v>
      </c>
      <c r="C816" t="str">
        <f>_xlfn.XLOOKUP(A816,[1]Affiliations!$J$2:$J$5328,[1]Affiliations!$K$2:$K$5328,0)</f>
        <v>Federal University of Rio de Janeiro</v>
      </c>
      <c r="D816">
        <v>58</v>
      </c>
      <c r="E816">
        <v>2351</v>
      </c>
      <c r="F816">
        <v>40.534480000000002</v>
      </c>
      <c r="G816">
        <v>25</v>
      </c>
      <c r="H816">
        <v>1.31</v>
      </c>
      <c r="I816">
        <v>1</v>
      </c>
      <c r="J816">
        <v>4</v>
      </c>
      <c r="K816">
        <v>14</v>
      </c>
      <c r="L816">
        <v>33</v>
      </c>
      <c r="M816">
        <v>48</v>
      </c>
      <c r="N816">
        <v>51</v>
      </c>
      <c r="P816">
        <v>5</v>
      </c>
      <c r="Q816">
        <v>8</v>
      </c>
      <c r="R816">
        <v>18</v>
      </c>
      <c r="S816">
        <v>37</v>
      </c>
    </row>
    <row r="817" spans="1:19" x14ac:dyDescent="0.35">
      <c r="A817">
        <v>57222114845</v>
      </c>
      <c r="B817" t="s">
        <v>4378</v>
      </c>
      <c r="C817" t="str">
        <f>_xlfn.XLOOKUP(A817,[1]Affiliations!$J$2:$J$5328,[1]Affiliations!$K$2:$K$5328,0)</f>
        <v>Universidade de São Paulo</v>
      </c>
      <c r="D817">
        <v>5</v>
      </c>
      <c r="E817">
        <v>66</v>
      </c>
      <c r="F817">
        <v>13.2</v>
      </c>
      <c r="G817">
        <v>3</v>
      </c>
      <c r="H817">
        <v>1.31</v>
      </c>
      <c r="I817">
        <v>0</v>
      </c>
      <c r="J817">
        <v>0</v>
      </c>
      <c r="K817">
        <v>1</v>
      </c>
      <c r="L817">
        <v>2</v>
      </c>
      <c r="M817">
        <v>3</v>
      </c>
      <c r="N817">
        <v>4</v>
      </c>
      <c r="P817">
        <v>0</v>
      </c>
      <c r="Q817">
        <v>0</v>
      </c>
      <c r="R817">
        <v>1</v>
      </c>
      <c r="S817">
        <v>2</v>
      </c>
    </row>
    <row r="818" spans="1:19" x14ac:dyDescent="0.35">
      <c r="A818">
        <v>25959901100</v>
      </c>
      <c r="B818" t="s">
        <v>814</v>
      </c>
      <c r="C818" t="str">
        <f>_xlfn.XLOOKUP(A818,[1]Affiliations!$J$2:$J$5328,[1]Affiliations!$K$2:$K$5328,0)</f>
        <v>Universidade do Estado do Rio de Janeiro</v>
      </c>
      <c r="D818">
        <v>25</v>
      </c>
      <c r="E818">
        <v>339</v>
      </c>
      <c r="F818">
        <v>13.56</v>
      </c>
      <c r="G818">
        <v>14</v>
      </c>
      <c r="H818">
        <v>1.3</v>
      </c>
      <c r="I818">
        <v>2</v>
      </c>
      <c r="J818">
        <v>5</v>
      </c>
      <c r="K818">
        <v>6</v>
      </c>
      <c r="L818">
        <v>11</v>
      </c>
      <c r="M818">
        <v>11</v>
      </c>
      <c r="N818">
        <v>11</v>
      </c>
      <c r="P818">
        <v>0</v>
      </c>
      <c r="Q818">
        <v>0</v>
      </c>
      <c r="R818">
        <v>2</v>
      </c>
      <c r="S818">
        <v>9</v>
      </c>
    </row>
    <row r="819" spans="1:19" x14ac:dyDescent="0.35">
      <c r="A819">
        <v>57189344776</v>
      </c>
      <c r="B819" t="s">
        <v>1299</v>
      </c>
      <c r="C819" t="str">
        <f>_xlfn.XLOOKUP(A819,[1]Affiliations!$J$2:$J$5328,[1]Affiliations!$K$2:$K$5328,0)</f>
        <v>Pontifícia Universidade Católica do Rio Grande do Sul (+1 more)</v>
      </c>
      <c r="D819">
        <v>30</v>
      </c>
      <c r="E819">
        <v>861</v>
      </c>
      <c r="F819">
        <v>28.7</v>
      </c>
      <c r="G819">
        <v>21</v>
      </c>
      <c r="H819">
        <v>1.3</v>
      </c>
      <c r="I819">
        <v>0</v>
      </c>
      <c r="J819">
        <v>3</v>
      </c>
      <c r="K819">
        <v>9</v>
      </c>
      <c r="L819">
        <v>16</v>
      </c>
      <c r="M819">
        <v>24</v>
      </c>
      <c r="N819">
        <v>27</v>
      </c>
      <c r="P819">
        <v>1</v>
      </c>
      <c r="Q819">
        <v>1</v>
      </c>
      <c r="R819">
        <v>3</v>
      </c>
      <c r="S819">
        <v>19</v>
      </c>
    </row>
    <row r="820" spans="1:19" hidden="1" x14ac:dyDescent="0.35">
      <c r="A820">
        <v>25924136700</v>
      </c>
      <c r="B820" t="s">
        <v>832</v>
      </c>
      <c r="C820" t="str">
        <f>_xlfn.XLOOKUP(A820,[1]Affiliations!$J$2:$J$5328,[1]Affiliations!$K$2:$K$5328,0)</f>
        <v>Federal University of Rio de Janeiro</v>
      </c>
      <c r="D820">
        <v>11</v>
      </c>
      <c r="E820">
        <v>89</v>
      </c>
      <c r="F820">
        <v>8.0909089999999999</v>
      </c>
      <c r="G820">
        <v>9</v>
      </c>
      <c r="H820">
        <v>0.68</v>
      </c>
      <c r="I820">
        <v>0</v>
      </c>
      <c r="J820">
        <v>0</v>
      </c>
      <c r="K820">
        <v>2</v>
      </c>
      <c r="L820">
        <v>5</v>
      </c>
      <c r="M820">
        <v>9</v>
      </c>
      <c r="N820">
        <v>10</v>
      </c>
      <c r="P820">
        <v>0</v>
      </c>
      <c r="Q820">
        <v>0</v>
      </c>
      <c r="R820">
        <v>0</v>
      </c>
      <c r="S820">
        <v>3</v>
      </c>
    </row>
    <row r="821" spans="1:19" hidden="1" x14ac:dyDescent="0.35">
      <c r="A821">
        <v>57215416351</v>
      </c>
      <c r="B821" t="s">
        <v>833</v>
      </c>
      <c r="C821" t="str">
        <f>_xlfn.XLOOKUP(A821,[1]Affiliations!$J$2:$J$5328,[1]Affiliations!$K$2:$K$5328,0)</f>
        <v>Pontifical Catholic University of Rio de Janeiro</v>
      </c>
      <c r="D821">
        <v>4</v>
      </c>
      <c r="E821">
        <v>16</v>
      </c>
      <c r="F821">
        <v>4</v>
      </c>
      <c r="G821">
        <v>2</v>
      </c>
      <c r="H821">
        <v>0.27</v>
      </c>
      <c r="I821">
        <v>0</v>
      </c>
      <c r="J821">
        <v>0</v>
      </c>
      <c r="K821">
        <v>0</v>
      </c>
      <c r="L821">
        <v>4</v>
      </c>
      <c r="M821">
        <v>4</v>
      </c>
      <c r="N821">
        <v>4</v>
      </c>
      <c r="P821">
        <v>0</v>
      </c>
      <c r="Q821">
        <v>0</v>
      </c>
      <c r="R821">
        <v>0</v>
      </c>
      <c r="S821">
        <v>0</v>
      </c>
    </row>
    <row r="822" spans="1:19" x14ac:dyDescent="0.35">
      <c r="A822">
        <v>6508137223</v>
      </c>
      <c r="B822" t="s">
        <v>1955</v>
      </c>
      <c r="C822" t="str">
        <f>_xlfn.XLOOKUP(A822,[1]Affiliations!$J$2:$J$5328,[1]Affiliations!$K$2:$K$5328,0)</f>
        <v>University of Maryland, College Park (+1 more)</v>
      </c>
      <c r="D822">
        <v>146</v>
      </c>
      <c r="E822">
        <v>2801</v>
      </c>
      <c r="F822">
        <v>19.184930000000001</v>
      </c>
      <c r="G822">
        <v>32</v>
      </c>
      <c r="H822">
        <v>1.3</v>
      </c>
      <c r="I822">
        <v>1</v>
      </c>
      <c r="J822">
        <v>25</v>
      </c>
      <c r="K822">
        <v>38</v>
      </c>
      <c r="L822">
        <v>52</v>
      </c>
      <c r="M822">
        <v>73</v>
      </c>
      <c r="N822">
        <v>81</v>
      </c>
      <c r="P822">
        <v>2</v>
      </c>
      <c r="Q822">
        <v>10</v>
      </c>
      <c r="R822">
        <v>20</v>
      </c>
      <c r="S822">
        <v>39</v>
      </c>
    </row>
    <row r="823" spans="1:19" hidden="1" x14ac:dyDescent="0.35">
      <c r="A823">
        <v>57219903858</v>
      </c>
      <c r="B823" t="s">
        <v>835</v>
      </c>
      <c r="C823" t="str">
        <f>_xlfn.XLOOKUP(A823,[1]Affiliations!$J$2:$J$5328,[1]Affiliations!$K$2:$K$5328,0)</f>
        <v>University of Campinas (+1 more)</v>
      </c>
      <c r="D823">
        <v>4</v>
      </c>
      <c r="E823">
        <v>27</v>
      </c>
      <c r="F823">
        <v>6.75</v>
      </c>
      <c r="G823">
        <v>3</v>
      </c>
      <c r="H823">
        <v>0.31</v>
      </c>
      <c r="I823">
        <v>0</v>
      </c>
      <c r="J823">
        <v>0</v>
      </c>
      <c r="K823">
        <v>1</v>
      </c>
      <c r="L823">
        <v>4</v>
      </c>
      <c r="M823">
        <v>4</v>
      </c>
      <c r="N823">
        <v>4</v>
      </c>
      <c r="P823">
        <v>0</v>
      </c>
      <c r="Q823">
        <v>0</v>
      </c>
      <c r="R823">
        <v>0</v>
      </c>
      <c r="S823">
        <v>0</v>
      </c>
    </row>
    <row r="824" spans="1:19" hidden="1" x14ac:dyDescent="0.35">
      <c r="A824">
        <v>57125961900</v>
      </c>
      <c r="B824" t="s">
        <v>836</v>
      </c>
      <c r="C824" t="str">
        <f>_xlfn.XLOOKUP(A824,[1]Affiliations!$J$2:$J$5328,[1]Affiliations!$K$2:$K$5328,0)</f>
        <v>Federal University of Rio de Janeiro</v>
      </c>
      <c r="D824">
        <v>7</v>
      </c>
      <c r="E824">
        <v>99</v>
      </c>
      <c r="F824">
        <v>14.142858</v>
      </c>
      <c r="G824">
        <v>5</v>
      </c>
      <c r="H824">
        <v>0.95</v>
      </c>
      <c r="I824">
        <v>0</v>
      </c>
      <c r="J824">
        <v>0</v>
      </c>
      <c r="K824">
        <v>3</v>
      </c>
      <c r="L824">
        <v>3</v>
      </c>
      <c r="M824">
        <v>5</v>
      </c>
      <c r="N824">
        <v>6</v>
      </c>
      <c r="P824">
        <v>0</v>
      </c>
      <c r="Q824">
        <v>0</v>
      </c>
      <c r="R824">
        <v>0</v>
      </c>
      <c r="S824">
        <v>2</v>
      </c>
    </row>
    <row r="825" spans="1:19" hidden="1" x14ac:dyDescent="0.35">
      <c r="A825">
        <v>57206670518</v>
      </c>
      <c r="B825" t="s">
        <v>837</v>
      </c>
      <c r="C825" t="str">
        <f>_xlfn.XLOOKUP(A825,[1]Affiliations!$J$2:$J$5328,[1]Affiliations!$K$2:$K$5328,0)</f>
        <v>Federal University of Rio de Janeiro</v>
      </c>
      <c r="D825">
        <v>2</v>
      </c>
      <c r="E825">
        <v>14</v>
      </c>
      <c r="F825">
        <v>7</v>
      </c>
      <c r="G825">
        <v>1</v>
      </c>
      <c r="H825">
        <v>0.45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P825">
        <v>0</v>
      </c>
      <c r="Q825">
        <v>0</v>
      </c>
      <c r="R825">
        <v>0</v>
      </c>
      <c r="S825">
        <v>0</v>
      </c>
    </row>
    <row r="826" spans="1:19" hidden="1" x14ac:dyDescent="0.35">
      <c r="A826">
        <v>59756923200</v>
      </c>
      <c r="B826" t="s">
        <v>838</v>
      </c>
      <c r="C826" t="str">
        <f>_xlfn.XLOOKUP(A826,[1]Affiliations!$J$2:$J$5328,[1]Affiliations!$K$2:$K$5328,0)</f>
        <v>Pontifical Catholic University of Rio de Janeiro (+1 more)</v>
      </c>
      <c r="D826">
        <v>0</v>
      </c>
      <c r="G826">
        <v>1</v>
      </c>
    </row>
    <row r="827" spans="1:19" hidden="1" x14ac:dyDescent="0.35">
      <c r="A827">
        <v>57393565700</v>
      </c>
      <c r="B827" t="s">
        <v>839</v>
      </c>
      <c r="C827" t="str">
        <f>_xlfn.XLOOKUP(A827,[1]Affiliations!$J$2:$J$5328,[1]Affiliations!$K$2:$K$5328,0)</f>
        <v>Federal University of Rio de Janeiro</v>
      </c>
      <c r="D827">
        <v>2</v>
      </c>
      <c r="E827">
        <v>29</v>
      </c>
      <c r="F827">
        <v>14.5</v>
      </c>
      <c r="G827">
        <v>2</v>
      </c>
      <c r="H827">
        <v>0.8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2</v>
      </c>
      <c r="P827">
        <v>0</v>
      </c>
      <c r="Q827">
        <v>0</v>
      </c>
      <c r="R827">
        <v>0</v>
      </c>
      <c r="S827">
        <v>1</v>
      </c>
    </row>
    <row r="828" spans="1:19" hidden="1" x14ac:dyDescent="0.35">
      <c r="A828">
        <v>57190492288</v>
      </c>
      <c r="B828" t="s">
        <v>840</v>
      </c>
      <c r="C828" t="str">
        <f>_xlfn.XLOOKUP(A828,[1]Affiliations!$J$2:$J$5328,[1]Affiliations!$K$2:$K$5328,0)</f>
        <v>Universidade Federal Fluminense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0</v>
      </c>
      <c r="Q828">
        <v>0</v>
      </c>
      <c r="R828">
        <v>0</v>
      </c>
      <c r="S828">
        <v>0</v>
      </c>
    </row>
    <row r="829" spans="1:19" hidden="1" x14ac:dyDescent="0.35">
      <c r="A829">
        <v>57204899964</v>
      </c>
      <c r="B829" t="s">
        <v>841</v>
      </c>
      <c r="C829" t="str">
        <f>_xlfn.XLOOKUP(A829,[1]Affiliations!$J$2:$J$5328,[1]Affiliations!$K$2:$K$5328,0)</f>
        <v>Federal University of Rio de Janeiro</v>
      </c>
      <c r="D829">
        <v>3</v>
      </c>
      <c r="E829">
        <v>47</v>
      </c>
      <c r="F829">
        <v>15.666667</v>
      </c>
      <c r="G829">
        <v>3</v>
      </c>
      <c r="H829">
        <v>0.69</v>
      </c>
      <c r="I829">
        <v>0</v>
      </c>
      <c r="J829">
        <v>1</v>
      </c>
      <c r="K829">
        <v>1</v>
      </c>
      <c r="L829">
        <v>1</v>
      </c>
      <c r="M829">
        <v>3</v>
      </c>
      <c r="N829">
        <v>3</v>
      </c>
      <c r="P829">
        <v>0</v>
      </c>
      <c r="Q829">
        <v>0</v>
      </c>
      <c r="R829">
        <v>0</v>
      </c>
      <c r="S829">
        <v>1</v>
      </c>
    </row>
    <row r="830" spans="1:19" hidden="1" x14ac:dyDescent="0.35">
      <c r="A830">
        <v>55827691700</v>
      </c>
      <c r="B830" t="s">
        <v>842</v>
      </c>
      <c r="C830" t="str">
        <f>_xlfn.XLOOKUP(A830,[1]Affiliations!$J$2:$J$5328,[1]Affiliations!$K$2:$K$5328,0)</f>
        <v>Pontifical Catholic University of Rio de Janeiro</v>
      </c>
      <c r="D830">
        <v>2</v>
      </c>
      <c r="E830">
        <v>5</v>
      </c>
      <c r="F830">
        <v>2.5</v>
      </c>
      <c r="G830">
        <v>2</v>
      </c>
      <c r="H830">
        <v>0.27</v>
      </c>
      <c r="I830">
        <v>0</v>
      </c>
      <c r="J830">
        <v>0</v>
      </c>
      <c r="K830">
        <v>1</v>
      </c>
      <c r="L830">
        <v>2</v>
      </c>
      <c r="M830">
        <v>2</v>
      </c>
      <c r="N830">
        <v>2</v>
      </c>
      <c r="P830">
        <v>0</v>
      </c>
      <c r="Q830">
        <v>0</v>
      </c>
      <c r="R830">
        <v>0</v>
      </c>
      <c r="S830">
        <v>0</v>
      </c>
    </row>
    <row r="831" spans="1:19" hidden="1" x14ac:dyDescent="0.35">
      <c r="A831">
        <v>56940174800</v>
      </c>
      <c r="B831" t="s">
        <v>843</v>
      </c>
      <c r="C831" t="str">
        <f>_xlfn.XLOOKUP(A831,[1]Affiliations!$J$2:$J$5328,[1]Affiliations!$K$2:$K$5328,0)</f>
        <v>University of Campinas</v>
      </c>
      <c r="D831">
        <v>1</v>
      </c>
      <c r="E831">
        <v>12</v>
      </c>
      <c r="F831">
        <v>12</v>
      </c>
      <c r="G831">
        <v>1</v>
      </c>
      <c r="H831">
        <v>0.22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1</v>
      </c>
      <c r="P831">
        <v>0</v>
      </c>
      <c r="Q831">
        <v>0</v>
      </c>
      <c r="R831">
        <v>0</v>
      </c>
      <c r="S831">
        <v>0</v>
      </c>
    </row>
    <row r="832" spans="1:19" x14ac:dyDescent="0.35">
      <c r="A832">
        <v>7006331391</v>
      </c>
      <c r="B832" t="s">
        <v>2061</v>
      </c>
      <c r="C832" t="str">
        <f>_xlfn.XLOOKUP(A832,[1]Affiliations!$J$2:$J$5328,[1]Affiliations!$K$2:$K$5328,0)</f>
        <v>University of Campinas</v>
      </c>
      <c r="D832">
        <v>153</v>
      </c>
      <c r="E832">
        <v>2948</v>
      </c>
      <c r="F832">
        <v>19.267973000000001</v>
      </c>
      <c r="G832">
        <v>45</v>
      </c>
      <c r="H832">
        <v>1.3</v>
      </c>
      <c r="I832">
        <v>4</v>
      </c>
      <c r="J832">
        <v>22</v>
      </c>
      <c r="K832">
        <v>33</v>
      </c>
      <c r="L832">
        <v>50</v>
      </c>
      <c r="M832">
        <v>72</v>
      </c>
      <c r="N832">
        <v>97</v>
      </c>
      <c r="P832">
        <v>4</v>
      </c>
      <c r="Q832">
        <v>6</v>
      </c>
      <c r="R832">
        <v>15</v>
      </c>
      <c r="S832">
        <v>33</v>
      </c>
    </row>
    <row r="833" spans="1:19" hidden="1" x14ac:dyDescent="0.35">
      <c r="A833">
        <v>58600819700</v>
      </c>
      <c r="B833" t="s">
        <v>845</v>
      </c>
      <c r="C833" t="str">
        <f>_xlfn.XLOOKUP(A833,[1]Affiliations!$J$2:$J$5328,[1]Affiliations!$K$2:$K$5328,0)</f>
        <v>Federal University of Rio de Janeiro</v>
      </c>
      <c r="D833">
        <v>2</v>
      </c>
      <c r="E833">
        <v>23</v>
      </c>
      <c r="F833">
        <v>11.5</v>
      </c>
      <c r="G833">
        <v>2</v>
      </c>
      <c r="H833">
        <v>1.52</v>
      </c>
      <c r="I833">
        <v>0</v>
      </c>
      <c r="J833">
        <v>1</v>
      </c>
      <c r="K833">
        <v>1</v>
      </c>
      <c r="L833">
        <v>2</v>
      </c>
      <c r="M833">
        <v>2</v>
      </c>
      <c r="N833">
        <v>2</v>
      </c>
      <c r="P833">
        <v>0</v>
      </c>
      <c r="Q833">
        <v>0</v>
      </c>
      <c r="R833">
        <v>1</v>
      </c>
      <c r="S833">
        <v>2</v>
      </c>
    </row>
    <row r="834" spans="1:19" hidden="1" x14ac:dyDescent="0.35">
      <c r="A834">
        <v>57221108565</v>
      </c>
      <c r="B834" t="s">
        <v>846</v>
      </c>
      <c r="C834" t="str">
        <f>_xlfn.XLOOKUP(A834,[1]Affiliations!$J$2:$J$5328,[1]Affiliations!$K$2:$K$5328,0)</f>
        <v>Instituto Nacional de Tecnologia</v>
      </c>
      <c r="D834">
        <v>1</v>
      </c>
      <c r="E834">
        <v>10</v>
      </c>
      <c r="F834">
        <v>10</v>
      </c>
      <c r="G834">
        <v>1</v>
      </c>
      <c r="H834">
        <v>0.48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P834">
        <v>0</v>
      </c>
      <c r="Q834">
        <v>0</v>
      </c>
      <c r="R834">
        <v>0</v>
      </c>
      <c r="S834">
        <v>0</v>
      </c>
    </row>
    <row r="835" spans="1:19" hidden="1" x14ac:dyDescent="0.35">
      <c r="A835">
        <v>57223030239</v>
      </c>
      <c r="B835" t="s">
        <v>847</v>
      </c>
      <c r="C835" t="str">
        <f>_xlfn.XLOOKUP(A835,[1]Affiliations!$J$2:$J$5328,[1]Affiliations!$K$2:$K$5328,0)</f>
        <v>Universidade Federal de Uberlândia</v>
      </c>
      <c r="D835">
        <v>1</v>
      </c>
      <c r="E835">
        <v>9</v>
      </c>
      <c r="F835">
        <v>9</v>
      </c>
      <c r="G835">
        <v>1</v>
      </c>
      <c r="H835">
        <v>0.6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P835">
        <v>0</v>
      </c>
      <c r="Q835">
        <v>0</v>
      </c>
      <c r="R835">
        <v>0</v>
      </c>
      <c r="S835">
        <v>0</v>
      </c>
    </row>
    <row r="836" spans="1:19" x14ac:dyDescent="0.35">
      <c r="A836">
        <v>33467992100</v>
      </c>
      <c r="B836" t="s">
        <v>4930</v>
      </c>
      <c r="C836" t="str">
        <f>_xlfn.XLOOKUP(A836,[1]Affiliations!$J$2:$J$5328,[1]Affiliations!$K$2:$K$5328,0)</f>
        <v>Universidade Federal do Rio Grande do Sul</v>
      </c>
      <c r="D836">
        <v>47</v>
      </c>
      <c r="E836">
        <v>1251</v>
      </c>
      <c r="F836">
        <v>26.617021999999999</v>
      </c>
      <c r="G836">
        <v>18</v>
      </c>
      <c r="H836">
        <v>1.3</v>
      </c>
      <c r="I836">
        <v>0</v>
      </c>
      <c r="J836">
        <v>10</v>
      </c>
      <c r="K836">
        <v>12</v>
      </c>
      <c r="L836">
        <v>23</v>
      </c>
      <c r="M836">
        <v>34</v>
      </c>
      <c r="N836">
        <v>40</v>
      </c>
      <c r="P836">
        <v>1</v>
      </c>
      <c r="Q836">
        <v>6</v>
      </c>
      <c r="R836">
        <v>11</v>
      </c>
      <c r="S836">
        <v>21</v>
      </c>
    </row>
    <row r="837" spans="1:19" hidden="1" x14ac:dyDescent="0.35">
      <c r="A837">
        <v>59984357800</v>
      </c>
      <c r="B837" t="s">
        <v>848</v>
      </c>
      <c r="C837" t="str">
        <f>_xlfn.XLOOKUP(A837,[1]Affiliations!$J$2:$J$5328,[1]Affiliations!$K$2:$K$5328,0)</f>
        <v>University of Campinas</v>
      </c>
      <c r="D837">
        <v>1</v>
      </c>
      <c r="E837">
        <v>2</v>
      </c>
      <c r="F837">
        <v>2</v>
      </c>
      <c r="G837">
        <v>1</v>
      </c>
      <c r="H837">
        <v>0.3</v>
      </c>
      <c r="I837">
        <v>0</v>
      </c>
      <c r="J837">
        <v>0</v>
      </c>
      <c r="K837">
        <v>0</v>
      </c>
      <c r="L837">
        <v>0</v>
      </c>
      <c r="M837">
        <v>1</v>
      </c>
      <c r="N837">
        <v>1</v>
      </c>
      <c r="P837">
        <v>0</v>
      </c>
      <c r="Q837">
        <v>0</v>
      </c>
      <c r="R837">
        <v>0</v>
      </c>
      <c r="S837">
        <v>0</v>
      </c>
    </row>
    <row r="838" spans="1:19" hidden="1" x14ac:dyDescent="0.35">
      <c r="A838">
        <v>58854879300</v>
      </c>
      <c r="B838" t="s">
        <v>849</v>
      </c>
      <c r="C838" t="str">
        <f>_xlfn.XLOOKUP(A838,[1]Affiliations!$J$2:$J$5328,[1]Affiliations!$K$2:$K$5328,0)</f>
        <v>PUC-Rio</v>
      </c>
      <c r="D838">
        <v>1</v>
      </c>
      <c r="E838">
        <v>3</v>
      </c>
      <c r="F838">
        <v>3</v>
      </c>
      <c r="G838">
        <v>1</v>
      </c>
      <c r="H838">
        <v>0.8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P838">
        <v>0</v>
      </c>
      <c r="Q838">
        <v>0</v>
      </c>
      <c r="R838">
        <v>0</v>
      </c>
      <c r="S838">
        <v>0</v>
      </c>
    </row>
    <row r="839" spans="1:19" hidden="1" x14ac:dyDescent="0.35">
      <c r="A839">
        <v>57207244037</v>
      </c>
      <c r="B839" t="s">
        <v>850</v>
      </c>
      <c r="C839" t="str">
        <f>_xlfn.XLOOKUP(A839,[1]Affiliations!$J$2:$J$5328,[1]Affiliations!$K$2:$K$5328,0)</f>
        <v>Instituto Federal de Educação, Ciência e Tecnologia do Rio de Janeiro (+1 more)</v>
      </c>
      <c r="D839">
        <v>3</v>
      </c>
      <c r="E839">
        <v>44</v>
      </c>
      <c r="F839">
        <v>14.666667</v>
      </c>
      <c r="G839">
        <v>3</v>
      </c>
      <c r="H839">
        <v>0.7</v>
      </c>
      <c r="I839">
        <v>0</v>
      </c>
      <c r="J839">
        <v>0</v>
      </c>
      <c r="K839">
        <v>0</v>
      </c>
      <c r="L839">
        <v>1</v>
      </c>
      <c r="M839">
        <v>2</v>
      </c>
      <c r="N839">
        <v>3</v>
      </c>
      <c r="P839">
        <v>0</v>
      </c>
      <c r="Q839">
        <v>0</v>
      </c>
      <c r="R839">
        <v>0</v>
      </c>
      <c r="S839">
        <v>2</v>
      </c>
    </row>
    <row r="840" spans="1:19" hidden="1" x14ac:dyDescent="0.35">
      <c r="A840">
        <v>57194421123</v>
      </c>
      <c r="B840" t="s">
        <v>851</v>
      </c>
      <c r="C840" t="str">
        <f>_xlfn.XLOOKUP(A840,[1]Affiliations!$J$2:$J$5328,[1]Affiliations!$K$2:$K$5328,0)</f>
        <v>Universidade Federal de Minas Gerais</v>
      </c>
      <c r="D840">
        <v>4</v>
      </c>
      <c r="E840">
        <v>84</v>
      </c>
      <c r="F840">
        <v>21</v>
      </c>
      <c r="G840">
        <v>4</v>
      </c>
      <c r="H840">
        <v>0.83</v>
      </c>
      <c r="I840">
        <v>0</v>
      </c>
      <c r="J840">
        <v>0</v>
      </c>
      <c r="K840">
        <v>0</v>
      </c>
      <c r="L840">
        <v>1</v>
      </c>
      <c r="M840">
        <v>4</v>
      </c>
      <c r="N840">
        <v>4</v>
      </c>
      <c r="P840">
        <v>0</v>
      </c>
      <c r="Q840">
        <v>0</v>
      </c>
      <c r="R840">
        <v>0</v>
      </c>
      <c r="S840">
        <v>2</v>
      </c>
    </row>
    <row r="841" spans="1:19" hidden="1" x14ac:dyDescent="0.35">
      <c r="A841">
        <v>55953449200</v>
      </c>
      <c r="B841" t="s">
        <v>852</v>
      </c>
      <c r="C841" t="str">
        <f>_xlfn.XLOOKUP(A841,[1]Affiliations!$J$2:$J$5328,[1]Affiliations!$K$2:$K$5328,0)</f>
        <v>Universidade Federal de Minas Gerais</v>
      </c>
      <c r="D841">
        <v>1</v>
      </c>
      <c r="E841">
        <v>21</v>
      </c>
      <c r="F841">
        <v>21</v>
      </c>
      <c r="G841">
        <v>2</v>
      </c>
      <c r="H841">
        <v>1.33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P841">
        <v>0</v>
      </c>
      <c r="Q841">
        <v>0</v>
      </c>
      <c r="R841">
        <v>0</v>
      </c>
      <c r="S841">
        <v>1</v>
      </c>
    </row>
    <row r="842" spans="1:19" x14ac:dyDescent="0.35">
      <c r="A842">
        <v>6701473993</v>
      </c>
      <c r="B842" t="s">
        <v>5038</v>
      </c>
      <c r="C842" t="str">
        <f>_xlfn.XLOOKUP(A842,[1]Affiliations!$J$2:$J$5328,[1]Affiliations!$K$2:$K$5328,0)</f>
        <v>Universidade de São Paulo</v>
      </c>
      <c r="D842">
        <v>146</v>
      </c>
      <c r="E842">
        <v>2679</v>
      </c>
      <c r="F842">
        <v>18.349316000000002</v>
      </c>
      <c r="G842">
        <v>48</v>
      </c>
      <c r="H842">
        <v>1.3</v>
      </c>
      <c r="I842">
        <v>9</v>
      </c>
      <c r="J842">
        <v>38</v>
      </c>
      <c r="K842">
        <v>68</v>
      </c>
      <c r="L842">
        <v>112</v>
      </c>
      <c r="M842">
        <v>134</v>
      </c>
      <c r="N842">
        <v>139</v>
      </c>
      <c r="P842">
        <v>0</v>
      </c>
      <c r="Q842">
        <v>5</v>
      </c>
      <c r="R842">
        <v>16</v>
      </c>
      <c r="S842">
        <v>59</v>
      </c>
    </row>
    <row r="843" spans="1:19" hidden="1" x14ac:dyDescent="0.35">
      <c r="A843">
        <v>8579188700</v>
      </c>
      <c r="B843" t="s">
        <v>854</v>
      </c>
      <c r="C843" t="str">
        <f>_xlfn.XLOOKUP(A843,[1]Affiliations!$J$2:$J$5328,[1]Affiliations!$K$2:$K$5328,0)</f>
        <v>Federal University of Rio de Janeiro</v>
      </c>
      <c r="D843">
        <v>3</v>
      </c>
      <c r="E843">
        <v>10</v>
      </c>
      <c r="F843">
        <v>3.3333333000000001</v>
      </c>
      <c r="G843">
        <v>2</v>
      </c>
      <c r="H843">
        <v>0.28999999999999998</v>
      </c>
      <c r="I843">
        <v>0</v>
      </c>
      <c r="J843">
        <v>0</v>
      </c>
      <c r="K843">
        <v>1</v>
      </c>
      <c r="L843">
        <v>2</v>
      </c>
      <c r="M843">
        <v>2</v>
      </c>
      <c r="N843">
        <v>2</v>
      </c>
      <c r="P843">
        <v>0</v>
      </c>
      <c r="Q843">
        <v>0</v>
      </c>
      <c r="R843">
        <v>0</v>
      </c>
      <c r="S843">
        <v>0</v>
      </c>
    </row>
    <row r="844" spans="1:19" hidden="1" x14ac:dyDescent="0.35">
      <c r="A844">
        <v>58178734400</v>
      </c>
      <c r="B844" t="s">
        <v>855</v>
      </c>
      <c r="C844" t="str">
        <f>_xlfn.XLOOKUP(A844,[1]Affiliations!$J$2:$J$5328,[1]Affiliations!$K$2:$K$5328,0)</f>
        <v>Universidade Federal da Bahia</v>
      </c>
      <c r="D844">
        <v>1</v>
      </c>
      <c r="E844">
        <v>6</v>
      </c>
      <c r="F844">
        <v>6</v>
      </c>
      <c r="G844">
        <v>1</v>
      </c>
      <c r="H844">
        <v>0.54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P844">
        <v>0</v>
      </c>
      <c r="Q844">
        <v>0</v>
      </c>
      <c r="R844">
        <v>0</v>
      </c>
      <c r="S844">
        <v>0</v>
      </c>
    </row>
    <row r="845" spans="1:19" hidden="1" x14ac:dyDescent="0.35">
      <c r="A845">
        <v>58576772000</v>
      </c>
      <c r="B845" t="s">
        <v>856</v>
      </c>
      <c r="C845" t="str">
        <f>_xlfn.XLOOKUP(A845,[1]Affiliations!$J$2:$J$5328,[1]Affiliations!$K$2:$K$5328,0)</f>
        <v>Universidade Federal Fluminense</v>
      </c>
      <c r="D845">
        <v>1</v>
      </c>
      <c r="E845">
        <v>3</v>
      </c>
      <c r="F845">
        <v>3</v>
      </c>
      <c r="G845">
        <v>1</v>
      </c>
      <c r="H845">
        <v>2.09</v>
      </c>
      <c r="P845">
        <v>0</v>
      </c>
      <c r="Q845">
        <v>0</v>
      </c>
      <c r="R845">
        <v>0</v>
      </c>
      <c r="S845">
        <v>0</v>
      </c>
    </row>
    <row r="846" spans="1:19" x14ac:dyDescent="0.35">
      <c r="A846">
        <v>56286157200</v>
      </c>
      <c r="B846" t="s">
        <v>5141</v>
      </c>
      <c r="C846" t="str">
        <f>_xlfn.XLOOKUP(A846,[1]Affiliations!$J$2:$J$5328,[1]Affiliations!$K$2:$K$5328,0)</f>
        <v>University of Bremen (+1 more)</v>
      </c>
      <c r="D846">
        <v>49</v>
      </c>
      <c r="E846">
        <v>762</v>
      </c>
      <c r="F846">
        <v>15.551021</v>
      </c>
      <c r="G846">
        <v>17</v>
      </c>
      <c r="H846">
        <v>1.3</v>
      </c>
      <c r="I846">
        <v>8</v>
      </c>
      <c r="J846">
        <v>27</v>
      </c>
      <c r="K846">
        <v>38</v>
      </c>
      <c r="L846">
        <v>47</v>
      </c>
      <c r="M846">
        <v>49</v>
      </c>
      <c r="N846">
        <v>49</v>
      </c>
      <c r="P846">
        <v>1</v>
      </c>
      <c r="Q846">
        <v>2</v>
      </c>
      <c r="R846">
        <v>4</v>
      </c>
      <c r="S846">
        <v>16</v>
      </c>
    </row>
    <row r="847" spans="1:19" hidden="1" x14ac:dyDescent="0.35">
      <c r="A847">
        <v>58855069300</v>
      </c>
      <c r="B847" t="s">
        <v>858</v>
      </c>
      <c r="C847" t="str">
        <f>_xlfn.XLOOKUP(A847,[1]Affiliations!$J$2:$J$5328,[1]Affiliations!$K$2:$K$5328,0)</f>
        <v>PUC-Rio</v>
      </c>
      <c r="D847">
        <v>1</v>
      </c>
      <c r="E847">
        <v>3</v>
      </c>
      <c r="F847">
        <v>3</v>
      </c>
      <c r="G847">
        <v>1</v>
      </c>
      <c r="H847">
        <v>0.8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P847">
        <v>0</v>
      </c>
      <c r="Q847">
        <v>0</v>
      </c>
      <c r="R847">
        <v>0</v>
      </c>
      <c r="S847">
        <v>0</v>
      </c>
    </row>
    <row r="848" spans="1:19" hidden="1" x14ac:dyDescent="0.35">
      <c r="A848">
        <v>37036988300</v>
      </c>
      <c r="B848" t="s">
        <v>859</v>
      </c>
      <c r="C848" t="str">
        <f>_xlfn.XLOOKUP(A848,[1]Affiliations!$J$2:$J$5328,[1]Affiliations!$K$2:$K$5328,0)</f>
        <v>Universidade de São Paulo (+1 more)</v>
      </c>
      <c r="D848">
        <v>8</v>
      </c>
      <c r="E848">
        <v>19</v>
      </c>
      <c r="F848">
        <v>2.375</v>
      </c>
      <c r="G848">
        <v>4</v>
      </c>
      <c r="H848">
        <v>0.41</v>
      </c>
      <c r="I848">
        <v>0</v>
      </c>
      <c r="J848">
        <v>0</v>
      </c>
      <c r="K848">
        <v>1</v>
      </c>
      <c r="L848">
        <v>1</v>
      </c>
      <c r="M848">
        <v>2</v>
      </c>
      <c r="N848">
        <v>5</v>
      </c>
      <c r="P848">
        <v>0</v>
      </c>
      <c r="Q848">
        <v>0</v>
      </c>
      <c r="R848">
        <v>0</v>
      </c>
      <c r="S848">
        <v>0</v>
      </c>
    </row>
    <row r="849" spans="1:19" hidden="1" x14ac:dyDescent="0.35">
      <c r="A849">
        <v>57673760100</v>
      </c>
      <c r="B849" t="s">
        <v>860</v>
      </c>
      <c r="C849" t="str">
        <f>_xlfn.XLOOKUP(A849,[1]Affiliations!$J$2:$J$5328,[1]Affiliations!$K$2:$K$5328,0)</f>
        <v>Universidade Federal do Paraná</v>
      </c>
      <c r="D849">
        <v>4</v>
      </c>
      <c r="E849">
        <v>9</v>
      </c>
      <c r="F849">
        <v>2.25</v>
      </c>
      <c r="G849">
        <v>2</v>
      </c>
      <c r="H849">
        <v>0.31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</v>
      </c>
      <c r="P849">
        <v>0</v>
      </c>
      <c r="Q849">
        <v>0</v>
      </c>
      <c r="R849">
        <v>0</v>
      </c>
      <c r="S849">
        <v>0</v>
      </c>
    </row>
    <row r="850" spans="1:19" hidden="1" x14ac:dyDescent="0.35">
      <c r="A850">
        <v>58282378400</v>
      </c>
      <c r="B850" t="s">
        <v>861</v>
      </c>
      <c r="C850" t="str">
        <f>_xlfn.XLOOKUP(A850,[1]Affiliations!$J$2:$J$5328,[1]Affiliations!$K$2:$K$5328,0)</f>
        <v>Universidade Federal de Uberlândia</v>
      </c>
      <c r="D850">
        <v>75</v>
      </c>
      <c r="E850">
        <v>654</v>
      </c>
      <c r="F850">
        <v>8.7200000000000006</v>
      </c>
      <c r="G850">
        <v>18</v>
      </c>
      <c r="H850">
        <v>0.61</v>
      </c>
      <c r="I850">
        <v>2</v>
      </c>
      <c r="J850">
        <v>7</v>
      </c>
      <c r="K850">
        <v>11</v>
      </c>
      <c r="L850">
        <v>32</v>
      </c>
      <c r="M850">
        <v>52</v>
      </c>
      <c r="N850">
        <v>64</v>
      </c>
      <c r="P850">
        <v>0</v>
      </c>
      <c r="Q850">
        <v>0</v>
      </c>
      <c r="R850">
        <v>0</v>
      </c>
      <c r="S850">
        <v>16</v>
      </c>
    </row>
    <row r="851" spans="1:19" hidden="1" x14ac:dyDescent="0.35">
      <c r="A851">
        <v>56518269000</v>
      </c>
      <c r="B851" t="s">
        <v>862</v>
      </c>
      <c r="C851" t="str">
        <f>_xlfn.XLOOKUP(A851,[1]Affiliations!$J$2:$J$5328,[1]Affiliations!$K$2:$K$5328,0)</f>
        <v>Federal University of Santa Catarina</v>
      </c>
      <c r="D851">
        <v>0</v>
      </c>
      <c r="G851">
        <v>2</v>
      </c>
    </row>
    <row r="852" spans="1:19" hidden="1" x14ac:dyDescent="0.35">
      <c r="A852">
        <v>59348714300</v>
      </c>
      <c r="B852" t="s">
        <v>863</v>
      </c>
      <c r="C852" t="str">
        <f>_xlfn.XLOOKUP(A852,[1]Affiliations!$J$2:$J$5328,[1]Affiliations!$K$2:$K$5328,0)</f>
        <v>Vizlab - X-Reality and GeoInformatics Lab</v>
      </c>
      <c r="D852">
        <v>1</v>
      </c>
      <c r="E852">
        <v>3</v>
      </c>
      <c r="F852">
        <v>3</v>
      </c>
      <c r="G852">
        <v>1</v>
      </c>
      <c r="H852">
        <v>0.73</v>
      </c>
      <c r="I852">
        <v>0</v>
      </c>
      <c r="J852">
        <v>0</v>
      </c>
      <c r="K852">
        <v>0</v>
      </c>
      <c r="L852">
        <v>0</v>
      </c>
      <c r="M852">
        <v>1</v>
      </c>
      <c r="N852">
        <v>1</v>
      </c>
      <c r="P852">
        <v>0</v>
      </c>
      <c r="Q852">
        <v>0</v>
      </c>
      <c r="R852">
        <v>0</v>
      </c>
      <c r="S852">
        <v>0</v>
      </c>
    </row>
    <row r="853" spans="1:19" hidden="1" x14ac:dyDescent="0.35">
      <c r="A853">
        <v>57819337000</v>
      </c>
      <c r="B853" t="s">
        <v>864</v>
      </c>
      <c r="C853" t="str">
        <f>_xlfn.XLOOKUP(A853,[1]Affiliations!$J$2:$J$5328,[1]Affiliations!$K$2:$K$5328,0)</f>
        <v>University of Campinas</v>
      </c>
      <c r="D853">
        <v>6</v>
      </c>
      <c r="E853">
        <v>29</v>
      </c>
      <c r="F853">
        <v>4.8333335000000002</v>
      </c>
      <c r="G853">
        <v>2</v>
      </c>
      <c r="H853">
        <v>0.85</v>
      </c>
      <c r="P853">
        <v>0</v>
      </c>
      <c r="Q853">
        <v>0</v>
      </c>
      <c r="R853">
        <v>0</v>
      </c>
      <c r="S853">
        <v>1</v>
      </c>
    </row>
    <row r="854" spans="1:19" x14ac:dyDescent="0.35">
      <c r="A854">
        <v>6701852488</v>
      </c>
      <c r="B854" t="s">
        <v>252</v>
      </c>
      <c r="C854" t="str">
        <f>_xlfn.XLOOKUP(A854,[1]Affiliations!$J$2:$J$5328,[1]Affiliations!$K$2:$K$5328,0)</f>
        <v>Federal University of Rio de Janeiro</v>
      </c>
      <c r="D854">
        <v>54</v>
      </c>
      <c r="E854">
        <v>1546</v>
      </c>
      <c r="F854">
        <v>28.629629999999999</v>
      </c>
      <c r="G854">
        <v>26</v>
      </c>
      <c r="H854">
        <v>1.29</v>
      </c>
      <c r="I854">
        <v>0</v>
      </c>
      <c r="J854">
        <v>6</v>
      </c>
      <c r="K854">
        <v>9</v>
      </c>
      <c r="L854">
        <v>18</v>
      </c>
      <c r="M854">
        <v>34</v>
      </c>
      <c r="N854">
        <v>43</v>
      </c>
      <c r="P854">
        <v>2</v>
      </c>
      <c r="Q854">
        <v>3</v>
      </c>
      <c r="R854">
        <v>5</v>
      </c>
      <c r="S854">
        <v>12</v>
      </c>
    </row>
    <row r="855" spans="1:19" hidden="1" x14ac:dyDescent="0.35">
      <c r="A855">
        <v>56418603700</v>
      </c>
      <c r="B855" t="s">
        <v>866</v>
      </c>
      <c r="C855" t="str">
        <f>_xlfn.XLOOKUP(A855,[1]Affiliations!$J$2:$J$5328,[1]Affiliations!$K$2:$K$5328,0)</f>
        <v>University of Campinas (+2 more)</v>
      </c>
      <c r="D855">
        <v>8</v>
      </c>
      <c r="E855">
        <v>31</v>
      </c>
      <c r="F855">
        <v>3.875</v>
      </c>
      <c r="G855">
        <v>3</v>
      </c>
      <c r="H855">
        <v>0.15</v>
      </c>
      <c r="I855">
        <v>0</v>
      </c>
      <c r="J855">
        <v>0</v>
      </c>
      <c r="K855">
        <v>2</v>
      </c>
      <c r="L855">
        <v>6</v>
      </c>
      <c r="M855">
        <v>8</v>
      </c>
      <c r="N855">
        <v>8</v>
      </c>
      <c r="P855">
        <v>0</v>
      </c>
      <c r="Q855">
        <v>0</v>
      </c>
      <c r="R855">
        <v>0</v>
      </c>
      <c r="S855">
        <v>0</v>
      </c>
    </row>
    <row r="856" spans="1:19" hidden="1" x14ac:dyDescent="0.35">
      <c r="A856">
        <v>25627154100</v>
      </c>
      <c r="B856" t="s">
        <v>867</v>
      </c>
      <c r="C856" t="str">
        <f>_xlfn.XLOOKUP(A856,[1]Affiliations!$J$2:$J$5328,[1]Affiliations!$K$2:$K$5328,0)</f>
        <v>Federal Institute of Education</v>
      </c>
      <c r="D856">
        <v>4</v>
      </c>
      <c r="E856">
        <v>49</v>
      </c>
      <c r="F856">
        <v>12.25</v>
      </c>
      <c r="G856">
        <v>11</v>
      </c>
      <c r="H856">
        <v>0.27</v>
      </c>
      <c r="I856">
        <v>0</v>
      </c>
      <c r="J856">
        <v>0</v>
      </c>
      <c r="K856">
        <v>0</v>
      </c>
      <c r="L856">
        <v>2</v>
      </c>
      <c r="M856">
        <v>4</v>
      </c>
      <c r="N856">
        <v>4</v>
      </c>
      <c r="P856">
        <v>0</v>
      </c>
      <c r="Q856">
        <v>0</v>
      </c>
      <c r="R856">
        <v>0</v>
      </c>
      <c r="S856">
        <v>0</v>
      </c>
    </row>
    <row r="857" spans="1:19" x14ac:dyDescent="0.35">
      <c r="A857">
        <v>35221434500</v>
      </c>
      <c r="B857" t="s">
        <v>1107</v>
      </c>
      <c r="C857" t="str">
        <f>_xlfn.XLOOKUP(A857,[1]Affiliations!$J$2:$J$5328,[1]Affiliations!$K$2:$K$5328,0)</f>
        <v>Universidade Federal de Juiz de Fora</v>
      </c>
      <c r="D857">
        <v>42</v>
      </c>
      <c r="E857">
        <v>811</v>
      </c>
      <c r="F857">
        <v>19.309525000000001</v>
      </c>
      <c r="G857">
        <v>20</v>
      </c>
      <c r="H857">
        <v>1.29</v>
      </c>
      <c r="I857">
        <v>0</v>
      </c>
      <c r="J857">
        <v>9</v>
      </c>
      <c r="K857">
        <v>14</v>
      </c>
      <c r="L857">
        <v>21</v>
      </c>
      <c r="M857">
        <v>32</v>
      </c>
      <c r="N857">
        <v>35</v>
      </c>
      <c r="P857">
        <v>0</v>
      </c>
      <c r="Q857">
        <v>2</v>
      </c>
      <c r="R857">
        <v>10</v>
      </c>
      <c r="S857">
        <v>25</v>
      </c>
    </row>
    <row r="858" spans="1:19" x14ac:dyDescent="0.35">
      <c r="A858">
        <v>56239411800</v>
      </c>
      <c r="B858" t="s">
        <v>1497</v>
      </c>
      <c r="C858" t="str">
        <f>_xlfn.XLOOKUP(A858,[1]Affiliations!$J$2:$J$5328,[1]Affiliations!$K$2:$K$5328,0)</f>
        <v>UFSC and LTrace (+5 more)</v>
      </c>
      <c r="D858">
        <v>33</v>
      </c>
      <c r="E858">
        <v>606</v>
      </c>
      <c r="F858">
        <v>18.363636</v>
      </c>
      <c r="G858">
        <v>13</v>
      </c>
      <c r="H858">
        <v>1.29</v>
      </c>
      <c r="I858">
        <v>0</v>
      </c>
      <c r="J858">
        <v>2</v>
      </c>
      <c r="K858">
        <v>5</v>
      </c>
      <c r="L858">
        <v>18</v>
      </c>
      <c r="M858">
        <v>19</v>
      </c>
      <c r="N858">
        <v>22</v>
      </c>
      <c r="P858">
        <v>0</v>
      </c>
      <c r="Q858">
        <v>3</v>
      </c>
      <c r="R858">
        <v>7</v>
      </c>
      <c r="S858">
        <v>10</v>
      </c>
    </row>
    <row r="859" spans="1:19" hidden="1" x14ac:dyDescent="0.35">
      <c r="A859">
        <v>57248596400</v>
      </c>
      <c r="B859" t="s">
        <v>870</v>
      </c>
      <c r="C859" t="str">
        <f>_xlfn.XLOOKUP(A859,[1]Affiliations!$J$2:$J$5328,[1]Affiliations!$K$2:$K$5328,0)</f>
        <v>Universidade Federal do Rio Grande do Sul</v>
      </c>
      <c r="D859">
        <v>1</v>
      </c>
      <c r="E859">
        <v>15</v>
      </c>
      <c r="F859">
        <v>15</v>
      </c>
      <c r="G859">
        <v>1</v>
      </c>
      <c r="H859">
        <v>1.06</v>
      </c>
      <c r="I859">
        <v>0</v>
      </c>
      <c r="J859">
        <v>0</v>
      </c>
      <c r="K859">
        <v>0</v>
      </c>
      <c r="L859">
        <v>0</v>
      </c>
      <c r="M859">
        <v>1</v>
      </c>
      <c r="N859">
        <v>1</v>
      </c>
      <c r="P859">
        <v>0</v>
      </c>
      <c r="Q859">
        <v>0</v>
      </c>
      <c r="R859">
        <v>0</v>
      </c>
      <c r="S859">
        <v>0</v>
      </c>
    </row>
    <row r="860" spans="1:19" hidden="1" x14ac:dyDescent="0.35">
      <c r="A860">
        <v>57266832300</v>
      </c>
      <c r="B860" t="s">
        <v>871</v>
      </c>
      <c r="C860" t="str">
        <f>_xlfn.XLOOKUP(A860,[1]Affiliations!$J$2:$J$5328,[1]Affiliations!$K$2:$K$5328,0)</f>
        <v>Universidade Federal do Rio Grande do Norte</v>
      </c>
      <c r="D860">
        <v>2</v>
      </c>
      <c r="E860">
        <v>26</v>
      </c>
      <c r="F860">
        <v>13</v>
      </c>
      <c r="G860">
        <v>2</v>
      </c>
      <c r="H860">
        <v>0.87</v>
      </c>
      <c r="I860">
        <v>0</v>
      </c>
      <c r="J860">
        <v>1</v>
      </c>
      <c r="K860">
        <v>2</v>
      </c>
      <c r="L860">
        <v>2</v>
      </c>
      <c r="M860">
        <v>2</v>
      </c>
      <c r="N860">
        <v>2</v>
      </c>
      <c r="P860">
        <v>0</v>
      </c>
      <c r="Q860">
        <v>0</v>
      </c>
      <c r="R860">
        <v>0</v>
      </c>
      <c r="S860">
        <v>1</v>
      </c>
    </row>
    <row r="861" spans="1:19" hidden="1" x14ac:dyDescent="0.35">
      <c r="A861">
        <v>36697601700</v>
      </c>
      <c r="B861" t="s">
        <v>872</v>
      </c>
      <c r="C861" t="str">
        <f>_xlfn.XLOOKUP(A861,[1]Affiliations!$J$2:$J$5328,[1]Affiliations!$K$2:$K$5328,0)</f>
        <v>Instituto Nacional de Tecnologia</v>
      </c>
      <c r="D861">
        <v>1</v>
      </c>
      <c r="E861">
        <v>25</v>
      </c>
      <c r="F861">
        <v>25</v>
      </c>
      <c r="G861">
        <v>2</v>
      </c>
      <c r="H861">
        <v>0.68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P861">
        <v>0</v>
      </c>
      <c r="Q861">
        <v>0</v>
      </c>
      <c r="R861">
        <v>0</v>
      </c>
      <c r="S861">
        <v>1</v>
      </c>
    </row>
    <row r="862" spans="1:19" hidden="1" x14ac:dyDescent="0.35">
      <c r="A862">
        <v>57200260561</v>
      </c>
      <c r="B862" t="s">
        <v>873</v>
      </c>
      <c r="C862" t="str">
        <f>_xlfn.XLOOKUP(A862,[1]Affiliations!$J$2:$J$5328,[1]Affiliations!$K$2:$K$5328,0)</f>
        <v>Federal University of Rio de Janeiro</v>
      </c>
      <c r="D862">
        <v>1</v>
      </c>
      <c r="E862">
        <v>5</v>
      </c>
      <c r="F862">
        <v>5</v>
      </c>
      <c r="G862">
        <v>1</v>
      </c>
      <c r="H862">
        <v>0.85</v>
      </c>
      <c r="P862">
        <v>0</v>
      </c>
      <c r="Q862">
        <v>0</v>
      </c>
      <c r="R862">
        <v>0</v>
      </c>
      <c r="S862">
        <v>0</v>
      </c>
    </row>
    <row r="863" spans="1:19" x14ac:dyDescent="0.35">
      <c r="A863">
        <v>9640103400</v>
      </c>
      <c r="B863" t="s">
        <v>1518</v>
      </c>
      <c r="C863" t="str">
        <f>_xlfn.XLOOKUP(A863,[1]Affiliations!$J$2:$J$5328,[1]Affiliations!$K$2:$K$5328,0)</f>
        <v>Universidade de São Paulo</v>
      </c>
      <c r="D863">
        <v>46</v>
      </c>
      <c r="E863">
        <v>930</v>
      </c>
      <c r="F863">
        <v>20.217392</v>
      </c>
      <c r="G863">
        <v>26</v>
      </c>
      <c r="H863">
        <v>1.29</v>
      </c>
      <c r="I863">
        <v>0</v>
      </c>
      <c r="J863">
        <v>7</v>
      </c>
      <c r="K863">
        <v>18</v>
      </c>
      <c r="L863">
        <v>34</v>
      </c>
      <c r="M863">
        <v>45</v>
      </c>
      <c r="N863">
        <v>46</v>
      </c>
      <c r="P863">
        <v>0</v>
      </c>
      <c r="Q863">
        <v>0</v>
      </c>
      <c r="R863">
        <v>7</v>
      </c>
      <c r="S863">
        <v>21</v>
      </c>
    </row>
    <row r="864" spans="1:19" hidden="1" x14ac:dyDescent="0.35">
      <c r="A864">
        <v>57202514299</v>
      </c>
      <c r="B864" t="s">
        <v>875</v>
      </c>
      <c r="C864" t="str">
        <f>_xlfn.XLOOKUP(A864,[1]Affiliations!$J$2:$J$5328,[1]Affiliations!$K$2:$K$5328,0)</f>
        <v>University of Campinas</v>
      </c>
      <c r="D864">
        <v>7</v>
      </c>
      <c r="E864">
        <v>49</v>
      </c>
      <c r="F864">
        <v>7</v>
      </c>
      <c r="G864">
        <v>5</v>
      </c>
      <c r="H864">
        <v>0.51</v>
      </c>
      <c r="I864">
        <v>0</v>
      </c>
      <c r="J864">
        <v>0</v>
      </c>
      <c r="K864">
        <v>1</v>
      </c>
      <c r="L864">
        <v>3</v>
      </c>
      <c r="M864">
        <v>4</v>
      </c>
      <c r="N864">
        <v>5</v>
      </c>
      <c r="P864">
        <v>0</v>
      </c>
      <c r="Q864">
        <v>0</v>
      </c>
      <c r="R864">
        <v>0</v>
      </c>
      <c r="S864">
        <v>2</v>
      </c>
    </row>
    <row r="865" spans="1:19" x14ac:dyDescent="0.35">
      <c r="A865">
        <v>7005755011</v>
      </c>
      <c r="B865" t="s">
        <v>1746</v>
      </c>
      <c r="C865" t="str">
        <f>_xlfn.XLOOKUP(A865,[1]Affiliations!$J$2:$J$5328,[1]Affiliations!$K$2:$K$5328,0)</f>
        <v>Universidade de São Paulo</v>
      </c>
      <c r="D865">
        <v>85</v>
      </c>
      <c r="E865">
        <v>1633</v>
      </c>
      <c r="F865">
        <v>19.211765</v>
      </c>
      <c r="G865">
        <v>18</v>
      </c>
      <c r="H865">
        <v>1.29</v>
      </c>
      <c r="I865">
        <v>1</v>
      </c>
      <c r="J865">
        <v>5</v>
      </c>
      <c r="K865">
        <v>10</v>
      </c>
      <c r="L865">
        <v>23</v>
      </c>
      <c r="M865">
        <v>38</v>
      </c>
      <c r="N865">
        <v>44</v>
      </c>
      <c r="P865">
        <v>1</v>
      </c>
      <c r="Q865">
        <v>4</v>
      </c>
      <c r="R865">
        <v>5</v>
      </c>
      <c r="S865">
        <v>15</v>
      </c>
    </row>
    <row r="866" spans="1:19" hidden="1" x14ac:dyDescent="0.35">
      <c r="A866">
        <v>57194794557</v>
      </c>
      <c r="B866" t="s">
        <v>877</v>
      </c>
      <c r="C866" t="str">
        <f>_xlfn.XLOOKUP(A866,[1]Affiliations!$J$2:$J$5328,[1]Affiliations!$K$2:$K$5328,0)</f>
        <v>Universidade Federal da Bahia</v>
      </c>
      <c r="D866">
        <v>8</v>
      </c>
      <c r="E866">
        <v>63</v>
      </c>
      <c r="F866">
        <v>7.875</v>
      </c>
      <c r="G866">
        <v>3</v>
      </c>
      <c r="H866">
        <v>0.83</v>
      </c>
      <c r="I866">
        <v>0</v>
      </c>
      <c r="J866">
        <v>0</v>
      </c>
      <c r="K866">
        <v>0</v>
      </c>
      <c r="L866">
        <v>1</v>
      </c>
      <c r="M866">
        <v>5</v>
      </c>
      <c r="N866">
        <v>5</v>
      </c>
      <c r="P866">
        <v>0</v>
      </c>
      <c r="Q866">
        <v>1</v>
      </c>
      <c r="R866">
        <v>1</v>
      </c>
      <c r="S866">
        <v>1</v>
      </c>
    </row>
    <row r="867" spans="1:19" x14ac:dyDescent="0.35">
      <c r="A867">
        <v>7102388545</v>
      </c>
      <c r="B867" t="s">
        <v>2189</v>
      </c>
      <c r="C867" t="str">
        <f>_xlfn.XLOOKUP(A867,[1]Affiliations!$J$2:$J$5328,[1]Affiliations!$K$2:$K$5328,0)</f>
        <v>Universidade Federal Fluminense</v>
      </c>
      <c r="D867">
        <v>16</v>
      </c>
      <c r="E867">
        <v>487</v>
      </c>
      <c r="F867">
        <v>30.4375</v>
      </c>
      <c r="G867">
        <v>17</v>
      </c>
      <c r="H867">
        <v>1.29</v>
      </c>
      <c r="I867">
        <v>1</v>
      </c>
      <c r="J867">
        <v>3</v>
      </c>
      <c r="K867">
        <v>4</v>
      </c>
      <c r="L867">
        <v>7</v>
      </c>
      <c r="M867">
        <v>10</v>
      </c>
      <c r="N867">
        <v>12</v>
      </c>
      <c r="P867">
        <v>1</v>
      </c>
      <c r="Q867">
        <v>2</v>
      </c>
      <c r="R867">
        <v>4</v>
      </c>
      <c r="S867">
        <v>6</v>
      </c>
    </row>
    <row r="868" spans="1:19" hidden="1" x14ac:dyDescent="0.35">
      <c r="A868">
        <v>37076728800</v>
      </c>
      <c r="B868" t="s">
        <v>879</v>
      </c>
      <c r="C868" t="str">
        <f>_xlfn.XLOOKUP(A868,[1]Affiliations!$J$2:$J$5328,[1]Affiliations!$K$2:$K$5328,0)</f>
        <v>Universidade Federal do Paraná</v>
      </c>
      <c r="D868">
        <v>2</v>
      </c>
      <c r="E868">
        <v>23</v>
      </c>
      <c r="F868">
        <v>11.5</v>
      </c>
      <c r="G868">
        <v>3</v>
      </c>
      <c r="H868">
        <v>1.97</v>
      </c>
      <c r="I868">
        <v>0</v>
      </c>
      <c r="J868">
        <v>0</v>
      </c>
      <c r="K868">
        <v>0</v>
      </c>
      <c r="L868">
        <v>0</v>
      </c>
      <c r="M868">
        <v>1</v>
      </c>
      <c r="N868">
        <v>1</v>
      </c>
      <c r="P868">
        <v>0</v>
      </c>
      <c r="Q868">
        <v>0</v>
      </c>
      <c r="R868">
        <v>0</v>
      </c>
      <c r="S868">
        <v>1</v>
      </c>
    </row>
    <row r="869" spans="1:19" hidden="1" x14ac:dyDescent="0.35">
      <c r="A869">
        <v>56021498500</v>
      </c>
      <c r="B869" t="s">
        <v>880</v>
      </c>
      <c r="C869" t="str">
        <f>_xlfn.XLOOKUP(A869,[1]Affiliations!$J$2:$J$5328,[1]Affiliations!$K$2:$K$5328,0)</f>
        <v>Universidade Federal de Pernambuco</v>
      </c>
      <c r="D869">
        <v>5</v>
      </c>
      <c r="E869">
        <v>0</v>
      </c>
      <c r="F869">
        <v>0</v>
      </c>
      <c r="G869">
        <v>1</v>
      </c>
      <c r="H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5">
      <c r="A870">
        <v>57211253598</v>
      </c>
      <c r="B870" t="s">
        <v>4473</v>
      </c>
      <c r="C870" t="str">
        <f>_xlfn.XLOOKUP(A870,[1]Affiliations!$J$2:$J$5328,[1]Affiliations!$K$2:$K$5328,0)</f>
        <v>DEMa</v>
      </c>
      <c r="D870">
        <v>7</v>
      </c>
      <c r="E870">
        <v>353</v>
      </c>
      <c r="F870">
        <v>50.428570000000001</v>
      </c>
      <c r="G870">
        <v>5</v>
      </c>
      <c r="H870">
        <v>1.29</v>
      </c>
      <c r="I870">
        <v>1</v>
      </c>
      <c r="J870">
        <v>1</v>
      </c>
      <c r="K870">
        <v>1</v>
      </c>
      <c r="L870">
        <v>1</v>
      </c>
      <c r="M870">
        <v>1</v>
      </c>
      <c r="N870">
        <v>3</v>
      </c>
      <c r="P870">
        <v>1</v>
      </c>
      <c r="Q870">
        <v>1</v>
      </c>
      <c r="R870">
        <v>1</v>
      </c>
      <c r="S870">
        <v>1</v>
      </c>
    </row>
    <row r="871" spans="1:19" x14ac:dyDescent="0.35">
      <c r="A871">
        <v>55489860400</v>
      </c>
      <c r="B871" t="s">
        <v>4617</v>
      </c>
      <c r="C871" t="str">
        <f>_xlfn.XLOOKUP(A871,[1]Affiliations!$J$2:$J$5328,[1]Affiliations!$K$2:$K$5328,0)</f>
        <v>Universidade de São Paulo</v>
      </c>
      <c r="D871">
        <v>27</v>
      </c>
      <c r="E871">
        <v>487</v>
      </c>
      <c r="F871">
        <v>18.037037000000002</v>
      </c>
      <c r="G871">
        <v>13</v>
      </c>
      <c r="H871">
        <v>1.29</v>
      </c>
      <c r="I871">
        <v>1</v>
      </c>
      <c r="J871">
        <v>3</v>
      </c>
      <c r="K871">
        <v>5</v>
      </c>
      <c r="L871">
        <v>13</v>
      </c>
      <c r="M871">
        <v>17</v>
      </c>
      <c r="N871">
        <v>21</v>
      </c>
      <c r="P871">
        <v>0</v>
      </c>
      <c r="Q871">
        <v>1</v>
      </c>
      <c r="R871">
        <v>3</v>
      </c>
      <c r="S871">
        <v>11</v>
      </c>
    </row>
    <row r="872" spans="1:19" hidden="1" x14ac:dyDescent="0.35">
      <c r="A872">
        <v>57223015233</v>
      </c>
      <c r="B872" t="s">
        <v>883</v>
      </c>
      <c r="C872" t="str">
        <f>_xlfn.XLOOKUP(A872,[1]Affiliations!$J$2:$J$5328,[1]Affiliations!$K$2:$K$5328,0)</f>
        <v>Federal University of Rio de Janeiro</v>
      </c>
      <c r="D872">
        <v>1</v>
      </c>
      <c r="E872">
        <v>26</v>
      </c>
      <c r="F872">
        <v>26</v>
      </c>
      <c r="G872">
        <v>1</v>
      </c>
      <c r="H872">
        <v>0.93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P872">
        <v>0</v>
      </c>
      <c r="Q872">
        <v>0</v>
      </c>
      <c r="R872">
        <v>0</v>
      </c>
      <c r="S872">
        <v>1</v>
      </c>
    </row>
    <row r="873" spans="1:19" hidden="1" x14ac:dyDescent="0.35">
      <c r="A873">
        <v>58927970000</v>
      </c>
      <c r="B873" t="s">
        <v>884</v>
      </c>
      <c r="C873" t="str">
        <f>_xlfn.XLOOKUP(A873,[1]Affiliations!$J$2:$J$5328,[1]Affiliations!$K$2:$K$5328,0)</f>
        <v>Pontifical Catholic University of Rio de Janeiro</v>
      </c>
      <c r="D873">
        <v>1</v>
      </c>
      <c r="E873">
        <v>6</v>
      </c>
      <c r="F873">
        <v>6</v>
      </c>
      <c r="G873">
        <v>1</v>
      </c>
      <c r="H873">
        <v>0.78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P873">
        <v>0</v>
      </c>
      <c r="Q873">
        <v>0</v>
      </c>
      <c r="R873">
        <v>0</v>
      </c>
      <c r="S873">
        <v>1</v>
      </c>
    </row>
    <row r="874" spans="1:19" hidden="1" x14ac:dyDescent="0.35">
      <c r="A874">
        <v>57126409600</v>
      </c>
      <c r="B874" t="s">
        <v>885</v>
      </c>
      <c r="C874" t="str">
        <f>_xlfn.XLOOKUP(A874,[1]Affiliations!$J$2:$J$5328,[1]Affiliations!$K$2:$K$5328,0)</f>
        <v>Instituto Nacional de Pesquisas Espaciais</v>
      </c>
      <c r="D874">
        <v>17</v>
      </c>
      <c r="E874">
        <v>76</v>
      </c>
      <c r="F874">
        <v>4.4705880000000002</v>
      </c>
      <c r="G874">
        <v>7</v>
      </c>
      <c r="H874">
        <v>0.38</v>
      </c>
      <c r="I874">
        <v>0</v>
      </c>
      <c r="J874">
        <v>0</v>
      </c>
      <c r="K874">
        <v>0</v>
      </c>
      <c r="L874">
        <v>5</v>
      </c>
      <c r="M874">
        <v>5</v>
      </c>
      <c r="N874">
        <v>8</v>
      </c>
      <c r="P874">
        <v>0</v>
      </c>
      <c r="Q874">
        <v>0</v>
      </c>
      <c r="R874">
        <v>0</v>
      </c>
      <c r="S874">
        <v>1</v>
      </c>
    </row>
    <row r="875" spans="1:19" x14ac:dyDescent="0.35">
      <c r="A875">
        <v>7103061109</v>
      </c>
      <c r="B875" t="s">
        <v>5122</v>
      </c>
      <c r="C875" t="str">
        <f>_xlfn.XLOOKUP(A875,[1]Affiliations!$J$2:$J$5328,[1]Affiliations!$K$2:$K$5328,0)</f>
        <v>Universidade Estadual do Norte Fluminense</v>
      </c>
      <c r="D875">
        <v>15</v>
      </c>
      <c r="E875">
        <v>373</v>
      </c>
      <c r="F875">
        <v>24.866667</v>
      </c>
      <c r="G875">
        <v>13</v>
      </c>
      <c r="H875">
        <v>1.29</v>
      </c>
      <c r="I875">
        <v>0</v>
      </c>
      <c r="J875">
        <v>0</v>
      </c>
      <c r="K875">
        <v>2</v>
      </c>
      <c r="L875">
        <v>9</v>
      </c>
      <c r="M875">
        <v>9</v>
      </c>
      <c r="N875">
        <v>11</v>
      </c>
      <c r="P875">
        <v>0</v>
      </c>
      <c r="Q875">
        <v>1</v>
      </c>
      <c r="R875">
        <v>4</v>
      </c>
      <c r="S875">
        <v>6</v>
      </c>
    </row>
    <row r="876" spans="1:19" hidden="1" x14ac:dyDescent="0.35">
      <c r="A876">
        <v>49060979200</v>
      </c>
      <c r="B876" t="s">
        <v>887</v>
      </c>
      <c r="C876" t="str">
        <f>_xlfn.XLOOKUP(A876,[1]Affiliations!$J$2:$J$5328,[1]Affiliations!$K$2:$K$5328,0)</f>
        <v>Fundação Gorceix (+2 more)</v>
      </c>
      <c r="D876">
        <v>1</v>
      </c>
      <c r="E876">
        <v>28</v>
      </c>
      <c r="F876">
        <v>28</v>
      </c>
      <c r="G876">
        <v>3</v>
      </c>
      <c r="H876">
        <v>0.48</v>
      </c>
      <c r="I876">
        <v>0</v>
      </c>
      <c r="J876">
        <v>1</v>
      </c>
      <c r="K876">
        <v>1</v>
      </c>
      <c r="L876">
        <v>1</v>
      </c>
      <c r="M876">
        <v>1</v>
      </c>
      <c r="N876">
        <v>1</v>
      </c>
      <c r="P876">
        <v>0</v>
      </c>
      <c r="Q876">
        <v>0</v>
      </c>
      <c r="R876">
        <v>0</v>
      </c>
      <c r="S876">
        <v>1</v>
      </c>
    </row>
    <row r="877" spans="1:19" hidden="1" x14ac:dyDescent="0.35">
      <c r="A877">
        <v>57866931900</v>
      </c>
      <c r="B877" t="s">
        <v>888</v>
      </c>
      <c r="C877" t="str">
        <f>_xlfn.XLOOKUP(A877,[1]Affiliations!$J$2:$J$5328,[1]Affiliations!$K$2:$K$5328,0)</f>
        <v>Federal University of Rio de Janeiro</v>
      </c>
      <c r="D877">
        <v>2</v>
      </c>
      <c r="E877">
        <v>7</v>
      </c>
      <c r="F877">
        <v>3.5</v>
      </c>
      <c r="G877">
        <v>2</v>
      </c>
      <c r="H877">
        <v>0.34</v>
      </c>
      <c r="I877">
        <v>0</v>
      </c>
      <c r="J877">
        <v>1</v>
      </c>
      <c r="K877">
        <v>1</v>
      </c>
      <c r="L877">
        <v>2</v>
      </c>
      <c r="M877">
        <v>2</v>
      </c>
      <c r="N877">
        <v>2</v>
      </c>
      <c r="P877">
        <v>0</v>
      </c>
      <c r="Q877">
        <v>0</v>
      </c>
      <c r="R877">
        <v>0</v>
      </c>
      <c r="S877">
        <v>0</v>
      </c>
    </row>
    <row r="878" spans="1:19" x14ac:dyDescent="0.35">
      <c r="A878">
        <v>37018814300</v>
      </c>
      <c r="B878" t="s">
        <v>5181</v>
      </c>
      <c r="C878" t="str">
        <f>_xlfn.XLOOKUP(A878,[1]Affiliations!$J$2:$J$5328,[1]Affiliations!$K$2:$K$5328,0)</f>
        <v>Federal University of Rio de Janeiro</v>
      </c>
      <c r="D878">
        <v>7</v>
      </c>
      <c r="E878">
        <v>155</v>
      </c>
      <c r="F878">
        <v>22.142856999999999</v>
      </c>
      <c r="G878">
        <v>7</v>
      </c>
      <c r="H878">
        <v>1.29</v>
      </c>
      <c r="I878">
        <v>1</v>
      </c>
      <c r="J878">
        <v>2</v>
      </c>
      <c r="K878">
        <v>3</v>
      </c>
      <c r="L878">
        <v>6</v>
      </c>
      <c r="M878">
        <v>6</v>
      </c>
      <c r="N878">
        <v>6</v>
      </c>
      <c r="P878">
        <v>0</v>
      </c>
      <c r="Q878">
        <v>1</v>
      </c>
      <c r="R878">
        <v>1</v>
      </c>
      <c r="S878">
        <v>4</v>
      </c>
    </row>
    <row r="879" spans="1:19" hidden="1" x14ac:dyDescent="0.35">
      <c r="A879">
        <v>56518209600</v>
      </c>
      <c r="B879" t="s">
        <v>890</v>
      </c>
      <c r="C879" t="str">
        <f>_xlfn.XLOOKUP(A879,[1]Affiliations!$J$2:$J$5328,[1]Affiliations!$K$2:$K$5328,0)</f>
        <v>Universidade Estadual Paulista “Júlio de Mesquita Filho”</v>
      </c>
      <c r="D879">
        <v>0</v>
      </c>
      <c r="G879">
        <v>1</v>
      </c>
    </row>
    <row r="880" spans="1:19" hidden="1" x14ac:dyDescent="0.35">
      <c r="A880">
        <v>35885277300</v>
      </c>
      <c r="B880" t="s">
        <v>891</v>
      </c>
      <c r="C880" t="str">
        <f>_xlfn.XLOOKUP(A880,[1]Affiliations!$J$2:$J$5328,[1]Affiliations!$K$2:$K$5328,0)</f>
        <v>Federal University of Rio de Janeiro</v>
      </c>
      <c r="D880">
        <v>10</v>
      </c>
      <c r="E880">
        <v>126</v>
      </c>
      <c r="F880">
        <v>12.6</v>
      </c>
      <c r="G880">
        <v>10</v>
      </c>
      <c r="H880">
        <v>0.43</v>
      </c>
      <c r="I880">
        <v>0</v>
      </c>
      <c r="J880">
        <v>0</v>
      </c>
      <c r="K880">
        <v>1</v>
      </c>
      <c r="L880">
        <v>6</v>
      </c>
      <c r="M880">
        <v>9</v>
      </c>
      <c r="N880">
        <v>10</v>
      </c>
      <c r="P880">
        <v>0</v>
      </c>
      <c r="Q880">
        <v>0</v>
      </c>
      <c r="R880">
        <v>0</v>
      </c>
      <c r="S880">
        <v>2</v>
      </c>
    </row>
    <row r="881" spans="1:19" hidden="1" x14ac:dyDescent="0.35">
      <c r="A881">
        <v>57221947697</v>
      </c>
      <c r="B881" t="s">
        <v>892</v>
      </c>
      <c r="C881" t="str">
        <f>_xlfn.XLOOKUP(A881,[1]Affiliations!$J$2:$J$5328,[1]Affiliations!$K$2:$K$5328,0)</f>
        <v>SENAI Innovation Institute for Manufacturing Systems and Laser Processing</v>
      </c>
      <c r="D881">
        <v>3</v>
      </c>
      <c r="E881">
        <v>135</v>
      </c>
      <c r="F881">
        <v>45</v>
      </c>
      <c r="G881">
        <v>3</v>
      </c>
      <c r="H881">
        <v>2.2000000000000002</v>
      </c>
      <c r="I881">
        <v>0</v>
      </c>
      <c r="J881">
        <v>0</v>
      </c>
      <c r="K881">
        <v>1</v>
      </c>
      <c r="L881">
        <v>2</v>
      </c>
      <c r="M881">
        <v>3</v>
      </c>
      <c r="N881">
        <v>3</v>
      </c>
      <c r="P881">
        <v>0</v>
      </c>
      <c r="Q881">
        <v>1</v>
      </c>
      <c r="R881">
        <v>1</v>
      </c>
      <c r="S881">
        <v>2</v>
      </c>
    </row>
    <row r="882" spans="1:19" hidden="1" x14ac:dyDescent="0.35">
      <c r="A882">
        <v>57192211982</v>
      </c>
      <c r="B882" t="s">
        <v>893</v>
      </c>
      <c r="C882" t="str">
        <f>_xlfn.XLOOKUP(A882,[1]Affiliations!$J$2:$J$5328,[1]Affiliations!$K$2:$K$5328,0)</f>
        <v>University of Campinas</v>
      </c>
      <c r="D882">
        <v>1</v>
      </c>
      <c r="E882">
        <v>38</v>
      </c>
      <c r="F882">
        <v>38</v>
      </c>
      <c r="G882">
        <v>1</v>
      </c>
      <c r="H882">
        <v>1.29</v>
      </c>
      <c r="I882">
        <v>0</v>
      </c>
      <c r="J882">
        <v>0</v>
      </c>
      <c r="K882">
        <v>0</v>
      </c>
      <c r="L882">
        <v>0</v>
      </c>
      <c r="M882">
        <v>1</v>
      </c>
      <c r="N882">
        <v>1</v>
      </c>
      <c r="P882">
        <v>0</v>
      </c>
      <c r="Q882">
        <v>0</v>
      </c>
      <c r="R882">
        <v>0</v>
      </c>
      <c r="S882">
        <v>1</v>
      </c>
    </row>
    <row r="883" spans="1:19" x14ac:dyDescent="0.35">
      <c r="A883">
        <v>16318814300</v>
      </c>
      <c r="B883" t="s">
        <v>429</v>
      </c>
      <c r="C883" t="str">
        <f>_xlfn.XLOOKUP(A883,[1]Affiliations!$J$2:$J$5328,[1]Affiliations!$K$2:$K$5328,0)</f>
        <v>Universidade Federal do Espírito Santo</v>
      </c>
      <c r="D883">
        <v>97</v>
      </c>
      <c r="E883">
        <v>2426</v>
      </c>
      <c r="F883">
        <v>25.01031</v>
      </c>
      <c r="G883">
        <v>31</v>
      </c>
      <c r="H883">
        <v>1.28</v>
      </c>
      <c r="I883">
        <v>2</v>
      </c>
      <c r="J883">
        <v>14</v>
      </c>
      <c r="K883">
        <v>28</v>
      </c>
      <c r="L883">
        <v>62</v>
      </c>
      <c r="M883">
        <v>84</v>
      </c>
      <c r="N883">
        <v>89</v>
      </c>
      <c r="P883">
        <v>1</v>
      </c>
      <c r="Q883">
        <v>6</v>
      </c>
      <c r="R883">
        <v>13</v>
      </c>
      <c r="S883">
        <v>51</v>
      </c>
    </row>
    <row r="884" spans="1:19" x14ac:dyDescent="0.35">
      <c r="A884">
        <v>6507202715</v>
      </c>
      <c r="B884" t="s">
        <v>1146</v>
      </c>
      <c r="C884" t="str">
        <f>_xlfn.XLOOKUP(A884,[1]Affiliations!$J$2:$J$5328,[1]Affiliations!$K$2:$K$5328,0)</f>
        <v>Universidade do Estado do Rio de Janeiro (+1 more)</v>
      </c>
      <c r="D884">
        <v>33</v>
      </c>
      <c r="E884">
        <v>975</v>
      </c>
      <c r="F884">
        <v>29.545453999999999</v>
      </c>
      <c r="G884">
        <v>20</v>
      </c>
      <c r="H884">
        <v>1.28</v>
      </c>
      <c r="I884">
        <v>0</v>
      </c>
      <c r="J884">
        <v>10</v>
      </c>
      <c r="K884">
        <v>10</v>
      </c>
      <c r="L884">
        <v>22</v>
      </c>
      <c r="M884">
        <v>26</v>
      </c>
      <c r="N884">
        <v>29</v>
      </c>
      <c r="P884">
        <v>1</v>
      </c>
      <c r="Q884">
        <v>7</v>
      </c>
      <c r="R884">
        <v>7</v>
      </c>
      <c r="S884">
        <v>16</v>
      </c>
    </row>
    <row r="885" spans="1:19" hidden="1" x14ac:dyDescent="0.35">
      <c r="A885">
        <v>57200255455</v>
      </c>
      <c r="B885" t="s">
        <v>896</v>
      </c>
      <c r="C885" t="str">
        <f>_xlfn.XLOOKUP(A885,[1]Affiliations!$J$2:$J$5328,[1]Affiliations!$K$2:$K$5328,0)</f>
        <v>Federal University of Rio de Janeiro</v>
      </c>
      <c r="D885">
        <v>14</v>
      </c>
      <c r="E885">
        <v>71</v>
      </c>
      <c r="F885">
        <v>5.0714290000000002</v>
      </c>
      <c r="G885">
        <v>5</v>
      </c>
      <c r="H885">
        <v>0.47</v>
      </c>
      <c r="I885">
        <v>0</v>
      </c>
      <c r="J885">
        <v>1</v>
      </c>
      <c r="K885">
        <v>2</v>
      </c>
      <c r="L885">
        <v>4</v>
      </c>
      <c r="M885">
        <v>6</v>
      </c>
      <c r="N885">
        <v>8</v>
      </c>
      <c r="P885">
        <v>0</v>
      </c>
      <c r="Q885">
        <v>0</v>
      </c>
      <c r="R885">
        <v>0</v>
      </c>
      <c r="S885">
        <v>2</v>
      </c>
    </row>
    <row r="886" spans="1:19" hidden="1" x14ac:dyDescent="0.35">
      <c r="A886">
        <v>57612849500</v>
      </c>
      <c r="B886" t="s">
        <v>897</v>
      </c>
      <c r="C886" t="str">
        <f>_xlfn.XLOOKUP(A886,[1]Affiliations!$J$2:$J$5328,[1]Affiliations!$K$2:$K$5328,0)</f>
        <v>Federal University of Rio de Janeiro</v>
      </c>
      <c r="D886">
        <v>1</v>
      </c>
      <c r="E886">
        <v>19</v>
      </c>
      <c r="F886">
        <v>19</v>
      </c>
      <c r="G886">
        <v>1</v>
      </c>
      <c r="H886">
        <v>1.24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1</v>
      </c>
      <c r="P886">
        <v>0</v>
      </c>
      <c r="Q886">
        <v>0</v>
      </c>
      <c r="R886">
        <v>0</v>
      </c>
      <c r="S886">
        <v>1</v>
      </c>
    </row>
    <row r="887" spans="1:19" hidden="1" x14ac:dyDescent="0.35">
      <c r="A887">
        <v>57210258154</v>
      </c>
      <c r="B887" t="s">
        <v>898</v>
      </c>
      <c r="C887" t="str">
        <f>_xlfn.XLOOKUP(A887,[1]Affiliations!$J$2:$J$5328,[1]Affiliations!$K$2:$K$5328,0)</f>
        <v>Instituto de Pesquisas Tecnologicas</v>
      </c>
      <c r="D887">
        <v>1</v>
      </c>
      <c r="E887">
        <v>2</v>
      </c>
      <c r="F887">
        <v>2</v>
      </c>
      <c r="G887">
        <v>1</v>
      </c>
      <c r="H887">
        <v>1.4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0</v>
      </c>
      <c r="Q887">
        <v>0</v>
      </c>
      <c r="R887">
        <v>0</v>
      </c>
      <c r="S887">
        <v>0</v>
      </c>
    </row>
    <row r="888" spans="1:19" hidden="1" x14ac:dyDescent="0.35">
      <c r="A888">
        <v>59787876000</v>
      </c>
      <c r="B888" t="s">
        <v>899</v>
      </c>
      <c r="C888" t="str">
        <f>_xlfn.XLOOKUP(A888,[1]Affiliations!$J$2:$J$5328,[1]Affiliations!$K$2:$K$5328,0)</f>
        <v>University of Campinas</v>
      </c>
      <c r="D888">
        <v>2</v>
      </c>
      <c r="E888">
        <v>17</v>
      </c>
      <c r="F888">
        <v>8.5</v>
      </c>
      <c r="G888">
        <v>2</v>
      </c>
      <c r="H888">
        <v>0.13</v>
      </c>
      <c r="I888">
        <v>0</v>
      </c>
      <c r="J888">
        <v>0</v>
      </c>
      <c r="K888">
        <v>0</v>
      </c>
      <c r="L888">
        <v>0</v>
      </c>
      <c r="M888">
        <v>2</v>
      </c>
      <c r="N888">
        <v>2</v>
      </c>
      <c r="P888">
        <v>0</v>
      </c>
      <c r="Q888">
        <v>0</v>
      </c>
      <c r="R888">
        <v>0</v>
      </c>
      <c r="S888">
        <v>0</v>
      </c>
    </row>
    <row r="889" spans="1:19" hidden="1" x14ac:dyDescent="0.35">
      <c r="A889">
        <v>57215344289</v>
      </c>
      <c r="B889" t="s">
        <v>900</v>
      </c>
      <c r="C889" t="str">
        <f>_xlfn.XLOOKUP(A889,[1]Affiliations!$J$2:$J$5328,[1]Affiliations!$K$2:$K$5328,0)</f>
        <v>Pontifical Catholic University of Rio de Janeiro</v>
      </c>
      <c r="D889">
        <v>3</v>
      </c>
      <c r="E889">
        <v>14</v>
      </c>
      <c r="F889">
        <v>4.6666664999999998</v>
      </c>
      <c r="G889">
        <v>2</v>
      </c>
      <c r="H889">
        <v>0.57999999999999996</v>
      </c>
      <c r="I889">
        <v>0</v>
      </c>
      <c r="J889">
        <v>0</v>
      </c>
      <c r="K889">
        <v>0</v>
      </c>
      <c r="L889">
        <v>0</v>
      </c>
      <c r="M889">
        <v>2</v>
      </c>
      <c r="N889">
        <v>2</v>
      </c>
      <c r="P889">
        <v>0</v>
      </c>
      <c r="Q889">
        <v>0</v>
      </c>
      <c r="R889">
        <v>0</v>
      </c>
      <c r="S889">
        <v>0</v>
      </c>
    </row>
    <row r="890" spans="1:19" x14ac:dyDescent="0.35">
      <c r="A890">
        <v>7005075212</v>
      </c>
      <c r="B890" t="s">
        <v>1844</v>
      </c>
      <c r="C890" t="str">
        <f>_xlfn.XLOOKUP(A890,[1]Affiliations!$J$2:$J$5328,[1]Affiliations!$K$2:$K$5328,0)</f>
        <v>Federal University of Rio de Janeiro</v>
      </c>
      <c r="D890">
        <v>37</v>
      </c>
      <c r="E890">
        <v>769</v>
      </c>
      <c r="F890">
        <v>20.783783</v>
      </c>
      <c r="G890">
        <v>28</v>
      </c>
      <c r="H890">
        <v>1.28</v>
      </c>
      <c r="I890">
        <v>0</v>
      </c>
      <c r="J890">
        <v>0</v>
      </c>
      <c r="K890">
        <v>9</v>
      </c>
      <c r="L890">
        <v>22</v>
      </c>
      <c r="M890">
        <v>31</v>
      </c>
      <c r="N890">
        <v>34</v>
      </c>
      <c r="P890">
        <v>0</v>
      </c>
      <c r="Q890">
        <v>0</v>
      </c>
      <c r="R890">
        <v>4</v>
      </c>
      <c r="S890">
        <v>17</v>
      </c>
    </row>
    <row r="891" spans="1:19" hidden="1" x14ac:dyDescent="0.35">
      <c r="A891">
        <v>6508145194</v>
      </c>
      <c r="B891" t="s">
        <v>902</v>
      </c>
      <c r="C891" t="str">
        <f>_xlfn.XLOOKUP(A891,[1]Affiliations!$J$2:$J$5328,[1]Affiliations!$K$2:$K$5328,0)</f>
        <v>PGS</v>
      </c>
      <c r="D891">
        <v>73</v>
      </c>
      <c r="E891">
        <v>513</v>
      </c>
      <c r="F891">
        <v>7.0273969999999997</v>
      </c>
      <c r="G891">
        <v>18</v>
      </c>
      <c r="H891">
        <v>1.87</v>
      </c>
      <c r="I891">
        <v>0</v>
      </c>
      <c r="J891">
        <v>0</v>
      </c>
      <c r="K891">
        <v>0</v>
      </c>
      <c r="L891">
        <v>0</v>
      </c>
      <c r="M891">
        <v>8</v>
      </c>
      <c r="N891">
        <v>22</v>
      </c>
      <c r="P891">
        <v>0</v>
      </c>
      <c r="Q891">
        <v>0</v>
      </c>
      <c r="R891">
        <v>2</v>
      </c>
      <c r="S891">
        <v>8</v>
      </c>
    </row>
    <row r="892" spans="1:19" hidden="1" x14ac:dyDescent="0.35">
      <c r="A892">
        <v>57203636129</v>
      </c>
      <c r="B892" t="s">
        <v>903</v>
      </c>
      <c r="C892" t="str">
        <f>_xlfn.XLOOKUP(A892,[1]Affiliations!$J$2:$J$5328,[1]Affiliations!$K$2:$K$5328,0)</f>
        <v>Centro Brasileiro de Pesquisas Físicas</v>
      </c>
      <c r="D892">
        <v>3</v>
      </c>
      <c r="E892">
        <v>14</v>
      </c>
      <c r="F892">
        <v>4.6666664999999998</v>
      </c>
      <c r="G892">
        <v>3</v>
      </c>
      <c r="H892">
        <v>0.26</v>
      </c>
      <c r="I892">
        <v>0</v>
      </c>
      <c r="J892">
        <v>1</v>
      </c>
      <c r="K892">
        <v>2</v>
      </c>
      <c r="L892">
        <v>2</v>
      </c>
      <c r="M892">
        <v>2</v>
      </c>
      <c r="N892">
        <v>3</v>
      </c>
      <c r="P892">
        <v>0</v>
      </c>
      <c r="Q892">
        <v>0</v>
      </c>
      <c r="R892">
        <v>0</v>
      </c>
      <c r="S892">
        <v>0</v>
      </c>
    </row>
    <row r="893" spans="1:19" hidden="1" x14ac:dyDescent="0.35">
      <c r="A893">
        <v>59251799700</v>
      </c>
      <c r="B893" t="s">
        <v>904</v>
      </c>
      <c r="C893" t="str">
        <f>_xlfn.XLOOKUP(A893,[1]Affiliations!$J$2:$J$5328,[1]Affiliations!$K$2:$K$5328,0)</f>
        <v>Federal University of Santa Catarina</v>
      </c>
      <c r="D893">
        <v>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P893">
        <v>0</v>
      </c>
      <c r="Q893">
        <v>0</v>
      </c>
      <c r="R893">
        <v>0</v>
      </c>
      <c r="S893">
        <v>0</v>
      </c>
    </row>
    <row r="894" spans="1:19" hidden="1" x14ac:dyDescent="0.35">
      <c r="A894">
        <v>57546765400</v>
      </c>
      <c r="B894" t="s">
        <v>905</v>
      </c>
      <c r="C894" t="str">
        <f>_xlfn.XLOOKUP(A894,[1]Affiliations!$J$2:$J$5328,[1]Affiliations!$K$2:$K$5328,0)</f>
        <v>Universidade Tecnológica Federal do Paraná</v>
      </c>
      <c r="D894">
        <v>5</v>
      </c>
      <c r="E894">
        <v>23</v>
      </c>
      <c r="F894">
        <v>4.5999999999999996</v>
      </c>
      <c r="G894">
        <v>3</v>
      </c>
      <c r="H894">
        <v>0.39</v>
      </c>
      <c r="I894">
        <v>0</v>
      </c>
      <c r="J894">
        <v>0</v>
      </c>
      <c r="K894">
        <v>1</v>
      </c>
      <c r="L894">
        <v>4</v>
      </c>
      <c r="M894">
        <v>4</v>
      </c>
      <c r="N894">
        <v>5</v>
      </c>
      <c r="P894">
        <v>0</v>
      </c>
      <c r="Q894">
        <v>0</v>
      </c>
      <c r="R894">
        <v>0</v>
      </c>
      <c r="S894">
        <v>1</v>
      </c>
    </row>
    <row r="895" spans="1:19" x14ac:dyDescent="0.35">
      <c r="A895">
        <v>26666632600</v>
      </c>
      <c r="B895" t="s">
        <v>1943</v>
      </c>
      <c r="C895" t="str">
        <f>_xlfn.XLOOKUP(A895,[1]Affiliations!$J$2:$J$5328,[1]Affiliations!$K$2:$K$5328,0)</f>
        <v>Universidade de São Paulo</v>
      </c>
      <c r="D895">
        <v>32</v>
      </c>
      <c r="E895">
        <v>351</v>
      </c>
      <c r="F895">
        <v>10.96875</v>
      </c>
      <c r="G895">
        <v>11</v>
      </c>
      <c r="H895">
        <v>1.28</v>
      </c>
      <c r="I895">
        <v>0</v>
      </c>
      <c r="J895">
        <v>0</v>
      </c>
      <c r="K895">
        <v>2</v>
      </c>
      <c r="L895">
        <v>6</v>
      </c>
      <c r="M895">
        <v>18</v>
      </c>
      <c r="N895">
        <v>24</v>
      </c>
      <c r="P895">
        <v>0</v>
      </c>
      <c r="Q895">
        <v>1</v>
      </c>
      <c r="R895">
        <v>3</v>
      </c>
      <c r="S895">
        <v>9</v>
      </c>
    </row>
    <row r="896" spans="1:19" hidden="1" x14ac:dyDescent="0.35">
      <c r="A896">
        <v>36052540300</v>
      </c>
      <c r="B896" t="s">
        <v>907</v>
      </c>
      <c r="C896" t="str">
        <f>_xlfn.XLOOKUP(A896,[1]Affiliations!$J$2:$J$5328,[1]Affiliations!$K$2:$K$5328,0)</f>
        <v>Universidade Federal do Espírito Santo</v>
      </c>
      <c r="D896">
        <v>1</v>
      </c>
      <c r="E896">
        <v>5</v>
      </c>
      <c r="F896">
        <v>5</v>
      </c>
      <c r="G896">
        <v>2</v>
      </c>
      <c r="H896">
        <v>0.1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P896">
        <v>0</v>
      </c>
      <c r="Q896">
        <v>0</v>
      </c>
      <c r="R896">
        <v>0</v>
      </c>
      <c r="S896">
        <v>0</v>
      </c>
    </row>
    <row r="897" spans="1:19" hidden="1" x14ac:dyDescent="0.35">
      <c r="A897">
        <v>59420170800</v>
      </c>
      <c r="B897" t="s">
        <v>908</v>
      </c>
      <c r="C897" t="str">
        <f>_xlfn.XLOOKUP(A897,[1]Affiliations!$J$2:$J$5328,[1]Affiliations!$K$2:$K$5328,0)</f>
        <v>Universidade de São Paulo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0</v>
      </c>
      <c r="Q897">
        <v>0</v>
      </c>
      <c r="R897">
        <v>0</v>
      </c>
      <c r="S897">
        <v>0</v>
      </c>
    </row>
    <row r="898" spans="1:19" hidden="1" x14ac:dyDescent="0.35">
      <c r="A898">
        <v>37103714100</v>
      </c>
      <c r="B898" t="s">
        <v>909</v>
      </c>
      <c r="C898" t="str">
        <f>_xlfn.XLOOKUP(A898,[1]Affiliations!$J$2:$J$5328,[1]Affiliations!$K$2:$K$5328,0)</f>
        <v>University of Cádiz (+3 more)</v>
      </c>
      <c r="D898">
        <v>17</v>
      </c>
      <c r="E898">
        <v>215</v>
      </c>
      <c r="F898">
        <v>12.6470585</v>
      </c>
      <c r="G898">
        <v>11</v>
      </c>
      <c r="H898">
        <v>0.65</v>
      </c>
      <c r="I898">
        <v>0</v>
      </c>
      <c r="J898">
        <v>0</v>
      </c>
      <c r="K898">
        <v>2</v>
      </c>
      <c r="L898">
        <v>7</v>
      </c>
      <c r="M898">
        <v>13</v>
      </c>
      <c r="N898">
        <v>14</v>
      </c>
      <c r="P898">
        <v>0</v>
      </c>
      <c r="Q898">
        <v>0</v>
      </c>
      <c r="R898">
        <v>0</v>
      </c>
      <c r="S898">
        <v>6</v>
      </c>
    </row>
    <row r="899" spans="1:19" hidden="1" x14ac:dyDescent="0.35">
      <c r="A899">
        <v>57470240600</v>
      </c>
      <c r="B899" t="s">
        <v>910</v>
      </c>
      <c r="C899" t="str">
        <f>_xlfn.XLOOKUP(A899,[1]Affiliations!$J$2:$J$5328,[1]Affiliations!$K$2:$K$5328,0)</f>
        <v>University of Campinas</v>
      </c>
      <c r="D899">
        <v>2</v>
      </c>
      <c r="E899">
        <v>26</v>
      </c>
      <c r="F899">
        <v>13</v>
      </c>
      <c r="G899">
        <v>2</v>
      </c>
      <c r="H899">
        <v>0.89</v>
      </c>
      <c r="I899">
        <v>0</v>
      </c>
      <c r="J899">
        <v>1</v>
      </c>
      <c r="K899">
        <v>2</v>
      </c>
      <c r="L899">
        <v>2</v>
      </c>
      <c r="M899">
        <v>2</v>
      </c>
      <c r="N899">
        <v>2</v>
      </c>
      <c r="P899">
        <v>0</v>
      </c>
      <c r="Q899">
        <v>0</v>
      </c>
      <c r="R899">
        <v>0</v>
      </c>
      <c r="S899">
        <v>1</v>
      </c>
    </row>
    <row r="900" spans="1:19" hidden="1" x14ac:dyDescent="0.35">
      <c r="A900">
        <v>57202641595</v>
      </c>
      <c r="B900" t="s">
        <v>911</v>
      </c>
      <c r="C900" t="str">
        <f>_xlfn.XLOOKUP(A900,[1]Affiliations!$J$2:$J$5328,[1]Affiliations!$K$2:$K$5328,0)</f>
        <v>Pontifical Catholic University of Rio de Janeiro</v>
      </c>
      <c r="D900">
        <v>4</v>
      </c>
      <c r="E900">
        <v>27</v>
      </c>
      <c r="F900">
        <v>6.75</v>
      </c>
      <c r="G900">
        <v>3</v>
      </c>
      <c r="H900">
        <v>0.76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1</v>
      </c>
      <c r="P900">
        <v>0</v>
      </c>
      <c r="Q900">
        <v>0</v>
      </c>
      <c r="R900">
        <v>0</v>
      </c>
      <c r="S900">
        <v>0</v>
      </c>
    </row>
    <row r="901" spans="1:19" hidden="1" x14ac:dyDescent="0.35">
      <c r="A901">
        <v>56017332700</v>
      </c>
      <c r="B901" t="s">
        <v>912</v>
      </c>
      <c r="C901" t="str">
        <f>_xlfn.XLOOKUP(A901,[1]Affiliations!$J$2:$J$5328,[1]Affiliations!$K$2:$K$5328,0)</f>
        <v>Federal University of Rio de Janeiro</v>
      </c>
      <c r="D901">
        <v>0</v>
      </c>
      <c r="G901">
        <v>2</v>
      </c>
    </row>
    <row r="902" spans="1:19" x14ac:dyDescent="0.35">
      <c r="A902">
        <v>7003347454</v>
      </c>
      <c r="B902" t="s">
        <v>2302</v>
      </c>
      <c r="C902" t="str">
        <f>_xlfn.XLOOKUP(A902,[1]Affiliations!$J$2:$J$5328,[1]Affiliations!$K$2:$K$5328,0)</f>
        <v>Laboratório de Biotecnologia Microbiana (+1 more)</v>
      </c>
      <c r="D902">
        <v>156</v>
      </c>
      <c r="E902">
        <v>5340</v>
      </c>
      <c r="F902">
        <v>34.23077</v>
      </c>
      <c r="G902">
        <v>59</v>
      </c>
      <c r="H902">
        <v>1.28</v>
      </c>
      <c r="I902">
        <v>1</v>
      </c>
      <c r="J902">
        <v>20</v>
      </c>
      <c r="K902">
        <v>42</v>
      </c>
      <c r="L902">
        <v>98</v>
      </c>
      <c r="M902">
        <v>132</v>
      </c>
      <c r="N902">
        <v>146</v>
      </c>
      <c r="P902">
        <v>2</v>
      </c>
      <c r="Q902">
        <v>12</v>
      </c>
      <c r="R902">
        <v>40</v>
      </c>
      <c r="S902">
        <v>97</v>
      </c>
    </row>
    <row r="903" spans="1:19" x14ac:dyDescent="0.35">
      <c r="A903">
        <v>57211713869</v>
      </c>
      <c r="B903" t="s">
        <v>2364</v>
      </c>
      <c r="C903" t="str">
        <f>_xlfn.XLOOKUP(A903,[1]Affiliations!$J$2:$J$5328,[1]Affiliations!$K$2:$K$5328,0)</f>
        <v>Universidade Federal de Minas Gerais</v>
      </c>
      <c r="D903">
        <v>8</v>
      </c>
      <c r="E903">
        <v>120</v>
      </c>
      <c r="F903">
        <v>15</v>
      </c>
      <c r="G903">
        <v>8</v>
      </c>
      <c r="H903">
        <v>1.28</v>
      </c>
      <c r="I903">
        <v>0</v>
      </c>
      <c r="J903">
        <v>2</v>
      </c>
      <c r="K903">
        <v>3</v>
      </c>
      <c r="L903">
        <v>5</v>
      </c>
      <c r="M903">
        <v>5</v>
      </c>
      <c r="N903">
        <v>5</v>
      </c>
      <c r="P903">
        <v>0</v>
      </c>
      <c r="Q903">
        <v>0</v>
      </c>
      <c r="R903">
        <v>3</v>
      </c>
      <c r="S903">
        <v>4</v>
      </c>
    </row>
    <row r="904" spans="1:19" hidden="1" x14ac:dyDescent="0.35">
      <c r="A904">
        <v>6506100492</v>
      </c>
      <c r="B904" t="s">
        <v>915</v>
      </c>
      <c r="C904" t="str">
        <f>_xlfn.XLOOKUP(A904,[1]Affiliations!$J$2:$J$5328,[1]Affiliations!$K$2:$K$5328,0)</f>
        <v>Laboratório Nacional de Computação Científica</v>
      </c>
      <c r="D904">
        <v>8</v>
      </c>
      <c r="E904">
        <v>117</v>
      </c>
      <c r="F904">
        <v>14.625</v>
      </c>
      <c r="G904">
        <v>11</v>
      </c>
      <c r="H904">
        <v>0.98</v>
      </c>
      <c r="I904">
        <v>0</v>
      </c>
      <c r="J904">
        <v>1</v>
      </c>
      <c r="K904">
        <v>1</v>
      </c>
      <c r="L904">
        <v>3</v>
      </c>
      <c r="M904">
        <v>7</v>
      </c>
      <c r="N904">
        <v>8</v>
      </c>
      <c r="P904">
        <v>0</v>
      </c>
      <c r="Q904">
        <v>0</v>
      </c>
      <c r="R904">
        <v>0</v>
      </c>
      <c r="S904">
        <v>4</v>
      </c>
    </row>
    <row r="905" spans="1:19" x14ac:dyDescent="0.35">
      <c r="A905">
        <v>35403017600</v>
      </c>
      <c r="B905" t="s">
        <v>2374</v>
      </c>
      <c r="C905" t="str">
        <f>_xlfn.XLOOKUP(A905,[1]Affiliations!$J$2:$J$5328,[1]Affiliations!$K$2:$K$5328,0)</f>
        <v>Universidade Federal do Rio Grande</v>
      </c>
      <c r="D905">
        <v>33</v>
      </c>
      <c r="E905">
        <v>804</v>
      </c>
      <c r="F905">
        <v>24.363636</v>
      </c>
      <c r="G905">
        <v>31</v>
      </c>
      <c r="H905">
        <v>1.28</v>
      </c>
      <c r="I905">
        <v>0</v>
      </c>
      <c r="J905">
        <v>10</v>
      </c>
      <c r="K905">
        <v>17</v>
      </c>
      <c r="L905">
        <v>26</v>
      </c>
      <c r="M905">
        <v>28</v>
      </c>
      <c r="N905">
        <v>31</v>
      </c>
      <c r="P905">
        <v>0</v>
      </c>
      <c r="Q905">
        <v>2</v>
      </c>
      <c r="R905">
        <v>4</v>
      </c>
      <c r="S905">
        <v>14</v>
      </c>
    </row>
    <row r="906" spans="1:19" hidden="1" x14ac:dyDescent="0.35">
      <c r="A906">
        <v>57219923376</v>
      </c>
      <c r="B906" t="s">
        <v>917</v>
      </c>
      <c r="C906" t="str">
        <f>_xlfn.XLOOKUP(A906,[1]Affiliations!$J$2:$J$5328,[1]Affiliations!$K$2:$K$5328,0)</f>
        <v>Universidade Federal do Rio Grande do Sul</v>
      </c>
      <c r="D906">
        <v>2</v>
      </c>
      <c r="E906">
        <v>21</v>
      </c>
      <c r="F906">
        <v>10.5</v>
      </c>
      <c r="G906">
        <v>2</v>
      </c>
      <c r="H906">
        <v>0.84</v>
      </c>
      <c r="I906">
        <v>0</v>
      </c>
      <c r="J906">
        <v>0</v>
      </c>
      <c r="K906">
        <v>1</v>
      </c>
      <c r="L906">
        <v>1</v>
      </c>
      <c r="M906">
        <v>1</v>
      </c>
      <c r="N906">
        <v>1</v>
      </c>
      <c r="P906">
        <v>0</v>
      </c>
      <c r="Q906">
        <v>0</v>
      </c>
      <c r="R906">
        <v>0</v>
      </c>
      <c r="S906">
        <v>1</v>
      </c>
    </row>
    <row r="907" spans="1:19" hidden="1" x14ac:dyDescent="0.35">
      <c r="A907">
        <v>57371381300</v>
      </c>
      <c r="B907" t="s">
        <v>918</v>
      </c>
      <c r="C907" t="str">
        <f>_xlfn.XLOOKUP(A907,[1]Affiliations!$J$2:$J$5328,[1]Affiliations!$K$2:$K$5328,0)</f>
        <v>Universidade Federal de Uberlândia</v>
      </c>
      <c r="D907">
        <v>1</v>
      </c>
      <c r="E907">
        <v>1</v>
      </c>
      <c r="F907">
        <v>1</v>
      </c>
      <c r="G907">
        <v>1</v>
      </c>
      <c r="H907">
        <v>0.08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1</v>
      </c>
      <c r="P907">
        <v>0</v>
      </c>
      <c r="Q907">
        <v>0</v>
      </c>
      <c r="R907">
        <v>0</v>
      </c>
      <c r="S907">
        <v>0</v>
      </c>
    </row>
    <row r="908" spans="1:19" hidden="1" x14ac:dyDescent="0.35">
      <c r="A908">
        <v>56467993200</v>
      </c>
      <c r="B908" t="s">
        <v>919</v>
      </c>
      <c r="C908" t="str">
        <f>_xlfn.XLOOKUP(A908,[1]Affiliations!$J$2:$J$5328,[1]Affiliations!$K$2:$K$5328,0)</f>
        <v>Universidade Federal de Santa Maria</v>
      </c>
      <c r="D908">
        <v>6</v>
      </c>
      <c r="E908">
        <v>81</v>
      </c>
      <c r="F908">
        <v>13.5</v>
      </c>
      <c r="G908">
        <v>6</v>
      </c>
      <c r="H908">
        <v>0.77</v>
      </c>
      <c r="I908">
        <v>0</v>
      </c>
      <c r="J908">
        <v>1</v>
      </c>
      <c r="K908">
        <v>2</v>
      </c>
      <c r="L908">
        <v>5</v>
      </c>
      <c r="M908">
        <v>5</v>
      </c>
      <c r="N908">
        <v>6</v>
      </c>
      <c r="P908">
        <v>0</v>
      </c>
      <c r="Q908">
        <v>0</v>
      </c>
      <c r="R908">
        <v>0</v>
      </c>
      <c r="S908">
        <v>1</v>
      </c>
    </row>
    <row r="909" spans="1:19" hidden="1" x14ac:dyDescent="0.35">
      <c r="A909">
        <v>58514417200</v>
      </c>
      <c r="B909" t="s">
        <v>920</v>
      </c>
      <c r="C909" t="str">
        <f>_xlfn.XLOOKUP(A909,[1]Affiliations!$J$2:$J$5328,[1]Affiliations!$K$2:$K$5328,0)</f>
        <v>SIMWORX</v>
      </c>
      <c r="D909">
        <v>2</v>
      </c>
      <c r="E909">
        <v>0</v>
      </c>
      <c r="F909">
        <v>0</v>
      </c>
      <c r="G909">
        <v>0</v>
      </c>
      <c r="H909">
        <v>0</v>
      </c>
      <c r="P909">
        <v>0</v>
      </c>
      <c r="Q909">
        <v>0</v>
      </c>
      <c r="R909">
        <v>0</v>
      </c>
      <c r="S909">
        <v>0</v>
      </c>
    </row>
    <row r="910" spans="1:19" hidden="1" x14ac:dyDescent="0.35">
      <c r="A910">
        <v>56043937100</v>
      </c>
      <c r="B910" t="s">
        <v>921</v>
      </c>
      <c r="C910" t="str">
        <f>_xlfn.XLOOKUP(A910,[1]Affiliations!$J$2:$J$5328,[1]Affiliations!$K$2:$K$5328,0)</f>
        <v>Federal University of Rio de Janeiro</v>
      </c>
      <c r="D910">
        <v>2</v>
      </c>
      <c r="E910">
        <v>130</v>
      </c>
      <c r="F910">
        <v>65</v>
      </c>
      <c r="G910">
        <v>3</v>
      </c>
      <c r="H910">
        <v>1.05</v>
      </c>
      <c r="I910">
        <v>0</v>
      </c>
      <c r="J910">
        <v>1</v>
      </c>
      <c r="K910">
        <v>1</v>
      </c>
      <c r="L910">
        <v>1</v>
      </c>
      <c r="M910">
        <v>2</v>
      </c>
      <c r="N910">
        <v>2</v>
      </c>
      <c r="P910">
        <v>0</v>
      </c>
      <c r="Q910">
        <v>1</v>
      </c>
      <c r="R910">
        <v>1</v>
      </c>
      <c r="S910">
        <v>2</v>
      </c>
    </row>
    <row r="911" spans="1:19" hidden="1" x14ac:dyDescent="0.35">
      <c r="A911">
        <v>57207797826</v>
      </c>
      <c r="B911" t="s">
        <v>922</v>
      </c>
      <c r="C911" t="str">
        <f>_xlfn.XLOOKUP(A911,[1]Affiliations!$J$2:$J$5328,[1]Affiliations!$K$2:$K$5328,0)</f>
        <v>Federal University of Rio de Janeiro</v>
      </c>
      <c r="D911">
        <v>3</v>
      </c>
      <c r="E911">
        <v>84</v>
      </c>
      <c r="F911">
        <v>28</v>
      </c>
      <c r="G911">
        <v>3</v>
      </c>
      <c r="H911">
        <v>1.47</v>
      </c>
      <c r="I911">
        <v>0</v>
      </c>
      <c r="J911">
        <v>1</v>
      </c>
      <c r="K911">
        <v>1</v>
      </c>
      <c r="L911">
        <v>1</v>
      </c>
      <c r="M911">
        <v>1</v>
      </c>
      <c r="N911">
        <v>1</v>
      </c>
      <c r="P911">
        <v>0</v>
      </c>
      <c r="Q911">
        <v>1</v>
      </c>
      <c r="R911">
        <v>1</v>
      </c>
      <c r="S911">
        <v>2</v>
      </c>
    </row>
    <row r="912" spans="1:19" hidden="1" x14ac:dyDescent="0.35">
      <c r="A912">
        <v>36569981800</v>
      </c>
      <c r="B912" t="s">
        <v>923</v>
      </c>
      <c r="C912" t="str">
        <f>_xlfn.XLOOKUP(A912,[1]Affiliations!$J$2:$J$5328,[1]Affiliations!$K$2:$K$5328,0)</f>
        <v>Universidade Federal de Pelotas</v>
      </c>
      <c r="D912">
        <v>3</v>
      </c>
      <c r="E912">
        <v>39</v>
      </c>
      <c r="F912">
        <v>13</v>
      </c>
      <c r="G912">
        <v>4</v>
      </c>
      <c r="H912">
        <v>0.88</v>
      </c>
      <c r="I912">
        <v>0</v>
      </c>
      <c r="J912">
        <v>0</v>
      </c>
      <c r="K912">
        <v>0</v>
      </c>
      <c r="L912">
        <v>0</v>
      </c>
      <c r="M912">
        <v>2</v>
      </c>
      <c r="N912">
        <v>2</v>
      </c>
      <c r="P912">
        <v>0</v>
      </c>
      <c r="Q912">
        <v>0</v>
      </c>
      <c r="R912">
        <v>0</v>
      </c>
      <c r="S912">
        <v>1</v>
      </c>
    </row>
    <row r="913" spans="1:19" x14ac:dyDescent="0.35">
      <c r="A913">
        <v>56600355100</v>
      </c>
      <c r="B913" t="s">
        <v>2534</v>
      </c>
      <c r="C913" t="str">
        <f>_xlfn.XLOOKUP(A913,[1]Affiliations!$J$2:$J$5328,[1]Affiliations!$K$2:$K$5328,0)</f>
        <v>Universidade Tecnológica Federal do Paraná</v>
      </c>
      <c r="D913">
        <v>13</v>
      </c>
      <c r="E913">
        <v>211</v>
      </c>
      <c r="F913">
        <v>16.23077</v>
      </c>
      <c r="G913">
        <v>7</v>
      </c>
      <c r="H913">
        <v>1.28</v>
      </c>
      <c r="I913">
        <v>0</v>
      </c>
      <c r="J913">
        <v>0</v>
      </c>
      <c r="K913">
        <v>4</v>
      </c>
      <c r="L913">
        <v>9</v>
      </c>
      <c r="M913">
        <v>9</v>
      </c>
      <c r="N913">
        <v>9</v>
      </c>
      <c r="P913">
        <v>0</v>
      </c>
      <c r="Q913">
        <v>1</v>
      </c>
      <c r="R913">
        <v>3</v>
      </c>
      <c r="S913">
        <v>5</v>
      </c>
    </row>
    <row r="914" spans="1:19" x14ac:dyDescent="0.35">
      <c r="A914">
        <v>57668047800</v>
      </c>
      <c r="B914" t="s">
        <v>2744</v>
      </c>
      <c r="C914" t="str">
        <f>_xlfn.XLOOKUP(A914,[1]Affiliations!$J$2:$J$5328,[1]Affiliations!$K$2:$K$5328,0)</f>
        <v>Centro Brasileiro de Pesquisas Físicas</v>
      </c>
      <c r="D914">
        <v>6</v>
      </c>
      <c r="E914">
        <v>58</v>
      </c>
      <c r="F914">
        <v>9.6666670000000003</v>
      </c>
      <c r="G914">
        <v>4</v>
      </c>
      <c r="H914">
        <v>1.28</v>
      </c>
      <c r="I914">
        <v>0</v>
      </c>
      <c r="J914">
        <v>0</v>
      </c>
      <c r="K914">
        <v>2</v>
      </c>
      <c r="L914">
        <v>5</v>
      </c>
      <c r="M914">
        <v>6</v>
      </c>
      <c r="N914">
        <v>6</v>
      </c>
      <c r="P914">
        <v>0</v>
      </c>
      <c r="Q914">
        <v>0</v>
      </c>
      <c r="R914">
        <v>1</v>
      </c>
      <c r="S914">
        <v>3</v>
      </c>
    </row>
    <row r="915" spans="1:19" x14ac:dyDescent="0.35">
      <c r="A915">
        <v>56595334600</v>
      </c>
      <c r="B915" t="s">
        <v>2803</v>
      </c>
      <c r="C915" t="str">
        <f>_xlfn.XLOOKUP(A915,[1]Affiliations!$J$2:$J$5328,[1]Affiliations!$K$2:$K$5328,0)</f>
        <v>Universidade Estadual Paulista “Júlio de Mesquita Filho” (+1 more)</v>
      </c>
      <c r="D915">
        <v>20</v>
      </c>
      <c r="E915">
        <v>677</v>
      </c>
      <c r="F915">
        <v>33.85</v>
      </c>
      <c r="G915">
        <v>12</v>
      </c>
      <c r="H915">
        <v>1.28</v>
      </c>
      <c r="I915">
        <v>1</v>
      </c>
      <c r="J915">
        <v>4</v>
      </c>
      <c r="K915">
        <v>10</v>
      </c>
      <c r="L915">
        <v>17</v>
      </c>
      <c r="M915">
        <v>17</v>
      </c>
      <c r="N915">
        <v>20</v>
      </c>
      <c r="P915">
        <v>0</v>
      </c>
      <c r="Q915">
        <v>2</v>
      </c>
      <c r="R915">
        <v>5</v>
      </c>
      <c r="S915">
        <v>9</v>
      </c>
    </row>
    <row r="916" spans="1:19" x14ac:dyDescent="0.35">
      <c r="A916">
        <v>57657886400</v>
      </c>
      <c r="B916" t="s">
        <v>3010</v>
      </c>
      <c r="C916" t="str">
        <f>_xlfn.XLOOKUP(A916,[1]Affiliations!$J$2:$J$5328,[1]Affiliations!$K$2:$K$5328,0)</f>
        <v>Vizlab - X-Reality and GeoInformatics Lab (+1 more)</v>
      </c>
      <c r="D916">
        <v>5</v>
      </c>
      <c r="E916">
        <v>84</v>
      </c>
      <c r="F916">
        <v>16.8</v>
      </c>
      <c r="G916">
        <v>4</v>
      </c>
      <c r="H916">
        <v>1.28</v>
      </c>
      <c r="I916">
        <v>1</v>
      </c>
      <c r="J916">
        <v>1</v>
      </c>
      <c r="K916">
        <v>2</v>
      </c>
      <c r="L916">
        <v>4</v>
      </c>
      <c r="M916">
        <v>5</v>
      </c>
      <c r="N916">
        <v>5</v>
      </c>
      <c r="P916">
        <v>0</v>
      </c>
      <c r="Q916">
        <v>1</v>
      </c>
      <c r="R916">
        <v>2</v>
      </c>
      <c r="S916">
        <v>3</v>
      </c>
    </row>
    <row r="917" spans="1:19" hidden="1" x14ac:dyDescent="0.35">
      <c r="A917">
        <v>57199570128</v>
      </c>
      <c r="B917" t="s">
        <v>928</v>
      </c>
      <c r="C917" t="str">
        <f>_xlfn.XLOOKUP(A917,[1]Affiliations!$J$2:$J$5328,[1]Affiliations!$K$2:$K$5328,0)</f>
        <v>Federal University of Rio de Janeiro</v>
      </c>
      <c r="D917">
        <v>4</v>
      </c>
      <c r="E917">
        <v>37</v>
      </c>
      <c r="F917">
        <v>9.25</v>
      </c>
      <c r="G917">
        <v>3</v>
      </c>
      <c r="H917">
        <v>0.68</v>
      </c>
      <c r="I917">
        <v>0</v>
      </c>
      <c r="J917">
        <v>0</v>
      </c>
      <c r="K917">
        <v>0</v>
      </c>
      <c r="L917">
        <v>0</v>
      </c>
      <c r="M917">
        <v>2</v>
      </c>
      <c r="N917">
        <v>3</v>
      </c>
      <c r="P917">
        <v>0</v>
      </c>
      <c r="Q917">
        <v>0</v>
      </c>
      <c r="R917">
        <v>0</v>
      </c>
      <c r="S917">
        <v>1</v>
      </c>
    </row>
    <row r="918" spans="1:19" x14ac:dyDescent="0.35">
      <c r="A918">
        <v>57205281813</v>
      </c>
      <c r="B918" t="s">
        <v>3265</v>
      </c>
      <c r="C918" t="str">
        <f>_xlfn.XLOOKUP(A918,[1]Affiliations!$J$2:$J$5328,[1]Affiliations!$K$2:$K$5328,0)</f>
        <v>Pontifical Catholic University of Rio de Janeiro (+1 more)</v>
      </c>
      <c r="D918">
        <v>37</v>
      </c>
      <c r="E918">
        <v>573</v>
      </c>
      <c r="F918">
        <v>15.486485999999999</v>
      </c>
      <c r="G918">
        <v>14</v>
      </c>
      <c r="H918">
        <v>1.28</v>
      </c>
      <c r="I918">
        <v>1</v>
      </c>
      <c r="J918">
        <v>5</v>
      </c>
      <c r="K918">
        <v>17</v>
      </c>
      <c r="L918">
        <v>25</v>
      </c>
      <c r="M918">
        <v>25</v>
      </c>
      <c r="N918">
        <v>25</v>
      </c>
      <c r="P918">
        <v>0</v>
      </c>
      <c r="Q918">
        <v>2</v>
      </c>
      <c r="R918">
        <v>5</v>
      </c>
      <c r="S918">
        <v>18</v>
      </c>
    </row>
    <row r="919" spans="1:19" hidden="1" x14ac:dyDescent="0.35">
      <c r="A919">
        <v>36730097800</v>
      </c>
      <c r="B919" t="s">
        <v>930</v>
      </c>
      <c r="C919" t="str">
        <f>_xlfn.XLOOKUP(A919,[1]Affiliations!$J$2:$J$5328,[1]Affiliations!$K$2:$K$5328,0)</f>
        <v>Universidade Federal do Rio Grande do Sul</v>
      </c>
      <c r="D919">
        <v>56</v>
      </c>
      <c r="E919">
        <v>463</v>
      </c>
      <c r="F919">
        <v>8.2678580000000004</v>
      </c>
      <c r="G919">
        <v>16</v>
      </c>
      <c r="H919">
        <v>0.42</v>
      </c>
      <c r="I919">
        <v>0</v>
      </c>
      <c r="J919">
        <v>2</v>
      </c>
      <c r="K919">
        <v>10</v>
      </c>
      <c r="L919">
        <v>27</v>
      </c>
      <c r="M919">
        <v>45</v>
      </c>
      <c r="N919">
        <v>49</v>
      </c>
      <c r="P919">
        <v>0</v>
      </c>
      <c r="Q919">
        <v>0</v>
      </c>
      <c r="R919">
        <v>0</v>
      </c>
      <c r="S919">
        <v>7</v>
      </c>
    </row>
    <row r="920" spans="1:19" hidden="1" x14ac:dyDescent="0.35">
      <c r="A920">
        <v>57200340152</v>
      </c>
      <c r="B920" t="s">
        <v>931</v>
      </c>
      <c r="C920" t="str">
        <f>_xlfn.XLOOKUP(A920,[1]Affiliations!$J$2:$J$5328,[1]Affiliations!$K$2:$K$5328,0)</f>
        <v>Serviço Nacional de Aprendizagem Industrial</v>
      </c>
      <c r="D920">
        <v>2</v>
      </c>
      <c r="E920">
        <v>0</v>
      </c>
      <c r="F920">
        <v>0</v>
      </c>
      <c r="G920">
        <v>0</v>
      </c>
      <c r="H920">
        <v>0</v>
      </c>
      <c r="P920">
        <v>0</v>
      </c>
      <c r="Q920">
        <v>0</v>
      </c>
      <c r="R920">
        <v>0</v>
      </c>
      <c r="S920">
        <v>0</v>
      </c>
    </row>
    <row r="921" spans="1:19" hidden="1" x14ac:dyDescent="0.35">
      <c r="A921">
        <v>26425023000</v>
      </c>
      <c r="B921" t="s">
        <v>932</v>
      </c>
      <c r="C921" t="str">
        <f>_xlfn.XLOOKUP(A921,[1]Affiliations!$J$2:$J$5328,[1]Affiliations!$K$2:$K$5328,0)</f>
        <v>Federal University of Santa Catarina</v>
      </c>
      <c r="D921">
        <v>20</v>
      </c>
      <c r="E921">
        <v>295</v>
      </c>
      <c r="F921">
        <v>14.75</v>
      </c>
      <c r="G921">
        <v>10</v>
      </c>
      <c r="H921">
        <v>0.55000000000000004</v>
      </c>
      <c r="I921">
        <v>1</v>
      </c>
      <c r="J921">
        <v>1</v>
      </c>
      <c r="K921">
        <v>5</v>
      </c>
      <c r="L921">
        <v>10</v>
      </c>
      <c r="M921">
        <v>17</v>
      </c>
      <c r="N921">
        <v>19</v>
      </c>
      <c r="P921">
        <v>0</v>
      </c>
      <c r="Q921">
        <v>0</v>
      </c>
      <c r="R921">
        <v>0</v>
      </c>
      <c r="S921">
        <v>6</v>
      </c>
    </row>
    <row r="922" spans="1:19" hidden="1" x14ac:dyDescent="0.35">
      <c r="A922">
        <v>55921256000</v>
      </c>
      <c r="B922" t="s">
        <v>933</v>
      </c>
      <c r="C922" t="str">
        <f>_xlfn.XLOOKUP(A922,[1]Affiliations!$J$2:$J$5328,[1]Affiliations!$K$2:$K$5328,0)</f>
        <v>Universidade Federal de Santa Maria</v>
      </c>
      <c r="D922">
        <v>5</v>
      </c>
      <c r="E922">
        <v>76</v>
      </c>
      <c r="F922">
        <v>15.2</v>
      </c>
      <c r="G922">
        <v>5</v>
      </c>
      <c r="H922">
        <v>0.8</v>
      </c>
      <c r="I922">
        <v>0</v>
      </c>
      <c r="J922">
        <v>1</v>
      </c>
      <c r="K922">
        <v>3</v>
      </c>
      <c r="L922">
        <v>5</v>
      </c>
      <c r="M922">
        <v>5</v>
      </c>
      <c r="N922">
        <v>5</v>
      </c>
      <c r="P922">
        <v>0</v>
      </c>
      <c r="Q922">
        <v>0</v>
      </c>
      <c r="R922">
        <v>0</v>
      </c>
      <c r="S922">
        <v>3</v>
      </c>
    </row>
    <row r="923" spans="1:19" x14ac:dyDescent="0.35">
      <c r="A923">
        <v>57056458100</v>
      </c>
      <c r="B923" t="s">
        <v>3328</v>
      </c>
      <c r="C923" t="str">
        <f>_xlfn.XLOOKUP(A923,[1]Affiliations!$J$2:$J$5328,[1]Affiliations!$K$2:$K$5328,0)</f>
        <v>Federal University of Rio de Janeiro</v>
      </c>
      <c r="D923">
        <v>44</v>
      </c>
      <c r="E923">
        <v>980</v>
      </c>
      <c r="F923">
        <v>22.272728000000001</v>
      </c>
      <c r="G923">
        <v>18</v>
      </c>
      <c r="H923">
        <v>1.28</v>
      </c>
      <c r="I923">
        <v>3</v>
      </c>
      <c r="J923">
        <v>8</v>
      </c>
      <c r="K923">
        <v>11</v>
      </c>
      <c r="L923">
        <v>18</v>
      </c>
      <c r="M923">
        <v>24</v>
      </c>
      <c r="N923">
        <v>33</v>
      </c>
      <c r="P923">
        <v>1</v>
      </c>
      <c r="Q923">
        <v>5</v>
      </c>
      <c r="R923">
        <v>6</v>
      </c>
      <c r="S923">
        <v>18</v>
      </c>
    </row>
    <row r="924" spans="1:19" hidden="1" x14ac:dyDescent="0.35">
      <c r="A924">
        <v>56094305400</v>
      </c>
      <c r="B924" t="s">
        <v>935</v>
      </c>
      <c r="C924" t="str">
        <f>_xlfn.XLOOKUP(A924,[1]Affiliations!$J$2:$J$5328,[1]Affiliations!$K$2:$K$5328,0)</f>
        <v>Intelie</v>
      </c>
      <c r="D924">
        <v>4</v>
      </c>
      <c r="E924">
        <v>2</v>
      </c>
      <c r="F924">
        <v>0.5</v>
      </c>
      <c r="G924">
        <v>2</v>
      </c>
      <c r="H924">
        <v>0.21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2</v>
      </c>
      <c r="P924">
        <v>0</v>
      </c>
      <c r="Q924">
        <v>0</v>
      </c>
      <c r="R924">
        <v>0</v>
      </c>
      <c r="S924">
        <v>0</v>
      </c>
    </row>
    <row r="925" spans="1:19" hidden="1" x14ac:dyDescent="0.35">
      <c r="A925">
        <v>57205283546</v>
      </c>
      <c r="B925" t="s">
        <v>936</v>
      </c>
      <c r="C925" t="str">
        <f>_xlfn.XLOOKUP(A925,[1]Affiliations!$J$2:$J$5328,[1]Affiliations!$K$2:$K$5328,0)</f>
        <v>Universidade Estadual Paulista “Júlio de Mesquita Filho”</v>
      </c>
      <c r="D925">
        <v>18</v>
      </c>
      <c r="E925">
        <v>187</v>
      </c>
      <c r="F925">
        <v>10.388889000000001</v>
      </c>
      <c r="G925">
        <v>9</v>
      </c>
      <c r="H925">
        <v>0.93</v>
      </c>
      <c r="I925">
        <v>1</v>
      </c>
      <c r="J925">
        <v>4</v>
      </c>
      <c r="K925">
        <v>10</v>
      </c>
      <c r="L925">
        <v>10</v>
      </c>
      <c r="M925">
        <v>11</v>
      </c>
      <c r="N925">
        <v>11</v>
      </c>
      <c r="P925">
        <v>0</v>
      </c>
      <c r="Q925">
        <v>0</v>
      </c>
      <c r="R925">
        <v>0</v>
      </c>
      <c r="S925">
        <v>8</v>
      </c>
    </row>
    <row r="926" spans="1:19" hidden="1" x14ac:dyDescent="0.35">
      <c r="A926">
        <v>36061592100</v>
      </c>
      <c r="B926" t="s">
        <v>937</v>
      </c>
      <c r="C926" t="str">
        <f>_xlfn.XLOOKUP(A926,[1]Affiliations!$J$2:$J$5328,[1]Affiliations!$K$2:$K$5328,0)</f>
        <v>Simeros Technologies (+1 more)</v>
      </c>
      <c r="D926">
        <v>6</v>
      </c>
      <c r="E926">
        <v>11</v>
      </c>
      <c r="F926">
        <v>1.8333333999999999</v>
      </c>
      <c r="G926">
        <v>4</v>
      </c>
      <c r="H926">
        <v>0.59</v>
      </c>
      <c r="I926">
        <v>0</v>
      </c>
      <c r="J926">
        <v>0</v>
      </c>
      <c r="K926">
        <v>0</v>
      </c>
      <c r="L926">
        <v>0</v>
      </c>
      <c r="M926">
        <v>1</v>
      </c>
      <c r="N926">
        <v>5</v>
      </c>
      <c r="P926">
        <v>0</v>
      </c>
      <c r="Q926">
        <v>0</v>
      </c>
      <c r="R926">
        <v>0</v>
      </c>
      <c r="S926">
        <v>0</v>
      </c>
    </row>
    <row r="927" spans="1:19" x14ac:dyDescent="0.35">
      <c r="A927">
        <v>6603652599</v>
      </c>
      <c r="B927" t="s">
        <v>3382</v>
      </c>
      <c r="C927" t="str">
        <f>_xlfn.XLOOKUP(A927,[1]Affiliations!$J$2:$J$5328,[1]Affiliations!$K$2:$K$5328,0)</f>
        <v>Universidade do Estado do Rio de Janeiro (+2 more)</v>
      </c>
      <c r="D927">
        <v>25</v>
      </c>
      <c r="E927">
        <v>365</v>
      </c>
      <c r="F927">
        <v>14.6</v>
      </c>
      <c r="G927">
        <v>26</v>
      </c>
      <c r="H927">
        <v>1.28</v>
      </c>
      <c r="I927">
        <v>1</v>
      </c>
      <c r="J927">
        <v>1</v>
      </c>
      <c r="K927">
        <v>1</v>
      </c>
      <c r="L927">
        <v>6</v>
      </c>
      <c r="M927">
        <v>20</v>
      </c>
      <c r="N927">
        <v>20</v>
      </c>
      <c r="P927">
        <v>0</v>
      </c>
      <c r="Q927">
        <v>2</v>
      </c>
      <c r="R927">
        <v>4</v>
      </c>
      <c r="S927">
        <v>7</v>
      </c>
    </row>
    <row r="928" spans="1:19" hidden="1" x14ac:dyDescent="0.35">
      <c r="A928">
        <v>57191204978</v>
      </c>
      <c r="B928" t="s">
        <v>939</v>
      </c>
      <c r="C928" t="str">
        <f>_xlfn.XLOOKUP(A928,[1]Affiliations!$J$2:$J$5328,[1]Affiliations!$K$2:$K$5328,0)</f>
        <v>Pontifícia Universidade Católica do Rio Grande do Sul</v>
      </c>
      <c r="D928">
        <v>3</v>
      </c>
      <c r="E928">
        <v>81</v>
      </c>
      <c r="F928">
        <v>27</v>
      </c>
      <c r="G928">
        <v>3</v>
      </c>
      <c r="H928">
        <v>1.29</v>
      </c>
      <c r="I928">
        <v>0</v>
      </c>
      <c r="J928">
        <v>0</v>
      </c>
      <c r="K928">
        <v>1</v>
      </c>
      <c r="L928">
        <v>2</v>
      </c>
      <c r="M928">
        <v>2</v>
      </c>
      <c r="N928">
        <v>3</v>
      </c>
      <c r="P928">
        <v>0</v>
      </c>
      <c r="Q928">
        <v>0</v>
      </c>
      <c r="R928">
        <v>0</v>
      </c>
      <c r="S928">
        <v>2</v>
      </c>
    </row>
    <row r="929" spans="1:19" x14ac:dyDescent="0.35">
      <c r="A929">
        <v>7801672972</v>
      </c>
      <c r="B929" t="s">
        <v>4073</v>
      </c>
      <c r="C929" t="str">
        <f>_xlfn.XLOOKUP(A929,[1]Affiliations!$J$2:$J$5328,[1]Affiliations!$K$2:$K$5328,0)</f>
        <v>Universidade Federal do Espírito Santo</v>
      </c>
      <c r="D929">
        <v>43</v>
      </c>
      <c r="E929">
        <v>1180</v>
      </c>
      <c r="F929">
        <v>27.441859999999998</v>
      </c>
      <c r="G929">
        <v>22</v>
      </c>
      <c r="H929">
        <v>1.28</v>
      </c>
      <c r="I929">
        <v>0</v>
      </c>
      <c r="J929">
        <v>10</v>
      </c>
      <c r="K929">
        <v>13</v>
      </c>
      <c r="L929">
        <v>26</v>
      </c>
      <c r="M929">
        <v>33</v>
      </c>
      <c r="N929">
        <v>37</v>
      </c>
      <c r="P929">
        <v>0</v>
      </c>
      <c r="Q929">
        <v>4</v>
      </c>
      <c r="R929">
        <v>9</v>
      </c>
      <c r="S929">
        <v>23</v>
      </c>
    </row>
    <row r="930" spans="1:19" hidden="1" x14ac:dyDescent="0.35">
      <c r="A930">
        <v>57705578000</v>
      </c>
      <c r="B930" t="s">
        <v>941</v>
      </c>
      <c r="C930" t="str">
        <f>_xlfn.XLOOKUP(A930,[1]Affiliations!$J$2:$J$5328,[1]Affiliations!$K$2:$K$5328,0)</f>
        <v>Universidade Federal de São João del-Rei</v>
      </c>
      <c r="D930">
        <v>1</v>
      </c>
      <c r="E930">
        <v>1</v>
      </c>
      <c r="F930">
        <v>1</v>
      </c>
      <c r="G930">
        <v>1</v>
      </c>
      <c r="H930">
        <v>7.0000000000000007E-2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P930">
        <v>0</v>
      </c>
      <c r="Q930">
        <v>0</v>
      </c>
      <c r="R930">
        <v>0</v>
      </c>
      <c r="S930">
        <v>0</v>
      </c>
    </row>
    <row r="931" spans="1:19" hidden="1" x14ac:dyDescent="0.35">
      <c r="A931">
        <v>57219547804</v>
      </c>
      <c r="B931" t="s">
        <v>942</v>
      </c>
      <c r="C931" t="str">
        <f>_xlfn.XLOOKUP(A931,[1]Affiliations!$J$2:$J$5328,[1]Affiliations!$K$2:$K$5328,0)</f>
        <v>Federal University of Rio de Janeiro</v>
      </c>
      <c r="D931">
        <v>1</v>
      </c>
      <c r="E931">
        <v>14</v>
      </c>
      <c r="F931">
        <v>14</v>
      </c>
      <c r="G931">
        <v>1</v>
      </c>
      <c r="H931">
        <v>0.36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P931">
        <v>0</v>
      </c>
      <c r="Q931">
        <v>0</v>
      </c>
      <c r="R931">
        <v>0</v>
      </c>
      <c r="S931">
        <v>0</v>
      </c>
    </row>
    <row r="932" spans="1:19" hidden="1" x14ac:dyDescent="0.35">
      <c r="A932">
        <v>57988218700</v>
      </c>
      <c r="B932" t="s">
        <v>943</v>
      </c>
      <c r="C932" t="str">
        <f>_xlfn.XLOOKUP(A932,[1]Affiliations!$J$2:$J$5328,[1]Affiliations!$K$2:$K$5328,0)</f>
        <v>TotalEnergies E&amp;P do Brasil Ltda</v>
      </c>
      <c r="D932">
        <v>1</v>
      </c>
      <c r="E932">
        <v>0</v>
      </c>
      <c r="F932">
        <v>0</v>
      </c>
      <c r="G932">
        <v>0</v>
      </c>
      <c r="H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5">
      <c r="A933">
        <v>57189712405</v>
      </c>
      <c r="B933" t="s">
        <v>4760</v>
      </c>
      <c r="C933" t="str">
        <f>_xlfn.XLOOKUP(A933,[1]Affiliations!$J$2:$J$5328,[1]Affiliations!$K$2:$K$5328,0)</f>
        <v>Universidade Federal de São João del-Rei (+1 more)</v>
      </c>
      <c r="D933">
        <v>46</v>
      </c>
      <c r="E933">
        <v>1239</v>
      </c>
      <c r="F933">
        <v>26.934781999999998</v>
      </c>
      <c r="G933">
        <v>19</v>
      </c>
      <c r="H933">
        <v>1.28</v>
      </c>
      <c r="I933">
        <v>0</v>
      </c>
      <c r="J933">
        <v>4</v>
      </c>
      <c r="K933">
        <v>12</v>
      </c>
      <c r="L933">
        <v>35</v>
      </c>
      <c r="M933">
        <v>38</v>
      </c>
      <c r="N933">
        <v>39</v>
      </c>
      <c r="P933">
        <v>0</v>
      </c>
      <c r="Q933">
        <v>4</v>
      </c>
      <c r="R933">
        <v>10</v>
      </c>
      <c r="S933">
        <v>25</v>
      </c>
    </row>
    <row r="934" spans="1:19" hidden="1" x14ac:dyDescent="0.35">
      <c r="A934">
        <v>59833162000</v>
      </c>
      <c r="B934" t="s">
        <v>945</v>
      </c>
      <c r="C934" t="str">
        <f>_xlfn.XLOOKUP(A934,[1]Affiliations!$J$2:$J$5328,[1]Affiliations!$K$2:$K$5328,0)</f>
        <v>Federal University of Santa Catarina</v>
      </c>
      <c r="D934">
        <v>1</v>
      </c>
      <c r="E934">
        <v>6</v>
      </c>
      <c r="F934">
        <v>6</v>
      </c>
      <c r="G934">
        <v>1</v>
      </c>
      <c r="H934">
        <v>0.39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P934">
        <v>0</v>
      </c>
      <c r="Q934">
        <v>0</v>
      </c>
      <c r="R934">
        <v>0</v>
      </c>
      <c r="S934">
        <v>0</v>
      </c>
    </row>
    <row r="935" spans="1:19" hidden="1" x14ac:dyDescent="0.35">
      <c r="A935">
        <v>57947670500</v>
      </c>
      <c r="B935" t="s">
        <v>946</v>
      </c>
      <c r="C935" t="str">
        <f>_xlfn.XLOOKUP(A935,[1]Affiliations!$J$2:$J$5328,[1]Affiliations!$K$2:$K$5328,0)</f>
        <v>Pontifical Catholic University of Rio de Janeiro</v>
      </c>
      <c r="D935">
        <v>6</v>
      </c>
      <c r="E935">
        <v>47</v>
      </c>
      <c r="F935">
        <v>7.8333335000000002</v>
      </c>
      <c r="G935">
        <v>6</v>
      </c>
      <c r="H935">
        <v>3.68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4</v>
      </c>
      <c r="P935">
        <v>0</v>
      </c>
      <c r="Q935">
        <v>0</v>
      </c>
      <c r="R935">
        <v>1</v>
      </c>
      <c r="S935">
        <v>4</v>
      </c>
    </row>
    <row r="936" spans="1:19" hidden="1" x14ac:dyDescent="0.35">
      <c r="A936">
        <v>57843929600</v>
      </c>
      <c r="B936" t="s">
        <v>947</v>
      </c>
      <c r="C936" t="str">
        <f>_xlfn.XLOOKUP(A936,[1]Affiliations!$J$2:$J$5328,[1]Affiliations!$K$2:$K$5328,0)</f>
        <v>Universidade Federal do Espírito Santo</v>
      </c>
      <c r="D936">
        <v>1</v>
      </c>
      <c r="E936">
        <v>4</v>
      </c>
      <c r="F936">
        <v>4</v>
      </c>
      <c r="G936">
        <v>1</v>
      </c>
      <c r="H936">
        <v>0.25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P936">
        <v>0</v>
      </c>
      <c r="Q936">
        <v>0</v>
      </c>
      <c r="R936">
        <v>0</v>
      </c>
      <c r="S936">
        <v>0</v>
      </c>
    </row>
    <row r="937" spans="1:19" hidden="1" x14ac:dyDescent="0.35">
      <c r="A937">
        <v>59500326700</v>
      </c>
      <c r="B937" t="s">
        <v>948</v>
      </c>
      <c r="C937" t="str">
        <f>_xlfn.XLOOKUP(A937,[1]Affiliations!$J$2:$J$5328,[1]Affiliations!$K$2:$K$5328,0)</f>
        <v>Federal University of Rio de Janeiro</v>
      </c>
      <c r="D937">
        <v>0</v>
      </c>
      <c r="G937">
        <v>0</v>
      </c>
    </row>
    <row r="938" spans="1:19" hidden="1" x14ac:dyDescent="0.35">
      <c r="A938">
        <v>57541503100</v>
      </c>
      <c r="B938" t="s">
        <v>949</v>
      </c>
      <c r="C938" t="str">
        <f>_xlfn.XLOOKUP(A938,[1]Affiliations!$J$2:$J$5328,[1]Affiliations!$K$2:$K$5328,0)</f>
        <v>Tecgraf Institute/ PUC-Rio (+1 more)</v>
      </c>
      <c r="D938">
        <v>2</v>
      </c>
      <c r="E938">
        <v>1</v>
      </c>
      <c r="F938">
        <v>0.5</v>
      </c>
      <c r="G938">
        <v>1</v>
      </c>
      <c r="H938">
        <v>0.35</v>
      </c>
      <c r="P938">
        <v>0</v>
      </c>
      <c r="Q938">
        <v>0</v>
      </c>
      <c r="R938">
        <v>0</v>
      </c>
      <c r="S938">
        <v>0</v>
      </c>
    </row>
    <row r="939" spans="1:19" x14ac:dyDescent="0.35">
      <c r="A939">
        <v>57220045646</v>
      </c>
      <c r="B939" t="s">
        <v>4995</v>
      </c>
      <c r="C939" t="str">
        <f>_xlfn.XLOOKUP(A939,[1]Affiliations!$J$2:$J$5328,[1]Affiliations!$K$2:$K$5328,0)</f>
        <v>Federal University of Rio de Janeiro</v>
      </c>
      <c r="D939">
        <v>233</v>
      </c>
      <c r="E939">
        <v>6621</v>
      </c>
      <c r="F939">
        <v>28.416309999999999</v>
      </c>
      <c r="G939">
        <v>66</v>
      </c>
      <c r="H939">
        <v>1.28</v>
      </c>
      <c r="I939">
        <v>6</v>
      </c>
      <c r="J939">
        <v>56</v>
      </c>
      <c r="K939">
        <v>74</v>
      </c>
      <c r="L939">
        <v>105</v>
      </c>
      <c r="M939">
        <v>144</v>
      </c>
      <c r="N939">
        <v>185</v>
      </c>
      <c r="P939">
        <v>4</v>
      </c>
      <c r="Q939">
        <v>26</v>
      </c>
      <c r="R939">
        <v>62</v>
      </c>
      <c r="S939">
        <v>101</v>
      </c>
    </row>
    <row r="940" spans="1:19" x14ac:dyDescent="0.35">
      <c r="A940">
        <v>7401785872</v>
      </c>
      <c r="B940" t="s">
        <v>5012</v>
      </c>
      <c r="C940" t="str">
        <f>_xlfn.XLOOKUP(A940,[1]Affiliations!$J$2:$J$5328,[1]Affiliations!$K$2:$K$5328,0)</f>
        <v>Federal University of Rio de Janeiro</v>
      </c>
      <c r="D940">
        <v>55</v>
      </c>
      <c r="E940">
        <v>1921</v>
      </c>
      <c r="F940">
        <v>34.927273</v>
      </c>
      <c r="G940">
        <v>33</v>
      </c>
      <c r="H940">
        <v>1.28</v>
      </c>
      <c r="I940">
        <v>0</v>
      </c>
      <c r="J940">
        <v>9</v>
      </c>
      <c r="K940">
        <v>15</v>
      </c>
      <c r="L940">
        <v>41</v>
      </c>
      <c r="M940">
        <v>48</v>
      </c>
      <c r="N940">
        <v>53</v>
      </c>
      <c r="P940">
        <v>0</v>
      </c>
      <c r="Q940">
        <v>5</v>
      </c>
      <c r="R940">
        <v>14</v>
      </c>
      <c r="S940">
        <v>37</v>
      </c>
    </row>
    <row r="941" spans="1:19" x14ac:dyDescent="0.35">
      <c r="A941">
        <v>56596296700</v>
      </c>
      <c r="B941" t="s">
        <v>5047</v>
      </c>
      <c r="C941" t="str">
        <f>_xlfn.XLOOKUP(A941,[1]Affiliations!$J$2:$J$5328,[1]Affiliations!$K$2:$K$5328,0)</f>
        <v>Universidade de São Paulo (+1 more)</v>
      </c>
      <c r="D941">
        <v>132</v>
      </c>
      <c r="E941">
        <v>1107</v>
      </c>
      <c r="F941">
        <v>8.3863640000000004</v>
      </c>
      <c r="G941">
        <v>23</v>
      </c>
      <c r="H941">
        <v>1.28</v>
      </c>
      <c r="I941">
        <v>2</v>
      </c>
      <c r="J941">
        <v>8</v>
      </c>
      <c r="K941">
        <v>20</v>
      </c>
      <c r="L941">
        <v>35</v>
      </c>
      <c r="M941">
        <v>42</v>
      </c>
      <c r="N941">
        <v>88</v>
      </c>
      <c r="P941">
        <v>0</v>
      </c>
      <c r="Q941">
        <v>2</v>
      </c>
      <c r="R941">
        <v>7</v>
      </c>
      <c r="S941">
        <v>18</v>
      </c>
    </row>
    <row r="942" spans="1:19" hidden="1" x14ac:dyDescent="0.35">
      <c r="A942">
        <v>56270840900</v>
      </c>
      <c r="B942" t="s">
        <v>953</v>
      </c>
      <c r="C942" t="str">
        <f>_xlfn.XLOOKUP(A942,[1]Affiliations!$J$2:$J$5328,[1]Affiliations!$K$2:$K$5328,0)</f>
        <v>Federal University of Rio de Janeiro</v>
      </c>
      <c r="D942">
        <v>9</v>
      </c>
      <c r="E942">
        <v>102</v>
      </c>
      <c r="F942">
        <v>11.333333</v>
      </c>
      <c r="G942">
        <v>7</v>
      </c>
      <c r="H942">
        <v>0.37</v>
      </c>
      <c r="I942">
        <v>0</v>
      </c>
      <c r="J942">
        <v>0</v>
      </c>
      <c r="K942">
        <v>1</v>
      </c>
      <c r="L942">
        <v>5</v>
      </c>
      <c r="M942">
        <v>9</v>
      </c>
      <c r="N942">
        <v>9</v>
      </c>
      <c r="P942">
        <v>0</v>
      </c>
      <c r="Q942">
        <v>0</v>
      </c>
      <c r="R942">
        <v>0</v>
      </c>
      <c r="S942">
        <v>1</v>
      </c>
    </row>
    <row r="943" spans="1:19" hidden="1" x14ac:dyDescent="0.35">
      <c r="A943">
        <v>59235177800</v>
      </c>
      <c r="B943" t="s">
        <v>954</v>
      </c>
      <c r="C943" t="str">
        <f>_xlfn.XLOOKUP(A943,[1]Affiliations!$J$2:$J$5328,[1]Affiliations!$K$2:$K$5328,0)</f>
        <v>Universidade Federal do Ceará</v>
      </c>
      <c r="D943">
        <v>1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P943">
        <v>0</v>
      </c>
      <c r="Q943">
        <v>0</v>
      </c>
      <c r="R943">
        <v>0</v>
      </c>
      <c r="S943">
        <v>0</v>
      </c>
    </row>
    <row r="944" spans="1:19" hidden="1" x14ac:dyDescent="0.35">
      <c r="A944">
        <v>57222665692</v>
      </c>
      <c r="B944" t="s">
        <v>955</v>
      </c>
      <c r="C944" t="str">
        <f>_xlfn.XLOOKUP(A944,[1]Affiliations!$J$2:$J$5328,[1]Affiliations!$K$2:$K$5328,0)</f>
        <v>Universidade Federal de Itajubá</v>
      </c>
      <c r="D944">
        <v>1</v>
      </c>
      <c r="E944">
        <v>3</v>
      </c>
      <c r="F944">
        <v>3</v>
      </c>
      <c r="G944">
        <v>1</v>
      </c>
      <c r="H944">
        <v>7.0000000000000007E-2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P944">
        <v>0</v>
      </c>
      <c r="Q944">
        <v>0</v>
      </c>
      <c r="R944">
        <v>0</v>
      </c>
      <c r="S944">
        <v>0</v>
      </c>
    </row>
    <row r="945" spans="1:19" hidden="1" x14ac:dyDescent="0.35">
      <c r="A945">
        <v>57210862883</v>
      </c>
      <c r="B945" t="s">
        <v>956</v>
      </c>
      <c r="C945" t="str">
        <f>_xlfn.XLOOKUP(A945,[1]Affiliations!$J$2:$J$5328,[1]Affiliations!$K$2:$K$5328,0)</f>
        <v>Universidade Federal do Rio Grande</v>
      </c>
      <c r="D945">
        <v>1</v>
      </c>
      <c r="E945">
        <v>9</v>
      </c>
      <c r="F945">
        <v>9</v>
      </c>
      <c r="G945">
        <v>1</v>
      </c>
      <c r="H945">
        <v>0.08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P945">
        <v>0</v>
      </c>
      <c r="Q945">
        <v>0</v>
      </c>
      <c r="R945">
        <v>0</v>
      </c>
      <c r="S945">
        <v>0</v>
      </c>
    </row>
    <row r="946" spans="1:19" hidden="1" x14ac:dyDescent="0.35">
      <c r="A946">
        <v>57219146979</v>
      </c>
      <c r="B946" t="s">
        <v>957</v>
      </c>
      <c r="C946" t="str">
        <f>_xlfn.XLOOKUP(A946,[1]Affiliations!$J$2:$J$5328,[1]Affiliations!$K$2:$K$5328,0)</f>
        <v>Laboratório Nacional de Computação Científica (LNCC-MCT)</v>
      </c>
      <c r="D946">
        <v>1</v>
      </c>
      <c r="E946">
        <v>6</v>
      </c>
      <c r="F946">
        <v>6</v>
      </c>
      <c r="G946">
        <v>1</v>
      </c>
      <c r="H946">
        <v>0.42</v>
      </c>
      <c r="I946">
        <v>0</v>
      </c>
      <c r="J946">
        <v>0</v>
      </c>
      <c r="K946">
        <v>1</v>
      </c>
      <c r="L946">
        <v>1</v>
      </c>
      <c r="M946">
        <v>1</v>
      </c>
      <c r="N946">
        <v>1</v>
      </c>
      <c r="P946">
        <v>0</v>
      </c>
      <c r="Q946">
        <v>0</v>
      </c>
      <c r="R946">
        <v>0</v>
      </c>
      <c r="S946">
        <v>0</v>
      </c>
    </row>
    <row r="947" spans="1:19" hidden="1" x14ac:dyDescent="0.35">
      <c r="A947">
        <v>58199321900</v>
      </c>
      <c r="B947" t="s">
        <v>958</v>
      </c>
      <c r="C947" t="str">
        <f>_xlfn.XLOOKUP(A947,[1]Affiliations!$J$2:$J$5328,[1]Affiliations!$K$2:$K$5328,0)</f>
        <v>WIKKI Brasil LTDA</v>
      </c>
      <c r="D947">
        <v>1</v>
      </c>
      <c r="E947">
        <v>3</v>
      </c>
      <c r="F947">
        <v>3</v>
      </c>
      <c r="G947">
        <v>1</v>
      </c>
      <c r="H947">
        <v>0.45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P947">
        <v>0</v>
      </c>
      <c r="Q947">
        <v>0</v>
      </c>
      <c r="R947">
        <v>0</v>
      </c>
      <c r="S947">
        <v>0</v>
      </c>
    </row>
    <row r="948" spans="1:19" x14ac:dyDescent="0.35">
      <c r="A948">
        <v>55806202000</v>
      </c>
      <c r="B948" t="s">
        <v>5090</v>
      </c>
      <c r="C948" t="str">
        <f>_xlfn.XLOOKUP(A948,[1]Affiliations!$J$2:$J$5328,[1]Affiliations!$K$2:$K$5328,0)</f>
        <v>Universidade Federal do Espírito Santo (+1 more)</v>
      </c>
      <c r="D948">
        <v>22</v>
      </c>
      <c r="E948">
        <v>551</v>
      </c>
      <c r="F948">
        <v>25.045453999999999</v>
      </c>
      <c r="G948">
        <v>18</v>
      </c>
      <c r="H948">
        <v>1.28</v>
      </c>
      <c r="I948">
        <v>0</v>
      </c>
      <c r="J948">
        <v>4</v>
      </c>
      <c r="K948">
        <v>9</v>
      </c>
      <c r="L948">
        <v>15</v>
      </c>
      <c r="M948">
        <v>18</v>
      </c>
      <c r="N948">
        <v>22</v>
      </c>
      <c r="P948">
        <v>0</v>
      </c>
      <c r="Q948">
        <v>1</v>
      </c>
      <c r="R948">
        <v>3</v>
      </c>
      <c r="S948">
        <v>13</v>
      </c>
    </row>
    <row r="949" spans="1:19" x14ac:dyDescent="0.35">
      <c r="A949">
        <v>6506091200</v>
      </c>
      <c r="B949" t="s">
        <v>5094</v>
      </c>
      <c r="C949" t="str">
        <f>_xlfn.XLOOKUP(A949,[1]Affiliations!$J$2:$J$5328,[1]Affiliations!$K$2:$K$5328,0)</f>
        <v>Universidade Federal do Espírito Santo</v>
      </c>
      <c r="D949">
        <v>36</v>
      </c>
      <c r="E949">
        <v>846</v>
      </c>
      <c r="F949">
        <v>23.5</v>
      </c>
      <c r="G949">
        <v>14</v>
      </c>
      <c r="H949">
        <v>1.28</v>
      </c>
      <c r="I949">
        <v>1</v>
      </c>
      <c r="J949">
        <v>6</v>
      </c>
      <c r="K949">
        <v>8</v>
      </c>
      <c r="L949">
        <v>14</v>
      </c>
      <c r="M949">
        <v>16</v>
      </c>
      <c r="N949">
        <v>20</v>
      </c>
      <c r="P949">
        <v>1</v>
      </c>
      <c r="Q949">
        <v>3</v>
      </c>
      <c r="R949">
        <v>6</v>
      </c>
      <c r="S949">
        <v>10</v>
      </c>
    </row>
    <row r="950" spans="1:19" hidden="1" x14ac:dyDescent="0.35">
      <c r="A950">
        <v>56385377100</v>
      </c>
      <c r="B950" t="s">
        <v>961</v>
      </c>
      <c r="C950" t="str">
        <f>_xlfn.XLOOKUP(A950,[1]Affiliations!$J$2:$J$5328,[1]Affiliations!$K$2:$K$5328,0)</f>
        <v>Universidade Federal Fluminense</v>
      </c>
      <c r="D950">
        <v>21</v>
      </c>
      <c r="E950">
        <v>38</v>
      </c>
      <c r="F950">
        <v>1.8095238</v>
      </c>
      <c r="G950">
        <v>4</v>
      </c>
      <c r="H950">
        <v>0.09</v>
      </c>
      <c r="I950">
        <v>0</v>
      </c>
      <c r="J950">
        <v>0</v>
      </c>
      <c r="K950">
        <v>0</v>
      </c>
      <c r="L950">
        <v>1</v>
      </c>
      <c r="M950">
        <v>3</v>
      </c>
      <c r="N950">
        <v>10</v>
      </c>
      <c r="P950">
        <v>0</v>
      </c>
      <c r="Q950">
        <v>0</v>
      </c>
      <c r="R950">
        <v>0</v>
      </c>
      <c r="S950">
        <v>0</v>
      </c>
    </row>
    <row r="951" spans="1:19" x14ac:dyDescent="0.35">
      <c r="A951">
        <v>23092328600</v>
      </c>
      <c r="B951" t="s">
        <v>5149</v>
      </c>
      <c r="C951" t="str">
        <f>_xlfn.XLOOKUP(A951,[1]Affiliations!$J$2:$J$5328,[1]Affiliations!$K$2:$K$5328,0)</f>
        <v>Universidade Federal de Itajubá</v>
      </c>
      <c r="D951">
        <v>45</v>
      </c>
      <c r="E951">
        <v>1422</v>
      </c>
      <c r="F951">
        <v>31.6</v>
      </c>
      <c r="G951">
        <v>24</v>
      </c>
      <c r="H951">
        <v>1.28</v>
      </c>
      <c r="I951">
        <v>2</v>
      </c>
      <c r="J951">
        <v>20</v>
      </c>
      <c r="K951">
        <v>25</v>
      </c>
      <c r="L951">
        <v>34</v>
      </c>
      <c r="M951">
        <v>39</v>
      </c>
      <c r="N951">
        <v>41</v>
      </c>
      <c r="P951">
        <v>1</v>
      </c>
      <c r="Q951">
        <v>6</v>
      </c>
      <c r="R951">
        <v>11</v>
      </c>
      <c r="S951">
        <v>24</v>
      </c>
    </row>
    <row r="952" spans="1:19" x14ac:dyDescent="0.35">
      <c r="A952">
        <v>57209196963</v>
      </c>
      <c r="B952" t="s">
        <v>914</v>
      </c>
      <c r="C952" t="str">
        <f>_xlfn.XLOOKUP(A952,[1]Affiliations!$J$2:$J$5328,[1]Affiliations!$K$2:$K$5328,0)</f>
        <v>Universidade de São Paulo</v>
      </c>
      <c r="D952">
        <v>8</v>
      </c>
      <c r="E952">
        <v>115</v>
      </c>
      <c r="F952">
        <v>14.375</v>
      </c>
      <c r="G952">
        <v>6</v>
      </c>
      <c r="H952">
        <v>1.27</v>
      </c>
      <c r="I952">
        <v>1</v>
      </c>
      <c r="J952">
        <v>1</v>
      </c>
      <c r="K952">
        <v>2</v>
      </c>
      <c r="L952">
        <v>6</v>
      </c>
      <c r="M952">
        <v>6</v>
      </c>
      <c r="N952">
        <v>8</v>
      </c>
      <c r="P952">
        <v>0</v>
      </c>
      <c r="Q952">
        <v>0</v>
      </c>
      <c r="R952">
        <v>1</v>
      </c>
      <c r="S952">
        <v>5</v>
      </c>
    </row>
    <row r="953" spans="1:19" x14ac:dyDescent="0.35">
      <c r="A953">
        <v>26664543000</v>
      </c>
      <c r="B953" t="s">
        <v>1357</v>
      </c>
      <c r="C953" t="str">
        <f>_xlfn.XLOOKUP(A953,[1]Affiliations!$J$2:$J$5328,[1]Affiliations!$K$2:$K$5328,0)</f>
        <v>Centro Brasileiro de Pesquisas Físicas</v>
      </c>
      <c r="D953">
        <v>12</v>
      </c>
      <c r="E953">
        <v>312</v>
      </c>
      <c r="F953">
        <v>26</v>
      </c>
      <c r="G953">
        <v>10</v>
      </c>
      <c r="H953">
        <v>1.27</v>
      </c>
      <c r="I953">
        <v>0</v>
      </c>
      <c r="J953">
        <v>1</v>
      </c>
      <c r="K953">
        <v>4</v>
      </c>
      <c r="L953">
        <v>10</v>
      </c>
      <c r="M953">
        <v>11</v>
      </c>
      <c r="N953">
        <v>11</v>
      </c>
      <c r="P953">
        <v>0</v>
      </c>
      <c r="Q953">
        <v>2</v>
      </c>
      <c r="R953">
        <v>3</v>
      </c>
      <c r="S953">
        <v>8</v>
      </c>
    </row>
    <row r="954" spans="1:19" x14ac:dyDescent="0.35">
      <c r="A954">
        <v>13608254900</v>
      </c>
      <c r="B954" t="s">
        <v>2658</v>
      </c>
      <c r="C954" t="str">
        <f>_xlfn.XLOOKUP(A954,[1]Affiliations!$J$2:$J$5328,[1]Affiliations!$K$2:$K$5328,0)</f>
        <v>Empresa Brasileira de Pesquisa Agropecuária</v>
      </c>
      <c r="D954">
        <v>19</v>
      </c>
      <c r="E954">
        <v>521</v>
      </c>
      <c r="F954">
        <v>27.421053000000001</v>
      </c>
      <c r="G954">
        <v>25</v>
      </c>
      <c r="H954">
        <v>1.27</v>
      </c>
      <c r="I954">
        <v>1</v>
      </c>
      <c r="J954">
        <v>1</v>
      </c>
      <c r="K954">
        <v>2</v>
      </c>
      <c r="L954">
        <v>8</v>
      </c>
      <c r="M954">
        <v>13</v>
      </c>
      <c r="N954">
        <v>15</v>
      </c>
      <c r="P954">
        <v>0</v>
      </c>
      <c r="Q954">
        <v>2</v>
      </c>
      <c r="R954">
        <v>4</v>
      </c>
      <c r="S954">
        <v>7</v>
      </c>
    </row>
    <row r="955" spans="1:19" hidden="1" x14ac:dyDescent="0.35">
      <c r="A955">
        <v>57209688877</v>
      </c>
      <c r="B955" t="s">
        <v>966</v>
      </c>
      <c r="C955" t="str">
        <f>_xlfn.XLOOKUP(A955,[1]Affiliations!$J$2:$J$5328,[1]Affiliations!$K$2:$K$5328,0)</f>
        <v>Universidade Federal de Juiz de Fora (+1 more)</v>
      </c>
      <c r="D955">
        <v>3</v>
      </c>
      <c r="E955">
        <v>19</v>
      </c>
      <c r="F955">
        <v>6.3333335000000002</v>
      </c>
      <c r="G955">
        <v>2</v>
      </c>
      <c r="H955">
        <v>0.55000000000000004</v>
      </c>
      <c r="I955">
        <v>0</v>
      </c>
      <c r="J955">
        <v>1</v>
      </c>
      <c r="K955">
        <v>1</v>
      </c>
      <c r="L955">
        <v>1</v>
      </c>
      <c r="M955">
        <v>2</v>
      </c>
      <c r="N955">
        <v>2</v>
      </c>
      <c r="P955">
        <v>0</v>
      </c>
      <c r="Q955">
        <v>0</v>
      </c>
      <c r="R955">
        <v>0</v>
      </c>
      <c r="S955">
        <v>1</v>
      </c>
    </row>
    <row r="956" spans="1:19" hidden="1" x14ac:dyDescent="0.35">
      <c r="A956">
        <v>45560988400</v>
      </c>
      <c r="B956" t="s">
        <v>967</v>
      </c>
      <c r="C956" t="str">
        <f>_xlfn.XLOOKUP(A956,[1]Affiliations!$J$2:$J$5328,[1]Affiliations!$K$2:$K$5328,0)</f>
        <v>Pontifícia Universidade Católica do Rio Grande do Sul</v>
      </c>
      <c r="D956">
        <v>12</v>
      </c>
      <c r="E956">
        <v>126</v>
      </c>
      <c r="F956">
        <v>10.5</v>
      </c>
      <c r="G956">
        <v>10</v>
      </c>
      <c r="H956">
        <v>1.19</v>
      </c>
      <c r="I956">
        <v>1</v>
      </c>
      <c r="J956">
        <v>2</v>
      </c>
      <c r="K956">
        <v>3</v>
      </c>
      <c r="L956">
        <v>4</v>
      </c>
      <c r="M956">
        <v>5</v>
      </c>
      <c r="N956">
        <v>6</v>
      </c>
      <c r="P956">
        <v>0</v>
      </c>
      <c r="Q956">
        <v>0</v>
      </c>
      <c r="R956">
        <v>0</v>
      </c>
      <c r="S956">
        <v>3</v>
      </c>
    </row>
    <row r="957" spans="1:19" hidden="1" x14ac:dyDescent="0.35">
      <c r="A957">
        <v>56517863700</v>
      </c>
      <c r="B957" t="s">
        <v>968</v>
      </c>
      <c r="C957" t="str">
        <f>_xlfn.XLOOKUP(A957,[1]Affiliations!$J$2:$J$5328,[1]Affiliations!$K$2:$K$5328,0)</f>
        <v>Pontifícia Universidade Católica do Rio Grande do Sul</v>
      </c>
      <c r="D957">
        <v>5</v>
      </c>
      <c r="E957">
        <v>26</v>
      </c>
      <c r="F957">
        <v>5.2</v>
      </c>
      <c r="G957">
        <v>3</v>
      </c>
      <c r="H957">
        <v>0.28000000000000003</v>
      </c>
      <c r="I957">
        <v>0</v>
      </c>
      <c r="J957">
        <v>0</v>
      </c>
      <c r="K957">
        <v>0</v>
      </c>
      <c r="L957">
        <v>0</v>
      </c>
      <c r="M957">
        <v>3</v>
      </c>
      <c r="N957">
        <v>3</v>
      </c>
      <c r="P957">
        <v>0</v>
      </c>
      <c r="Q957">
        <v>0</v>
      </c>
      <c r="R957">
        <v>0</v>
      </c>
      <c r="S957">
        <v>0</v>
      </c>
    </row>
    <row r="958" spans="1:19" hidden="1" x14ac:dyDescent="0.35">
      <c r="A958">
        <v>56518187200</v>
      </c>
      <c r="B958" t="s">
        <v>969</v>
      </c>
      <c r="C958" t="str">
        <f>_xlfn.XLOOKUP(A958,[1]Affiliations!$J$2:$J$5328,[1]Affiliations!$K$2:$K$5328,0)</f>
        <v>Universidade do Estado do Rio de Janeiro</v>
      </c>
      <c r="D958">
        <v>0</v>
      </c>
      <c r="G958">
        <v>1</v>
      </c>
    </row>
    <row r="959" spans="1:19" hidden="1" x14ac:dyDescent="0.35">
      <c r="A959">
        <v>55485515700</v>
      </c>
      <c r="B959" t="s">
        <v>970</v>
      </c>
      <c r="C959" t="str">
        <f>_xlfn.XLOOKUP(A959,[1]Affiliations!$J$2:$J$5328,[1]Affiliations!$K$2:$K$5328,0)</f>
        <v>Universidade Tecnológica Federal do Paraná</v>
      </c>
      <c r="D959">
        <v>7</v>
      </c>
      <c r="E959">
        <v>77</v>
      </c>
      <c r="F959">
        <v>11</v>
      </c>
      <c r="G959">
        <v>5</v>
      </c>
      <c r="H959">
        <v>0.82</v>
      </c>
      <c r="I959">
        <v>0</v>
      </c>
      <c r="J959">
        <v>2</v>
      </c>
      <c r="K959">
        <v>2</v>
      </c>
      <c r="L959">
        <v>4</v>
      </c>
      <c r="M959">
        <v>4</v>
      </c>
      <c r="N959">
        <v>4</v>
      </c>
      <c r="P959">
        <v>0</v>
      </c>
      <c r="Q959">
        <v>0</v>
      </c>
      <c r="R959">
        <v>0</v>
      </c>
      <c r="S959">
        <v>4</v>
      </c>
    </row>
    <row r="960" spans="1:19" hidden="1" x14ac:dyDescent="0.35">
      <c r="A960">
        <v>56423226700</v>
      </c>
      <c r="B960" t="s">
        <v>971</v>
      </c>
      <c r="C960" t="str">
        <f>_xlfn.XLOOKUP(A960,[1]Affiliations!$J$2:$J$5328,[1]Affiliations!$K$2:$K$5328,0)</f>
        <v>Federal University of Rio de Janeiro</v>
      </c>
      <c r="D960">
        <v>5</v>
      </c>
      <c r="E960">
        <v>146</v>
      </c>
      <c r="F960">
        <v>29.2</v>
      </c>
      <c r="G960">
        <v>4</v>
      </c>
      <c r="H960">
        <v>0.8</v>
      </c>
      <c r="I960">
        <v>0</v>
      </c>
      <c r="J960">
        <v>0</v>
      </c>
      <c r="K960">
        <v>0</v>
      </c>
      <c r="L960">
        <v>3</v>
      </c>
      <c r="M960">
        <v>5</v>
      </c>
      <c r="N960">
        <v>5</v>
      </c>
      <c r="P960">
        <v>0</v>
      </c>
      <c r="Q960">
        <v>1</v>
      </c>
      <c r="R960">
        <v>1</v>
      </c>
      <c r="S960">
        <v>1</v>
      </c>
    </row>
    <row r="961" spans="1:19" x14ac:dyDescent="0.35">
      <c r="A961">
        <v>7402776560</v>
      </c>
      <c r="B961" t="s">
        <v>3506</v>
      </c>
      <c r="C961" t="str">
        <f>_xlfn.XLOOKUP(A961,[1]Affiliations!$J$2:$J$5328,[1]Affiliations!$K$2:$K$5328,0)</f>
        <v>Universidade Federal de Santa Maria (+2 more)</v>
      </c>
      <c r="D961">
        <v>73</v>
      </c>
      <c r="E961">
        <v>1905</v>
      </c>
      <c r="F961">
        <v>26.095890000000001</v>
      </c>
      <c r="G961">
        <v>36</v>
      </c>
      <c r="H961">
        <v>1.27</v>
      </c>
      <c r="I961">
        <v>0</v>
      </c>
      <c r="J961">
        <v>7</v>
      </c>
      <c r="K961">
        <v>20</v>
      </c>
      <c r="L961">
        <v>54</v>
      </c>
      <c r="M961">
        <v>69</v>
      </c>
      <c r="N961">
        <v>73</v>
      </c>
      <c r="P961">
        <v>0</v>
      </c>
      <c r="Q961">
        <v>4</v>
      </c>
      <c r="R961">
        <v>17</v>
      </c>
      <c r="S961">
        <v>40</v>
      </c>
    </row>
    <row r="962" spans="1:19" x14ac:dyDescent="0.35">
      <c r="A962">
        <v>57203956560</v>
      </c>
      <c r="B962" t="s">
        <v>4133</v>
      </c>
      <c r="C962" t="str">
        <f>_xlfn.XLOOKUP(A962,[1]Affiliations!$J$2:$J$5328,[1]Affiliations!$K$2:$K$5328,0)</f>
        <v>Federal University of Santa Catarina</v>
      </c>
      <c r="D962">
        <v>5</v>
      </c>
      <c r="E962">
        <v>71</v>
      </c>
      <c r="F962">
        <v>14.2</v>
      </c>
      <c r="G962">
        <v>3</v>
      </c>
      <c r="H962">
        <v>1.27</v>
      </c>
      <c r="I962">
        <v>0</v>
      </c>
      <c r="J962">
        <v>0</v>
      </c>
      <c r="K962">
        <v>1</v>
      </c>
      <c r="L962">
        <v>1</v>
      </c>
      <c r="M962">
        <v>5</v>
      </c>
      <c r="N962">
        <v>5</v>
      </c>
      <c r="P962">
        <v>0</v>
      </c>
      <c r="Q962">
        <v>0</v>
      </c>
      <c r="R962">
        <v>1</v>
      </c>
      <c r="S962">
        <v>1</v>
      </c>
    </row>
    <row r="963" spans="1:19" hidden="1" x14ac:dyDescent="0.35">
      <c r="A963">
        <v>60086785600</v>
      </c>
      <c r="B963" t="s">
        <v>974</v>
      </c>
      <c r="C963" t="str">
        <f>_xlfn.XLOOKUP(A963,[1]Affiliations!$J$2:$J$5328,[1]Affiliations!$K$2:$K$5328,0)</f>
        <v>Universidade de São Paulo</v>
      </c>
      <c r="D963">
        <v>0</v>
      </c>
      <c r="G963">
        <v>0</v>
      </c>
    </row>
    <row r="964" spans="1:19" hidden="1" x14ac:dyDescent="0.35">
      <c r="A964">
        <v>43261084700</v>
      </c>
      <c r="B964" t="s">
        <v>975</v>
      </c>
      <c r="C964" t="str">
        <f>_xlfn.XLOOKUP(A964,[1]Affiliations!$J$2:$J$5328,[1]Affiliations!$K$2:$K$5328,0)</f>
        <v>Universidade Federal Fluminense</v>
      </c>
      <c r="D964">
        <v>5</v>
      </c>
      <c r="E964">
        <v>93</v>
      </c>
      <c r="F964">
        <v>18.600000000000001</v>
      </c>
      <c r="G964">
        <v>9</v>
      </c>
      <c r="H964">
        <v>1.02</v>
      </c>
      <c r="I964">
        <v>0</v>
      </c>
      <c r="J964">
        <v>1</v>
      </c>
      <c r="K964">
        <v>2</v>
      </c>
      <c r="L964">
        <v>3</v>
      </c>
      <c r="M964">
        <v>5</v>
      </c>
      <c r="N964">
        <v>5</v>
      </c>
      <c r="P964">
        <v>0</v>
      </c>
      <c r="Q964">
        <v>0</v>
      </c>
      <c r="R964">
        <v>0</v>
      </c>
      <c r="S964">
        <v>2</v>
      </c>
    </row>
    <row r="965" spans="1:19" x14ac:dyDescent="0.35">
      <c r="A965">
        <v>55920027600</v>
      </c>
      <c r="B965" t="s">
        <v>4462</v>
      </c>
      <c r="C965" t="str">
        <f>_xlfn.XLOOKUP(A965,[1]Affiliations!$J$2:$J$5328,[1]Affiliations!$K$2:$K$5328,0)</f>
        <v>Vizlab - X-Reality and GeoInformatics Lab (+1 more)</v>
      </c>
      <c r="D965">
        <v>15</v>
      </c>
      <c r="E965">
        <v>161</v>
      </c>
      <c r="F965">
        <v>10.733333999999999</v>
      </c>
      <c r="G965">
        <v>7</v>
      </c>
      <c r="H965">
        <v>1.27</v>
      </c>
      <c r="I965">
        <v>0</v>
      </c>
      <c r="J965">
        <v>2</v>
      </c>
      <c r="K965">
        <v>4</v>
      </c>
      <c r="L965">
        <v>8</v>
      </c>
      <c r="M965">
        <v>12</v>
      </c>
      <c r="N965">
        <v>14</v>
      </c>
      <c r="P965">
        <v>0</v>
      </c>
      <c r="Q965">
        <v>1</v>
      </c>
      <c r="R965">
        <v>2</v>
      </c>
      <c r="S965">
        <v>5</v>
      </c>
    </row>
    <row r="966" spans="1:19" x14ac:dyDescent="0.35">
      <c r="A966">
        <v>55256048000</v>
      </c>
      <c r="B966" t="s">
        <v>4542</v>
      </c>
      <c r="C966" t="str">
        <f>_xlfn.XLOOKUP(A966,[1]Affiliations!$J$2:$J$5328,[1]Affiliations!$K$2:$K$5328,0)</f>
        <v>Universidade de São Paulo (+1 more)</v>
      </c>
      <c r="D966">
        <v>59</v>
      </c>
      <c r="E966">
        <v>882</v>
      </c>
      <c r="F966">
        <v>14.949153000000001</v>
      </c>
      <c r="G966">
        <v>20</v>
      </c>
      <c r="H966">
        <v>1.27</v>
      </c>
      <c r="I966">
        <v>1</v>
      </c>
      <c r="J966">
        <v>13</v>
      </c>
      <c r="K966">
        <v>22</v>
      </c>
      <c r="L966">
        <v>41</v>
      </c>
      <c r="M966">
        <v>56</v>
      </c>
      <c r="N966">
        <v>59</v>
      </c>
      <c r="P966">
        <v>0</v>
      </c>
      <c r="Q966">
        <v>3</v>
      </c>
      <c r="R966">
        <v>5</v>
      </c>
      <c r="S966">
        <v>19</v>
      </c>
    </row>
    <row r="967" spans="1:19" hidden="1" x14ac:dyDescent="0.35">
      <c r="A967">
        <v>59420778800</v>
      </c>
      <c r="B967" t="s">
        <v>978</v>
      </c>
      <c r="C967" t="str">
        <f>_xlfn.XLOOKUP(A967,[1]Affiliations!$J$2:$J$5328,[1]Affiliations!$K$2:$K$5328,0)</f>
        <v>Federal University of Rio de Janeiro</v>
      </c>
      <c r="D967">
        <v>1</v>
      </c>
      <c r="E967">
        <v>1</v>
      </c>
      <c r="F967">
        <v>1</v>
      </c>
      <c r="G967">
        <v>1</v>
      </c>
      <c r="H967">
        <v>1.39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0</v>
      </c>
      <c r="Q967">
        <v>0</v>
      </c>
      <c r="R967">
        <v>0</v>
      </c>
      <c r="S967">
        <v>0</v>
      </c>
    </row>
    <row r="968" spans="1:19" hidden="1" x14ac:dyDescent="0.35">
      <c r="A968">
        <v>57211869500</v>
      </c>
      <c r="B968" t="s">
        <v>979</v>
      </c>
      <c r="C968" t="str">
        <f>_xlfn.XLOOKUP(A968,[1]Affiliations!$J$2:$J$5328,[1]Affiliations!$K$2:$K$5328,0)</f>
        <v>Instituto de Pesquisas da Marinha</v>
      </c>
      <c r="D968">
        <v>4</v>
      </c>
      <c r="E968">
        <v>14</v>
      </c>
      <c r="F968">
        <v>3.5</v>
      </c>
      <c r="G968">
        <v>3</v>
      </c>
      <c r="H968">
        <v>1.78</v>
      </c>
      <c r="I968">
        <v>0</v>
      </c>
      <c r="J968">
        <v>0</v>
      </c>
      <c r="K968">
        <v>0</v>
      </c>
      <c r="L968">
        <v>2</v>
      </c>
      <c r="M968">
        <v>2</v>
      </c>
      <c r="N968">
        <v>2</v>
      </c>
      <c r="P968">
        <v>0</v>
      </c>
      <c r="Q968">
        <v>0</v>
      </c>
      <c r="R968">
        <v>0</v>
      </c>
      <c r="S968">
        <v>0</v>
      </c>
    </row>
    <row r="969" spans="1:19" x14ac:dyDescent="0.35">
      <c r="A969">
        <v>55907009500</v>
      </c>
      <c r="B969" t="s">
        <v>4556</v>
      </c>
      <c r="C969" t="str">
        <f>_xlfn.XLOOKUP(A969,[1]Affiliations!$J$2:$J$5328,[1]Affiliations!$K$2:$K$5328,0)</f>
        <v>University of Campinas</v>
      </c>
      <c r="D969">
        <v>266</v>
      </c>
      <c r="E969">
        <v>2606</v>
      </c>
      <c r="F969">
        <v>9.7969919999999995</v>
      </c>
      <c r="G969">
        <v>28</v>
      </c>
      <c r="H969">
        <v>1.27</v>
      </c>
      <c r="I969">
        <v>1</v>
      </c>
      <c r="J969">
        <v>12</v>
      </c>
      <c r="K969">
        <v>48</v>
      </c>
      <c r="L969">
        <v>101</v>
      </c>
      <c r="M969">
        <v>137</v>
      </c>
      <c r="N969">
        <v>159</v>
      </c>
      <c r="P969">
        <v>0</v>
      </c>
      <c r="Q969">
        <v>3</v>
      </c>
      <c r="R969">
        <v>12</v>
      </c>
      <c r="S969">
        <v>42</v>
      </c>
    </row>
    <row r="970" spans="1:19" hidden="1" x14ac:dyDescent="0.35">
      <c r="A970">
        <v>58311473700</v>
      </c>
      <c r="B970" t="s">
        <v>981</v>
      </c>
      <c r="C970" t="str">
        <f>_xlfn.XLOOKUP(A970,[1]Affiliations!$J$2:$J$5328,[1]Affiliations!$K$2:$K$5328,0)</f>
        <v>Universidade Federal do Rio Grande do Sul</v>
      </c>
      <c r="D970">
        <v>2</v>
      </c>
      <c r="E970">
        <v>9</v>
      </c>
      <c r="F970">
        <v>4.5</v>
      </c>
      <c r="G970">
        <v>2</v>
      </c>
      <c r="H970">
        <v>0.55000000000000004</v>
      </c>
      <c r="I970">
        <v>0</v>
      </c>
      <c r="J970">
        <v>0</v>
      </c>
      <c r="K970">
        <v>0</v>
      </c>
      <c r="L970">
        <v>2</v>
      </c>
      <c r="M970">
        <v>2</v>
      </c>
      <c r="N970">
        <v>2</v>
      </c>
      <c r="P970">
        <v>0</v>
      </c>
      <c r="Q970">
        <v>0</v>
      </c>
      <c r="R970">
        <v>0</v>
      </c>
      <c r="S970">
        <v>1</v>
      </c>
    </row>
    <row r="971" spans="1:19" hidden="1" x14ac:dyDescent="0.35">
      <c r="A971">
        <v>57225366904</v>
      </c>
      <c r="B971" t="s">
        <v>982</v>
      </c>
      <c r="C971" t="str">
        <f>_xlfn.XLOOKUP(A971,[1]Affiliations!$J$2:$J$5328,[1]Affiliations!$K$2:$K$5328,0)</f>
        <v>Federal University of Rio de Janeiro</v>
      </c>
      <c r="D971">
        <v>0</v>
      </c>
      <c r="G971">
        <v>1</v>
      </c>
    </row>
    <row r="972" spans="1:19" hidden="1" x14ac:dyDescent="0.35">
      <c r="A972">
        <v>57214581782</v>
      </c>
      <c r="B972" t="s">
        <v>983</v>
      </c>
      <c r="C972" t="str">
        <f>_xlfn.XLOOKUP(A972,[1]Affiliations!$J$2:$J$5328,[1]Affiliations!$K$2:$K$5328,0)</f>
        <v>Instituto de Pesquisas da Marinha</v>
      </c>
      <c r="D972">
        <v>1</v>
      </c>
      <c r="E972">
        <v>3</v>
      </c>
      <c r="F972">
        <v>3</v>
      </c>
      <c r="G972">
        <v>1</v>
      </c>
      <c r="H972">
        <v>0.72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P972">
        <v>0</v>
      </c>
      <c r="Q972">
        <v>0</v>
      </c>
      <c r="R972">
        <v>0</v>
      </c>
      <c r="S972">
        <v>0</v>
      </c>
    </row>
    <row r="973" spans="1:19" hidden="1" x14ac:dyDescent="0.35">
      <c r="A973">
        <v>57194560215</v>
      </c>
      <c r="B973" t="s">
        <v>984</v>
      </c>
      <c r="C973" t="str">
        <f>_xlfn.XLOOKUP(A973,[1]Affiliations!$J$2:$J$5328,[1]Affiliations!$K$2:$K$5328,0)</f>
        <v>Universidade Estadual do Norte Fluminense</v>
      </c>
      <c r="D973">
        <v>3</v>
      </c>
      <c r="E973">
        <v>28</v>
      </c>
      <c r="F973">
        <v>9.3333329999999997</v>
      </c>
      <c r="G973">
        <v>2</v>
      </c>
      <c r="H973">
        <v>0.31</v>
      </c>
      <c r="I973">
        <v>0</v>
      </c>
      <c r="J973">
        <v>0</v>
      </c>
      <c r="K973">
        <v>0</v>
      </c>
      <c r="L973">
        <v>2</v>
      </c>
      <c r="M973">
        <v>2</v>
      </c>
      <c r="N973">
        <v>3</v>
      </c>
      <c r="P973">
        <v>0</v>
      </c>
      <c r="Q973">
        <v>0</v>
      </c>
      <c r="R973">
        <v>0</v>
      </c>
      <c r="S973">
        <v>0</v>
      </c>
    </row>
    <row r="974" spans="1:19" hidden="1" x14ac:dyDescent="0.35">
      <c r="A974">
        <v>59422348600</v>
      </c>
      <c r="B974" t="s">
        <v>985</v>
      </c>
      <c r="C974" t="str">
        <f>_xlfn.XLOOKUP(A974,[1]Affiliations!$J$2:$J$5328,[1]Affiliations!$K$2:$K$5328,0)</f>
        <v>Federal University of Rio de Janeiro</v>
      </c>
      <c r="D974">
        <v>1</v>
      </c>
      <c r="E974">
        <v>2</v>
      </c>
      <c r="F974">
        <v>2</v>
      </c>
      <c r="G974">
        <v>1</v>
      </c>
      <c r="H974">
        <v>2.77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P974">
        <v>0</v>
      </c>
      <c r="Q974">
        <v>0</v>
      </c>
      <c r="R974">
        <v>0</v>
      </c>
      <c r="S974">
        <v>0</v>
      </c>
    </row>
    <row r="975" spans="1:19" hidden="1" x14ac:dyDescent="0.35">
      <c r="A975">
        <v>55212742500</v>
      </c>
      <c r="B975" t="s">
        <v>986</v>
      </c>
      <c r="C975" t="str">
        <f>_xlfn.XLOOKUP(A975,[1]Affiliations!$J$2:$J$5328,[1]Affiliations!$K$2:$K$5328,0)</f>
        <v>Universidade do Estado do Rio de Janeiro (+2 more)</v>
      </c>
      <c r="D975">
        <v>16</v>
      </c>
      <c r="E975">
        <v>73</v>
      </c>
      <c r="F975">
        <v>4.5625</v>
      </c>
      <c r="G975">
        <v>5</v>
      </c>
      <c r="H975">
        <v>0.24</v>
      </c>
      <c r="I975">
        <v>0</v>
      </c>
      <c r="J975">
        <v>0</v>
      </c>
      <c r="K975">
        <v>0</v>
      </c>
      <c r="L975">
        <v>0</v>
      </c>
      <c r="M975">
        <v>3</v>
      </c>
      <c r="N975">
        <v>7</v>
      </c>
      <c r="P975">
        <v>0</v>
      </c>
      <c r="Q975">
        <v>0</v>
      </c>
      <c r="R975">
        <v>0</v>
      </c>
      <c r="S975">
        <v>1</v>
      </c>
    </row>
    <row r="976" spans="1:19" x14ac:dyDescent="0.35">
      <c r="A976">
        <v>56338415300</v>
      </c>
      <c r="B976" t="s">
        <v>4947</v>
      </c>
      <c r="C976" t="str">
        <f>_xlfn.XLOOKUP(A976,[1]Affiliations!$J$2:$J$5328,[1]Affiliations!$K$2:$K$5328,0)</f>
        <v>Universidade Federal de Juiz de Fora</v>
      </c>
      <c r="D976">
        <v>34</v>
      </c>
      <c r="E976">
        <v>1281</v>
      </c>
      <c r="F976">
        <v>37.676470000000002</v>
      </c>
      <c r="G976">
        <v>16</v>
      </c>
      <c r="H976">
        <v>1.27</v>
      </c>
      <c r="I976">
        <v>1</v>
      </c>
      <c r="J976">
        <v>10</v>
      </c>
      <c r="K976">
        <v>22</v>
      </c>
      <c r="L976">
        <v>32</v>
      </c>
      <c r="M976">
        <v>32</v>
      </c>
      <c r="N976">
        <v>32</v>
      </c>
      <c r="P976">
        <v>1</v>
      </c>
      <c r="Q976">
        <v>7</v>
      </c>
      <c r="R976">
        <v>8</v>
      </c>
      <c r="S976">
        <v>15</v>
      </c>
    </row>
    <row r="977" spans="1:19" x14ac:dyDescent="0.35">
      <c r="A977">
        <v>47760978700</v>
      </c>
      <c r="B977" t="s">
        <v>117</v>
      </c>
      <c r="C977" t="str">
        <f>_xlfn.XLOOKUP(A977,[1]Affiliations!$J$2:$J$5328,[1]Affiliations!$K$2:$K$5328,0)</f>
        <v>Institute of Marine Studies Admiral Paulo Moreira (IEAPM)</v>
      </c>
      <c r="D977">
        <v>7</v>
      </c>
      <c r="E977">
        <v>155</v>
      </c>
      <c r="F977">
        <v>22.142856999999999</v>
      </c>
      <c r="G977">
        <v>6</v>
      </c>
      <c r="H977">
        <v>1.26</v>
      </c>
      <c r="I977">
        <v>0</v>
      </c>
      <c r="J977">
        <v>1</v>
      </c>
      <c r="K977">
        <v>1</v>
      </c>
      <c r="L977">
        <v>2</v>
      </c>
      <c r="M977">
        <v>6</v>
      </c>
      <c r="N977">
        <v>6</v>
      </c>
      <c r="P977">
        <v>0</v>
      </c>
      <c r="Q977">
        <v>1</v>
      </c>
      <c r="R977">
        <v>1</v>
      </c>
      <c r="S977">
        <v>3</v>
      </c>
    </row>
    <row r="978" spans="1:19" hidden="1" x14ac:dyDescent="0.35">
      <c r="A978">
        <v>59721194500</v>
      </c>
      <c r="B978" t="s">
        <v>989</v>
      </c>
      <c r="C978" t="str">
        <f>_xlfn.XLOOKUP(A978,[1]Affiliations!$J$2:$J$5328,[1]Affiliations!$K$2:$K$5328,0)</f>
        <v>Universidade Federal do Rio Grande do Norte (+1 more)</v>
      </c>
      <c r="D978">
        <v>0</v>
      </c>
      <c r="G978">
        <v>1</v>
      </c>
    </row>
    <row r="979" spans="1:19" x14ac:dyDescent="0.35">
      <c r="A979">
        <v>56454067300</v>
      </c>
      <c r="B979" t="s">
        <v>279</v>
      </c>
      <c r="C979" t="str">
        <f>_xlfn.XLOOKUP(A979,[1]Affiliations!$J$2:$J$5328,[1]Affiliations!$K$2:$K$5328,0)</f>
        <v>Jaume I University (+1 more)</v>
      </c>
      <c r="D979">
        <v>113</v>
      </c>
      <c r="E979">
        <v>2450</v>
      </c>
      <c r="F979">
        <v>21.681415999999999</v>
      </c>
      <c r="G979">
        <v>27</v>
      </c>
      <c r="H979">
        <v>1.26</v>
      </c>
      <c r="I979">
        <v>5</v>
      </c>
      <c r="J979">
        <v>14</v>
      </c>
      <c r="K979">
        <v>39</v>
      </c>
      <c r="L979">
        <v>87</v>
      </c>
      <c r="M979">
        <v>102</v>
      </c>
      <c r="N979">
        <v>108</v>
      </c>
      <c r="P979">
        <v>0</v>
      </c>
      <c r="Q979">
        <v>5</v>
      </c>
      <c r="R979">
        <v>24</v>
      </c>
      <c r="S979">
        <v>76</v>
      </c>
    </row>
    <row r="980" spans="1:19" hidden="1" x14ac:dyDescent="0.35">
      <c r="A980">
        <v>58076658200</v>
      </c>
      <c r="B980" t="s">
        <v>991</v>
      </c>
      <c r="C980" t="str">
        <f>_xlfn.XLOOKUP(A980,[1]Affiliations!$J$2:$J$5328,[1]Affiliations!$K$2:$K$5328,0)</f>
        <v>Federal University of Rio de Janeiro</v>
      </c>
      <c r="D980">
        <v>1</v>
      </c>
      <c r="E980">
        <v>31</v>
      </c>
      <c r="F980">
        <v>31</v>
      </c>
      <c r="G980">
        <v>1</v>
      </c>
      <c r="H980">
        <v>1.26</v>
      </c>
      <c r="I980">
        <v>0</v>
      </c>
      <c r="J980">
        <v>0</v>
      </c>
      <c r="K980">
        <v>0</v>
      </c>
      <c r="L980">
        <v>0</v>
      </c>
      <c r="M980">
        <v>1</v>
      </c>
      <c r="N980">
        <v>1</v>
      </c>
      <c r="P980">
        <v>0</v>
      </c>
      <c r="Q980">
        <v>1</v>
      </c>
      <c r="R980">
        <v>1</v>
      </c>
      <c r="S980">
        <v>1</v>
      </c>
    </row>
    <row r="981" spans="1:19" hidden="1" x14ac:dyDescent="0.35">
      <c r="A981">
        <v>57189589779</v>
      </c>
      <c r="B981" t="s">
        <v>992</v>
      </c>
      <c r="C981" t="str">
        <f>_xlfn.XLOOKUP(A981,[1]Affiliations!$J$2:$J$5328,[1]Affiliations!$K$2:$K$5328,0)</f>
        <v>Universidade Federal de Pernambuco</v>
      </c>
      <c r="D981">
        <v>18</v>
      </c>
      <c r="E981">
        <v>128</v>
      </c>
      <c r="F981">
        <v>7.1111110000000002</v>
      </c>
      <c r="G981">
        <v>7</v>
      </c>
      <c r="H981">
        <v>0.6</v>
      </c>
      <c r="I981">
        <v>0</v>
      </c>
      <c r="J981">
        <v>1</v>
      </c>
      <c r="K981">
        <v>1</v>
      </c>
      <c r="L981">
        <v>8</v>
      </c>
      <c r="M981">
        <v>13</v>
      </c>
      <c r="N981">
        <v>13</v>
      </c>
      <c r="P981">
        <v>0</v>
      </c>
      <c r="Q981">
        <v>0</v>
      </c>
      <c r="R981">
        <v>0</v>
      </c>
      <c r="S981">
        <v>5</v>
      </c>
    </row>
    <row r="982" spans="1:19" hidden="1" x14ac:dyDescent="0.35">
      <c r="A982">
        <v>57207450357</v>
      </c>
      <c r="B982" t="s">
        <v>993</v>
      </c>
      <c r="C982" t="str">
        <f>_xlfn.XLOOKUP(A982,[1]Affiliations!$J$2:$J$5328,[1]Affiliations!$K$2:$K$5328,0)</f>
        <v>Universidade de São Paulo</v>
      </c>
      <c r="D982">
        <v>4</v>
      </c>
      <c r="E982">
        <v>28</v>
      </c>
      <c r="F982">
        <v>7</v>
      </c>
      <c r="G982">
        <v>4</v>
      </c>
      <c r="H982">
        <v>1.61</v>
      </c>
      <c r="I982">
        <v>0</v>
      </c>
      <c r="J982">
        <v>0</v>
      </c>
      <c r="K982">
        <v>0</v>
      </c>
      <c r="L982">
        <v>2</v>
      </c>
      <c r="M982">
        <v>3</v>
      </c>
      <c r="N982">
        <v>3</v>
      </c>
      <c r="P982">
        <v>0</v>
      </c>
      <c r="Q982">
        <v>0</v>
      </c>
      <c r="R982">
        <v>0</v>
      </c>
      <c r="S982">
        <v>1</v>
      </c>
    </row>
    <row r="983" spans="1:19" hidden="1" x14ac:dyDescent="0.35">
      <c r="A983">
        <v>56369613800</v>
      </c>
      <c r="B983" t="s">
        <v>994</v>
      </c>
      <c r="C983" t="str">
        <f>_xlfn.XLOOKUP(A983,[1]Affiliations!$J$2:$J$5328,[1]Affiliations!$K$2:$K$5328,0)</f>
        <v>Universidade Federal de Pernambuco</v>
      </c>
      <c r="D983">
        <v>1</v>
      </c>
      <c r="E983">
        <v>54</v>
      </c>
      <c r="F983">
        <v>54</v>
      </c>
      <c r="G983">
        <v>2</v>
      </c>
      <c r="H983">
        <v>2.14</v>
      </c>
      <c r="I983">
        <v>0</v>
      </c>
      <c r="J983">
        <v>0</v>
      </c>
      <c r="K983">
        <v>1</v>
      </c>
      <c r="L983">
        <v>1</v>
      </c>
      <c r="M983">
        <v>1</v>
      </c>
      <c r="N983">
        <v>1</v>
      </c>
      <c r="P983">
        <v>0</v>
      </c>
      <c r="Q983">
        <v>0</v>
      </c>
      <c r="R983">
        <v>1</v>
      </c>
      <c r="S983">
        <v>1</v>
      </c>
    </row>
    <row r="984" spans="1:19" hidden="1" x14ac:dyDescent="0.35">
      <c r="A984">
        <v>55746227300</v>
      </c>
      <c r="B984" t="s">
        <v>995</v>
      </c>
      <c r="C984" t="str">
        <f>_xlfn.XLOOKUP(A984,[1]Affiliations!$J$2:$J$5328,[1]Affiliations!$K$2:$K$5328,0)</f>
        <v>Universidade de Lisboa (+1 more)</v>
      </c>
      <c r="D984">
        <v>4</v>
      </c>
      <c r="E984">
        <v>10</v>
      </c>
      <c r="F984">
        <v>2.5</v>
      </c>
      <c r="G984">
        <v>4</v>
      </c>
      <c r="H984">
        <v>0.3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1</v>
      </c>
      <c r="P984">
        <v>0</v>
      </c>
      <c r="Q984">
        <v>0</v>
      </c>
      <c r="R984">
        <v>0</v>
      </c>
      <c r="S984">
        <v>0</v>
      </c>
    </row>
    <row r="985" spans="1:19" hidden="1" x14ac:dyDescent="0.35">
      <c r="A985">
        <v>14323190200</v>
      </c>
      <c r="B985" t="s">
        <v>996</v>
      </c>
      <c r="C985" t="str">
        <f>_xlfn.XLOOKUP(A985,[1]Affiliations!$J$2:$J$5328,[1]Affiliations!$K$2:$K$5328,0)</f>
        <v>Pontifical Catholic University of Rio de Janeiro (+2 more)</v>
      </c>
      <c r="D985">
        <v>13</v>
      </c>
      <c r="E985">
        <v>43</v>
      </c>
      <c r="F985">
        <v>3.3076922999999998</v>
      </c>
      <c r="G985">
        <v>5</v>
      </c>
      <c r="H985">
        <v>0.56999999999999995</v>
      </c>
      <c r="I985">
        <v>0</v>
      </c>
      <c r="J985">
        <v>1</v>
      </c>
      <c r="K985">
        <v>1</v>
      </c>
      <c r="L985">
        <v>2</v>
      </c>
      <c r="M985">
        <v>3</v>
      </c>
      <c r="N985">
        <v>4</v>
      </c>
      <c r="P985">
        <v>0</v>
      </c>
      <c r="Q985">
        <v>0</v>
      </c>
      <c r="R985">
        <v>0</v>
      </c>
      <c r="S985">
        <v>1</v>
      </c>
    </row>
    <row r="986" spans="1:19" x14ac:dyDescent="0.35">
      <c r="A986">
        <v>23090027600</v>
      </c>
      <c r="B986" t="s">
        <v>332</v>
      </c>
      <c r="C986" t="str">
        <f>_xlfn.XLOOKUP(A986,[1]Affiliations!$J$2:$J$5328,[1]Affiliations!$K$2:$K$5328,0)</f>
        <v>Universidade Federal do Rio Grande do Norte (+1 more)</v>
      </c>
      <c r="D986">
        <v>42</v>
      </c>
      <c r="E986">
        <v>1264</v>
      </c>
      <c r="F986">
        <v>30.095237999999998</v>
      </c>
      <c r="G986">
        <v>23</v>
      </c>
      <c r="H986">
        <v>1.26</v>
      </c>
      <c r="I986">
        <v>0</v>
      </c>
      <c r="J986">
        <v>9</v>
      </c>
      <c r="K986">
        <v>22</v>
      </c>
      <c r="L986">
        <v>30</v>
      </c>
      <c r="M986">
        <v>36</v>
      </c>
      <c r="N986">
        <v>41</v>
      </c>
      <c r="P986">
        <v>0</v>
      </c>
      <c r="Q986">
        <v>4</v>
      </c>
      <c r="R986">
        <v>7</v>
      </c>
      <c r="S986">
        <v>24</v>
      </c>
    </row>
    <row r="987" spans="1:19" x14ac:dyDescent="0.35">
      <c r="A987">
        <v>18041784200</v>
      </c>
      <c r="B987" t="s">
        <v>619</v>
      </c>
      <c r="C987" t="str">
        <f>_xlfn.XLOOKUP(A987,[1]Affiliations!$J$2:$J$5328,[1]Affiliations!$K$2:$K$5328,0)</f>
        <v>Universidade Estadual Paulista “Júlio de Mesquita Filho”</v>
      </c>
      <c r="D987">
        <v>68</v>
      </c>
      <c r="E987">
        <v>2015</v>
      </c>
      <c r="F987">
        <v>29.632352999999998</v>
      </c>
      <c r="G987">
        <v>31</v>
      </c>
      <c r="H987">
        <v>1.26</v>
      </c>
      <c r="I987">
        <v>0</v>
      </c>
      <c r="J987">
        <v>11</v>
      </c>
      <c r="K987">
        <v>11</v>
      </c>
      <c r="L987">
        <v>42</v>
      </c>
      <c r="M987">
        <v>61</v>
      </c>
      <c r="N987">
        <v>62</v>
      </c>
      <c r="P987">
        <v>1</v>
      </c>
      <c r="Q987">
        <v>8</v>
      </c>
      <c r="R987">
        <v>19</v>
      </c>
      <c r="S987">
        <v>52</v>
      </c>
    </row>
    <row r="988" spans="1:19" hidden="1" x14ac:dyDescent="0.35">
      <c r="A988">
        <v>58222444800</v>
      </c>
      <c r="B988" t="s">
        <v>999</v>
      </c>
      <c r="C988" t="str">
        <f>_xlfn.XLOOKUP(A988,[1]Affiliations!$J$2:$J$5328,[1]Affiliations!$K$2:$K$5328,0)</f>
        <v>Universidade Federal de Minas Gerais</v>
      </c>
      <c r="D988">
        <v>1</v>
      </c>
      <c r="E988">
        <v>7</v>
      </c>
      <c r="F988">
        <v>7</v>
      </c>
      <c r="G988">
        <v>1</v>
      </c>
      <c r="H988">
        <v>0.79</v>
      </c>
      <c r="I988">
        <v>0</v>
      </c>
      <c r="J988">
        <v>0</v>
      </c>
      <c r="K988">
        <v>0</v>
      </c>
      <c r="L988">
        <v>0</v>
      </c>
      <c r="M988">
        <v>1</v>
      </c>
      <c r="N988">
        <v>1</v>
      </c>
      <c r="P988">
        <v>0</v>
      </c>
      <c r="Q988">
        <v>0</v>
      </c>
      <c r="R988">
        <v>0</v>
      </c>
      <c r="S988">
        <v>0</v>
      </c>
    </row>
    <row r="989" spans="1:19" hidden="1" x14ac:dyDescent="0.35">
      <c r="A989">
        <v>57192083052</v>
      </c>
      <c r="B989" t="s">
        <v>1000</v>
      </c>
      <c r="C989" t="str">
        <f>_xlfn.XLOOKUP(A989,[1]Affiliations!$J$2:$J$5328,[1]Affiliations!$K$2:$K$5328,0)</f>
        <v>Federal University of Rio de Janeiro</v>
      </c>
      <c r="D989">
        <v>2</v>
      </c>
      <c r="E989">
        <v>531</v>
      </c>
      <c r="F989">
        <v>265.5</v>
      </c>
      <c r="G989">
        <v>2</v>
      </c>
      <c r="H989">
        <v>9.35</v>
      </c>
      <c r="I989">
        <v>0</v>
      </c>
      <c r="J989">
        <v>1</v>
      </c>
      <c r="K989">
        <v>1</v>
      </c>
      <c r="L989">
        <v>1</v>
      </c>
      <c r="M989">
        <v>2</v>
      </c>
      <c r="N989">
        <v>2</v>
      </c>
      <c r="P989">
        <v>1</v>
      </c>
      <c r="Q989">
        <v>1</v>
      </c>
      <c r="R989">
        <v>1</v>
      </c>
      <c r="S989">
        <v>1</v>
      </c>
    </row>
    <row r="990" spans="1:19" hidden="1" x14ac:dyDescent="0.35">
      <c r="A990">
        <v>57203414768</v>
      </c>
      <c r="B990" t="s">
        <v>1001</v>
      </c>
      <c r="C990" t="str">
        <f>_xlfn.XLOOKUP(A990,[1]Affiliations!$J$2:$J$5328,[1]Affiliations!$K$2:$K$5328,0)</f>
        <v>Universidade Federal do Espírito Santo</v>
      </c>
      <c r="D990">
        <v>5</v>
      </c>
      <c r="E990">
        <v>82</v>
      </c>
      <c r="F990">
        <v>16.399999999999999</v>
      </c>
      <c r="G990">
        <v>5</v>
      </c>
      <c r="H990">
        <v>1.25</v>
      </c>
      <c r="I990">
        <v>0</v>
      </c>
      <c r="J990">
        <v>1</v>
      </c>
      <c r="K990">
        <v>1</v>
      </c>
      <c r="L990">
        <v>3</v>
      </c>
      <c r="M990">
        <v>3</v>
      </c>
      <c r="N990">
        <v>3</v>
      </c>
      <c r="P990">
        <v>0</v>
      </c>
      <c r="Q990">
        <v>0</v>
      </c>
      <c r="R990">
        <v>0</v>
      </c>
      <c r="S990">
        <v>3</v>
      </c>
    </row>
    <row r="991" spans="1:19" hidden="1" x14ac:dyDescent="0.35">
      <c r="A991">
        <v>57934942900</v>
      </c>
      <c r="B991" t="s">
        <v>1002</v>
      </c>
      <c r="C991" t="str">
        <f>_xlfn.XLOOKUP(A991,[1]Affiliations!$J$2:$J$5328,[1]Affiliations!$K$2:$K$5328,0)</f>
        <v>Universidade Federal do Piauí</v>
      </c>
      <c r="D991">
        <v>1</v>
      </c>
      <c r="E991">
        <v>4</v>
      </c>
      <c r="F991">
        <v>4</v>
      </c>
      <c r="G991">
        <v>1</v>
      </c>
      <c r="H991">
        <v>0.1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1</v>
      </c>
      <c r="P991">
        <v>0</v>
      </c>
      <c r="Q991">
        <v>0</v>
      </c>
      <c r="R991">
        <v>0</v>
      </c>
      <c r="S991">
        <v>0</v>
      </c>
    </row>
    <row r="992" spans="1:19" hidden="1" x14ac:dyDescent="0.35">
      <c r="A992">
        <v>58724500400</v>
      </c>
      <c r="B992" t="s">
        <v>1003</v>
      </c>
      <c r="C992" t="str">
        <f>_xlfn.XLOOKUP(A992,[1]Affiliations!$J$2:$J$5328,[1]Affiliations!$K$2:$K$5328,0)</f>
        <v>Serviço Nacional de Aprendizagem Industrial</v>
      </c>
      <c r="D992">
        <v>1</v>
      </c>
      <c r="E992">
        <v>4</v>
      </c>
      <c r="F992">
        <v>4</v>
      </c>
      <c r="G992">
        <v>1</v>
      </c>
      <c r="H992">
        <v>0.68</v>
      </c>
      <c r="I992">
        <v>0</v>
      </c>
      <c r="J992">
        <v>0</v>
      </c>
      <c r="K992">
        <v>0</v>
      </c>
      <c r="L992">
        <v>0</v>
      </c>
      <c r="M992">
        <v>1</v>
      </c>
      <c r="N992">
        <v>1</v>
      </c>
      <c r="P992">
        <v>0</v>
      </c>
      <c r="Q992">
        <v>0</v>
      </c>
      <c r="R992">
        <v>0</v>
      </c>
      <c r="S992">
        <v>0</v>
      </c>
    </row>
    <row r="993" spans="1:19" hidden="1" x14ac:dyDescent="0.35">
      <c r="A993">
        <v>58497567400</v>
      </c>
      <c r="B993" t="s">
        <v>1004</v>
      </c>
      <c r="C993" t="str">
        <f>_xlfn.XLOOKUP(A993,[1]Affiliations!$J$2:$J$5328,[1]Affiliations!$K$2:$K$5328,0)</f>
        <v>Federal University of Santa Catarina (+1 more)</v>
      </c>
      <c r="D993">
        <v>1</v>
      </c>
      <c r="E993">
        <v>22</v>
      </c>
      <c r="F993">
        <v>22</v>
      </c>
      <c r="G993">
        <v>1</v>
      </c>
      <c r="H993">
        <v>1.81</v>
      </c>
      <c r="I993">
        <v>0</v>
      </c>
      <c r="J993">
        <v>0</v>
      </c>
      <c r="K993">
        <v>1</v>
      </c>
      <c r="L993">
        <v>1</v>
      </c>
      <c r="M993">
        <v>1</v>
      </c>
      <c r="N993">
        <v>1</v>
      </c>
      <c r="P993">
        <v>0</v>
      </c>
      <c r="Q993">
        <v>0</v>
      </c>
      <c r="R993">
        <v>1</v>
      </c>
      <c r="S993">
        <v>1</v>
      </c>
    </row>
    <row r="994" spans="1:19" hidden="1" x14ac:dyDescent="0.35">
      <c r="A994">
        <v>58390996900</v>
      </c>
      <c r="B994" t="s">
        <v>1005</v>
      </c>
      <c r="C994" t="str">
        <f>_xlfn.XLOOKUP(A994,[1]Affiliations!$J$2:$J$5328,[1]Affiliations!$K$2:$K$5328,0)</f>
        <v>Federal University of Rio de Janeiro</v>
      </c>
      <c r="D994">
        <v>2</v>
      </c>
      <c r="E994">
        <v>40</v>
      </c>
      <c r="F994">
        <v>20</v>
      </c>
      <c r="G994">
        <v>2</v>
      </c>
      <c r="H994">
        <v>0.65</v>
      </c>
      <c r="I994">
        <v>0</v>
      </c>
      <c r="J994">
        <v>0</v>
      </c>
      <c r="K994">
        <v>1</v>
      </c>
      <c r="L994">
        <v>2</v>
      </c>
      <c r="M994">
        <v>2</v>
      </c>
      <c r="N994">
        <v>2</v>
      </c>
      <c r="P994">
        <v>0</v>
      </c>
      <c r="Q994">
        <v>0</v>
      </c>
      <c r="R994">
        <v>0</v>
      </c>
      <c r="S994">
        <v>1</v>
      </c>
    </row>
    <row r="995" spans="1:19" hidden="1" x14ac:dyDescent="0.35">
      <c r="A995">
        <v>57200685034</v>
      </c>
      <c r="B995" t="s">
        <v>1006</v>
      </c>
      <c r="C995" t="str">
        <f>_xlfn.XLOOKUP(A995,[1]Affiliations!$J$2:$J$5328,[1]Affiliations!$K$2:$K$5328,0)</f>
        <v>Instituto Nacional de Tecnologia</v>
      </c>
      <c r="D995">
        <v>11</v>
      </c>
      <c r="E995">
        <v>163</v>
      </c>
      <c r="F995">
        <v>14.818182</v>
      </c>
      <c r="G995">
        <v>11</v>
      </c>
      <c r="H995">
        <v>0.53</v>
      </c>
      <c r="I995">
        <v>0</v>
      </c>
      <c r="J995">
        <v>1</v>
      </c>
      <c r="K995">
        <v>3</v>
      </c>
      <c r="L995">
        <v>7</v>
      </c>
      <c r="M995">
        <v>11</v>
      </c>
      <c r="N995">
        <v>11</v>
      </c>
      <c r="P995">
        <v>0</v>
      </c>
      <c r="Q995">
        <v>0</v>
      </c>
      <c r="R995">
        <v>0</v>
      </c>
      <c r="S995">
        <v>4</v>
      </c>
    </row>
    <row r="996" spans="1:19" hidden="1" x14ac:dyDescent="0.35">
      <c r="A996">
        <v>43261113500</v>
      </c>
      <c r="B996" t="s">
        <v>1007</v>
      </c>
      <c r="C996" t="str">
        <f>_xlfn.XLOOKUP(A996,[1]Affiliations!$J$2:$J$5328,[1]Affiliations!$K$2:$K$5328,0)</f>
        <v>Universidade Federal da Bahia</v>
      </c>
      <c r="D996">
        <v>8</v>
      </c>
      <c r="E996">
        <v>51</v>
      </c>
      <c r="F996">
        <v>6.375</v>
      </c>
      <c r="G996">
        <v>6</v>
      </c>
      <c r="H996">
        <v>0.26</v>
      </c>
      <c r="I996">
        <v>0</v>
      </c>
      <c r="J996">
        <v>0</v>
      </c>
      <c r="K996">
        <v>2</v>
      </c>
      <c r="L996">
        <v>2</v>
      </c>
      <c r="M996">
        <v>4</v>
      </c>
      <c r="N996">
        <v>5</v>
      </c>
      <c r="P996">
        <v>0</v>
      </c>
      <c r="Q996">
        <v>0</v>
      </c>
      <c r="R996">
        <v>0</v>
      </c>
      <c r="S996">
        <v>0</v>
      </c>
    </row>
    <row r="997" spans="1:19" x14ac:dyDescent="0.35">
      <c r="A997">
        <v>25025619100</v>
      </c>
      <c r="B997" t="s">
        <v>773</v>
      </c>
      <c r="C997" t="str">
        <f>_xlfn.XLOOKUP(A997,[1]Affiliations!$J$2:$J$5328,[1]Affiliations!$K$2:$K$5328,0)</f>
        <v>Federal University of Rio de Janeiro</v>
      </c>
      <c r="D997">
        <v>19</v>
      </c>
      <c r="E997">
        <v>585</v>
      </c>
      <c r="F997">
        <v>30.789473999999998</v>
      </c>
      <c r="G997">
        <v>21</v>
      </c>
      <c r="H997">
        <v>1.26</v>
      </c>
      <c r="I997">
        <v>0</v>
      </c>
      <c r="J997">
        <v>3</v>
      </c>
      <c r="K997">
        <v>6</v>
      </c>
      <c r="L997">
        <v>12</v>
      </c>
      <c r="M997">
        <v>16</v>
      </c>
      <c r="N997">
        <v>17</v>
      </c>
      <c r="P997">
        <v>0</v>
      </c>
      <c r="Q997">
        <v>3</v>
      </c>
      <c r="R997">
        <v>4</v>
      </c>
      <c r="S997">
        <v>8</v>
      </c>
    </row>
    <row r="998" spans="1:19" hidden="1" x14ac:dyDescent="0.35">
      <c r="A998">
        <v>57214625921</v>
      </c>
      <c r="B998" t="s">
        <v>1009</v>
      </c>
      <c r="C998" t="str">
        <f>_xlfn.XLOOKUP(A998,[1]Affiliations!$J$2:$J$5328,[1]Affiliations!$K$2:$K$5328,0)</f>
        <v>Universidade Federal de Campina Grande</v>
      </c>
      <c r="D998">
        <v>8</v>
      </c>
      <c r="E998">
        <v>6</v>
      </c>
      <c r="F998">
        <v>0.75</v>
      </c>
      <c r="G998">
        <v>2</v>
      </c>
      <c r="H998">
        <v>7.0000000000000007E-2</v>
      </c>
      <c r="I998">
        <v>0</v>
      </c>
      <c r="J998">
        <v>0</v>
      </c>
      <c r="K998">
        <v>0</v>
      </c>
      <c r="L998">
        <v>1</v>
      </c>
      <c r="M998">
        <v>7</v>
      </c>
      <c r="N998">
        <v>7</v>
      </c>
      <c r="P998">
        <v>0</v>
      </c>
      <c r="Q998">
        <v>0</v>
      </c>
      <c r="R998">
        <v>0</v>
      </c>
      <c r="S998">
        <v>0</v>
      </c>
    </row>
    <row r="999" spans="1:19" x14ac:dyDescent="0.35">
      <c r="A999">
        <v>22033698600</v>
      </c>
      <c r="B999" t="s">
        <v>963</v>
      </c>
      <c r="C999" t="str">
        <f>_xlfn.XLOOKUP(A999,[1]Affiliations!$J$2:$J$5328,[1]Affiliations!$K$2:$K$5328,0)</f>
        <v>University of Campinas (+1 more)</v>
      </c>
      <c r="D999">
        <v>31</v>
      </c>
      <c r="E999">
        <v>680</v>
      </c>
      <c r="F999">
        <v>21.935483999999999</v>
      </c>
      <c r="G999">
        <v>13</v>
      </c>
      <c r="H999">
        <v>1.26</v>
      </c>
      <c r="I999">
        <v>0</v>
      </c>
      <c r="J999">
        <v>2</v>
      </c>
      <c r="K999">
        <v>5</v>
      </c>
      <c r="L999">
        <v>13</v>
      </c>
      <c r="M999">
        <v>18</v>
      </c>
      <c r="N999">
        <v>28</v>
      </c>
      <c r="P999">
        <v>2</v>
      </c>
      <c r="Q999">
        <v>5</v>
      </c>
      <c r="R999">
        <v>7</v>
      </c>
      <c r="S999">
        <v>16</v>
      </c>
    </row>
    <row r="1000" spans="1:19" x14ac:dyDescent="0.35">
      <c r="A1000">
        <v>7005319918</v>
      </c>
      <c r="B1000" t="s">
        <v>2272</v>
      </c>
      <c r="C1000" t="str">
        <f>_xlfn.XLOOKUP(A1000,[1]Affiliations!$J$2:$J$5328,[1]Affiliations!$K$2:$K$5328,0)</f>
        <v>Instituto Nacional de Tecnologia (+1 more)</v>
      </c>
      <c r="D1000">
        <v>44</v>
      </c>
      <c r="E1000">
        <v>1095</v>
      </c>
      <c r="F1000">
        <v>24.886364</v>
      </c>
      <c r="G1000">
        <v>33</v>
      </c>
      <c r="H1000">
        <v>1.26</v>
      </c>
      <c r="I1000">
        <v>2</v>
      </c>
      <c r="J1000">
        <v>6</v>
      </c>
      <c r="K1000">
        <v>21</v>
      </c>
      <c r="L1000">
        <v>38</v>
      </c>
      <c r="M1000">
        <v>43</v>
      </c>
      <c r="N1000">
        <v>44</v>
      </c>
      <c r="P1000">
        <v>0</v>
      </c>
      <c r="Q1000">
        <v>1</v>
      </c>
      <c r="R1000">
        <v>8</v>
      </c>
      <c r="S1000">
        <v>25</v>
      </c>
    </row>
    <row r="1001" spans="1:19" x14ac:dyDescent="0.35">
      <c r="A1001">
        <v>55630616400</v>
      </c>
      <c r="B1001" t="s">
        <v>3346</v>
      </c>
      <c r="C1001" t="str">
        <f>_xlfn.XLOOKUP(A1001,[1]Affiliations!$J$2:$J$5328,[1]Affiliations!$K$2:$K$5328,0)</f>
        <v>L’Oréal Research &amp; Innovation</v>
      </c>
      <c r="D1001">
        <v>11</v>
      </c>
      <c r="E1001">
        <v>197</v>
      </c>
      <c r="F1001">
        <v>17.909089999999999</v>
      </c>
      <c r="G1001">
        <v>10</v>
      </c>
      <c r="H1001">
        <v>1.26</v>
      </c>
      <c r="I1001">
        <v>0</v>
      </c>
      <c r="J1001">
        <v>3</v>
      </c>
      <c r="K1001">
        <v>3</v>
      </c>
      <c r="L1001">
        <v>5</v>
      </c>
      <c r="M1001">
        <v>9</v>
      </c>
      <c r="N1001">
        <v>11</v>
      </c>
      <c r="P1001">
        <v>0</v>
      </c>
      <c r="Q1001">
        <v>0</v>
      </c>
      <c r="R1001">
        <v>1</v>
      </c>
      <c r="S1001">
        <v>5</v>
      </c>
    </row>
    <row r="1002" spans="1:19" hidden="1" x14ac:dyDescent="0.35">
      <c r="A1002">
        <v>57221721174</v>
      </c>
      <c r="B1002" t="s">
        <v>1013</v>
      </c>
      <c r="C1002" t="str">
        <f>_xlfn.XLOOKUP(A1002,[1]Affiliations!$J$2:$J$5328,[1]Affiliations!$K$2:$K$5328,0)</f>
        <v>University of Campinas</v>
      </c>
      <c r="D1002">
        <v>1</v>
      </c>
      <c r="E1002">
        <v>4</v>
      </c>
      <c r="F1002">
        <v>4</v>
      </c>
      <c r="G1002">
        <v>1</v>
      </c>
      <c r="H1002">
        <v>0.22</v>
      </c>
      <c r="I1002">
        <v>0</v>
      </c>
      <c r="J1002">
        <v>1</v>
      </c>
      <c r="K1002">
        <v>1</v>
      </c>
      <c r="L1002">
        <v>1</v>
      </c>
      <c r="M1002">
        <v>1</v>
      </c>
      <c r="N1002">
        <v>1</v>
      </c>
      <c r="P1002">
        <v>0</v>
      </c>
      <c r="Q1002">
        <v>0</v>
      </c>
      <c r="R1002">
        <v>0</v>
      </c>
      <c r="S1002">
        <v>0</v>
      </c>
    </row>
    <row r="1003" spans="1:19" hidden="1" x14ac:dyDescent="0.35">
      <c r="A1003">
        <v>59404347200</v>
      </c>
      <c r="B1003" t="s">
        <v>1014</v>
      </c>
      <c r="C1003" t="str">
        <f>_xlfn.XLOOKUP(A1003,[1]Affiliations!$J$2:$J$5328,[1]Affiliations!$K$2:$K$5328,0)</f>
        <v>Instituto Militar de Engenharia</v>
      </c>
      <c r="D1003">
        <v>1</v>
      </c>
      <c r="E1003">
        <v>2</v>
      </c>
      <c r="F1003">
        <v>2</v>
      </c>
      <c r="G1003">
        <v>1</v>
      </c>
      <c r="H1003">
        <v>0.3</v>
      </c>
      <c r="I1003">
        <v>0</v>
      </c>
      <c r="J1003">
        <v>0</v>
      </c>
      <c r="K1003">
        <v>0</v>
      </c>
      <c r="L1003">
        <v>1</v>
      </c>
      <c r="M1003">
        <v>1</v>
      </c>
      <c r="N1003">
        <v>1</v>
      </c>
      <c r="P1003">
        <v>0</v>
      </c>
      <c r="Q1003">
        <v>0</v>
      </c>
      <c r="R1003">
        <v>0</v>
      </c>
      <c r="S1003">
        <v>0</v>
      </c>
    </row>
    <row r="1004" spans="1:19" x14ac:dyDescent="0.35">
      <c r="A1004">
        <v>7004573622</v>
      </c>
      <c r="B1004" t="s">
        <v>4031</v>
      </c>
      <c r="C1004" t="str">
        <f>_xlfn.XLOOKUP(A1004,[1]Affiliations!$J$2:$J$5328,[1]Affiliations!$K$2:$K$5328,0)</f>
        <v>University of Campinas</v>
      </c>
      <c r="D1004">
        <v>104</v>
      </c>
      <c r="E1004">
        <v>3258</v>
      </c>
      <c r="F1004">
        <v>31.326923000000001</v>
      </c>
      <c r="G1004">
        <v>54</v>
      </c>
      <c r="H1004">
        <v>1.26</v>
      </c>
      <c r="I1004">
        <v>0</v>
      </c>
      <c r="J1004">
        <v>9</v>
      </c>
      <c r="K1004">
        <v>40</v>
      </c>
      <c r="L1004">
        <v>70</v>
      </c>
      <c r="M1004">
        <v>85</v>
      </c>
      <c r="N1004">
        <v>95</v>
      </c>
      <c r="P1004">
        <v>0</v>
      </c>
      <c r="Q1004">
        <v>11</v>
      </c>
      <c r="R1004">
        <v>19</v>
      </c>
      <c r="S1004">
        <v>63</v>
      </c>
    </row>
    <row r="1005" spans="1:19" hidden="1" x14ac:dyDescent="0.35">
      <c r="A1005">
        <v>57208106851</v>
      </c>
      <c r="B1005" t="s">
        <v>1016</v>
      </c>
      <c r="C1005" t="str">
        <f>_xlfn.XLOOKUP(A1005,[1]Affiliations!$J$2:$J$5328,[1]Affiliations!$K$2:$K$5328,0)</f>
        <v>Universidade Estadual de Santa Cruz</v>
      </c>
      <c r="D1005">
        <v>7</v>
      </c>
      <c r="E1005">
        <v>39</v>
      </c>
      <c r="F1005">
        <v>5.5714290000000002</v>
      </c>
      <c r="G1005">
        <v>3</v>
      </c>
      <c r="H1005">
        <v>0.45</v>
      </c>
      <c r="I1005">
        <v>0</v>
      </c>
      <c r="J1005">
        <v>0</v>
      </c>
      <c r="K1005">
        <v>1</v>
      </c>
      <c r="L1005">
        <v>4</v>
      </c>
      <c r="M1005">
        <v>6</v>
      </c>
      <c r="N1005">
        <v>6</v>
      </c>
      <c r="P1005">
        <v>0</v>
      </c>
      <c r="Q1005">
        <v>0</v>
      </c>
      <c r="R1005">
        <v>0</v>
      </c>
      <c r="S1005">
        <v>1</v>
      </c>
    </row>
    <row r="1006" spans="1:19" x14ac:dyDescent="0.35">
      <c r="A1006">
        <v>13605426000</v>
      </c>
      <c r="B1006" t="s">
        <v>4589</v>
      </c>
      <c r="C1006" t="str">
        <f>_xlfn.XLOOKUP(A1006,[1]Affiliations!$J$2:$J$5328,[1]Affiliations!$K$2:$K$5328,0)</f>
        <v>Federal University of Rio de Janeiro</v>
      </c>
      <c r="D1006">
        <v>65</v>
      </c>
      <c r="E1006">
        <v>3086</v>
      </c>
      <c r="F1006">
        <v>47.476925000000001</v>
      </c>
      <c r="G1006">
        <v>39</v>
      </c>
      <c r="H1006">
        <v>1.26</v>
      </c>
      <c r="I1006">
        <v>1</v>
      </c>
      <c r="J1006">
        <v>4</v>
      </c>
      <c r="K1006">
        <v>17</v>
      </c>
      <c r="L1006">
        <v>36</v>
      </c>
      <c r="M1006">
        <v>54</v>
      </c>
      <c r="N1006">
        <v>63</v>
      </c>
      <c r="P1006">
        <v>1</v>
      </c>
      <c r="Q1006">
        <v>1</v>
      </c>
      <c r="R1006">
        <v>6</v>
      </c>
      <c r="S1006">
        <v>33</v>
      </c>
    </row>
    <row r="1007" spans="1:19" x14ac:dyDescent="0.35">
      <c r="A1007">
        <v>35099597200</v>
      </c>
      <c r="B1007" t="s">
        <v>4889</v>
      </c>
      <c r="C1007" t="str">
        <f>_xlfn.XLOOKUP(A1007,[1]Affiliations!$J$2:$J$5328,[1]Affiliations!$K$2:$K$5328,0)</f>
        <v>Universidade Federal do Rio Grande do Norte</v>
      </c>
      <c r="D1007">
        <v>7</v>
      </c>
      <c r="E1007">
        <v>177</v>
      </c>
      <c r="F1007">
        <v>25.285715</v>
      </c>
      <c r="G1007">
        <v>8</v>
      </c>
      <c r="H1007">
        <v>1.26</v>
      </c>
      <c r="I1007">
        <v>0</v>
      </c>
      <c r="J1007">
        <v>0</v>
      </c>
      <c r="K1007">
        <v>3</v>
      </c>
      <c r="L1007">
        <v>5</v>
      </c>
      <c r="M1007">
        <v>5</v>
      </c>
      <c r="N1007">
        <v>7</v>
      </c>
      <c r="P1007">
        <v>0</v>
      </c>
      <c r="Q1007">
        <v>0</v>
      </c>
      <c r="R1007">
        <v>1</v>
      </c>
      <c r="S1007">
        <v>3</v>
      </c>
    </row>
    <row r="1008" spans="1:19" hidden="1" x14ac:dyDescent="0.35">
      <c r="A1008">
        <v>57197026502</v>
      </c>
      <c r="B1008" t="s">
        <v>1019</v>
      </c>
      <c r="C1008" t="str">
        <f>_xlfn.XLOOKUP(A1008,[1]Affiliations!$J$2:$J$5328,[1]Affiliations!$K$2:$K$5328,0)</f>
        <v>Instituto Nacional de Metrologia, Qualidade e Tecnologia</v>
      </c>
      <c r="D1008">
        <v>4</v>
      </c>
      <c r="E1008">
        <v>22</v>
      </c>
      <c r="F1008">
        <v>5.5</v>
      </c>
      <c r="G1008">
        <v>2</v>
      </c>
      <c r="H1008">
        <v>0.44</v>
      </c>
      <c r="I1008">
        <v>0</v>
      </c>
      <c r="J1008">
        <v>0</v>
      </c>
      <c r="K1008">
        <v>0</v>
      </c>
      <c r="L1008">
        <v>0</v>
      </c>
      <c r="M1008">
        <v>2</v>
      </c>
      <c r="N1008">
        <v>3</v>
      </c>
      <c r="P1008">
        <v>0</v>
      </c>
      <c r="Q1008">
        <v>0</v>
      </c>
      <c r="R1008">
        <v>0</v>
      </c>
      <c r="S1008">
        <v>0</v>
      </c>
    </row>
    <row r="1009" spans="1:19" x14ac:dyDescent="0.35">
      <c r="A1009">
        <v>57881347600</v>
      </c>
      <c r="B1009" t="s">
        <v>5013</v>
      </c>
      <c r="C1009" t="str">
        <f>_xlfn.XLOOKUP(A1009,[1]Affiliations!$J$2:$J$5328,[1]Affiliations!$K$2:$K$5328,0)</f>
        <v>Universidade Federal do Ceará</v>
      </c>
      <c r="D1009">
        <v>10</v>
      </c>
      <c r="E1009">
        <v>318</v>
      </c>
      <c r="F1009">
        <v>31.8</v>
      </c>
      <c r="G1009">
        <v>19</v>
      </c>
      <c r="H1009">
        <v>1.26</v>
      </c>
      <c r="I1009">
        <v>0</v>
      </c>
      <c r="J1009">
        <v>0</v>
      </c>
      <c r="K1009">
        <v>2</v>
      </c>
      <c r="L1009">
        <v>4</v>
      </c>
      <c r="M1009">
        <v>8</v>
      </c>
      <c r="N1009">
        <v>9</v>
      </c>
      <c r="P1009">
        <v>0</v>
      </c>
      <c r="Q1009">
        <v>2</v>
      </c>
      <c r="R1009">
        <v>2</v>
      </c>
      <c r="S1009">
        <v>5</v>
      </c>
    </row>
    <row r="1010" spans="1:19" x14ac:dyDescent="0.35">
      <c r="A1010">
        <v>56165882500</v>
      </c>
      <c r="B1010" t="s">
        <v>5021</v>
      </c>
      <c r="C1010" t="str">
        <f>_xlfn.XLOOKUP(A1010,[1]Affiliations!$J$2:$J$5328,[1]Affiliations!$K$2:$K$5328,0)</f>
        <v>Universidade Federal do Espírito Santo (+2 more)</v>
      </c>
      <c r="D1010">
        <v>36</v>
      </c>
      <c r="E1010">
        <v>848</v>
      </c>
      <c r="F1010">
        <v>23.555554999999998</v>
      </c>
      <c r="G1010">
        <v>22</v>
      </c>
      <c r="H1010">
        <v>1.26</v>
      </c>
      <c r="I1010">
        <v>0</v>
      </c>
      <c r="J1010">
        <v>6</v>
      </c>
      <c r="K1010">
        <v>12</v>
      </c>
      <c r="L1010">
        <v>24</v>
      </c>
      <c r="M1010">
        <v>33</v>
      </c>
      <c r="N1010">
        <v>35</v>
      </c>
      <c r="P1010">
        <v>0</v>
      </c>
      <c r="Q1010">
        <v>0</v>
      </c>
      <c r="R1010">
        <v>3</v>
      </c>
      <c r="S1010">
        <v>24</v>
      </c>
    </row>
    <row r="1011" spans="1:19" hidden="1" x14ac:dyDescent="0.35">
      <c r="A1011">
        <v>15072483600</v>
      </c>
      <c r="B1011" t="s">
        <v>1022</v>
      </c>
      <c r="C1011" t="str">
        <f>_xlfn.XLOOKUP(A1011,[1]Affiliations!$J$2:$J$5328,[1]Affiliations!$K$2:$K$5328,0)</f>
        <v>Federal University of Rio de Janeiro</v>
      </c>
      <c r="D1011">
        <v>3</v>
      </c>
      <c r="E1011">
        <v>1</v>
      </c>
      <c r="F1011">
        <v>0.33333333999999998</v>
      </c>
      <c r="G1011">
        <v>4</v>
      </c>
      <c r="H1011">
        <v>0</v>
      </c>
      <c r="P1011">
        <v>0</v>
      </c>
      <c r="Q1011">
        <v>0</v>
      </c>
      <c r="R1011">
        <v>0</v>
      </c>
      <c r="S1011">
        <v>0</v>
      </c>
    </row>
    <row r="1012" spans="1:19" hidden="1" x14ac:dyDescent="0.35">
      <c r="A1012">
        <v>57194407149</v>
      </c>
      <c r="B1012" t="s">
        <v>1023</v>
      </c>
      <c r="C1012" t="str">
        <f>_xlfn.XLOOKUP(A1012,[1]Affiliations!$J$2:$J$5328,[1]Affiliations!$K$2:$K$5328,0)</f>
        <v>Universidade Federal de Minas Gerais</v>
      </c>
      <c r="D1012">
        <v>2</v>
      </c>
      <c r="E1012">
        <v>43</v>
      </c>
      <c r="F1012">
        <v>21.5</v>
      </c>
      <c r="G1012">
        <v>2</v>
      </c>
      <c r="H1012">
        <v>0.71</v>
      </c>
      <c r="I1012">
        <v>0</v>
      </c>
      <c r="J1012">
        <v>0</v>
      </c>
      <c r="K1012">
        <v>0</v>
      </c>
      <c r="L1012">
        <v>0</v>
      </c>
      <c r="M1012">
        <v>2</v>
      </c>
      <c r="N1012">
        <v>2</v>
      </c>
      <c r="P1012">
        <v>0</v>
      </c>
      <c r="Q1012">
        <v>0</v>
      </c>
      <c r="R1012">
        <v>0</v>
      </c>
      <c r="S1012">
        <v>1</v>
      </c>
    </row>
    <row r="1013" spans="1:19" hidden="1" x14ac:dyDescent="0.35">
      <c r="A1013">
        <v>57217682728</v>
      </c>
      <c r="B1013" t="s">
        <v>1024</v>
      </c>
      <c r="C1013" t="str">
        <f>_xlfn.XLOOKUP(A1013,[1]Affiliations!$J$2:$J$5328,[1]Affiliations!$K$2:$K$5328,0)</f>
        <v>Universidade Federal do Rio Grande do Norte</v>
      </c>
      <c r="D1013">
        <v>1</v>
      </c>
      <c r="E1013">
        <v>7</v>
      </c>
      <c r="F1013">
        <v>7</v>
      </c>
      <c r="G1013">
        <v>1</v>
      </c>
      <c r="H1013">
        <v>0.33</v>
      </c>
      <c r="I1013">
        <v>0</v>
      </c>
      <c r="J1013">
        <v>0</v>
      </c>
      <c r="K1013">
        <v>1</v>
      </c>
      <c r="L1013">
        <v>1</v>
      </c>
      <c r="M1013">
        <v>1</v>
      </c>
      <c r="N1013">
        <v>1</v>
      </c>
      <c r="P1013">
        <v>0</v>
      </c>
      <c r="Q1013">
        <v>0</v>
      </c>
      <c r="R1013">
        <v>0</v>
      </c>
      <c r="S1013">
        <v>0</v>
      </c>
    </row>
    <row r="1014" spans="1:19" hidden="1" x14ac:dyDescent="0.35">
      <c r="A1014">
        <v>59826934200</v>
      </c>
      <c r="B1014" t="s">
        <v>1025</v>
      </c>
      <c r="C1014" t="str">
        <f>_xlfn.XLOOKUP(A1014,[1]Affiliations!$J$2:$J$5328,[1]Affiliations!$K$2:$K$5328,0)</f>
        <v>UFPA (+1 more)</v>
      </c>
      <c r="D1014">
        <v>1</v>
      </c>
      <c r="E1014">
        <v>0</v>
      </c>
      <c r="F1014">
        <v>0</v>
      </c>
      <c r="G1014">
        <v>0</v>
      </c>
      <c r="H1014">
        <v>0</v>
      </c>
      <c r="P1014">
        <v>0</v>
      </c>
      <c r="Q1014">
        <v>0</v>
      </c>
      <c r="R1014">
        <v>0</v>
      </c>
      <c r="S1014">
        <v>0</v>
      </c>
    </row>
    <row r="1015" spans="1:19" hidden="1" x14ac:dyDescent="0.35">
      <c r="A1015">
        <v>35612130700</v>
      </c>
      <c r="B1015" t="s">
        <v>1026</v>
      </c>
      <c r="C1015" t="str">
        <f>_xlfn.XLOOKUP(A1015,[1]Affiliations!$J$2:$J$5328,[1]Affiliations!$K$2:$K$5328,0)</f>
        <v>Universidade Federal do Rio Grande do Sul (+1 more)</v>
      </c>
      <c r="D1015">
        <v>95</v>
      </c>
      <c r="E1015">
        <v>376</v>
      </c>
      <c r="F1015">
        <v>3.9578948</v>
      </c>
      <c r="G1015">
        <v>16</v>
      </c>
      <c r="H1015">
        <v>0.26</v>
      </c>
      <c r="I1015">
        <v>0</v>
      </c>
      <c r="J1015">
        <v>3</v>
      </c>
      <c r="K1015">
        <v>6</v>
      </c>
      <c r="L1015">
        <v>16</v>
      </c>
      <c r="M1015">
        <v>28</v>
      </c>
      <c r="N1015">
        <v>49</v>
      </c>
      <c r="P1015">
        <v>0</v>
      </c>
      <c r="Q1015">
        <v>0</v>
      </c>
      <c r="R1015">
        <v>0</v>
      </c>
      <c r="S1015">
        <v>5</v>
      </c>
    </row>
    <row r="1016" spans="1:19" x14ac:dyDescent="0.35">
      <c r="A1016">
        <v>6601970871</v>
      </c>
      <c r="B1016" t="s">
        <v>901</v>
      </c>
      <c r="C1016" t="str">
        <f>_xlfn.XLOOKUP(A1016,[1]Affiliations!$J$2:$J$5328,[1]Affiliations!$K$2:$K$5328,0)</f>
        <v>Vizlab - X-Reality and GeoInformatics Lab (+3 more)</v>
      </c>
      <c r="D1016">
        <v>103</v>
      </c>
      <c r="E1016">
        <v>2678</v>
      </c>
      <c r="F1016">
        <v>26</v>
      </c>
      <c r="G1016">
        <v>44</v>
      </c>
      <c r="H1016">
        <v>1.25</v>
      </c>
      <c r="I1016">
        <v>5</v>
      </c>
      <c r="J1016">
        <v>24</v>
      </c>
      <c r="K1016">
        <v>47</v>
      </c>
      <c r="L1016">
        <v>61</v>
      </c>
      <c r="M1016">
        <v>92</v>
      </c>
      <c r="N1016">
        <v>96</v>
      </c>
      <c r="P1016">
        <v>1</v>
      </c>
      <c r="Q1016">
        <v>7</v>
      </c>
      <c r="R1016">
        <v>15</v>
      </c>
      <c r="S1016">
        <v>45</v>
      </c>
    </row>
    <row r="1017" spans="1:19" hidden="1" x14ac:dyDescent="0.35">
      <c r="A1017">
        <v>57190665819</v>
      </c>
      <c r="B1017" t="s">
        <v>1028</v>
      </c>
      <c r="C1017" t="str">
        <f>_xlfn.XLOOKUP(A1017,[1]Affiliations!$J$2:$J$5328,[1]Affiliations!$K$2:$K$5328,0)</f>
        <v>Petróleo Brasileiro S.A. (+2 more)</v>
      </c>
      <c r="D1017">
        <v>1</v>
      </c>
      <c r="E1017">
        <v>4</v>
      </c>
      <c r="F1017">
        <v>4</v>
      </c>
      <c r="G1017">
        <v>2</v>
      </c>
      <c r="H1017">
        <v>0.87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1</v>
      </c>
      <c r="P1017">
        <v>0</v>
      </c>
      <c r="Q1017">
        <v>0</v>
      </c>
      <c r="R1017">
        <v>0</v>
      </c>
      <c r="S1017">
        <v>0</v>
      </c>
    </row>
    <row r="1018" spans="1:19" x14ac:dyDescent="0.35">
      <c r="A1018">
        <v>55895166700</v>
      </c>
      <c r="B1018" t="s">
        <v>2399</v>
      </c>
      <c r="C1018" t="str">
        <f>_xlfn.XLOOKUP(A1018,[1]Affiliations!$J$2:$J$5328,[1]Affiliations!$K$2:$K$5328,0)</f>
        <v>Science and Technology of Sao Paulo (IFSP)</v>
      </c>
      <c r="D1018">
        <v>13</v>
      </c>
      <c r="E1018">
        <v>344</v>
      </c>
      <c r="F1018">
        <v>26.461538000000001</v>
      </c>
      <c r="G1018">
        <v>5</v>
      </c>
      <c r="H1018">
        <v>1.25</v>
      </c>
      <c r="I1018">
        <v>0</v>
      </c>
      <c r="J1018">
        <v>1</v>
      </c>
      <c r="K1018">
        <v>2</v>
      </c>
      <c r="L1018">
        <v>4</v>
      </c>
      <c r="M1018">
        <v>5</v>
      </c>
      <c r="N1018">
        <v>5</v>
      </c>
      <c r="P1018">
        <v>1</v>
      </c>
      <c r="Q1018">
        <v>1</v>
      </c>
      <c r="R1018">
        <v>1</v>
      </c>
      <c r="S1018">
        <v>2</v>
      </c>
    </row>
    <row r="1019" spans="1:19" x14ac:dyDescent="0.35">
      <c r="A1019">
        <v>35600845900</v>
      </c>
      <c r="B1019" t="s">
        <v>3301</v>
      </c>
      <c r="C1019" t="str">
        <f>_xlfn.XLOOKUP(A1019,[1]Affiliations!$J$2:$J$5328,[1]Affiliations!$K$2:$K$5328,0)</f>
        <v>Universidade Federal do Ceará</v>
      </c>
      <c r="D1019">
        <v>90</v>
      </c>
      <c r="E1019">
        <v>2031</v>
      </c>
      <c r="F1019">
        <v>22.566668</v>
      </c>
      <c r="G1019">
        <v>36</v>
      </c>
      <c r="H1019">
        <v>1.25</v>
      </c>
      <c r="I1019">
        <v>3</v>
      </c>
      <c r="J1019">
        <v>22</v>
      </c>
      <c r="K1019">
        <v>38</v>
      </c>
      <c r="L1019">
        <v>62</v>
      </c>
      <c r="M1019">
        <v>81</v>
      </c>
      <c r="N1019">
        <v>85</v>
      </c>
      <c r="P1019">
        <v>0</v>
      </c>
      <c r="Q1019">
        <v>9</v>
      </c>
      <c r="R1019">
        <v>16</v>
      </c>
      <c r="S1019">
        <v>51</v>
      </c>
    </row>
    <row r="1020" spans="1:19" hidden="1" x14ac:dyDescent="0.35">
      <c r="A1020">
        <v>57203885425</v>
      </c>
      <c r="B1020" t="s">
        <v>1031</v>
      </c>
      <c r="C1020" t="str">
        <f>_xlfn.XLOOKUP(A1020,[1]Affiliations!$J$2:$J$5328,[1]Affiliations!$K$2:$K$5328,0)</f>
        <v>Universidade Federal do Espírito Santo</v>
      </c>
      <c r="D1020">
        <v>1</v>
      </c>
      <c r="E1020">
        <v>11</v>
      </c>
      <c r="F1020">
        <v>11</v>
      </c>
      <c r="G1020">
        <v>1</v>
      </c>
      <c r="H1020">
        <v>0.46</v>
      </c>
      <c r="I1020">
        <v>0</v>
      </c>
      <c r="J1020">
        <v>1</v>
      </c>
      <c r="K1020">
        <v>1</v>
      </c>
      <c r="L1020">
        <v>1</v>
      </c>
      <c r="M1020">
        <v>1</v>
      </c>
      <c r="N1020">
        <v>1</v>
      </c>
      <c r="P1020">
        <v>0</v>
      </c>
      <c r="Q1020">
        <v>0</v>
      </c>
      <c r="R1020">
        <v>0</v>
      </c>
      <c r="S1020">
        <v>0</v>
      </c>
    </row>
    <row r="1021" spans="1:19" hidden="1" x14ac:dyDescent="0.35">
      <c r="A1021">
        <v>59905434600</v>
      </c>
      <c r="B1021" t="s">
        <v>1032</v>
      </c>
      <c r="C1021" t="str">
        <f>_xlfn.XLOOKUP(A1021,[1]Affiliations!$J$2:$J$5328,[1]Affiliations!$K$2:$K$5328,0)</f>
        <v>Universidade Federal do Espírito Santo</v>
      </c>
      <c r="D1021">
        <v>0</v>
      </c>
      <c r="G1021">
        <v>1</v>
      </c>
    </row>
    <row r="1022" spans="1:19" x14ac:dyDescent="0.35">
      <c r="A1022">
        <v>14026024600</v>
      </c>
      <c r="B1022" t="s">
        <v>4159</v>
      </c>
      <c r="C1022" t="str">
        <f>_xlfn.XLOOKUP(A1022,[1]Affiliations!$J$2:$J$5328,[1]Affiliations!$K$2:$K$5328,0)</f>
        <v>Universidade de São Paulo (+1 more)</v>
      </c>
      <c r="D1022">
        <v>87</v>
      </c>
      <c r="E1022">
        <v>1596</v>
      </c>
      <c r="F1022">
        <v>18.344828</v>
      </c>
      <c r="G1022">
        <v>27</v>
      </c>
      <c r="H1022">
        <v>1.25</v>
      </c>
      <c r="I1022">
        <v>0</v>
      </c>
      <c r="J1022">
        <v>29</v>
      </c>
      <c r="K1022">
        <v>42</v>
      </c>
      <c r="L1022">
        <v>71</v>
      </c>
      <c r="M1022">
        <v>77</v>
      </c>
      <c r="N1022">
        <v>82</v>
      </c>
      <c r="P1022">
        <v>0</v>
      </c>
      <c r="Q1022">
        <v>1</v>
      </c>
      <c r="R1022">
        <v>7</v>
      </c>
      <c r="S1022">
        <v>35</v>
      </c>
    </row>
    <row r="1023" spans="1:19" hidden="1" x14ac:dyDescent="0.35">
      <c r="A1023">
        <v>55605224300</v>
      </c>
      <c r="B1023" t="s">
        <v>1034</v>
      </c>
      <c r="C1023" t="str">
        <f>_xlfn.XLOOKUP(A1023,[1]Affiliations!$J$2:$J$5328,[1]Affiliations!$K$2:$K$5328,0)</f>
        <v>Federal University of Rio de Janeiro</v>
      </c>
      <c r="D1023">
        <v>19</v>
      </c>
      <c r="E1023">
        <v>116</v>
      </c>
      <c r="F1023">
        <v>6.1052629999999999</v>
      </c>
      <c r="G1023">
        <v>7</v>
      </c>
      <c r="H1023">
        <v>0.45</v>
      </c>
      <c r="I1023">
        <v>0</v>
      </c>
      <c r="J1023">
        <v>2</v>
      </c>
      <c r="K1023">
        <v>8</v>
      </c>
      <c r="L1023">
        <v>13</v>
      </c>
      <c r="M1023">
        <v>16</v>
      </c>
      <c r="N1023">
        <v>17</v>
      </c>
      <c r="P1023">
        <v>0</v>
      </c>
      <c r="Q1023">
        <v>0</v>
      </c>
      <c r="R1023">
        <v>0</v>
      </c>
      <c r="S1023">
        <v>3</v>
      </c>
    </row>
    <row r="1024" spans="1:19" hidden="1" x14ac:dyDescent="0.35">
      <c r="A1024">
        <v>59234992600</v>
      </c>
      <c r="B1024" t="s">
        <v>1035</v>
      </c>
      <c r="C1024" t="str">
        <f>_xlfn.XLOOKUP(A1024,[1]Affiliations!$J$2:$J$5328,[1]Affiliations!$K$2:$K$5328,0)</f>
        <v>Universidade Federal do Ceará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1</v>
      </c>
      <c r="N1024">
        <v>1</v>
      </c>
      <c r="P1024">
        <v>0</v>
      </c>
      <c r="Q1024">
        <v>0</v>
      </c>
      <c r="R1024">
        <v>0</v>
      </c>
      <c r="S1024">
        <v>0</v>
      </c>
    </row>
    <row r="1025" spans="1:19" hidden="1" x14ac:dyDescent="0.35">
      <c r="A1025">
        <v>60086788100</v>
      </c>
      <c r="B1025" t="s">
        <v>1036</v>
      </c>
      <c r="C1025" t="str">
        <f>_xlfn.XLOOKUP(A1025,[1]Affiliations!$J$2:$J$5328,[1]Affiliations!$K$2:$K$5328,0)</f>
        <v>Federal University of Rio de Janeiro</v>
      </c>
      <c r="D1025">
        <v>0</v>
      </c>
      <c r="G1025">
        <v>0</v>
      </c>
    </row>
    <row r="1026" spans="1:19" hidden="1" x14ac:dyDescent="0.35">
      <c r="A1026">
        <v>57208199323</v>
      </c>
      <c r="B1026" t="s">
        <v>1037</v>
      </c>
      <c r="C1026" t="str">
        <f>_xlfn.XLOOKUP(A1026,[1]Affiliations!$J$2:$J$5328,[1]Affiliations!$K$2:$K$5328,0)</f>
        <v>Federal University of Rio de Janeiro</v>
      </c>
      <c r="D1026">
        <v>2</v>
      </c>
      <c r="E1026">
        <v>5</v>
      </c>
      <c r="F1026">
        <v>2.5</v>
      </c>
      <c r="G1026">
        <v>3</v>
      </c>
      <c r="H1026">
        <v>0.85</v>
      </c>
      <c r="I1026">
        <v>0</v>
      </c>
      <c r="J1026">
        <v>0</v>
      </c>
      <c r="K1026">
        <v>0</v>
      </c>
      <c r="L1026">
        <v>1</v>
      </c>
      <c r="M1026">
        <v>1</v>
      </c>
      <c r="N1026">
        <v>1</v>
      </c>
      <c r="P1026">
        <v>0</v>
      </c>
      <c r="Q1026">
        <v>0</v>
      </c>
      <c r="R1026">
        <v>0</v>
      </c>
      <c r="S1026">
        <v>0</v>
      </c>
    </row>
    <row r="1027" spans="1:19" x14ac:dyDescent="0.35">
      <c r="A1027">
        <v>7006636636</v>
      </c>
      <c r="B1027" t="s">
        <v>5271</v>
      </c>
      <c r="C1027" t="str">
        <f>_xlfn.XLOOKUP(A1027,[1]Affiliations!$J$2:$J$5328,[1]Affiliations!$K$2:$K$5328,0)</f>
        <v>University of Campinas</v>
      </c>
      <c r="D1027">
        <v>25</v>
      </c>
      <c r="E1027">
        <v>719</v>
      </c>
      <c r="F1027">
        <v>28.76</v>
      </c>
      <c r="G1027">
        <v>21</v>
      </c>
      <c r="H1027">
        <v>1.25</v>
      </c>
      <c r="I1027">
        <v>0</v>
      </c>
      <c r="J1027">
        <v>7</v>
      </c>
      <c r="K1027">
        <v>17</v>
      </c>
      <c r="L1027">
        <v>22</v>
      </c>
      <c r="M1027">
        <v>25</v>
      </c>
      <c r="N1027">
        <v>25</v>
      </c>
      <c r="P1027">
        <v>0</v>
      </c>
      <c r="Q1027">
        <v>2</v>
      </c>
      <c r="R1027">
        <v>6</v>
      </c>
      <c r="S1027">
        <v>13</v>
      </c>
    </row>
    <row r="1028" spans="1:19" x14ac:dyDescent="0.35">
      <c r="A1028">
        <v>56262678600</v>
      </c>
      <c r="B1028" t="s">
        <v>319</v>
      </c>
      <c r="C1028" t="str">
        <f>_xlfn.XLOOKUP(A1028,[1]Affiliations!$J$2:$J$5328,[1]Affiliations!$K$2:$K$5328,0)</f>
        <v>Universidade de São Paulo</v>
      </c>
      <c r="D1028">
        <v>56</v>
      </c>
      <c r="E1028">
        <v>1483</v>
      </c>
      <c r="F1028">
        <v>26.482143000000001</v>
      </c>
      <c r="G1028">
        <v>36</v>
      </c>
      <c r="H1028">
        <v>1.24</v>
      </c>
      <c r="I1028">
        <v>5</v>
      </c>
      <c r="J1028">
        <v>13</v>
      </c>
      <c r="K1028">
        <v>30</v>
      </c>
      <c r="L1028">
        <v>39</v>
      </c>
      <c r="M1028">
        <v>51</v>
      </c>
      <c r="N1028">
        <v>55</v>
      </c>
      <c r="P1028">
        <v>0</v>
      </c>
      <c r="Q1028">
        <v>4</v>
      </c>
      <c r="R1028">
        <v>11</v>
      </c>
      <c r="S1028">
        <v>32</v>
      </c>
    </row>
    <row r="1029" spans="1:19" hidden="1" x14ac:dyDescent="0.35">
      <c r="A1029">
        <v>7203063649</v>
      </c>
      <c r="B1029" t="s">
        <v>1040</v>
      </c>
      <c r="C1029" t="str">
        <f>_xlfn.XLOOKUP(A1029,[1]Affiliations!$J$2:$J$5328,[1]Affiliations!$K$2:$K$5328,0)</f>
        <v>Federal University of Rio de Janeiro</v>
      </c>
      <c r="D1029">
        <v>34</v>
      </c>
      <c r="E1029">
        <v>212</v>
      </c>
      <c r="F1029">
        <v>6.2352942999999996</v>
      </c>
      <c r="G1029">
        <v>18</v>
      </c>
      <c r="H1029">
        <v>0.61</v>
      </c>
      <c r="I1029">
        <v>1</v>
      </c>
      <c r="J1029">
        <v>3</v>
      </c>
      <c r="K1029">
        <v>5</v>
      </c>
      <c r="L1029">
        <v>11</v>
      </c>
      <c r="M1029">
        <v>18</v>
      </c>
      <c r="N1029">
        <v>30</v>
      </c>
      <c r="P1029">
        <v>0</v>
      </c>
      <c r="Q1029">
        <v>0</v>
      </c>
      <c r="R1029">
        <v>0</v>
      </c>
      <c r="S1029">
        <v>5</v>
      </c>
    </row>
    <row r="1030" spans="1:19" hidden="1" x14ac:dyDescent="0.35">
      <c r="A1030">
        <v>57218291776</v>
      </c>
      <c r="B1030" t="s">
        <v>1041</v>
      </c>
      <c r="C1030" t="str">
        <f>_xlfn.XLOOKUP(A1030,[1]Affiliations!$J$2:$J$5328,[1]Affiliations!$K$2:$K$5328,0)</f>
        <v>Federal University of Rio de Janeiro</v>
      </c>
      <c r="D1030">
        <v>1</v>
      </c>
      <c r="E1030">
        <v>17</v>
      </c>
      <c r="F1030">
        <v>17</v>
      </c>
      <c r="G1030">
        <v>1</v>
      </c>
      <c r="H1030">
        <v>1.1100000000000001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1</v>
      </c>
      <c r="P1030">
        <v>0</v>
      </c>
      <c r="Q1030">
        <v>0</v>
      </c>
      <c r="R1030">
        <v>0</v>
      </c>
      <c r="S1030">
        <v>0</v>
      </c>
    </row>
    <row r="1031" spans="1:19" hidden="1" x14ac:dyDescent="0.35">
      <c r="A1031">
        <v>57212381610</v>
      </c>
      <c r="B1031" t="s">
        <v>1042</v>
      </c>
      <c r="C1031" t="str">
        <f>_xlfn.XLOOKUP(A1031,[1]Affiliations!$J$2:$J$5328,[1]Affiliations!$K$2:$K$5328,0)</f>
        <v>Federal University of Santa Catarina</v>
      </c>
      <c r="D1031">
        <v>2</v>
      </c>
      <c r="E1031">
        <v>50</v>
      </c>
      <c r="F1031">
        <v>25</v>
      </c>
      <c r="G1031">
        <v>2</v>
      </c>
      <c r="H1031">
        <v>0.77</v>
      </c>
      <c r="I1031">
        <v>1</v>
      </c>
      <c r="J1031">
        <v>2</v>
      </c>
      <c r="K1031">
        <v>2</v>
      </c>
      <c r="L1031">
        <v>2</v>
      </c>
      <c r="M1031">
        <v>2</v>
      </c>
      <c r="N1031">
        <v>2</v>
      </c>
      <c r="P1031">
        <v>0</v>
      </c>
      <c r="Q1031">
        <v>0</v>
      </c>
      <c r="R1031">
        <v>1</v>
      </c>
      <c r="S1031">
        <v>2</v>
      </c>
    </row>
    <row r="1032" spans="1:19" x14ac:dyDescent="0.35">
      <c r="A1032">
        <v>6602668732</v>
      </c>
      <c r="B1032" t="s">
        <v>422</v>
      </c>
      <c r="C1032" t="str">
        <f>_xlfn.XLOOKUP(A1032,[1]Affiliations!$J$2:$J$5328,[1]Affiliations!$K$2:$K$5328,0)</f>
        <v>Universidade de São Paulo</v>
      </c>
      <c r="D1032">
        <v>146</v>
      </c>
      <c r="E1032">
        <v>3547</v>
      </c>
      <c r="F1032">
        <v>24.294521</v>
      </c>
      <c r="G1032">
        <v>50</v>
      </c>
      <c r="H1032">
        <v>1.24</v>
      </c>
      <c r="I1032">
        <v>6</v>
      </c>
      <c r="J1032">
        <v>21</v>
      </c>
      <c r="K1032">
        <v>43</v>
      </c>
      <c r="L1032">
        <v>89</v>
      </c>
      <c r="M1032">
        <v>142</v>
      </c>
      <c r="N1032">
        <v>145</v>
      </c>
      <c r="P1032">
        <v>0</v>
      </c>
      <c r="Q1032">
        <v>9</v>
      </c>
      <c r="R1032">
        <v>24</v>
      </c>
      <c r="S1032">
        <v>80</v>
      </c>
    </row>
    <row r="1033" spans="1:19" hidden="1" x14ac:dyDescent="0.35">
      <c r="A1033">
        <v>57225695635</v>
      </c>
      <c r="B1033" t="s">
        <v>1044</v>
      </c>
      <c r="C1033" t="str">
        <f>_xlfn.XLOOKUP(A1033,[1]Affiliations!$J$2:$J$5328,[1]Affiliations!$K$2:$K$5328,0)</f>
        <v>Universidade Federal de Uberlândia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1</v>
      </c>
      <c r="P1033">
        <v>0</v>
      </c>
      <c r="Q1033">
        <v>0</v>
      </c>
      <c r="R1033">
        <v>0</v>
      </c>
      <c r="S1033">
        <v>0</v>
      </c>
    </row>
    <row r="1034" spans="1:19" hidden="1" x14ac:dyDescent="0.35">
      <c r="A1034">
        <v>57528312400</v>
      </c>
      <c r="B1034" t="s">
        <v>1045</v>
      </c>
      <c r="C1034" t="str">
        <f>_xlfn.XLOOKUP(A1034,[1]Affiliations!$J$2:$J$5328,[1]Affiliations!$K$2:$K$5328,0)</f>
        <v>Universidade Federal de Campina Grande</v>
      </c>
      <c r="D1034">
        <v>8</v>
      </c>
      <c r="E1034">
        <v>11</v>
      </c>
      <c r="F1034">
        <v>1.375</v>
      </c>
      <c r="G1034">
        <v>2</v>
      </c>
      <c r="H1034">
        <v>7.0000000000000007E-2</v>
      </c>
      <c r="I1034">
        <v>0</v>
      </c>
      <c r="J1034">
        <v>0</v>
      </c>
      <c r="K1034">
        <v>0</v>
      </c>
      <c r="L1034">
        <v>1</v>
      </c>
      <c r="M1034">
        <v>6</v>
      </c>
      <c r="N1034">
        <v>6</v>
      </c>
      <c r="P1034">
        <v>0</v>
      </c>
      <c r="Q1034">
        <v>0</v>
      </c>
      <c r="R1034">
        <v>0</v>
      </c>
      <c r="S1034">
        <v>0</v>
      </c>
    </row>
    <row r="1035" spans="1:19" hidden="1" x14ac:dyDescent="0.35">
      <c r="A1035">
        <v>57209651844</v>
      </c>
      <c r="B1035" t="s">
        <v>1046</v>
      </c>
      <c r="C1035" t="str">
        <f>_xlfn.XLOOKUP(A1035,[1]Affiliations!$J$2:$J$5328,[1]Affiliations!$K$2:$K$5328,0)</f>
        <v>Universidade Tiradentes</v>
      </c>
      <c r="D1035">
        <v>1</v>
      </c>
      <c r="E1035">
        <v>4</v>
      </c>
      <c r="F1035">
        <v>4</v>
      </c>
      <c r="G1035">
        <v>1</v>
      </c>
      <c r="H1035">
        <v>0.05</v>
      </c>
      <c r="I1035">
        <v>0</v>
      </c>
      <c r="J1035">
        <v>0</v>
      </c>
      <c r="K1035">
        <v>0</v>
      </c>
      <c r="L1035">
        <v>0</v>
      </c>
      <c r="M1035">
        <v>1</v>
      </c>
      <c r="N1035">
        <v>1</v>
      </c>
      <c r="P1035">
        <v>0</v>
      </c>
      <c r="Q1035">
        <v>0</v>
      </c>
      <c r="R1035">
        <v>0</v>
      </c>
      <c r="S1035">
        <v>0</v>
      </c>
    </row>
    <row r="1036" spans="1:19" hidden="1" x14ac:dyDescent="0.35">
      <c r="A1036">
        <v>57201429961</v>
      </c>
      <c r="B1036" t="s">
        <v>1047</v>
      </c>
      <c r="C1036" t="str">
        <f>_xlfn.XLOOKUP(A1036,[1]Affiliations!$J$2:$J$5328,[1]Affiliations!$K$2:$K$5328,0)</f>
        <v>Tecgraf</v>
      </c>
      <c r="D1036">
        <v>1</v>
      </c>
      <c r="E1036">
        <v>0</v>
      </c>
      <c r="F1036">
        <v>0</v>
      </c>
      <c r="G1036">
        <v>0</v>
      </c>
      <c r="H1036">
        <v>0</v>
      </c>
      <c r="P1036">
        <v>0</v>
      </c>
      <c r="Q1036">
        <v>0</v>
      </c>
      <c r="R1036">
        <v>0</v>
      </c>
      <c r="S1036">
        <v>0</v>
      </c>
    </row>
    <row r="1037" spans="1:19" hidden="1" x14ac:dyDescent="0.35">
      <c r="A1037">
        <v>57195680457</v>
      </c>
      <c r="B1037" t="s">
        <v>1048</v>
      </c>
      <c r="C1037" t="str">
        <f>_xlfn.XLOOKUP(A1037,[1]Affiliations!$J$2:$J$5328,[1]Affiliations!$K$2:$K$5328,0)</f>
        <v>Pontifícia Universidade Católica do Rio Grande do Sul</v>
      </c>
      <c r="D1037">
        <v>2</v>
      </c>
      <c r="E1037">
        <v>25</v>
      </c>
      <c r="F1037">
        <v>12.5</v>
      </c>
      <c r="G1037">
        <v>2</v>
      </c>
      <c r="H1037">
        <v>0.32</v>
      </c>
      <c r="I1037">
        <v>0</v>
      </c>
      <c r="J1037">
        <v>0</v>
      </c>
      <c r="K1037">
        <v>0</v>
      </c>
      <c r="L1037">
        <v>0</v>
      </c>
      <c r="M1037">
        <v>2</v>
      </c>
      <c r="N1037">
        <v>2</v>
      </c>
      <c r="P1037">
        <v>0</v>
      </c>
      <c r="Q1037">
        <v>0</v>
      </c>
      <c r="R1037">
        <v>0</v>
      </c>
      <c r="S1037">
        <v>0</v>
      </c>
    </row>
    <row r="1038" spans="1:19" hidden="1" x14ac:dyDescent="0.35">
      <c r="A1038">
        <v>57295919000</v>
      </c>
      <c r="B1038" t="s">
        <v>1049</v>
      </c>
      <c r="C1038" t="str">
        <f>_xlfn.XLOOKUP(A1038,[1]Affiliations!$J$2:$J$5328,[1]Affiliations!$K$2:$K$5328,0)</f>
        <v>Universidade de São Paulo</v>
      </c>
      <c r="D1038">
        <v>5</v>
      </c>
      <c r="E1038">
        <v>21</v>
      </c>
      <c r="F1038">
        <v>4.2</v>
      </c>
      <c r="G1038">
        <v>3</v>
      </c>
      <c r="H1038">
        <v>0.87</v>
      </c>
      <c r="I1038">
        <v>0</v>
      </c>
      <c r="J1038">
        <v>0</v>
      </c>
      <c r="K1038">
        <v>1</v>
      </c>
      <c r="L1038">
        <v>1</v>
      </c>
      <c r="M1038">
        <v>2</v>
      </c>
      <c r="N1038">
        <v>4</v>
      </c>
      <c r="P1038">
        <v>0</v>
      </c>
      <c r="Q1038">
        <v>0</v>
      </c>
      <c r="R1038">
        <v>0</v>
      </c>
      <c r="S1038">
        <v>0</v>
      </c>
    </row>
    <row r="1039" spans="1:19" hidden="1" x14ac:dyDescent="0.35">
      <c r="A1039">
        <v>59454183800</v>
      </c>
      <c r="B1039" t="s">
        <v>1050</v>
      </c>
      <c r="C1039" t="str">
        <f>_xlfn.XLOOKUP(A1039,[1]Affiliations!$J$2:$J$5328,[1]Affiliations!$K$2:$K$5328,0)</f>
        <v>Flow Assurance Consultant</v>
      </c>
      <c r="D1039">
        <v>1</v>
      </c>
      <c r="E1039">
        <v>4</v>
      </c>
      <c r="F1039">
        <v>4</v>
      </c>
      <c r="G1039">
        <v>1</v>
      </c>
      <c r="H1039">
        <v>3.49</v>
      </c>
      <c r="P1039">
        <v>0</v>
      </c>
      <c r="Q1039">
        <v>0</v>
      </c>
      <c r="R1039">
        <v>0</v>
      </c>
      <c r="S1039">
        <v>0</v>
      </c>
    </row>
    <row r="1040" spans="1:19" x14ac:dyDescent="0.35">
      <c r="A1040">
        <v>57195732631</v>
      </c>
      <c r="B1040" t="s">
        <v>1119</v>
      </c>
      <c r="C1040" t="str">
        <f>_xlfn.XLOOKUP(A1040,[1]Affiliations!$J$2:$J$5328,[1]Affiliations!$K$2:$K$5328,0)</f>
        <v>Federal University of Rio de Janeiro</v>
      </c>
      <c r="D1040">
        <v>6</v>
      </c>
      <c r="E1040">
        <v>122</v>
      </c>
      <c r="F1040">
        <v>20.333334000000001</v>
      </c>
      <c r="G1040">
        <v>5</v>
      </c>
      <c r="H1040">
        <v>1.24</v>
      </c>
      <c r="I1040">
        <v>0</v>
      </c>
      <c r="J1040">
        <v>1</v>
      </c>
      <c r="K1040">
        <v>4</v>
      </c>
      <c r="L1040">
        <v>5</v>
      </c>
      <c r="M1040">
        <v>6</v>
      </c>
      <c r="N1040">
        <v>6</v>
      </c>
      <c r="P1040">
        <v>0</v>
      </c>
      <c r="Q1040">
        <v>0</v>
      </c>
      <c r="R1040">
        <v>1</v>
      </c>
      <c r="S1040">
        <v>4</v>
      </c>
    </row>
    <row r="1041" spans="1:19" x14ac:dyDescent="0.35">
      <c r="A1041">
        <v>57191839210</v>
      </c>
      <c r="B1041" t="s">
        <v>1155</v>
      </c>
      <c r="C1041" t="str">
        <f>_xlfn.XLOOKUP(A1041,[1]Affiliations!$J$2:$J$5328,[1]Affiliations!$K$2:$K$5328,0)</f>
        <v>Universidade Federal de Juiz de Fora</v>
      </c>
      <c r="D1041">
        <v>79</v>
      </c>
      <c r="E1041">
        <v>1180</v>
      </c>
      <c r="F1041">
        <v>14.936707999999999</v>
      </c>
      <c r="G1041">
        <v>19</v>
      </c>
      <c r="H1041">
        <v>1.24</v>
      </c>
      <c r="I1041">
        <v>1</v>
      </c>
      <c r="J1041">
        <v>14</v>
      </c>
      <c r="K1041">
        <v>26</v>
      </c>
      <c r="L1041">
        <v>39</v>
      </c>
      <c r="M1041">
        <v>64</v>
      </c>
      <c r="N1041">
        <v>68</v>
      </c>
      <c r="P1041">
        <v>1</v>
      </c>
      <c r="Q1041">
        <v>6</v>
      </c>
      <c r="R1041">
        <v>18</v>
      </c>
      <c r="S1041">
        <v>37</v>
      </c>
    </row>
    <row r="1042" spans="1:19" hidden="1" x14ac:dyDescent="0.35">
      <c r="A1042">
        <v>55837359700</v>
      </c>
      <c r="B1042" t="s">
        <v>1053</v>
      </c>
      <c r="C1042" t="str">
        <f>_xlfn.XLOOKUP(A1042,[1]Affiliations!$J$2:$J$5328,[1]Affiliations!$K$2:$K$5328,0)</f>
        <v>Instituto Nacional de Tecnologia</v>
      </c>
      <c r="D1042">
        <v>3</v>
      </c>
      <c r="E1042">
        <v>0</v>
      </c>
      <c r="F1042">
        <v>0</v>
      </c>
      <c r="G1042">
        <v>0</v>
      </c>
      <c r="H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5">
      <c r="A1043">
        <v>11340128700</v>
      </c>
      <c r="B1043" t="s">
        <v>1477</v>
      </c>
      <c r="C1043" t="str">
        <f>_xlfn.XLOOKUP(A1043,[1]Affiliations!$J$2:$J$5328,[1]Affiliations!$K$2:$K$5328,0)</f>
        <v>Universidade Federal do Rio Grande do Norte (+1 more)</v>
      </c>
      <c r="D1043">
        <v>45</v>
      </c>
      <c r="E1043">
        <v>938</v>
      </c>
      <c r="F1043">
        <v>20.844443999999999</v>
      </c>
      <c r="G1043">
        <v>25</v>
      </c>
      <c r="H1043">
        <v>1.24</v>
      </c>
      <c r="I1043">
        <v>2</v>
      </c>
      <c r="J1043">
        <v>5</v>
      </c>
      <c r="K1043">
        <v>11</v>
      </c>
      <c r="L1043">
        <v>21</v>
      </c>
      <c r="M1043">
        <v>40</v>
      </c>
      <c r="N1043">
        <v>44</v>
      </c>
      <c r="P1043">
        <v>0</v>
      </c>
      <c r="Q1043">
        <v>1</v>
      </c>
      <c r="R1043">
        <v>5</v>
      </c>
      <c r="S1043">
        <v>25</v>
      </c>
    </row>
    <row r="1044" spans="1:19" hidden="1" x14ac:dyDescent="0.35">
      <c r="A1044">
        <v>58316214500</v>
      </c>
      <c r="B1044" t="s">
        <v>1055</v>
      </c>
      <c r="C1044" t="str">
        <f>_xlfn.XLOOKUP(A1044,[1]Affiliations!$J$2:$J$5328,[1]Affiliations!$K$2:$K$5328,0)</f>
        <v>Universidade de São Paulo (+1 more)</v>
      </c>
      <c r="D1044">
        <v>1</v>
      </c>
      <c r="E1044">
        <v>1</v>
      </c>
      <c r="F1044">
        <v>1</v>
      </c>
      <c r="G1044">
        <v>1</v>
      </c>
      <c r="H1044">
        <v>0.09</v>
      </c>
      <c r="I1044">
        <v>0</v>
      </c>
      <c r="J1044">
        <v>0</v>
      </c>
      <c r="K1044">
        <v>0</v>
      </c>
      <c r="L1044">
        <v>1</v>
      </c>
      <c r="M1044">
        <v>1</v>
      </c>
      <c r="N1044">
        <v>1</v>
      </c>
      <c r="P1044">
        <v>0</v>
      </c>
      <c r="Q1044">
        <v>0</v>
      </c>
      <c r="R1044">
        <v>0</v>
      </c>
      <c r="S1044">
        <v>0</v>
      </c>
    </row>
    <row r="1045" spans="1:19" hidden="1" x14ac:dyDescent="0.35">
      <c r="A1045">
        <v>15057501700</v>
      </c>
      <c r="B1045" t="s">
        <v>1056</v>
      </c>
      <c r="C1045" t="str">
        <f>_xlfn.XLOOKUP(A1045,[1]Affiliations!$J$2:$J$5328,[1]Affiliations!$K$2:$K$5328,0)</f>
        <v>Petróleo Brasileiro S.A. (+1 more)</v>
      </c>
      <c r="D1045">
        <v>4</v>
      </c>
      <c r="E1045">
        <v>225</v>
      </c>
      <c r="F1045">
        <v>56.25</v>
      </c>
      <c r="G1045">
        <v>6</v>
      </c>
      <c r="H1045">
        <v>1.56</v>
      </c>
      <c r="I1045">
        <v>0</v>
      </c>
      <c r="J1045">
        <v>3</v>
      </c>
      <c r="K1045">
        <v>3</v>
      </c>
      <c r="L1045">
        <v>4</v>
      </c>
      <c r="M1045">
        <v>4</v>
      </c>
      <c r="N1045">
        <v>4</v>
      </c>
      <c r="P1045">
        <v>0</v>
      </c>
      <c r="Q1045">
        <v>1</v>
      </c>
      <c r="R1045">
        <v>2</v>
      </c>
      <c r="S1045">
        <v>2</v>
      </c>
    </row>
    <row r="1046" spans="1:19" hidden="1" x14ac:dyDescent="0.35">
      <c r="A1046">
        <v>57214945752</v>
      </c>
      <c r="B1046" t="s">
        <v>1057</v>
      </c>
      <c r="C1046" t="str">
        <f>_xlfn.XLOOKUP(A1046,[1]Affiliations!$J$2:$J$5328,[1]Affiliations!$K$2:$K$5328,0)</f>
        <v>Pontifical Catholic University of Rio de Janeiro</v>
      </c>
      <c r="D1046">
        <v>1</v>
      </c>
      <c r="E1046">
        <v>0</v>
      </c>
      <c r="F1046">
        <v>0</v>
      </c>
      <c r="G1046">
        <v>0</v>
      </c>
      <c r="H1046">
        <v>0</v>
      </c>
      <c r="P1046">
        <v>0</v>
      </c>
      <c r="Q1046">
        <v>0</v>
      </c>
      <c r="R1046">
        <v>0</v>
      </c>
      <c r="S1046">
        <v>0</v>
      </c>
    </row>
    <row r="1047" spans="1:19" hidden="1" x14ac:dyDescent="0.35">
      <c r="A1047">
        <v>57189897304</v>
      </c>
      <c r="B1047" t="s">
        <v>1058</v>
      </c>
      <c r="C1047" t="str">
        <f>_xlfn.XLOOKUP(A1047,[1]Affiliations!$J$2:$J$5328,[1]Affiliations!$K$2:$K$5328,0)</f>
        <v>Universidade Federal Fluminense</v>
      </c>
      <c r="D1047">
        <v>1</v>
      </c>
      <c r="E1047">
        <v>19</v>
      </c>
      <c r="F1047">
        <v>19</v>
      </c>
      <c r="G1047">
        <v>1</v>
      </c>
      <c r="H1047">
        <v>0.43</v>
      </c>
      <c r="I1047">
        <v>0</v>
      </c>
      <c r="J1047">
        <v>0</v>
      </c>
      <c r="K1047">
        <v>0</v>
      </c>
      <c r="L1047">
        <v>1</v>
      </c>
      <c r="M1047">
        <v>1</v>
      </c>
      <c r="N1047">
        <v>1</v>
      </c>
      <c r="P1047">
        <v>0</v>
      </c>
      <c r="Q1047">
        <v>0</v>
      </c>
      <c r="R1047">
        <v>0</v>
      </c>
      <c r="S1047">
        <v>0</v>
      </c>
    </row>
    <row r="1048" spans="1:19" hidden="1" x14ac:dyDescent="0.35">
      <c r="A1048">
        <v>57225680991</v>
      </c>
      <c r="B1048" t="s">
        <v>1059</v>
      </c>
      <c r="C1048" t="str">
        <f>_xlfn.XLOOKUP(A1048,[1]Affiliations!$J$2:$J$5328,[1]Affiliations!$K$2:$K$5328,0)</f>
        <v>Centro Federal de Educação Tecnológica Celso Suckow da Fonseca (CEFET-RJ)</v>
      </c>
      <c r="D1048">
        <v>11</v>
      </c>
      <c r="E1048">
        <v>102</v>
      </c>
      <c r="F1048">
        <v>9.2727269999999997</v>
      </c>
      <c r="G1048">
        <v>6</v>
      </c>
      <c r="H1048">
        <v>0.72</v>
      </c>
      <c r="I1048">
        <v>0</v>
      </c>
      <c r="J1048">
        <v>2</v>
      </c>
      <c r="K1048">
        <v>2</v>
      </c>
      <c r="L1048">
        <v>4</v>
      </c>
      <c r="M1048">
        <v>5</v>
      </c>
      <c r="N1048">
        <v>8</v>
      </c>
      <c r="P1048">
        <v>0</v>
      </c>
      <c r="Q1048">
        <v>0</v>
      </c>
      <c r="R1048">
        <v>0</v>
      </c>
      <c r="S1048">
        <v>2</v>
      </c>
    </row>
    <row r="1049" spans="1:19" x14ac:dyDescent="0.35">
      <c r="A1049">
        <v>56326337000</v>
      </c>
      <c r="B1049" t="s">
        <v>1657</v>
      </c>
      <c r="C1049" t="str">
        <f>_xlfn.XLOOKUP(A1049,[1]Affiliations!$J$2:$J$5328,[1]Affiliations!$K$2:$K$5328,0)</f>
        <v>Instituto Nacional de Metrologia, Qualidade e Tecnologia (+1 more)</v>
      </c>
      <c r="D1049">
        <v>10</v>
      </c>
      <c r="E1049">
        <v>173</v>
      </c>
      <c r="F1049">
        <v>17.3</v>
      </c>
      <c r="G1049">
        <v>7</v>
      </c>
      <c r="H1049">
        <v>1.24</v>
      </c>
      <c r="I1049">
        <v>0</v>
      </c>
      <c r="J1049">
        <v>0</v>
      </c>
      <c r="K1049">
        <v>2</v>
      </c>
      <c r="L1049">
        <v>6</v>
      </c>
      <c r="M1049">
        <v>10</v>
      </c>
      <c r="N1049">
        <v>10</v>
      </c>
      <c r="P1049">
        <v>0</v>
      </c>
      <c r="Q1049">
        <v>2</v>
      </c>
      <c r="R1049">
        <v>3</v>
      </c>
      <c r="S1049">
        <v>5</v>
      </c>
    </row>
    <row r="1050" spans="1:19" x14ac:dyDescent="0.35">
      <c r="A1050">
        <v>57214686270</v>
      </c>
      <c r="B1050" t="s">
        <v>2811</v>
      </c>
      <c r="C1050" t="str">
        <f>_xlfn.XLOOKUP(A1050,[1]Affiliations!$J$2:$J$5328,[1]Affiliations!$K$2:$K$5328,0)</f>
        <v>Universidade de São Paulo (+1 more)</v>
      </c>
      <c r="D1050">
        <v>7</v>
      </c>
      <c r="E1050">
        <v>66</v>
      </c>
      <c r="F1050">
        <v>9.4285720000000008</v>
      </c>
      <c r="G1050">
        <v>5</v>
      </c>
      <c r="H1050">
        <v>1.24</v>
      </c>
      <c r="I1050">
        <v>0</v>
      </c>
      <c r="J1050">
        <v>0</v>
      </c>
      <c r="K1050">
        <v>2</v>
      </c>
      <c r="L1050">
        <v>6</v>
      </c>
      <c r="M1050">
        <v>6</v>
      </c>
      <c r="N1050">
        <v>7</v>
      </c>
      <c r="P1050">
        <v>0</v>
      </c>
      <c r="Q1050">
        <v>0</v>
      </c>
      <c r="R1050">
        <v>1</v>
      </c>
      <c r="S1050">
        <v>2</v>
      </c>
    </row>
    <row r="1051" spans="1:19" hidden="1" x14ac:dyDescent="0.35">
      <c r="A1051">
        <v>57212250577</v>
      </c>
      <c r="B1051" t="s">
        <v>1062</v>
      </c>
      <c r="C1051" t="str">
        <f>_xlfn.XLOOKUP(A1051,[1]Affiliations!$J$2:$J$5328,[1]Affiliations!$K$2:$K$5328,0)</f>
        <v>Universidade de São Paulo</v>
      </c>
      <c r="D1051">
        <v>5</v>
      </c>
      <c r="E1051">
        <v>65</v>
      </c>
      <c r="F1051">
        <v>13</v>
      </c>
      <c r="G1051">
        <v>4</v>
      </c>
      <c r="H1051">
        <v>0.67</v>
      </c>
      <c r="I1051">
        <v>0</v>
      </c>
      <c r="J1051">
        <v>0</v>
      </c>
      <c r="K1051">
        <v>2</v>
      </c>
      <c r="L1051">
        <v>5</v>
      </c>
      <c r="M1051">
        <v>5</v>
      </c>
      <c r="N1051">
        <v>5</v>
      </c>
      <c r="P1051">
        <v>0</v>
      </c>
      <c r="Q1051">
        <v>0</v>
      </c>
      <c r="R1051">
        <v>0</v>
      </c>
      <c r="S1051">
        <v>3</v>
      </c>
    </row>
    <row r="1052" spans="1:19" hidden="1" x14ac:dyDescent="0.35">
      <c r="A1052">
        <v>6603955308</v>
      </c>
      <c r="B1052" t="s">
        <v>1063</v>
      </c>
      <c r="C1052" t="str">
        <f>_xlfn.XLOOKUP(A1052,[1]Affiliations!$J$2:$J$5328,[1]Affiliations!$K$2:$K$5328,0)</f>
        <v>Federal University of Rio de Janeiro</v>
      </c>
      <c r="D1052">
        <v>43</v>
      </c>
      <c r="E1052">
        <v>363</v>
      </c>
      <c r="F1052">
        <v>8.4418600000000001</v>
      </c>
      <c r="G1052">
        <v>12</v>
      </c>
      <c r="H1052">
        <v>0.52</v>
      </c>
      <c r="I1052">
        <v>0</v>
      </c>
      <c r="J1052">
        <v>1</v>
      </c>
      <c r="K1052">
        <v>7</v>
      </c>
      <c r="L1052">
        <v>12</v>
      </c>
      <c r="M1052">
        <v>23</v>
      </c>
      <c r="N1052">
        <v>28</v>
      </c>
      <c r="P1052">
        <v>0</v>
      </c>
      <c r="Q1052">
        <v>0</v>
      </c>
      <c r="R1052">
        <v>0</v>
      </c>
      <c r="S1052">
        <v>9</v>
      </c>
    </row>
    <row r="1053" spans="1:19" hidden="1" x14ac:dyDescent="0.35">
      <c r="A1053">
        <v>57203835224</v>
      </c>
      <c r="B1053" t="s">
        <v>1064</v>
      </c>
      <c r="C1053" t="str">
        <f>_xlfn.XLOOKUP(A1053,[1]Affiliations!$J$2:$J$5328,[1]Affiliations!$K$2:$K$5328,0)</f>
        <v>Universidade Federal de Goiás</v>
      </c>
      <c r="D1053">
        <v>5</v>
      </c>
      <c r="E1053">
        <v>26</v>
      </c>
      <c r="F1053">
        <v>5.2</v>
      </c>
      <c r="G1053">
        <v>3</v>
      </c>
      <c r="H1053">
        <v>0.41</v>
      </c>
      <c r="I1053">
        <v>0</v>
      </c>
      <c r="J1053">
        <v>0</v>
      </c>
      <c r="K1053">
        <v>1</v>
      </c>
      <c r="L1053">
        <v>1</v>
      </c>
      <c r="M1053">
        <v>4</v>
      </c>
      <c r="N1053">
        <v>4</v>
      </c>
      <c r="P1053">
        <v>0</v>
      </c>
      <c r="Q1053">
        <v>0</v>
      </c>
      <c r="R1053">
        <v>0</v>
      </c>
      <c r="S1053">
        <v>1</v>
      </c>
    </row>
    <row r="1054" spans="1:19" x14ac:dyDescent="0.35">
      <c r="A1054">
        <v>6601977808</v>
      </c>
      <c r="B1054" t="s">
        <v>2937</v>
      </c>
      <c r="C1054" t="str">
        <f>_xlfn.XLOOKUP(A1054,[1]Affiliations!$J$2:$J$5328,[1]Affiliations!$K$2:$K$5328,0)</f>
        <v>University of Campinas</v>
      </c>
      <c r="D1054">
        <v>50</v>
      </c>
      <c r="E1054">
        <v>2346</v>
      </c>
      <c r="F1054">
        <v>46.92</v>
      </c>
      <c r="G1054">
        <v>26</v>
      </c>
      <c r="H1054">
        <v>1.24</v>
      </c>
      <c r="I1054">
        <v>4</v>
      </c>
      <c r="J1054">
        <v>8</v>
      </c>
      <c r="K1054">
        <v>17</v>
      </c>
      <c r="L1054">
        <v>27</v>
      </c>
      <c r="M1054">
        <v>42</v>
      </c>
      <c r="N1054">
        <v>47</v>
      </c>
      <c r="P1054">
        <v>4</v>
      </c>
      <c r="Q1054">
        <v>10</v>
      </c>
      <c r="R1054">
        <v>15</v>
      </c>
      <c r="S1054">
        <v>22</v>
      </c>
    </row>
    <row r="1055" spans="1:19" hidden="1" x14ac:dyDescent="0.35">
      <c r="A1055">
        <v>55818831400</v>
      </c>
      <c r="B1055" t="s">
        <v>1066</v>
      </c>
      <c r="C1055" t="str">
        <f>_xlfn.XLOOKUP(A1055,[1]Affiliations!$J$2:$J$5328,[1]Affiliations!$K$2:$K$5328,0)</f>
        <v>Universidade Tecnológica Federal do Paraná</v>
      </c>
      <c r="D1055">
        <v>13</v>
      </c>
      <c r="E1055">
        <v>147</v>
      </c>
      <c r="F1055">
        <v>11.307693</v>
      </c>
      <c r="G1055">
        <v>7</v>
      </c>
      <c r="H1055">
        <v>0.72</v>
      </c>
      <c r="I1055">
        <v>0</v>
      </c>
      <c r="J1055">
        <v>3</v>
      </c>
      <c r="K1055">
        <v>5</v>
      </c>
      <c r="L1055">
        <v>6</v>
      </c>
      <c r="M1055">
        <v>6</v>
      </c>
      <c r="N1055">
        <v>7</v>
      </c>
      <c r="P1055">
        <v>0</v>
      </c>
      <c r="Q1055">
        <v>0</v>
      </c>
      <c r="R1055">
        <v>0</v>
      </c>
      <c r="S1055">
        <v>4</v>
      </c>
    </row>
    <row r="1056" spans="1:19" hidden="1" x14ac:dyDescent="0.35">
      <c r="A1056">
        <v>6506073220</v>
      </c>
      <c r="B1056" t="s">
        <v>1067</v>
      </c>
      <c r="C1056" t="str">
        <f>_xlfn.XLOOKUP(A1056,[1]Affiliations!$J$2:$J$5328,[1]Affiliations!$K$2:$K$5328,0)</f>
        <v>Instituto Nacional de Tecnologia</v>
      </c>
      <c r="D1056">
        <v>4</v>
      </c>
      <c r="E1056">
        <v>49</v>
      </c>
      <c r="F1056">
        <v>12.25</v>
      </c>
      <c r="G1056">
        <v>1</v>
      </c>
      <c r="H1056">
        <v>0.2</v>
      </c>
      <c r="I1056">
        <v>0</v>
      </c>
      <c r="J1056">
        <v>0</v>
      </c>
      <c r="K1056">
        <v>0</v>
      </c>
      <c r="L1056">
        <v>1</v>
      </c>
      <c r="M1056">
        <v>1</v>
      </c>
      <c r="N1056">
        <v>1</v>
      </c>
      <c r="P1056">
        <v>0</v>
      </c>
      <c r="Q1056">
        <v>0</v>
      </c>
      <c r="R1056">
        <v>0</v>
      </c>
      <c r="S1056">
        <v>1</v>
      </c>
    </row>
    <row r="1057" spans="1:19" x14ac:dyDescent="0.35">
      <c r="A1057">
        <v>54942238400</v>
      </c>
      <c r="B1057" t="s">
        <v>3292</v>
      </c>
      <c r="C1057" t="str">
        <f>_xlfn.XLOOKUP(A1057,[1]Affiliations!$J$2:$J$5328,[1]Affiliations!$K$2:$K$5328,0)</f>
        <v>Empresa Brasileira de Pesquisa Agropecuária</v>
      </c>
      <c r="D1057">
        <v>76</v>
      </c>
      <c r="E1057">
        <v>1661</v>
      </c>
      <c r="F1057">
        <v>21.855263000000001</v>
      </c>
      <c r="G1057">
        <v>39</v>
      </c>
      <c r="H1057">
        <v>1.24</v>
      </c>
      <c r="I1057">
        <v>0</v>
      </c>
      <c r="J1057">
        <v>3</v>
      </c>
      <c r="K1057">
        <v>14</v>
      </c>
      <c r="L1057">
        <v>36</v>
      </c>
      <c r="M1057">
        <v>53</v>
      </c>
      <c r="N1057">
        <v>68</v>
      </c>
      <c r="P1057">
        <v>1</v>
      </c>
      <c r="Q1057">
        <v>6</v>
      </c>
      <c r="R1057">
        <v>9</v>
      </c>
      <c r="S1057">
        <v>27</v>
      </c>
    </row>
    <row r="1058" spans="1:19" hidden="1" x14ac:dyDescent="0.35">
      <c r="A1058">
        <v>57201462871</v>
      </c>
      <c r="B1058" t="s">
        <v>1069</v>
      </c>
      <c r="C1058" t="str">
        <f>_xlfn.XLOOKUP(A1058,[1]Affiliations!$J$2:$J$5328,[1]Affiliations!$K$2:$K$5328,0)</f>
        <v>Universidade Federal do Espírito Santo</v>
      </c>
      <c r="D1058">
        <v>3</v>
      </c>
      <c r="E1058">
        <v>18</v>
      </c>
      <c r="F1058">
        <v>6</v>
      </c>
      <c r="G1058">
        <v>2</v>
      </c>
      <c r="H1058">
        <v>0.39</v>
      </c>
      <c r="I1058">
        <v>0</v>
      </c>
      <c r="J1058">
        <v>0</v>
      </c>
      <c r="K1058">
        <v>0</v>
      </c>
      <c r="L1058">
        <v>1</v>
      </c>
      <c r="M1058">
        <v>2</v>
      </c>
      <c r="N1058">
        <v>2</v>
      </c>
      <c r="P1058">
        <v>0</v>
      </c>
      <c r="Q1058">
        <v>0</v>
      </c>
      <c r="R1058">
        <v>0</v>
      </c>
      <c r="S1058">
        <v>0</v>
      </c>
    </row>
    <row r="1059" spans="1:19" x14ac:dyDescent="0.35">
      <c r="A1059">
        <v>57831703700</v>
      </c>
      <c r="B1059" t="s">
        <v>3342</v>
      </c>
      <c r="C1059" t="str">
        <f>_xlfn.XLOOKUP(A1059,[1]Affiliations!$J$2:$J$5328,[1]Affiliations!$K$2:$K$5328,0)</f>
        <v>Universidade Federal de Pernambuco</v>
      </c>
      <c r="D1059">
        <v>10</v>
      </c>
      <c r="E1059">
        <v>366</v>
      </c>
      <c r="F1059">
        <v>36.6</v>
      </c>
      <c r="G1059">
        <v>3</v>
      </c>
      <c r="H1059">
        <v>1.24</v>
      </c>
      <c r="I1059">
        <v>0</v>
      </c>
      <c r="J1059">
        <v>2</v>
      </c>
      <c r="K1059">
        <v>3</v>
      </c>
      <c r="L1059">
        <v>3</v>
      </c>
      <c r="M1059">
        <v>4</v>
      </c>
      <c r="N1059">
        <v>4</v>
      </c>
      <c r="P1059">
        <v>1</v>
      </c>
      <c r="Q1059">
        <v>1</v>
      </c>
      <c r="R1059">
        <v>1</v>
      </c>
      <c r="S1059">
        <v>3</v>
      </c>
    </row>
    <row r="1060" spans="1:19" hidden="1" x14ac:dyDescent="0.35">
      <c r="A1060">
        <v>6507500149</v>
      </c>
      <c r="B1060" t="s">
        <v>1071</v>
      </c>
      <c r="C1060" t="str">
        <f>_xlfn.XLOOKUP(A1060,[1]Affiliations!$J$2:$J$5328,[1]Affiliations!$K$2:$K$5328,0)</f>
        <v>Instituto Nacional de Pesquisas Espaciais</v>
      </c>
      <c r="D1060">
        <v>2</v>
      </c>
      <c r="E1060">
        <v>211</v>
      </c>
      <c r="F1060">
        <v>105.5</v>
      </c>
      <c r="G1060">
        <v>3</v>
      </c>
      <c r="H1060">
        <v>3.32</v>
      </c>
      <c r="I1060">
        <v>0</v>
      </c>
      <c r="J1060">
        <v>0</v>
      </c>
      <c r="K1060">
        <v>1</v>
      </c>
      <c r="L1060">
        <v>1</v>
      </c>
      <c r="M1060">
        <v>2</v>
      </c>
      <c r="N1060">
        <v>2</v>
      </c>
      <c r="P1060">
        <v>0</v>
      </c>
      <c r="Q1060">
        <v>1</v>
      </c>
      <c r="R1060">
        <v>1</v>
      </c>
      <c r="S1060">
        <v>1</v>
      </c>
    </row>
    <row r="1061" spans="1:19" x14ac:dyDescent="0.35">
      <c r="A1061">
        <v>56951283200</v>
      </c>
      <c r="B1061" t="s">
        <v>3473</v>
      </c>
      <c r="C1061" t="str">
        <f>_xlfn.XLOOKUP(A1061,[1]Affiliations!$J$2:$J$5328,[1]Affiliations!$K$2:$K$5328,0)</f>
        <v>Federal University of Santa Catarina</v>
      </c>
      <c r="D1061">
        <v>18</v>
      </c>
      <c r="E1061">
        <v>387</v>
      </c>
      <c r="F1061">
        <v>21.5</v>
      </c>
      <c r="G1061">
        <v>10</v>
      </c>
      <c r="H1061">
        <v>1.24</v>
      </c>
      <c r="I1061">
        <v>0</v>
      </c>
      <c r="J1061">
        <v>3</v>
      </c>
      <c r="K1061">
        <v>6</v>
      </c>
      <c r="L1061">
        <v>8</v>
      </c>
      <c r="M1061">
        <v>16</v>
      </c>
      <c r="N1061">
        <v>18</v>
      </c>
      <c r="P1061">
        <v>0</v>
      </c>
      <c r="Q1061">
        <v>1</v>
      </c>
      <c r="R1061">
        <v>4</v>
      </c>
      <c r="S1061">
        <v>10</v>
      </c>
    </row>
    <row r="1062" spans="1:19" hidden="1" x14ac:dyDescent="0.35">
      <c r="A1062">
        <v>57194771866</v>
      </c>
      <c r="B1062" t="s">
        <v>1073</v>
      </c>
      <c r="C1062" t="str">
        <f>_xlfn.XLOOKUP(A1062,[1]Affiliations!$J$2:$J$5328,[1]Affiliations!$K$2:$K$5328,0)</f>
        <v>Universidade Federal de Viçosa</v>
      </c>
      <c r="D1062">
        <v>7</v>
      </c>
      <c r="E1062">
        <v>151</v>
      </c>
      <c r="F1062">
        <v>21.571428000000001</v>
      </c>
      <c r="G1062">
        <v>6</v>
      </c>
      <c r="H1062">
        <v>0.73</v>
      </c>
      <c r="I1062">
        <v>0</v>
      </c>
      <c r="J1062">
        <v>0</v>
      </c>
      <c r="K1062">
        <v>2</v>
      </c>
      <c r="L1062">
        <v>3</v>
      </c>
      <c r="M1062">
        <v>6</v>
      </c>
      <c r="N1062">
        <v>7</v>
      </c>
      <c r="P1062">
        <v>0</v>
      </c>
      <c r="Q1062">
        <v>0</v>
      </c>
      <c r="R1062">
        <v>0</v>
      </c>
      <c r="S1062">
        <v>3</v>
      </c>
    </row>
    <row r="1063" spans="1:19" hidden="1" x14ac:dyDescent="0.35">
      <c r="A1063">
        <v>57205662905</v>
      </c>
      <c r="B1063" t="s">
        <v>1074</v>
      </c>
      <c r="C1063" t="str">
        <f>_xlfn.XLOOKUP(A1063,[1]Affiliations!$J$2:$J$5328,[1]Affiliations!$K$2:$K$5328,0)</f>
        <v>Universidade Federal Rural do Rio de Janeiro</v>
      </c>
      <c r="D1063">
        <v>1</v>
      </c>
      <c r="E1063">
        <v>15</v>
      </c>
      <c r="F1063">
        <v>15</v>
      </c>
      <c r="G1063">
        <v>1</v>
      </c>
      <c r="H1063">
        <v>0.56000000000000005</v>
      </c>
      <c r="I1063">
        <v>0</v>
      </c>
      <c r="J1063">
        <v>0</v>
      </c>
      <c r="K1063">
        <v>0</v>
      </c>
      <c r="L1063">
        <v>1</v>
      </c>
      <c r="M1063">
        <v>1</v>
      </c>
      <c r="N1063">
        <v>1</v>
      </c>
      <c r="P1063">
        <v>0</v>
      </c>
      <c r="Q1063">
        <v>0</v>
      </c>
      <c r="R1063">
        <v>0</v>
      </c>
      <c r="S1063">
        <v>0</v>
      </c>
    </row>
    <row r="1064" spans="1:19" x14ac:dyDescent="0.35">
      <c r="A1064">
        <v>55921430700</v>
      </c>
      <c r="B1064" t="s">
        <v>3653</v>
      </c>
      <c r="C1064" t="str">
        <f>_xlfn.XLOOKUP(A1064,[1]Affiliations!$J$2:$J$5328,[1]Affiliations!$K$2:$K$5328,0)</f>
        <v>Universidade Tecnológica Federal do Paraná</v>
      </c>
      <c r="D1064">
        <v>11</v>
      </c>
      <c r="E1064">
        <v>287</v>
      </c>
      <c r="F1064">
        <v>26.090910000000001</v>
      </c>
      <c r="G1064">
        <v>8</v>
      </c>
      <c r="H1064">
        <v>1.24</v>
      </c>
      <c r="I1064">
        <v>0</v>
      </c>
      <c r="J1064">
        <v>0</v>
      </c>
      <c r="K1064">
        <v>4</v>
      </c>
      <c r="L1064">
        <v>8</v>
      </c>
      <c r="M1064">
        <v>10</v>
      </c>
      <c r="N1064">
        <v>10</v>
      </c>
      <c r="P1064">
        <v>0</v>
      </c>
      <c r="Q1064">
        <v>1</v>
      </c>
      <c r="R1064">
        <v>1</v>
      </c>
      <c r="S1064">
        <v>7</v>
      </c>
    </row>
    <row r="1065" spans="1:19" x14ac:dyDescent="0.35">
      <c r="A1065">
        <v>57225041469</v>
      </c>
      <c r="B1065" t="s">
        <v>3851</v>
      </c>
      <c r="C1065" t="str">
        <f>_xlfn.XLOOKUP(A1065,[1]Affiliations!$J$2:$J$5328,[1]Affiliations!$K$2:$K$5328,0)</f>
        <v>Instituto Tecnológico da Aeronáutica</v>
      </c>
      <c r="D1065">
        <v>7</v>
      </c>
      <c r="E1065">
        <v>84</v>
      </c>
      <c r="F1065">
        <v>12</v>
      </c>
      <c r="G1065">
        <v>5</v>
      </c>
      <c r="H1065">
        <v>1.24</v>
      </c>
      <c r="I1065">
        <v>0</v>
      </c>
      <c r="J1065">
        <v>2</v>
      </c>
      <c r="K1065">
        <v>5</v>
      </c>
      <c r="L1065">
        <v>5</v>
      </c>
      <c r="M1065">
        <v>6</v>
      </c>
      <c r="N1065">
        <v>6</v>
      </c>
      <c r="P1065">
        <v>0</v>
      </c>
      <c r="Q1065">
        <v>0</v>
      </c>
      <c r="R1065">
        <v>1</v>
      </c>
      <c r="S1065">
        <v>6</v>
      </c>
    </row>
    <row r="1066" spans="1:19" hidden="1" x14ac:dyDescent="0.35">
      <c r="A1066">
        <v>58096842900</v>
      </c>
      <c r="B1066" t="s">
        <v>1077</v>
      </c>
      <c r="C1066" t="str">
        <f>_xlfn.XLOOKUP(A1066,[1]Affiliations!$J$2:$J$5328,[1]Affiliations!$K$2:$K$5328,0)</f>
        <v>Federal University of Rio de Janeiro</v>
      </c>
      <c r="D1066">
        <v>1</v>
      </c>
      <c r="E1066">
        <v>11</v>
      </c>
      <c r="F1066">
        <v>11</v>
      </c>
      <c r="G1066">
        <v>1</v>
      </c>
      <c r="H1066">
        <v>0.89</v>
      </c>
      <c r="I1066">
        <v>0</v>
      </c>
      <c r="J1066">
        <v>0</v>
      </c>
      <c r="K1066">
        <v>0</v>
      </c>
      <c r="L1066">
        <v>1</v>
      </c>
      <c r="M1066">
        <v>1</v>
      </c>
      <c r="N1066">
        <v>1</v>
      </c>
      <c r="P1066">
        <v>0</v>
      </c>
      <c r="Q1066">
        <v>0</v>
      </c>
      <c r="R1066">
        <v>0</v>
      </c>
      <c r="S1066">
        <v>1</v>
      </c>
    </row>
    <row r="1067" spans="1:19" hidden="1" x14ac:dyDescent="0.35">
      <c r="A1067">
        <v>56373784800</v>
      </c>
      <c r="B1067" t="s">
        <v>1078</v>
      </c>
      <c r="C1067" t="str">
        <f>_xlfn.XLOOKUP(A1067,[1]Affiliations!$J$2:$J$5328,[1]Affiliations!$K$2:$K$5328,0)</f>
        <v>Universidade Federal do Espírito Santo</v>
      </c>
      <c r="D1067">
        <v>3</v>
      </c>
      <c r="E1067">
        <v>48</v>
      </c>
      <c r="F1067">
        <v>16</v>
      </c>
      <c r="G1067">
        <v>3</v>
      </c>
      <c r="H1067">
        <v>0.78</v>
      </c>
      <c r="I1067">
        <v>0</v>
      </c>
      <c r="J1067">
        <v>0</v>
      </c>
      <c r="K1067">
        <v>2</v>
      </c>
      <c r="L1067">
        <v>3</v>
      </c>
      <c r="M1067">
        <v>3</v>
      </c>
      <c r="N1067">
        <v>3</v>
      </c>
      <c r="P1067">
        <v>0</v>
      </c>
      <c r="Q1067">
        <v>0</v>
      </c>
      <c r="R1067">
        <v>0</v>
      </c>
      <c r="S1067">
        <v>1</v>
      </c>
    </row>
    <row r="1068" spans="1:19" x14ac:dyDescent="0.35">
      <c r="A1068">
        <v>56305640700</v>
      </c>
      <c r="B1068" t="s">
        <v>4208</v>
      </c>
      <c r="C1068" t="str">
        <f>_xlfn.XLOOKUP(A1068,[1]Affiliations!$J$2:$J$5328,[1]Affiliations!$K$2:$K$5328,0)</f>
        <v>Universidade Federal de Minas Gerais (+1 more)</v>
      </c>
      <c r="D1068">
        <v>24</v>
      </c>
      <c r="E1068">
        <v>1057</v>
      </c>
      <c r="F1068">
        <v>44.041668000000001</v>
      </c>
      <c r="G1068">
        <v>19</v>
      </c>
      <c r="H1068">
        <v>1.24</v>
      </c>
      <c r="I1068">
        <v>5</v>
      </c>
      <c r="J1068">
        <v>11</v>
      </c>
      <c r="K1068">
        <v>14</v>
      </c>
      <c r="L1068">
        <v>20</v>
      </c>
      <c r="M1068">
        <v>24</v>
      </c>
      <c r="N1068">
        <v>24</v>
      </c>
      <c r="P1068">
        <v>0</v>
      </c>
      <c r="Q1068">
        <v>4</v>
      </c>
      <c r="R1068">
        <v>10</v>
      </c>
      <c r="S1068">
        <v>19</v>
      </c>
    </row>
    <row r="1069" spans="1:19" x14ac:dyDescent="0.35">
      <c r="A1069">
        <v>56184425400</v>
      </c>
      <c r="B1069" t="s">
        <v>4314</v>
      </c>
      <c r="C1069" t="str">
        <f>_xlfn.XLOOKUP(A1069,[1]Affiliations!$J$2:$J$5328,[1]Affiliations!$K$2:$K$5328,0)</f>
        <v>Universidad Industrial de Santander (+3 more)</v>
      </c>
      <c r="D1069">
        <v>9</v>
      </c>
      <c r="E1069">
        <v>262</v>
      </c>
      <c r="F1069">
        <v>29.11111</v>
      </c>
      <c r="G1069">
        <v>9</v>
      </c>
      <c r="H1069">
        <v>1.24</v>
      </c>
      <c r="I1069">
        <v>0</v>
      </c>
      <c r="J1069">
        <v>1</v>
      </c>
      <c r="K1069">
        <v>3</v>
      </c>
      <c r="L1069">
        <v>6</v>
      </c>
      <c r="M1069">
        <v>8</v>
      </c>
      <c r="N1069">
        <v>9</v>
      </c>
      <c r="P1069">
        <v>0</v>
      </c>
      <c r="Q1069">
        <v>0</v>
      </c>
      <c r="R1069">
        <v>1</v>
      </c>
      <c r="S1069">
        <v>6</v>
      </c>
    </row>
    <row r="1070" spans="1:19" x14ac:dyDescent="0.35">
      <c r="A1070">
        <v>35241008800</v>
      </c>
      <c r="B1070" t="s">
        <v>5007</v>
      </c>
      <c r="C1070" t="str">
        <f>_xlfn.XLOOKUP(A1070,[1]Affiliations!$J$2:$J$5328,[1]Affiliations!$K$2:$K$5328,0)</f>
        <v>Centro Nacional de Pesquisa em Energia e Materiais</v>
      </c>
      <c r="D1070">
        <v>14</v>
      </c>
      <c r="E1070">
        <v>435</v>
      </c>
      <c r="F1070">
        <v>31.071428000000001</v>
      </c>
      <c r="G1070">
        <v>17</v>
      </c>
      <c r="H1070">
        <v>1.24</v>
      </c>
      <c r="I1070">
        <v>0</v>
      </c>
      <c r="J1070">
        <v>3</v>
      </c>
      <c r="K1070">
        <v>11</v>
      </c>
      <c r="L1070">
        <v>14</v>
      </c>
      <c r="M1070">
        <v>14</v>
      </c>
      <c r="N1070">
        <v>14</v>
      </c>
      <c r="P1070">
        <v>0</v>
      </c>
      <c r="Q1070">
        <v>0</v>
      </c>
      <c r="R1070">
        <v>5</v>
      </c>
      <c r="S1070">
        <v>11</v>
      </c>
    </row>
    <row r="1071" spans="1:19" hidden="1" x14ac:dyDescent="0.35">
      <c r="A1071">
        <v>57216786449</v>
      </c>
      <c r="B1071" t="s">
        <v>1082</v>
      </c>
      <c r="C1071" t="str">
        <f>_xlfn.XLOOKUP(A1071,[1]Affiliations!$J$2:$J$5328,[1]Affiliations!$K$2:$K$5328,0)</f>
        <v>Pontifical Catholic University of Rio de Janeiro</v>
      </c>
      <c r="D1071">
        <v>3</v>
      </c>
      <c r="E1071">
        <v>0</v>
      </c>
      <c r="F1071">
        <v>0</v>
      </c>
      <c r="G1071">
        <v>0</v>
      </c>
      <c r="H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5">
      <c r="A1072">
        <v>57191093052</v>
      </c>
      <c r="B1072" t="s">
        <v>5114</v>
      </c>
      <c r="C1072" t="str">
        <f>_xlfn.XLOOKUP(A1072,[1]Affiliations!$J$2:$J$5328,[1]Affiliations!$K$2:$K$5328,0)</f>
        <v>Universidade Federal de Goiás (+1 more)</v>
      </c>
      <c r="D1072">
        <v>21</v>
      </c>
      <c r="E1072">
        <v>486</v>
      </c>
      <c r="F1072">
        <v>23.142856999999999</v>
      </c>
      <c r="G1072">
        <v>13</v>
      </c>
      <c r="H1072">
        <v>1.24</v>
      </c>
      <c r="I1072">
        <v>0</v>
      </c>
      <c r="J1072">
        <v>2</v>
      </c>
      <c r="K1072">
        <v>5</v>
      </c>
      <c r="L1072">
        <v>12</v>
      </c>
      <c r="M1072">
        <v>18</v>
      </c>
      <c r="N1072">
        <v>20</v>
      </c>
      <c r="P1072">
        <v>0</v>
      </c>
      <c r="Q1072">
        <v>0</v>
      </c>
      <c r="R1072">
        <v>3</v>
      </c>
      <c r="S1072">
        <v>9</v>
      </c>
    </row>
    <row r="1073" spans="1:19" hidden="1" x14ac:dyDescent="0.35">
      <c r="A1073">
        <v>7201362777</v>
      </c>
      <c r="B1073" t="s">
        <v>1084</v>
      </c>
      <c r="C1073" t="str">
        <f>_xlfn.XLOOKUP(A1073,[1]Affiliations!$J$2:$J$5328,[1]Affiliations!$K$2:$K$5328,0)</f>
        <v>Federal University of Rio de Janeiro</v>
      </c>
      <c r="D1073">
        <v>20</v>
      </c>
      <c r="E1073">
        <v>179</v>
      </c>
      <c r="F1073">
        <v>8.9499999999999993</v>
      </c>
      <c r="G1073">
        <v>13</v>
      </c>
      <c r="H1073">
        <v>0.52</v>
      </c>
      <c r="I1073">
        <v>0</v>
      </c>
      <c r="J1073">
        <v>2</v>
      </c>
      <c r="K1073">
        <v>4</v>
      </c>
      <c r="L1073">
        <v>7</v>
      </c>
      <c r="M1073">
        <v>17</v>
      </c>
      <c r="N1073">
        <v>17</v>
      </c>
      <c r="P1073">
        <v>0</v>
      </c>
      <c r="Q1073">
        <v>0</v>
      </c>
      <c r="R1073">
        <v>0</v>
      </c>
      <c r="S1073">
        <v>3</v>
      </c>
    </row>
    <row r="1074" spans="1:19" hidden="1" x14ac:dyDescent="0.35">
      <c r="A1074">
        <v>57206358077</v>
      </c>
      <c r="B1074" t="s">
        <v>1085</v>
      </c>
      <c r="C1074" t="str">
        <f>_xlfn.XLOOKUP(A1074,[1]Affiliations!$J$2:$J$5328,[1]Affiliations!$K$2:$K$5328,0)</f>
        <v>Engineering Simulation and Scientific Software</v>
      </c>
      <c r="D1074">
        <v>1</v>
      </c>
      <c r="E1074">
        <v>4</v>
      </c>
      <c r="F1074">
        <v>4</v>
      </c>
      <c r="G1074">
        <v>1</v>
      </c>
      <c r="H1074">
        <v>0.51</v>
      </c>
      <c r="P1074">
        <v>0</v>
      </c>
      <c r="Q1074">
        <v>0</v>
      </c>
      <c r="R1074">
        <v>0</v>
      </c>
      <c r="S1074">
        <v>0</v>
      </c>
    </row>
    <row r="1075" spans="1:19" hidden="1" x14ac:dyDescent="0.35">
      <c r="A1075">
        <v>59715271000</v>
      </c>
      <c r="B1075" t="s">
        <v>1083</v>
      </c>
      <c r="C1075" t="str">
        <f>_xlfn.XLOOKUP(A1075,[1]Affiliations!$J$2:$J$5328,[1]Affiliations!$K$2:$K$5328,0)</f>
        <v>Parque Tecnológico</v>
      </c>
      <c r="D1075">
        <v>1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P1075">
        <v>0</v>
      </c>
      <c r="Q1075">
        <v>0</v>
      </c>
      <c r="R1075">
        <v>0</v>
      </c>
      <c r="S1075">
        <v>0</v>
      </c>
    </row>
    <row r="1076" spans="1:19" hidden="1" x14ac:dyDescent="0.35">
      <c r="A1076">
        <v>58172840100</v>
      </c>
      <c r="B1076" t="s">
        <v>1086</v>
      </c>
      <c r="C1076" t="str">
        <f>_xlfn.XLOOKUP(A1076,[1]Affiliations!$J$2:$J$5328,[1]Affiliations!$K$2:$K$5328,0)</f>
        <v>Federal University of Rio de Janeiro</v>
      </c>
      <c r="D1076">
        <v>2</v>
      </c>
      <c r="E1076">
        <v>15</v>
      </c>
      <c r="F1076">
        <v>7.5</v>
      </c>
      <c r="G1076">
        <v>1</v>
      </c>
      <c r="H1076">
        <v>0.82</v>
      </c>
      <c r="I1076">
        <v>0</v>
      </c>
      <c r="J1076">
        <v>1</v>
      </c>
      <c r="K1076">
        <v>1</v>
      </c>
      <c r="L1076">
        <v>1</v>
      </c>
      <c r="M1076">
        <v>1</v>
      </c>
      <c r="N1076">
        <v>1</v>
      </c>
      <c r="P1076">
        <v>0</v>
      </c>
      <c r="Q1076">
        <v>0</v>
      </c>
      <c r="R1076">
        <v>0</v>
      </c>
      <c r="S1076">
        <v>1</v>
      </c>
    </row>
    <row r="1077" spans="1:19" hidden="1" x14ac:dyDescent="0.35">
      <c r="A1077">
        <v>59397416200</v>
      </c>
      <c r="B1077" t="s">
        <v>1087</v>
      </c>
      <c r="C1077" t="str">
        <f>_xlfn.XLOOKUP(A1077,[1]Affiliations!$J$2:$J$5328,[1]Affiliations!$K$2:$K$5328,0)</f>
        <v>Universidade de São Paulo</v>
      </c>
      <c r="D1077">
        <v>2</v>
      </c>
      <c r="E1077">
        <v>2</v>
      </c>
      <c r="F1077">
        <v>1</v>
      </c>
      <c r="G1077">
        <v>1</v>
      </c>
      <c r="H1077">
        <v>0.93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0</v>
      </c>
      <c r="Q1077">
        <v>0</v>
      </c>
      <c r="R1077">
        <v>0</v>
      </c>
      <c r="S1077">
        <v>0</v>
      </c>
    </row>
    <row r="1078" spans="1:19" hidden="1" x14ac:dyDescent="0.35">
      <c r="A1078">
        <v>56118958000</v>
      </c>
      <c r="B1078" t="s">
        <v>1088</v>
      </c>
      <c r="C1078" t="str">
        <f>_xlfn.XLOOKUP(A1078,[1]Affiliations!$J$2:$J$5328,[1]Affiliations!$K$2:$K$5328,0)</f>
        <v>Universidade Federal Fluminense</v>
      </c>
      <c r="D1078">
        <v>0</v>
      </c>
      <c r="G1078">
        <v>1</v>
      </c>
    </row>
    <row r="1079" spans="1:19" hidden="1" x14ac:dyDescent="0.35">
      <c r="A1079">
        <v>57212561474</v>
      </c>
      <c r="B1079" t="s">
        <v>1089</v>
      </c>
      <c r="C1079" t="str">
        <f>_xlfn.XLOOKUP(A1079,[1]Affiliations!$J$2:$J$5328,[1]Affiliations!$K$2:$K$5328,0)</f>
        <v>Universidade Tecnológica Federal do Paraná</v>
      </c>
      <c r="D1079">
        <v>3</v>
      </c>
      <c r="E1079">
        <v>90</v>
      </c>
      <c r="F1079">
        <v>30</v>
      </c>
      <c r="G1079">
        <v>2</v>
      </c>
      <c r="H1079">
        <v>1.29</v>
      </c>
      <c r="I1079">
        <v>0</v>
      </c>
      <c r="J1079">
        <v>0</v>
      </c>
      <c r="K1079">
        <v>2</v>
      </c>
      <c r="L1079">
        <v>2</v>
      </c>
      <c r="M1079">
        <v>2</v>
      </c>
      <c r="N1079">
        <v>2</v>
      </c>
      <c r="P1079">
        <v>0</v>
      </c>
      <c r="Q1079">
        <v>1</v>
      </c>
      <c r="R1079">
        <v>1</v>
      </c>
      <c r="S1079">
        <v>1</v>
      </c>
    </row>
    <row r="1080" spans="1:19" x14ac:dyDescent="0.35">
      <c r="A1080">
        <v>36656740700</v>
      </c>
      <c r="B1080" t="s">
        <v>5243</v>
      </c>
      <c r="C1080" t="str">
        <f>_xlfn.XLOOKUP(A1080,[1]Affiliations!$J$2:$J$5328,[1]Affiliations!$K$2:$K$5328,0)</f>
        <v>Universidade Estadual Paulista “Júlio de Mesquita Filho”</v>
      </c>
      <c r="D1080">
        <v>91</v>
      </c>
      <c r="E1080">
        <v>1894</v>
      </c>
      <c r="F1080">
        <v>20.813186999999999</v>
      </c>
      <c r="G1080">
        <v>28</v>
      </c>
      <c r="H1080">
        <v>1.24</v>
      </c>
      <c r="I1080">
        <v>3</v>
      </c>
      <c r="J1080">
        <v>17</v>
      </c>
      <c r="K1080">
        <v>28</v>
      </c>
      <c r="L1080">
        <v>50</v>
      </c>
      <c r="M1080">
        <v>79</v>
      </c>
      <c r="N1080">
        <v>89</v>
      </c>
      <c r="P1080">
        <v>0</v>
      </c>
      <c r="Q1080">
        <v>5</v>
      </c>
      <c r="R1080">
        <v>13</v>
      </c>
      <c r="S1080">
        <v>39</v>
      </c>
    </row>
    <row r="1081" spans="1:19" hidden="1" x14ac:dyDescent="0.35">
      <c r="A1081">
        <v>59213336700</v>
      </c>
      <c r="B1081" t="s">
        <v>1091</v>
      </c>
      <c r="C1081" t="str">
        <f>_xlfn.XLOOKUP(A1081,[1]Affiliations!$J$2:$J$5328,[1]Affiliations!$K$2:$K$5328,0)</f>
        <v>University of Campinas</v>
      </c>
      <c r="D1081">
        <v>0</v>
      </c>
      <c r="G1081">
        <v>1</v>
      </c>
    </row>
    <row r="1082" spans="1:19" x14ac:dyDescent="0.35">
      <c r="A1082">
        <v>23984376200</v>
      </c>
      <c r="B1082" t="s">
        <v>654</v>
      </c>
      <c r="C1082" t="str">
        <f>_xlfn.XLOOKUP(A1082,[1]Affiliations!$J$2:$J$5328,[1]Affiliations!$K$2:$K$5328,0)</f>
        <v>Universidade Federal de Santa Maria</v>
      </c>
      <c r="D1082">
        <v>61</v>
      </c>
      <c r="E1082">
        <v>1443</v>
      </c>
      <c r="F1082">
        <v>23.655736999999998</v>
      </c>
      <c r="G1082">
        <v>24</v>
      </c>
      <c r="H1082">
        <v>1.23</v>
      </c>
      <c r="I1082">
        <v>2</v>
      </c>
      <c r="J1082">
        <v>8</v>
      </c>
      <c r="K1082">
        <v>16</v>
      </c>
      <c r="L1082">
        <v>46</v>
      </c>
      <c r="M1082">
        <v>53</v>
      </c>
      <c r="N1082">
        <v>58</v>
      </c>
      <c r="P1082">
        <v>0</v>
      </c>
      <c r="Q1082">
        <v>6</v>
      </c>
      <c r="R1082">
        <v>13</v>
      </c>
      <c r="S1082">
        <v>32</v>
      </c>
    </row>
    <row r="1083" spans="1:19" hidden="1" x14ac:dyDescent="0.35">
      <c r="A1083">
        <v>6602645276</v>
      </c>
      <c r="B1083" t="s">
        <v>1093</v>
      </c>
      <c r="C1083" t="str">
        <f>_xlfn.XLOOKUP(A1083,[1]Affiliations!$J$2:$J$5328,[1]Affiliations!$K$2:$K$5328,0)</f>
        <v>Universidade de São Paulo</v>
      </c>
      <c r="D1083">
        <v>32</v>
      </c>
      <c r="E1083">
        <v>290</v>
      </c>
      <c r="F1083">
        <v>9.0625</v>
      </c>
      <c r="G1083">
        <v>19</v>
      </c>
      <c r="H1083">
        <v>0.57999999999999996</v>
      </c>
      <c r="I1083">
        <v>0</v>
      </c>
      <c r="J1083">
        <v>5</v>
      </c>
      <c r="K1083">
        <v>10</v>
      </c>
      <c r="L1083">
        <v>21</v>
      </c>
      <c r="M1083">
        <v>26</v>
      </c>
      <c r="N1083">
        <v>31</v>
      </c>
      <c r="P1083">
        <v>0</v>
      </c>
      <c r="Q1083">
        <v>0</v>
      </c>
      <c r="R1083">
        <v>0</v>
      </c>
      <c r="S1083">
        <v>9</v>
      </c>
    </row>
    <row r="1084" spans="1:19" x14ac:dyDescent="0.35">
      <c r="A1084">
        <v>56363209500</v>
      </c>
      <c r="B1084" t="s">
        <v>824</v>
      </c>
      <c r="C1084" t="str">
        <f>_xlfn.XLOOKUP(A1084,[1]Affiliations!$J$2:$J$5328,[1]Affiliations!$K$2:$K$5328,0)</f>
        <v>Université de Lille (+2 more)</v>
      </c>
      <c r="D1084">
        <v>7</v>
      </c>
      <c r="E1084">
        <v>187</v>
      </c>
      <c r="F1084">
        <v>26.714285</v>
      </c>
      <c r="G1084">
        <v>7</v>
      </c>
      <c r="H1084">
        <v>1.23</v>
      </c>
      <c r="I1084">
        <v>0</v>
      </c>
      <c r="J1084">
        <v>2</v>
      </c>
      <c r="K1084">
        <v>3</v>
      </c>
      <c r="L1084">
        <v>3</v>
      </c>
      <c r="M1084">
        <v>5</v>
      </c>
      <c r="N1084">
        <v>6</v>
      </c>
      <c r="P1084">
        <v>0</v>
      </c>
      <c r="Q1084">
        <v>1</v>
      </c>
      <c r="R1084">
        <v>1</v>
      </c>
      <c r="S1084">
        <v>4</v>
      </c>
    </row>
    <row r="1085" spans="1:19" hidden="1" x14ac:dyDescent="0.35">
      <c r="A1085">
        <v>35757432100</v>
      </c>
      <c r="B1085" t="s">
        <v>1095</v>
      </c>
      <c r="C1085" t="str">
        <f>_xlfn.XLOOKUP(A1085,[1]Affiliations!$J$2:$J$5328,[1]Affiliations!$K$2:$K$5328,0)</f>
        <v>Federal University of Rio de Janeiro</v>
      </c>
      <c r="D1085">
        <v>5</v>
      </c>
      <c r="E1085">
        <v>26</v>
      </c>
      <c r="F1085">
        <v>5.2</v>
      </c>
      <c r="G1085">
        <v>3</v>
      </c>
      <c r="H1085">
        <v>0.28000000000000003</v>
      </c>
      <c r="I1085">
        <v>0</v>
      </c>
      <c r="J1085">
        <v>0</v>
      </c>
      <c r="K1085">
        <v>1</v>
      </c>
      <c r="L1085">
        <v>2</v>
      </c>
      <c r="M1085">
        <v>4</v>
      </c>
      <c r="N1085">
        <v>4</v>
      </c>
      <c r="P1085">
        <v>0</v>
      </c>
      <c r="Q1085">
        <v>0</v>
      </c>
      <c r="R1085">
        <v>0</v>
      </c>
      <c r="S1085">
        <v>0</v>
      </c>
    </row>
    <row r="1086" spans="1:19" hidden="1" x14ac:dyDescent="0.35">
      <c r="A1086">
        <v>7103155690</v>
      </c>
      <c r="B1086" t="s">
        <v>1096</v>
      </c>
      <c r="C1086" t="str">
        <f>_xlfn.XLOOKUP(A1086,[1]Affiliations!$J$2:$J$5328,[1]Affiliations!$K$2:$K$5328,0)</f>
        <v>Federal University of Rio de Janeiro</v>
      </c>
      <c r="D1086">
        <v>12</v>
      </c>
      <c r="E1086">
        <v>20</v>
      </c>
      <c r="F1086">
        <v>1.6666666000000001</v>
      </c>
      <c r="G1086">
        <v>6</v>
      </c>
      <c r="H1086">
        <v>0.21</v>
      </c>
      <c r="I1086">
        <v>1</v>
      </c>
      <c r="J1086">
        <v>1</v>
      </c>
      <c r="K1086">
        <v>1</v>
      </c>
      <c r="L1086">
        <v>1</v>
      </c>
      <c r="M1086">
        <v>3</v>
      </c>
      <c r="N1086">
        <v>3</v>
      </c>
      <c r="P1086">
        <v>0</v>
      </c>
      <c r="Q1086">
        <v>0</v>
      </c>
      <c r="R1086">
        <v>0</v>
      </c>
      <c r="S1086">
        <v>1</v>
      </c>
    </row>
    <row r="1087" spans="1:19" hidden="1" x14ac:dyDescent="0.35">
      <c r="A1087">
        <v>57207995051</v>
      </c>
      <c r="B1087" t="s">
        <v>1097</v>
      </c>
      <c r="C1087" t="str">
        <f>_xlfn.XLOOKUP(A1087,[1]Affiliations!$J$2:$J$5328,[1]Affiliations!$K$2:$K$5328,0)</f>
        <v>Federal University of Rio de Janeiro</v>
      </c>
      <c r="D1087">
        <v>1</v>
      </c>
      <c r="E1087">
        <v>103</v>
      </c>
      <c r="F1087">
        <v>103</v>
      </c>
      <c r="G1087">
        <v>1</v>
      </c>
      <c r="H1087">
        <v>4.3099999999999996</v>
      </c>
      <c r="I1087">
        <v>0</v>
      </c>
      <c r="J1087">
        <v>1</v>
      </c>
      <c r="K1087">
        <v>1</v>
      </c>
      <c r="L1087">
        <v>1</v>
      </c>
      <c r="M1087">
        <v>1</v>
      </c>
      <c r="N1087">
        <v>1</v>
      </c>
      <c r="P1087">
        <v>0</v>
      </c>
      <c r="Q1087">
        <v>1</v>
      </c>
      <c r="R1087">
        <v>1</v>
      </c>
      <c r="S1087">
        <v>1</v>
      </c>
    </row>
    <row r="1088" spans="1:19" hidden="1" x14ac:dyDescent="0.35">
      <c r="A1088">
        <v>9332650000</v>
      </c>
      <c r="B1088" t="s">
        <v>1098</v>
      </c>
      <c r="C1088" t="str">
        <f>_xlfn.XLOOKUP(A1088,[1]Affiliations!$J$2:$J$5328,[1]Affiliations!$K$2:$K$5328,0)</f>
        <v>Universidade Federal de Uberlândia</v>
      </c>
      <c r="D1088">
        <v>10</v>
      </c>
      <c r="E1088">
        <v>33</v>
      </c>
      <c r="F1088">
        <v>3.3</v>
      </c>
      <c r="G1088">
        <v>4</v>
      </c>
      <c r="H1088">
        <v>0.59</v>
      </c>
      <c r="I1088">
        <v>0</v>
      </c>
      <c r="J1088">
        <v>0</v>
      </c>
      <c r="K1088">
        <v>0</v>
      </c>
      <c r="L1088">
        <v>1</v>
      </c>
      <c r="M1088">
        <v>3</v>
      </c>
      <c r="N1088">
        <v>3</v>
      </c>
      <c r="P1088">
        <v>0</v>
      </c>
      <c r="Q1088">
        <v>0</v>
      </c>
      <c r="R1088">
        <v>0</v>
      </c>
      <c r="S1088">
        <v>0</v>
      </c>
    </row>
    <row r="1089" spans="1:19" hidden="1" x14ac:dyDescent="0.35">
      <c r="A1089">
        <v>57218500068</v>
      </c>
      <c r="B1089" t="s">
        <v>1099</v>
      </c>
      <c r="C1089" t="str">
        <f>_xlfn.XLOOKUP(A1089,[1]Affiliations!$J$2:$J$5328,[1]Affiliations!$K$2:$K$5328,0)</f>
        <v>Universidade Federal do Espírito Santo</v>
      </c>
      <c r="D1089">
        <v>4</v>
      </c>
      <c r="E1089">
        <v>107</v>
      </c>
      <c r="F1089">
        <v>26.75</v>
      </c>
      <c r="G1089">
        <v>4</v>
      </c>
      <c r="H1089">
        <v>1.79</v>
      </c>
      <c r="I1089">
        <v>0</v>
      </c>
      <c r="J1089">
        <v>1</v>
      </c>
      <c r="K1089">
        <v>1</v>
      </c>
      <c r="L1089">
        <v>2</v>
      </c>
      <c r="M1089">
        <v>2</v>
      </c>
      <c r="N1089">
        <v>3</v>
      </c>
      <c r="P1089">
        <v>0</v>
      </c>
      <c r="Q1089">
        <v>1</v>
      </c>
      <c r="R1089">
        <v>2</v>
      </c>
      <c r="S1089">
        <v>3</v>
      </c>
    </row>
    <row r="1090" spans="1:19" hidden="1" x14ac:dyDescent="0.35">
      <c r="A1090">
        <v>57201402187</v>
      </c>
      <c r="B1090" t="s">
        <v>1100</v>
      </c>
      <c r="C1090" t="str">
        <f>_xlfn.XLOOKUP(A1090,[1]Affiliations!$J$2:$J$5328,[1]Affiliations!$K$2:$K$5328,0)</f>
        <v>CTS SOLDA</v>
      </c>
      <c r="D1090">
        <v>1</v>
      </c>
      <c r="E1090">
        <v>0</v>
      </c>
      <c r="F1090">
        <v>0</v>
      </c>
      <c r="G1090">
        <v>0</v>
      </c>
      <c r="H1090">
        <v>0</v>
      </c>
      <c r="P1090">
        <v>0</v>
      </c>
      <c r="Q1090">
        <v>0</v>
      </c>
      <c r="R1090">
        <v>0</v>
      </c>
      <c r="S1090">
        <v>0</v>
      </c>
    </row>
    <row r="1091" spans="1:19" hidden="1" x14ac:dyDescent="0.35">
      <c r="A1091">
        <v>58645548800</v>
      </c>
      <c r="B1091" t="s">
        <v>1101</v>
      </c>
      <c r="C1091" t="str">
        <f>_xlfn.XLOOKUP(A1091,[1]Affiliations!$J$2:$J$5328,[1]Affiliations!$K$2:$K$5328,0)</f>
        <v>Universidade de São Paulo</v>
      </c>
      <c r="D1091">
        <v>2</v>
      </c>
      <c r="E1091">
        <v>2</v>
      </c>
      <c r="F1091">
        <v>1</v>
      </c>
      <c r="G1091">
        <v>1</v>
      </c>
      <c r="H1091">
        <v>0.8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5">
      <c r="A1092">
        <v>57209263043</v>
      </c>
      <c r="B1092" t="s">
        <v>965</v>
      </c>
      <c r="C1092" t="str">
        <f>_xlfn.XLOOKUP(A1092,[1]Affiliations!$J$2:$J$5328,[1]Affiliations!$K$2:$K$5328,0)</f>
        <v>Pontifical Catholic University of Rio de Janeiro</v>
      </c>
      <c r="D1092">
        <v>10</v>
      </c>
      <c r="E1092">
        <v>163</v>
      </c>
      <c r="F1092">
        <v>16.3</v>
      </c>
      <c r="G1092">
        <v>7</v>
      </c>
      <c r="H1092">
        <v>1.23</v>
      </c>
      <c r="I1092">
        <v>0</v>
      </c>
      <c r="J1092">
        <v>3</v>
      </c>
      <c r="K1092">
        <v>5</v>
      </c>
      <c r="L1092">
        <v>7</v>
      </c>
      <c r="M1092">
        <v>8</v>
      </c>
      <c r="N1092">
        <v>9</v>
      </c>
      <c r="P1092">
        <v>0</v>
      </c>
      <c r="Q1092">
        <v>1</v>
      </c>
      <c r="R1092">
        <v>1</v>
      </c>
      <c r="S1092">
        <v>6</v>
      </c>
    </row>
    <row r="1093" spans="1:19" hidden="1" x14ac:dyDescent="0.35">
      <c r="A1093">
        <v>23090155000</v>
      </c>
      <c r="B1093" t="s">
        <v>1103</v>
      </c>
      <c r="C1093" t="str">
        <f>_xlfn.XLOOKUP(A1093,[1]Affiliations!$J$2:$J$5328,[1]Affiliations!$K$2:$K$5328,0)</f>
        <v>Universidade do Estado do Rio de Janeiro</v>
      </c>
      <c r="D1093">
        <v>7</v>
      </c>
      <c r="E1093">
        <v>119</v>
      </c>
      <c r="F1093">
        <v>17</v>
      </c>
      <c r="G1093">
        <v>7</v>
      </c>
      <c r="H1093">
        <v>0.53</v>
      </c>
      <c r="I1093">
        <v>0</v>
      </c>
      <c r="J1093">
        <v>0</v>
      </c>
      <c r="K1093">
        <v>0</v>
      </c>
      <c r="L1093">
        <v>2</v>
      </c>
      <c r="M1093">
        <v>3</v>
      </c>
      <c r="N1093">
        <v>4</v>
      </c>
      <c r="P1093">
        <v>0</v>
      </c>
      <c r="Q1093">
        <v>1</v>
      </c>
      <c r="R1093">
        <v>1</v>
      </c>
      <c r="S1093">
        <v>1</v>
      </c>
    </row>
    <row r="1094" spans="1:19" x14ac:dyDescent="0.35">
      <c r="A1094">
        <v>7007059175</v>
      </c>
      <c r="B1094" t="s">
        <v>1459</v>
      </c>
      <c r="C1094" t="str">
        <f>_xlfn.XLOOKUP(A1094,[1]Affiliations!$J$2:$J$5328,[1]Affiliations!$K$2:$K$5328,0)</f>
        <v>Laboratório Nacional de Computação Científica</v>
      </c>
      <c r="D1094">
        <v>9</v>
      </c>
      <c r="E1094">
        <v>161</v>
      </c>
      <c r="F1094">
        <v>17.88889</v>
      </c>
      <c r="G1094">
        <v>9</v>
      </c>
      <c r="H1094">
        <v>1.23</v>
      </c>
      <c r="I1094">
        <v>1</v>
      </c>
      <c r="J1094">
        <v>2</v>
      </c>
      <c r="K1094">
        <v>2</v>
      </c>
      <c r="L1094">
        <v>4</v>
      </c>
      <c r="M1094">
        <v>8</v>
      </c>
      <c r="N1094">
        <v>8</v>
      </c>
      <c r="P1094">
        <v>0</v>
      </c>
      <c r="Q1094">
        <v>0</v>
      </c>
      <c r="R1094">
        <v>1</v>
      </c>
      <c r="S1094">
        <v>5</v>
      </c>
    </row>
    <row r="1095" spans="1:19" hidden="1" x14ac:dyDescent="0.35">
      <c r="A1095">
        <v>57212504068</v>
      </c>
      <c r="B1095" t="s">
        <v>1105</v>
      </c>
      <c r="C1095" t="str">
        <f>_xlfn.XLOOKUP(A1095,[1]Affiliations!$J$2:$J$5328,[1]Affiliations!$K$2:$K$5328,0)</f>
        <v>Universidade Federal Fluminense</v>
      </c>
      <c r="D1095">
        <v>5</v>
      </c>
      <c r="E1095">
        <v>28</v>
      </c>
      <c r="F1095">
        <v>5.6</v>
      </c>
      <c r="G1095">
        <v>2</v>
      </c>
      <c r="H1095">
        <v>0.47</v>
      </c>
      <c r="I1095">
        <v>0</v>
      </c>
      <c r="J1095">
        <v>0</v>
      </c>
      <c r="K1095">
        <v>1</v>
      </c>
      <c r="L1095">
        <v>1</v>
      </c>
      <c r="M1095">
        <v>1</v>
      </c>
      <c r="N1095">
        <v>1</v>
      </c>
      <c r="P1095">
        <v>0</v>
      </c>
      <c r="Q1095">
        <v>0</v>
      </c>
      <c r="R1095">
        <v>0</v>
      </c>
      <c r="S1095">
        <v>1</v>
      </c>
    </row>
    <row r="1096" spans="1:19" hidden="1" x14ac:dyDescent="0.35">
      <c r="A1096">
        <v>55666890300</v>
      </c>
      <c r="B1096" t="s">
        <v>1106</v>
      </c>
      <c r="C1096" t="str">
        <f>_xlfn.XLOOKUP(A1096,[1]Affiliations!$J$2:$J$5328,[1]Affiliations!$K$2:$K$5328,0)</f>
        <v>Federal University of Santa Catarina</v>
      </c>
      <c r="D1096">
        <v>0</v>
      </c>
      <c r="G1096">
        <v>48</v>
      </c>
    </row>
    <row r="1097" spans="1:19" x14ac:dyDescent="0.35">
      <c r="A1097">
        <v>57213186866</v>
      </c>
      <c r="B1097" t="s">
        <v>1551</v>
      </c>
      <c r="C1097" t="str">
        <f>_xlfn.XLOOKUP(A1097,[1]Affiliations!$J$2:$J$5328,[1]Affiliations!$K$2:$K$5328,0)</f>
        <v>Vizlab - X-Reality and GeoInformatics Lab (+1 more)</v>
      </c>
      <c r="D1097">
        <v>9</v>
      </c>
      <c r="E1097">
        <v>163</v>
      </c>
      <c r="F1097">
        <v>18.11111</v>
      </c>
      <c r="G1097">
        <v>6</v>
      </c>
      <c r="H1097">
        <v>1.23</v>
      </c>
      <c r="I1097">
        <v>1</v>
      </c>
      <c r="J1097">
        <v>4</v>
      </c>
      <c r="K1097">
        <v>7</v>
      </c>
      <c r="L1097">
        <v>8</v>
      </c>
      <c r="M1097">
        <v>9</v>
      </c>
      <c r="N1097">
        <v>9</v>
      </c>
      <c r="P1097">
        <v>0</v>
      </c>
      <c r="Q1097">
        <v>1</v>
      </c>
      <c r="R1097">
        <v>3</v>
      </c>
      <c r="S1097">
        <v>6</v>
      </c>
    </row>
    <row r="1098" spans="1:19" hidden="1" x14ac:dyDescent="0.35">
      <c r="A1098">
        <v>57820389700</v>
      </c>
      <c r="B1098" t="s">
        <v>1108</v>
      </c>
      <c r="C1098" t="str">
        <f>_xlfn.XLOOKUP(A1098,[1]Affiliations!$J$2:$J$5328,[1]Affiliations!$K$2:$K$5328,0)</f>
        <v>University of Campinas</v>
      </c>
      <c r="D1098">
        <v>1</v>
      </c>
      <c r="E1098">
        <v>21</v>
      </c>
      <c r="F1098">
        <v>21</v>
      </c>
      <c r="G1098">
        <v>1</v>
      </c>
      <c r="H1098">
        <v>2.34</v>
      </c>
      <c r="P1098">
        <v>0</v>
      </c>
      <c r="Q1098">
        <v>0</v>
      </c>
      <c r="R1098">
        <v>0</v>
      </c>
      <c r="S1098">
        <v>1</v>
      </c>
    </row>
    <row r="1099" spans="1:19" hidden="1" x14ac:dyDescent="0.35">
      <c r="A1099">
        <v>57220921142</v>
      </c>
      <c r="B1099" t="s">
        <v>1109</v>
      </c>
      <c r="C1099" t="str">
        <f>_xlfn.XLOOKUP(A1099,[1]Affiliations!$J$2:$J$5328,[1]Affiliations!$K$2:$K$5328,0)</f>
        <v>University of Campinas</v>
      </c>
      <c r="D1099">
        <v>1</v>
      </c>
      <c r="E1099">
        <v>11</v>
      </c>
      <c r="F1099">
        <v>11</v>
      </c>
      <c r="G1099">
        <v>1</v>
      </c>
      <c r="H1099">
        <v>0.51</v>
      </c>
      <c r="I1099">
        <v>0</v>
      </c>
      <c r="J1099">
        <v>1</v>
      </c>
      <c r="K1099">
        <v>1</v>
      </c>
      <c r="L1099">
        <v>1</v>
      </c>
      <c r="M1099">
        <v>1</v>
      </c>
      <c r="N1099">
        <v>1</v>
      </c>
      <c r="P1099">
        <v>0</v>
      </c>
      <c r="Q1099">
        <v>0</v>
      </c>
      <c r="R1099">
        <v>0</v>
      </c>
      <c r="S1099">
        <v>0</v>
      </c>
    </row>
    <row r="1100" spans="1:19" x14ac:dyDescent="0.35">
      <c r="A1100">
        <v>56902376500</v>
      </c>
      <c r="B1100" t="s">
        <v>2690</v>
      </c>
      <c r="C1100" t="str">
        <f>_xlfn.XLOOKUP(A1100,[1]Affiliations!$J$2:$J$5328,[1]Affiliations!$K$2:$K$5328,0)</f>
        <v>University of Wolverhampton (+1 more)</v>
      </c>
      <c r="D1100">
        <v>72</v>
      </c>
      <c r="E1100">
        <v>1097</v>
      </c>
      <c r="F1100">
        <v>15.236110999999999</v>
      </c>
      <c r="G1100">
        <v>18</v>
      </c>
      <c r="H1100">
        <v>1.23</v>
      </c>
      <c r="I1100">
        <v>5</v>
      </c>
      <c r="J1100">
        <v>7</v>
      </c>
      <c r="K1100">
        <v>18</v>
      </c>
      <c r="L1100">
        <v>24</v>
      </c>
      <c r="M1100">
        <v>34</v>
      </c>
      <c r="N1100">
        <v>46</v>
      </c>
      <c r="P1100">
        <v>2</v>
      </c>
      <c r="Q1100">
        <v>5</v>
      </c>
      <c r="R1100">
        <v>6</v>
      </c>
      <c r="S1100">
        <v>23</v>
      </c>
    </row>
    <row r="1101" spans="1:19" hidden="1" x14ac:dyDescent="0.35">
      <c r="A1101">
        <v>57224168522</v>
      </c>
      <c r="B1101" t="s">
        <v>1111</v>
      </c>
      <c r="C1101" t="str">
        <f>_xlfn.XLOOKUP(A1101,[1]Affiliations!$J$2:$J$5328,[1]Affiliations!$K$2:$K$5328,0)</f>
        <v>Universidade de São Paulo</v>
      </c>
      <c r="D1101">
        <v>1</v>
      </c>
      <c r="E1101">
        <v>12</v>
      </c>
      <c r="F1101">
        <v>12</v>
      </c>
      <c r="G1101">
        <v>1</v>
      </c>
      <c r="H1101">
        <v>0.54</v>
      </c>
      <c r="I1101">
        <v>0</v>
      </c>
      <c r="J1101">
        <v>0</v>
      </c>
      <c r="K1101">
        <v>1</v>
      </c>
      <c r="L1101">
        <v>1</v>
      </c>
      <c r="M1101">
        <v>1</v>
      </c>
      <c r="N1101">
        <v>1</v>
      </c>
      <c r="P1101">
        <v>0</v>
      </c>
      <c r="Q1101">
        <v>0</v>
      </c>
      <c r="R1101">
        <v>0</v>
      </c>
      <c r="S1101">
        <v>0</v>
      </c>
    </row>
    <row r="1102" spans="1:19" hidden="1" x14ac:dyDescent="0.35">
      <c r="A1102">
        <v>34467505500</v>
      </c>
      <c r="B1102" t="s">
        <v>1112</v>
      </c>
      <c r="C1102" t="str">
        <f>_xlfn.XLOOKUP(A1102,[1]Affiliations!$J$2:$J$5328,[1]Affiliations!$K$2:$K$5328,0)</f>
        <v>Federal University of Rio de Janeiro</v>
      </c>
      <c r="D1102">
        <v>23</v>
      </c>
      <c r="E1102">
        <v>190</v>
      </c>
      <c r="F1102">
        <v>8.2608700000000006</v>
      </c>
      <c r="G1102">
        <v>9</v>
      </c>
      <c r="H1102">
        <v>0.42</v>
      </c>
      <c r="I1102">
        <v>0</v>
      </c>
      <c r="J1102">
        <v>0</v>
      </c>
      <c r="K1102">
        <v>8</v>
      </c>
      <c r="L1102">
        <v>9</v>
      </c>
      <c r="M1102">
        <v>17</v>
      </c>
      <c r="N1102">
        <v>19</v>
      </c>
      <c r="P1102">
        <v>0</v>
      </c>
      <c r="Q1102">
        <v>0</v>
      </c>
      <c r="R1102">
        <v>0</v>
      </c>
      <c r="S1102">
        <v>4</v>
      </c>
    </row>
    <row r="1103" spans="1:19" hidden="1" x14ac:dyDescent="0.35">
      <c r="A1103">
        <v>57426598800</v>
      </c>
      <c r="B1103" t="s">
        <v>1113</v>
      </c>
      <c r="C1103" t="str">
        <f>_xlfn.XLOOKUP(A1103,[1]Affiliations!$J$2:$J$5328,[1]Affiliations!$K$2:$K$5328,0)</f>
        <v>Universidade Federal Fluminense</v>
      </c>
      <c r="D1103">
        <v>1</v>
      </c>
      <c r="E1103">
        <v>52</v>
      </c>
      <c r="F1103">
        <v>52</v>
      </c>
      <c r="G1103">
        <v>1</v>
      </c>
      <c r="H1103">
        <v>1.1299999999999999</v>
      </c>
      <c r="I1103">
        <v>0</v>
      </c>
      <c r="J1103">
        <v>0</v>
      </c>
      <c r="K1103">
        <v>0</v>
      </c>
      <c r="L1103">
        <v>1</v>
      </c>
      <c r="M1103">
        <v>1</v>
      </c>
      <c r="N1103">
        <v>1</v>
      </c>
      <c r="P1103">
        <v>0</v>
      </c>
      <c r="Q1103">
        <v>1</v>
      </c>
      <c r="R1103">
        <v>1</v>
      </c>
      <c r="S1103">
        <v>1</v>
      </c>
    </row>
    <row r="1104" spans="1:19" hidden="1" x14ac:dyDescent="0.35">
      <c r="A1104">
        <v>57215685977</v>
      </c>
      <c r="B1104" t="s">
        <v>1114</v>
      </c>
      <c r="C1104" t="str">
        <f>_xlfn.XLOOKUP(A1104,[1]Affiliations!$J$2:$J$5328,[1]Affiliations!$K$2:$K$5328,0)</f>
        <v>Universidade de Caxias do Sul</v>
      </c>
      <c r="D1104">
        <v>3</v>
      </c>
      <c r="E1104">
        <v>27</v>
      </c>
      <c r="F1104">
        <v>9</v>
      </c>
      <c r="G1104">
        <v>2</v>
      </c>
      <c r="H1104">
        <v>0.55000000000000004</v>
      </c>
      <c r="I1104">
        <v>0</v>
      </c>
      <c r="J1104">
        <v>0</v>
      </c>
      <c r="K1104">
        <v>1</v>
      </c>
      <c r="L1104">
        <v>1</v>
      </c>
      <c r="M1104">
        <v>1</v>
      </c>
      <c r="N1104">
        <v>1</v>
      </c>
      <c r="P1104">
        <v>0</v>
      </c>
      <c r="Q1104">
        <v>0</v>
      </c>
      <c r="R1104">
        <v>0</v>
      </c>
      <c r="S1104">
        <v>1</v>
      </c>
    </row>
    <row r="1105" spans="1:19" hidden="1" x14ac:dyDescent="0.35">
      <c r="A1105">
        <v>59167118500</v>
      </c>
      <c r="B1105" t="s">
        <v>1115</v>
      </c>
      <c r="C1105" t="str">
        <f>_xlfn.XLOOKUP(A1105,[1]Affiliations!$J$2:$J$5328,[1]Affiliations!$K$2:$K$5328,0)</f>
        <v>Universidade Federal do Rio Grande do Sul</v>
      </c>
      <c r="D1105">
        <v>2</v>
      </c>
      <c r="E1105">
        <v>1</v>
      </c>
      <c r="F1105">
        <v>0.5</v>
      </c>
      <c r="G1105">
        <v>1</v>
      </c>
      <c r="H1105">
        <v>0.12</v>
      </c>
      <c r="I1105">
        <v>0</v>
      </c>
      <c r="J1105">
        <v>0</v>
      </c>
      <c r="K1105">
        <v>0</v>
      </c>
      <c r="L1105">
        <v>2</v>
      </c>
      <c r="M1105">
        <v>2</v>
      </c>
      <c r="N1105">
        <v>2</v>
      </c>
      <c r="P1105">
        <v>0</v>
      </c>
      <c r="Q1105">
        <v>0</v>
      </c>
      <c r="R1105">
        <v>0</v>
      </c>
      <c r="S1105">
        <v>0</v>
      </c>
    </row>
    <row r="1106" spans="1:19" x14ac:dyDescent="0.35">
      <c r="A1106">
        <v>57565143700</v>
      </c>
      <c r="B1106" t="s">
        <v>2693</v>
      </c>
      <c r="C1106" t="str">
        <f>_xlfn.XLOOKUP(A1106,[1]Affiliations!$J$2:$J$5328,[1]Affiliations!$K$2:$K$5328,0)</f>
        <v>Pontifical Catholic University of Rio de Janeiro</v>
      </c>
      <c r="D1106">
        <v>5</v>
      </c>
      <c r="E1106">
        <v>43</v>
      </c>
      <c r="F1106">
        <v>8.6</v>
      </c>
      <c r="G1106">
        <v>4</v>
      </c>
      <c r="H1106">
        <v>1.23</v>
      </c>
      <c r="I1106">
        <v>0</v>
      </c>
      <c r="J1106">
        <v>1</v>
      </c>
      <c r="K1106">
        <v>1</v>
      </c>
      <c r="L1106">
        <v>2</v>
      </c>
      <c r="M1106">
        <v>4</v>
      </c>
      <c r="N1106">
        <v>5</v>
      </c>
      <c r="P1106">
        <v>0</v>
      </c>
      <c r="Q1106">
        <v>0</v>
      </c>
      <c r="R1106">
        <v>1</v>
      </c>
      <c r="S1106">
        <v>2</v>
      </c>
    </row>
    <row r="1107" spans="1:19" hidden="1" x14ac:dyDescent="0.35">
      <c r="A1107">
        <v>58722577500</v>
      </c>
      <c r="B1107" t="s">
        <v>1117</v>
      </c>
      <c r="C1107" t="str">
        <f>_xlfn.XLOOKUP(A1107,[1]Affiliations!$J$2:$J$5328,[1]Affiliations!$K$2:$K$5328,0)</f>
        <v>Pontifical Catholic University of Rio de Janeiro</v>
      </c>
      <c r="D1107">
        <v>1</v>
      </c>
      <c r="E1107">
        <v>3</v>
      </c>
      <c r="F1107">
        <v>3</v>
      </c>
      <c r="G1107">
        <v>1</v>
      </c>
      <c r="H1107">
        <v>2.9</v>
      </c>
      <c r="P1107">
        <v>0</v>
      </c>
      <c r="Q1107">
        <v>0</v>
      </c>
      <c r="R1107">
        <v>0</v>
      </c>
      <c r="S1107">
        <v>0</v>
      </c>
    </row>
    <row r="1108" spans="1:19" hidden="1" x14ac:dyDescent="0.35">
      <c r="A1108">
        <v>36699203600</v>
      </c>
      <c r="B1108" t="s">
        <v>1118</v>
      </c>
      <c r="C1108" t="str">
        <f>_xlfn.XLOOKUP(A1108,[1]Affiliations!$J$2:$J$5328,[1]Affiliations!$K$2:$K$5328,0)</f>
        <v>Universidade Federal Fluminense</v>
      </c>
      <c r="D1108">
        <v>4</v>
      </c>
      <c r="E1108">
        <v>101</v>
      </c>
      <c r="F1108">
        <v>25.25</v>
      </c>
      <c r="G1108">
        <v>5</v>
      </c>
      <c r="H1108">
        <v>1.38</v>
      </c>
      <c r="I1108">
        <v>1</v>
      </c>
      <c r="J1108">
        <v>1</v>
      </c>
      <c r="K1108">
        <v>1</v>
      </c>
      <c r="L1108">
        <v>1</v>
      </c>
      <c r="M1108">
        <v>1</v>
      </c>
      <c r="N1108">
        <v>1</v>
      </c>
      <c r="P1108">
        <v>0</v>
      </c>
      <c r="Q1108">
        <v>1</v>
      </c>
      <c r="R1108">
        <v>1</v>
      </c>
      <c r="S1108">
        <v>1</v>
      </c>
    </row>
    <row r="1109" spans="1:19" x14ac:dyDescent="0.35">
      <c r="A1109">
        <v>55392450300</v>
      </c>
      <c r="B1109" t="s">
        <v>3355</v>
      </c>
      <c r="C1109" t="str">
        <f>_xlfn.XLOOKUP(A1109,[1]Affiliations!$J$2:$J$5328,[1]Affiliations!$K$2:$K$5328,0)</f>
        <v>Universidade de São Paulo</v>
      </c>
      <c r="D1109">
        <v>29</v>
      </c>
      <c r="E1109">
        <v>280</v>
      </c>
      <c r="F1109">
        <v>9.6551720000000003</v>
      </c>
      <c r="G1109">
        <v>8</v>
      </c>
      <c r="H1109">
        <v>1.23</v>
      </c>
      <c r="I1109">
        <v>0</v>
      </c>
      <c r="J1109">
        <v>2</v>
      </c>
      <c r="K1109">
        <v>3</v>
      </c>
      <c r="L1109">
        <v>7</v>
      </c>
      <c r="M1109">
        <v>13</v>
      </c>
      <c r="N1109">
        <v>14</v>
      </c>
      <c r="P1109">
        <v>0</v>
      </c>
      <c r="Q1109">
        <v>2</v>
      </c>
      <c r="R1109">
        <v>2</v>
      </c>
      <c r="S1109">
        <v>4</v>
      </c>
    </row>
    <row r="1110" spans="1:19" hidden="1" x14ac:dyDescent="0.35">
      <c r="A1110">
        <v>57216446924</v>
      </c>
      <c r="B1110" t="s">
        <v>1120</v>
      </c>
      <c r="C1110" t="str">
        <f>_xlfn.XLOOKUP(A1110,[1]Affiliations!$J$2:$J$5328,[1]Affiliations!$K$2:$K$5328,0)</f>
        <v>Universidade do Estado do Rio de Janeiro</v>
      </c>
      <c r="D1110">
        <v>4</v>
      </c>
      <c r="E1110">
        <v>26</v>
      </c>
      <c r="F1110">
        <v>6.5</v>
      </c>
      <c r="G1110">
        <v>3</v>
      </c>
      <c r="H1110">
        <v>0.79</v>
      </c>
      <c r="I1110">
        <v>0</v>
      </c>
      <c r="J1110">
        <v>0</v>
      </c>
      <c r="K1110">
        <v>2</v>
      </c>
      <c r="L1110">
        <v>2</v>
      </c>
      <c r="M1110">
        <v>4</v>
      </c>
      <c r="N1110">
        <v>4</v>
      </c>
      <c r="P1110">
        <v>0</v>
      </c>
      <c r="Q1110">
        <v>0</v>
      </c>
      <c r="R1110">
        <v>1</v>
      </c>
      <c r="S1110">
        <v>1</v>
      </c>
    </row>
    <row r="1111" spans="1:19" x14ac:dyDescent="0.35">
      <c r="A1111">
        <v>57190606246</v>
      </c>
      <c r="B1111" t="s">
        <v>3887</v>
      </c>
      <c r="C1111" t="str">
        <f>_xlfn.XLOOKUP(A1111,[1]Affiliations!$J$2:$J$5328,[1]Affiliations!$K$2:$K$5328,0)</f>
        <v>Vancouver Island University (+1 more)</v>
      </c>
      <c r="D1111">
        <v>36</v>
      </c>
      <c r="E1111">
        <v>867</v>
      </c>
      <c r="F1111">
        <v>24.083334000000001</v>
      </c>
      <c r="G1111">
        <v>18</v>
      </c>
      <c r="H1111">
        <v>1.23</v>
      </c>
      <c r="I1111">
        <v>0</v>
      </c>
      <c r="J1111">
        <v>4</v>
      </c>
      <c r="K1111">
        <v>9</v>
      </c>
      <c r="L1111">
        <v>25</v>
      </c>
      <c r="M1111">
        <v>34</v>
      </c>
      <c r="N1111">
        <v>35</v>
      </c>
      <c r="P1111">
        <v>0</v>
      </c>
      <c r="Q1111">
        <v>1</v>
      </c>
      <c r="R1111">
        <v>9</v>
      </c>
      <c r="S1111">
        <v>18</v>
      </c>
    </row>
    <row r="1112" spans="1:19" hidden="1" x14ac:dyDescent="0.35">
      <c r="A1112">
        <v>7201473686</v>
      </c>
      <c r="B1112" t="s">
        <v>1122</v>
      </c>
      <c r="C1112" t="str">
        <f>_xlfn.XLOOKUP(A1112,[1]Affiliations!$J$2:$J$5328,[1]Affiliations!$K$2:$K$5328,0)</f>
        <v>Federal University of Rio de Janeiro</v>
      </c>
      <c r="D1112">
        <v>20</v>
      </c>
      <c r="E1112">
        <v>72</v>
      </c>
      <c r="F1112">
        <v>3.6</v>
      </c>
      <c r="G1112">
        <v>7</v>
      </c>
      <c r="H1112">
        <v>0.2</v>
      </c>
      <c r="I1112">
        <v>0</v>
      </c>
      <c r="J1112">
        <v>0</v>
      </c>
      <c r="K1112">
        <v>0</v>
      </c>
      <c r="L1112">
        <v>6</v>
      </c>
      <c r="M1112">
        <v>13</v>
      </c>
      <c r="N1112">
        <v>18</v>
      </c>
      <c r="P1112">
        <v>0</v>
      </c>
      <c r="Q1112">
        <v>0</v>
      </c>
      <c r="R1112">
        <v>0</v>
      </c>
      <c r="S1112">
        <v>0</v>
      </c>
    </row>
    <row r="1113" spans="1:19" hidden="1" x14ac:dyDescent="0.35">
      <c r="A1113">
        <v>60146062800</v>
      </c>
      <c r="B1113" t="s">
        <v>1123</v>
      </c>
      <c r="C1113" t="str">
        <f>_xlfn.XLOOKUP(A1113,[1]Affiliations!$J$2:$J$5328,[1]Affiliations!$K$2:$K$5328,0)</f>
        <v>Federal University of Rio de Janeiro</v>
      </c>
      <c r="D1113">
        <v>0</v>
      </c>
      <c r="G1113">
        <v>0</v>
      </c>
    </row>
    <row r="1114" spans="1:19" x14ac:dyDescent="0.35">
      <c r="A1114">
        <v>6506305946</v>
      </c>
      <c r="B1114" t="s">
        <v>4535</v>
      </c>
      <c r="C1114" t="str">
        <f>_xlfn.XLOOKUP(A1114,[1]Affiliations!$J$2:$J$5328,[1]Affiliations!$K$2:$K$5328,0)</f>
        <v>University of Campinas</v>
      </c>
      <c r="D1114">
        <v>58</v>
      </c>
      <c r="E1114">
        <v>1434</v>
      </c>
      <c r="F1114">
        <v>24.724138</v>
      </c>
      <c r="G1114">
        <v>31</v>
      </c>
      <c r="H1114">
        <v>1.23</v>
      </c>
      <c r="I1114">
        <v>0</v>
      </c>
      <c r="J1114">
        <v>7</v>
      </c>
      <c r="K1114">
        <v>13</v>
      </c>
      <c r="L1114">
        <v>37</v>
      </c>
      <c r="M1114">
        <v>50</v>
      </c>
      <c r="N1114">
        <v>57</v>
      </c>
      <c r="P1114">
        <v>0</v>
      </c>
      <c r="Q1114">
        <v>4</v>
      </c>
      <c r="R1114">
        <v>10</v>
      </c>
      <c r="S1114">
        <v>32</v>
      </c>
    </row>
    <row r="1115" spans="1:19" hidden="1" x14ac:dyDescent="0.35">
      <c r="A1115">
        <v>57200502820</v>
      </c>
      <c r="B1115" t="s">
        <v>1125</v>
      </c>
      <c r="C1115" t="str">
        <f>_xlfn.XLOOKUP(A1115,[1]Affiliations!$J$2:$J$5328,[1]Affiliations!$K$2:$K$5328,0)</f>
        <v>Universidade Federal de Campina Grande</v>
      </c>
      <c r="D1115">
        <v>1</v>
      </c>
      <c r="E1115">
        <v>4</v>
      </c>
      <c r="F1115">
        <v>4</v>
      </c>
      <c r="G1115">
        <v>1</v>
      </c>
      <c r="H1115">
        <v>0.19</v>
      </c>
      <c r="I1115">
        <v>0</v>
      </c>
      <c r="J1115">
        <v>0</v>
      </c>
      <c r="K1115">
        <v>0</v>
      </c>
      <c r="L1115">
        <v>0</v>
      </c>
      <c r="M1115">
        <v>1</v>
      </c>
      <c r="N1115">
        <v>1</v>
      </c>
      <c r="P1115">
        <v>0</v>
      </c>
      <c r="Q1115">
        <v>0</v>
      </c>
      <c r="R1115">
        <v>0</v>
      </c>
      <c r="S1115">
        <v>0</v>
      </c>
    </row>
    <row r="1116" spans="1:19" hidden="1" x14ac:dyDescent="0.35">
      <c r="A1116">
        <v>24558641700</v>
      </c>
      <c r="B1116" t="s">
        <v>1126</v>
      </c>
      <c r="C1116" t="str">
        <f>_xlfn.XLOOKUP(A1116,[1]Affiliations!$J$2:$J$5328,[1]Affiliations!$K$2:$K$5328,0)</f>
        <v>Universidade do Estado do Rio de Janeiro</v>
      </c>
      <c r="D1116">
        <v>11</v>
      </c>
      <c r="E1116">
        <v>134</v>
      </c>
      <c r="F1116">
        <v>12.181818</v>
      </c>
      <c r="G1116">
        <v>22</v>
      </c>
      <c r="H1116">
        <v>0.59</v>
      </c>
      <c r="I1116">
        <v>0</v>
      </c>
      <c r="J1116">
        <v>0</v>
      </c>
      <c r="K1116">
        <v>1</v>
      </c>
      <c r="L1116">
        <v>5</v>
      </c>
      <c r="M1116">
        <v>9</v>
      </c>
      <c r="N1116">
        <v>11</v>
      </c>
      <c r="P1116">
        <v>0</v>
      </c>
      <c r="Q1116">
        <v>0</v>
      </c>
      <c r="R1116">
        <v>0</v>
      </c>
      <c r="S1116">
        <v>5</v>
      </c>
    </row>
    <row r="1117" spans="1:19" hidden="1" x14ac:dyDescent="0.35">
      <c r="A1117">
        <v>57201400106</v>
      </c>
      <c r="B1117" t="s">
        <v>1127</v>
      </c>
      <c r="C1117" t="str">
        <f>_xlfn.XLOOKUP(A1117,[1]Affiliations!$J$2:$J$5328,[1]Affiliations!$K$2:$K$5328,0)</f>
        <v>LAMEF/UFRGS</v>
      </c>
      <c r="D1117">
        <v>1</v>
      </c>
      <c r="E1117">
        <v>1</v>
      </c>
      <c r="F1117">
        <v>1</v>
      </c>
      <c r="G1117">
        <v>1</v>
      </c>
      <c r="H1117">
        <v>1.19</v>
      </c>
      <c r="P1117">
        <v>0</v>
      </c>
      <c r="Q1117">
        <v>0</v>
      </c>
      <c r="R1117">
        <v>0</v>
      </c>
      <c r="S1117">
        <v>0</v>
      </c>
    </row>
    <row r="1118" spans="1:19" hidden="1" x14ac:dyDescent="0.35">
      <c r="A1118">
        <v>57216910812</v>
      </c>
      <c r="B1118" t="s">
        <v>1128</v>
      </c>
      <c r="C1118" t="str">
        <f>_xlfn.XLOOKUP(A1118,[1]Affiliations!$J$2:$J$5328,[1]Affiliations!$K$2:$K$5328,0)</f>
        <v>Federal University of Rio de Janeiro</v>
      </c>
      <c r="D1118">
        <v>1</v>
      </c>
      <c r="E1118">
        <v>68</v>
      </c>
      <c r="F1118">
        <v>68</v>
      </c>
      <c r="G1118">
        <v>1</v>
      </c>
      <c r="H1118">
        <v>2.92</v>
      </c>
      <c r="I1118">
        <v>0</v>
      </c>
      <c r="J1118">
        <v>0</v>
      </c>
      <c r="K1118">
        <v>0</v>
      </c>
      <c r="L1118">
        <v>0</v>
      </c>
      <c r="M1118">
        <v>1</v>
      </c>
      <c r="N1118">
        <v>1</v>
      </c>
      <c r="P1118">
        <v>0</v>
      </c>
      <c r="Q1118">
        <v>1</v>
      </c>
      <c r="R1118">
        <v>1</v>
      </c>
      <c r="S1118">
        <v>1</v>
      </c>
    </row>
    <row r="1119" spans="1:19" hidden="1" x14ac:dyDescent="0.35">
      <c r="A1119">
        <v>56236873400</v>
      </c>
      <c r="B1119" t="s">
        <v>1129</v>
      </c>
      <c r="C1119" t="str">
        <f>_xlfn.XLOOKUP(A1119,[1]Affiliations!$J$2:$J$5328,[1]Affiliations!$K$2:$K$5328,0)</f>
        <v>Federal University of Rio de Janeiro</v>
      </c>
      <c r="D1119">
        <v>1</v>
      </c>
      <c r="E1119">
        <v>13</v>
      </c>
      <c r="F1119">
        <v>13</v>
      </c>
      <c r="G1119">
        <v>2</v>
      </c>
      <c r="H1119">
        <v>0.22</v>
      </c>
      <c r="I1119">
        <v>0</v>
      </c>
      <c r="J1119">
        <v>0</v>
      </c>
      <c r="K1119">
        <v>1</v>
      </c>
      <c r="L1119">
        <v>1</v>
      </c>
      <c r="M1119">
        <v>1</v>
      </c>
      <c r="N1119">
        <v>1</v>
      </c>
      <c r="P1119">
        <v>0</v>
      </c>
      <c r="Q1119">
        <v>0</v>
      </c>
      <c r="R1119">
        <v>0</v>
      </c>
      <c r="S1119">
        <v>0</v>
      </c>
    </row>
    <row r="1120" spans="1:19" hidden="1" x14ac:dyDescent="0.35">
      <c r="A1120">
        <v>55203511300</v>
      </c>
      <c r="B1120" t="s">
        <v>1130</v>
      </c>
      <c r="C1120" t="str">
        <f>_xlfn.XLOOKUP(A1120,[1]Affiliations!$J$2:$J$5328,[1]Affiliations!$K$2:$K$5328,0)</f>
        <v>Leopoldo Américo Miguez de Mello (+1 more)</v>
      </c>
      <c r="D1120">
        <v>15</v>
      </c>
      <c r="E1120">
        <v>102</v>
      </c>
      <c r="F1120">
        <v>6.8</v>
      </c>
      <c r="G1120">
        <v>6</v>
      </c>
      <c r="H1120">
        <v>0.7</v>
      </c>
      <c r="I1120">
        <v>0</v>
      </c>
      <c r="J1120">
        <v>0</v>
      </c>
      <c r="K1120">
        <v>1</v>
      </c>
      <c r="L1120">
        <v>5</v>
      </c>
      <c r="M1120">
        <v>5</v>
      </c>
      <c r="N1120">
        <v>7</v>
      </c>
      <c r="P1120">
        <v>0</v>
      </c>
      <c r="Q1120">
        <v>0</v>
      </c>
      <c r="R1120">
        <v>0</v>
      </c>
      <c r="S1120">
        <v>1</v>
      </c>
    </row>
    <row r="1121" spans="1:19" hidden="1" x14ac:dyDescent="0.35">
      <c r="A1121">
        <v>57218206912</v>
      </c>
      <c r="B1121" t="s">
        <v>1131</v>
      </c>
      <c r="C1121" t="str">
        <f>_xlfn.XLOOKUP(A1121,[1]Affiliations!$J$2:$J$5328,[1]Affiliations!$K$2:$K$5328,0)</f>
        <v>Federal University of Rio de Janeiro</v>
      </c>
      <c r="D1121">
        <v>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5">
      <c r="A1122">
        <v>15846617300</v>
      </c>
      <c r="B1122" t="s">
        <v>4665</v>
      </c>
      <c r="C1122" t="str">
        <f>_xlfn.XLOOKUP(A1122,[1]Affiliations!$J$2:$J$5328,[1]Affiliations!$K$2:$K$5328,0)</f>
        <v>Universidade Federal de Minas Gerais</v>
      </c>
      <c r="D1122">
        <v>74</v>
      </c>
      <c r="E1122">
        <v>2067</v>
      </c>
      <c r="F1122">
        <v>27.932431999999999</v>
      </c>
      <c r="G1122">
        <v>40</v>
      </c>
      <c r="H1122">
        <v>1.23</v>
      </c>
      <c r="I1122">
        <v>4</v>
      </c>
      <c r="J1122">
        <v>17</v>
      </c>
      <c r="K1122">
        <v>28</v>
      </c>
      <c r="L1122">
        <v>56</v>
      </c>
      <c r="M1122">
        <v>71</v>
      </c>
      <c r="N1122">
        <v>74</v>
      </c>
      <c r="P1122">
        <v>0</v>
      </c>
      <c r="Q1122">
        <v>7</v>
      </c>
      <c r="R1122">
        <v>15</v>
      </c>
      <c r="S1122">
        <v>46</v>
      </c>
    </row>
    <row r="1123" spans="1:19" hidden="1" x14ac:dyDescent="0.35">
      <c r="A1123">
        <v>56305992700</v>
      </c>
      <c r="B1123" t="s">
        <v>1133</v>
      </c>
      <c r="C1123" t="str">
        <f>_xlfn.XLOOKUP(A1123,[1]Affiliations!$J$2:$J$5328,[1]Affiliations!$K$2:$K$5328,0)</f>
        <v>Universidade Federal de Minas Gerais</v>
      </c>
      <c r="D1123">
        <v>6</v>
      </c>
      <c r="E1123">
        <v>115</v>
      </c>
      <c r="F1123">
        <v>19.166665999999999</v>
      </c>
      <c r="G1123">
        <v>6</v>
      </c>
      <c r="H1123">
        <v>0.62</v>
      </c>
      <c r="I1123">
        <v>0</v>
      </c>
      <c r="J1123">
        <v>0</v>
      </c>
      <c r="K1123">
        <v>0</v>
      </c>
      <c r="L1123">
        <v>2</v>
      </c>
      <c r="M1123">
        <v>6</v>
      </c>
      <c r="N1123">
        <v>6</v>
      </c>
      <c r="P1123">
        <v>0</v>
      </c>
      <c r="Q1123">
        <v>0</v>
      </c>
      <c r="R1123">
        <v>0</v>
      </c>
      <c r="S1123">
        <v>3</v>
      </c>
    </row>
    <row r="1124" spans="1:19" hidden="1" x14ac:dyDescent="0.35">
      <c r="A1124">
        <v>59272284100</v>
      </c>
      <c r="B1124" t="s">
        <v>1134</v>
      </c>
      <c r="C1124" t="str">
        <f>_xlfn.XLOOKUP(A1124,[1]Affiliations!$J$2:$J$5328,[1]Affiliations!$K$2:$K$5328,0)</f>
        <v>Federal University of Santa Catarina</v>
      </c>
      <c r="D1124">
        <v>1</v>
      </c>
      <c r="E1124">
        <v>6</v>
      </c>
      <c r="F1124">
        <v>6</v>
      </c>
      <c r="G1124">
        <v>1</v>
      </c>
      <c r="H1124">
        <v>0.69</v>
      </c>
      <c r="I1124">
        <v>0</v>
      </c>
      <c r="J1124">
        <v>1</v>
      </c>
      <c r="K1124">
        <v>1</v>
      </c>
      <c r="L1124">
        <v>1</v>
      </c>
      <c r="M1124">
        <v>1</v>
      </c>
      <c r="N1124">
        <v>1</v>
      </c>
      <c r="P1124">
        <v>0</v>
      </c>
      <c r="Q1124">
        <v>0</v>
      </c>
      <c r="R1124">
        <v>0</v>
      </c>
      <c r="S1124">
        <v>1</v>
      </c>
    </row>
    <row r="1125" spans="1:19" hidden="1" x14ac:dyDescent="0.35">
      <c r="A1125">
        <v>56025962500</v>
      </c>
      <c r="B1125" t="s">
        <v>1135</v>
      </c>
      <c r="C1125" t="str">
        <f>_xlfn.XLOOKUP(A1125,[1]Affiliations!$J$2:$J$5328,[1]Affiliations!$K$2:$K$5328,0)</f>
        <v>Federal University of Rio de Janeiro</v>
      </c>
      <c r="D1125">
        <v>12</v>
      </c>
      <c r="E1125">
        <v>160</v>
      </c>
      <c r="F1125">
        <v>13.333333</v>
      </c>
      <c r="G1125">
        <v>7</v>
      </c>
      <c r="H1125">
        <v>0.96</v>
      </c>
      <c r="I1125">
        <v>0</v>
      </c>
      <c r="J1125">
        <v>0</v>
      </c>
      <c r="K1125">
        <v>0</v>
      </c>
      <c r="L1125">
        <v>8</v>
      </c>
      <c r="M1125">
        <v>9</v>
      </c>
      <c r="N1125">
        <v>9</v>
      </c>
      <c r="P1125">
        <v>0</v>
      </c>
      <c r="Q1125">
        <v>1</v>
      </c>
      <c r="R1125">
        <v>1</v>
      </c>
      <c r="S1125">
        <v>6</v>
      </c>
    </row>
    <row r="1126" spans="1:19" hidden="1" x14ac:dyDescent="0.35">
      <c r="A1126">
        <v>59384701200</v>
      </c>
      <c r="B1126" t="s">
        <v>1136</v>
      </c>
      <c r="C1126" t="str">
        <f>_xlfn.XLOOKUP(A1126,[1]Affiliations!$J$2:$J$5328,[1]Affiliations!$K$2:$K$5328,0)</f>
        <v>Universidade Federal de Campina Grande</v>
      </c>
      <c r="D1126">
        <v>1</v>
      </c>
      <c r="E1126">
        <v>1</v>
      </c>
      <c r="F1126">
        <v>1</v>
      </c>
      <c r="G1126">
        <v>1</v>
      </c>
      <c r="H1126">
        <v>0.16</v>
      </c>
      <c r="I1126">
        <v>0</v>
      </c>
      <c r="J1126">
        <v>0</v>
      </c>
      <c r="K1126">
        <v>0</v>
      </c>
      <c r="L1126">
        <v>0</v>
      </c>
      <c r="M1126">
        <v>1</v>
      </c>
      <c r="N1126">
        <v>1</v>
      </c>
      <c r="P1126">
        <v>0</v>
      </c>
      <c r="Q1126">
        <v>0</v>
      </c>
      <c r="R1126">
        <v>0</v>
      </c>
      <c r="S1126">
        <v>0</v>
      </c>
    </row>
    <row r="1127" spans="1:19" hidden="1" x14ac:dyDescent="0.35">
      <c r="A1127">
        <v>57219419522</v>
      </c>
      <c r="B1127" t="s">
        <v>1137</v>
      </c>
      <c r="C1127" t="str">
        <f>_xlfn.XLOOKUP(A1127,[1]Affiliations!$J$2:$J$5328,[1]Affiliations!$K$2:$K$5328,0)</f>
        <v>Federal University of Rio de Janeiro</v>
      </c>
      <c r="D1127">
        <v>6</v>
      </c>
      <c r="E1127">
        <v>48</v>
      </c>
      <c r="F1127">
        <v>8</v>
      </c>
      <c r="G1127">
        <v>4</v>
      </c>
      <c r="H1127">
        <v>0.79</v>
      </c>
      <c r="I1127">
        <v>1</v>
      </c>
      <c r="J1127">
        <v>2</v>
      </c>
      <c r="K1127">
        <v>3</v>
      </c>
      <c r="L1127">
        <v>4</v>
      </c>
      <c r="M1127">
        <v>5</v>
      </c>
      <c r="N1127">
        <v>5</v>
      </c>
      <c r="P1127">
        <v>0</v>
      </c>
      <c r="Q1127">
        <v>0</v>
      </c>
      <c r="R1127">
        <v>0</v>
      </c>
      <c r="S1127">
        <v>3</v>
      </c>
    </row>
    <row r="1128" spans="1:19" hidden="1" x14ac:dyDescent="0.35">
      <c r="A1128">
        <v>56469627600</v>
      </c>
      <c r="B1128" t="s">
        <v>1138</v>
      </c>
      <c r="C1128" t="str">
        <f>_xlfn.XLOOKUP(A1128,[1]Affiliations!$J$2:$J$5328,[1]Affiliations!$K$2:$K$5328,0)</f>
        <v>Federal University of Rio de Janeiro</v>
      </c>
      <c r="D1128">
        <v>1</v>
      </c>
      <c r="E1128">
        <v>52</v>
      </c>
      <c r="F1128">
        <v>52</v>
      </c>
      <c r="G1128">
        <v>1</v>
      </c>
      <c r="H1128">
        <v>0.59</v>
      </c>
      <c r="I1128">
        <v>0</v>
      </c>
      <c r="J1128">
        <v>0</v>
      </c>
      <c r="K1128">
        <v>1</v>
      </c>
      <c r="L1128">
        <v>1</v>
      </c>
      <c r="M1128">
        <v>1</v>
      </c>
      <c r="N1128">
        <v>1</v>
      </c>
      <c r="P1128">
        <v>0</v>
      </c>
      <c r="Q1128">
        <v>0</v>
      </c>
      <c r="R1128">
        <v>0</v>
      </c>
      <c r="S1128">
        <v>1</v>
      </c>
    </row>
    <row r="1129" spans="1:19" hidden="1" x14ac:dyDescent="0.35">
      <c r="A1129">
        <v>58166784600</v>
      </c>
      <c r="B1129" t="s">
        <v>1139</v>
      </c>
      <c r="C1129" t="str">
        <f>_xlfn.XLOOKUP(A1129,[1]Affiliations!$J$2:$J$5328,[1]Affiliations!$K$2:$K$5328,0)</f>
        <v>Universidade Federal Rural do Rio de Janeiro</v>
      </c>
      <c r="D1129">
        <v>1</v>
      </c>
      <c r="E1129">
        <v>5</v>
      </c>
      <c r="F1129">
        <v>5</v>
      </c>
      <c r="G1129">
        <v>1</v>
      </c>
      <c r="H1129">
        <v>3.31</v>
      </c>
      <c r="P1129">
        <v>0</v>
      </c>
      <c r="Q1129">
        <v>0</v>
      </c>
      <c r="R1129">
        <v>0</v>
      </c>
      <c r="S1129">
        <v>0</v>
      </c>
    </row>
    <row r="1130" spans="1:19" hidden="1" x14ac:dyDescent="0.35">
      <c r="A1130">
        <v>57208555153</v>
      </c>
      <c r="B1130" t="s">
        <v>1140</v>
      </c>
      <c r="C1130" t="str">
        <f>_xlfn.XLOOKUP(A1130,[1]Affiliations!$J$2:$J$5328,[1]Affiliations!$K$2:$K$5328,0)</f>
        <v>Universidade Federal Rural do Rio de Janeiro</v>
      </c>
      <c r="D1130">
        <v>1</v>
      </c>
      <c r="E1130">
        <v>9</v>
      </c>
      <c r="F1130">
        <v>9</v>
      </c>
      <c r="G1130">
        <v>1</v>
      </c>
      <c r="H1130">
        <v>0.56000000000000005</v>
      </c>
      <c r="I1130">
        <v>0</v>
      </c>
      <c r="J1130">
        <v>0</v>
      </c>
      <c r="K1130">
        <v>0</v>
      </c>
      <c r="L1130">
        <v>1</v>
      </c>
      <c r="M1130">
        <v>1</v>
      </c>
      <c r="N1130">
        <v>1</v>
      </c>
      <c r="P1130">
        <v>0</v>
      </c>
      <c r="Q1130">
        <v>0</v>
      </c>
      <c r="R1130">
        <v>0</v>
      </c>
      <c r="S1130">
        <v>0</v>
      </c>
    </row>
    <row r="1131" spans="1:19" hidden="1" x14ac:dyDescent="0.35">
      <c r="A1131">
        <v>37025740400</v>
      </c>
      <c r="B1131" t="s">
        <v>1141</v>
      </c>
      <c r="C1131" t="str">
        <f>_xlfn.XLOOKUP(A1131,[1]Affiliations!$J$2:$J$5328,[1]Affiliations!$K$2:$K$5328,0)</f>
        <v>Federal University of Rio de Janeiro</v>
      </c>
      <c r="D1131">
        <v>2</v>
      </c>
      <c r="E1131">
        <v>96</v>
      </c>
      <c r="F1131">
        <v>48</v>
      </c>
      <c r="G1131">
        <v>4</v>
      </c>
      <c r="H1131">
        <v>1.49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1</v>
      </c>
      <c r="P1131">
        <v>0</v>
      </c>
      <c r="Q1131">
        <v>1</v>
      </c>
      <c r="R1131">
        <v>1</v>
      </c>
      <c r="S1131">
        <v>1</v>
      </c>
    </row>
    <row r="1132" spans="1:19" hidden="1" x14ac:dyDescent="0.35">
      <c r="A1132">
        <v>57222669441</v>
      </c>
      <c r="B1132" t="s">
        <v>1142</v>
      </c>
      <c r="C1132" t="str">
        <f>_xlfn.XLOOKUP(A1132,[1]Affiliations!$J$2:$J$5328,[1]Affiliations!$K$2:$K$5328,0)</f>
        <v>Universidade Federal do Espírito Santo</v>
      </c>
      <c r="D1132">
        <v>2</v>
      </c>
      <c r="E1132">
        <v>3</v>
      </c>
      <c r="F1132">
        <v>1.5</v>
      </c>
      <c r="G1132">
        <v>1</v>
      </c>
      <c r="H1132">
        <v>7.0000000000000007E-2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P1132">
        <v>0</v>
      </c>
      <c r="Q1132">
        <v>0</v>
      </c>
      <c r="R1132">
        <v>0</v>
      </c>
      <c r="S1132">
        <v>0</v>
      </c>
    </row>
    <row r="1133" spans="1:19" hidden="1" x14ac:dyDescent="0.35">
      <c r="A1133">
        <v>59391379400</v>
      </c>
      <c r="B1133" t="s">
        <v>1143</v>
      </c>
      <c r="C1133" t="str">
        <f>_xlfn.XLOOKUP(A1133,[1]Affiliations!$J$2:$J$5328,[1]Affiliations!$K$2:$K$5328,0)</f>
        <v>Universidade Federal Rural do Rio de Janeiro</v>
      </c>
      <c r="D1133">
        <v>0</v>
      </c>
      <c r="G1133">
        <v>1</v>
      </c>
    </row>
    <row r="1134" spans="1:19" hidden="1" x14ac:dyDescent="0.35">
      <c r="A1134">
        <v>59508059200</v>
      </c>
      <c r="B1134" t="s">
        <v>1144</v>
      </c>
      <c r="C1134" t="str">
        <f>_xlfn.XLOOKUP(A1134,[1]Affiliations!$J$2:$J$5328,[1]Affiliations!$K$2:$K$5328,0)</f>
        <v>Federal University of Rio de Janeiro</v>
      </c>
      <c r="D1134">
        <v>1</v>
      </c>
      <c r="E1134">
        <v>2</v>
      </c>
      <c r="F1134">
        <v>2</v>
      </c>
      <c r="G1134">
        <v>1</v>
      </c>
      <c r="H1134">
        <v>0.27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1</v>
      </c>
      <c r="P1134">
        <v>0</v>
      </c>
      <c r="Q1134">
        <v>0</v>
      </c>
      <c r="R1134">
        <v>0</v>
      </c>
      <c r="S1134">
        <v>0</v>
      </c>
    </row>
    <row r="1135" spans="1:19" hidden="1" x14ac:dyDescent="0.35">
      <c r="A1135">
        <v>56328167700</v>
      </c>
      <c r="B1135" t="s">
        <v>1145</v>
      </c>
      <c r="C1135" t="str">
        <f>_xlfn.XLOOKUP(A1135,[1]Affiliations!$J$2:$J$5328,[1]Affiliations!$K$2:$K$5328,0)</f>
        <v>Pontifícia Universidade Católica de Minas Gerais</v>
      </c>
      <c r="D1135">
        <v>1</v>
      </c>
      <c r="E1135">
        <v>0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1</v>
      </c>
      <c r="P1135">
        <v>0</v>
      </c>
      <c r="Q1135">
        <v>0</v>
      </c>
      <c r="R1135">
        <v>0</v>
      </c>
      <c r="S1135">
        <v>0</v>
      </c>
    </row>
    <row r="1136" spans="1:19" x14ac:dyDescent="0.35">
      <c r="A1136">
        <v>6508049115</v>
      </c>
      <c r="B1136" t="s">
        <v>5286</v>
      </c>
      <c r="C1136" t="str">
        <f>_xlfn.XLOOKUP(A1136,[1]Affiliations!$J$2:$J$5328,[1]Affiliations!$K$2:$K$5328,0)</f>
        <v>Universidade Estadual do Norte Fluminense</v>
      </c>
      <c r="D1136">
        <v>71</v>
      </c>
      <c r="E1136">
        <v>1610</v>
      </c>
      <c r="F1136">
        <v>22.676055999999999</v>
      </c>
      <c r="G1136">
        <v>28</v>
      </c>
      <c r="H1136">
        <v>1.23</v>
      </c>
      <c r="I1136">
        <v>0</v>
      </c>
      <c r="J1136">
        <v>13</v>
      </c>
      <c r="K1136">
        <v>19</v>
      </c>
      <c r="L1136">
        <v>43</v>
      </c>
      <c r="M1136">
        <v>55</v>
      </c>
      <c r="N1136">
        <v>67</v>
      </c>
      <c r="P1136">
        <v>0</v>
      </c>
      <c r="Q1136">
        <v>5</v>
      </c>
      <c r="R1136">
        <v>13</v>
      </c>
      <c r="S1136">
        <v>40</v>
      </c>
    </row>
    <row r="1137" spans="1:19" hidden="1" x14ac:dyDescent="0.35">
      <c r="A1137">
        <v>24385202300</v>
      </c>
      <c r="B1137" t="s">
        <v>1147</v>
      </c>
      <c r="C1137" t="str">
        <f>_xlfn.XLOOKUP(A1137,[1]Affiliations!$J$2:$J$5328,[1]Affiliations!$K$2:$K$5328,0)</f>
        <v>Universidade Federal do Rio Grande do Sul</v>
      </c>
      <c r="D1137">
        <v>7</v>
      </c>
      <c r="E1137">
        <v>93</v>
      </c>
      <c r="F1137">
        <v>13.285714</v>
      </c>
      <c r="G1137">
        <v>9</v>
      </c>
      <c r="H1137">
        <v>0.98</v>
      </c>
      <c r="I1137">
        <v>0</v>
      </c>
      <c r="J1137">
        <v>1</v>
      </c>
      <c r="K1137">
        <v>1</v>
      </c>
      <c r="L1137">
        <v>3</v>
      </c>
      <c r="M1137">
        <v>5</v>
      </c>
      <c r="N1137">
        <v>5</v>
      </c>
      <c r="P1137">
        <v>0</v>
      </c>
      <c r="Q1137">
        <v>0</v>
      </c>
      <c r="R1137">
        <v>0</v>
      </c>
      <c r="S1137">
        <v>2</v>
      </c>
    </row>
    <row r="1138" spans="1:19" x14ac:dyDescent="0.35">
      <c r="A1138">
        <v>55550695600</v>
      </c>
      <c r="B1138" t="s">
        <v>496</v>
      </c>
      <c r="C1138" t="str">
        <f>_xlfn.XLOOKUP(A1138,[1]Affiliations!$J$2:$J$5328,[1]Affiliations!$K$2:$K$5328,0)</f>
        <v>University of Campinas</v>
      </c>
      <c r="D1138">
        <v>41</v>
      </c>
      <c r="E1138">
        <v>831</v>
      </c>
      <c r="F1138">
        <v>20.268293</v>
      </c>
      <c r="G1138">
        <v>14</v>
      </c>
      <c r="H1138">
        <v>1.22</v>
      </c>
      <c r="I1138">
        <v>0</v>
      </c>
      <c r="J1138">
        <v>7</v>
      </c>
      <c r="K1138">
        <v>10</v>
      </c>
      <c r="L1138">
        <v>17</v>
      </c>
      <c r="M1138">
        <v>25</v>
      </c>
      <c r="N1138">
        <v>29</v>
      </c>
      <c r="P1138">
        <v>0</v>
      </c>
      <c r="Q1138">
        <v>2</v>
      </c>
      <c r="R1138">
        <v>7</v>
      </c>
      <c r="S1138">
        <v>15</v>
      </c>
    </row>
    <row r="1139" spans="1:19" hidden="1" x14ac:dyDescent="0.35">
      <c r="A1139">
        <v>38561211600</v>
      </c>
      <c r="B1139" t="s">
        <v>1149</v>
      </c>
      <c r="C1139" t="str">
        <f>_xlfn.XLOOKUP(A1139,[1]Affiliations!$J$2:$J$5328,[1]Affiliations!$K$2:$K$5328,0)</f>
        <v>Universidade Federal do Rio Grande do Sul (+1 more)</v>
      </c>
      <c r="D1139">
        <v>6</v>
      </c>
      <c r="E1139">
        <v>104</v>
      </c>
      <c r="F1139">
        <v>17.333334000000001</v>
      </c>
      <c r="G1139">
        <v>5</v>
      </c>
      <c r="H1139">
        <v>0.66</v>
      </c>
      <c r="I1139">
        <v>0</v>
      </c>
      <c r="J1139">
        <v>0</v>
      </c>
      <c r="K1139">
        <v>0</v>
      </c>
      <c r="L1139">
        <v>2</v>
      </c>
      <c r="M1139">
        <v>5</v>
      </c>
      <c r="N1139">
        <v>6</v>
      </c>
      <c r="P1139">
        <v>0</v>
      </c>
      <c r="Q1139">
        <v>0</v>
      </c>
      <c r="R1139">
        <v>0</v>
      </c>
      <c r="S1139">
        <v>2</v>
      </c>
    </row>
    <row r="1140" spans="1:19" x14ac:dyDescent="0.35">
      <c r="A1140">
        <v>6701317271</v>
      </c>
      <c r="B1140" t="s">
        <v>1537</v>
      </c>
      <c r="C1140" t="str">
        <f>_xlfn.XLOOKUP(A1140,[1]Affiliations!$J$2:$J$5328,[1]Affiliations!$K$2:$K$5328,0)</f>
        <v>Federal University of Rio de Janeiro</v>
      </c>
      <c r="D1140">
        <v>25</v>
      </c>
      <c r="E1140">
        <v>476</v>
      </c>
      <c r="F1140">
        <v>19.04</v>
      </c>
      <c r="G1140">
        <v>20</v>
      </c>
      <c r="H1140">
        <v>1.22</v>
      </c>
      <c r="I1140">
        <v>2</v>
      </c>
      <c r="J1140">
        <v>4</v>
      </c>
      <c r="K1140">
        <v>7</v>
      </c>
      <c r="L1140">
        <v>10</v>
      </c>
      <c r="M1140">
        <v>14</v>
      </c>
      <c r="N1140">
        <v>18</v>
      </c>
      <c r="P1140">
        <v>0</v>
      </c>
      <c r="Q1140">
        <v>1</v>
      </c>
      <c r="R1140">
        <v>2</v>
      </c>
      <c r="S1140">
        <v>8</v>
      </c>
    </row>
    <row r="1141" spans="1:19" hidden="1" x14ac:dyDescent="0.35">
      <c r="A1141">
        <v>58117934300</v>
      </c>
      <c r="B1141" t="s">
        <v>1151</v>
      </c>
      <c r="C1141" t="str">
        <f>_xlfn.XLOOKUP(A1141,[1]Affiliations!$J$2:$J$5328,[1]Affiliations!$K$2:$K$5328,0)</f>
        <v>SENAI</v>
      </c>
      <c r="D1141">
        <v>1</v>
      </c>
      <c r="E1141">
        <v>0</v>
      </c>
      <c r="F1141">
        <v>0</v>
      </c>
      <c r="G1141">
        <v>0</v>
      </c>
      <c r="H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5">
      <c r="A1142">
        <v>35727867300</v>
      </c>
      <c r="B1142" t="s">
        <v>3713</v>
      </c>
      <c r="C1142" t="str">
        <f>_xlfn.XLOOKUP(A1142,[1]Affiliations!$J$2:$J$5328,[1]Affiliations!$K$2:$K$5328,0)</f>
        <v>Universidade Federal da Bahia</v>
      </c>
      <c r="D1142">
        <v>40</v>
      </c>
      <c r="E1142">
        <v>945</v>
      </c>
      <c r="F1142">
        <v>23.625</v>
      </c>
      <c r="G1142">
        <v>18</v>
      </c>
      <c r="H1142">
        <v>1.22</v>
      </c>
      <c r="I1142">
        <v>0</v>
      </c>
      <c r="J1142">
        <v>8</v>
      </c>
      <c r="K1142">
        <v>10</v>
      </c>
      <c r="L1142">
        <v>13</v>
      </c>
      <c r="M1142">
        <v>20</v>
      </c>
      <c r="N1142">
        <v>23</v>
      </c>
      <c r="P1142">
        <v>2</v>
      </c>
      <c r="Q1142">
        <v>4</v>
      </c>
      <c r="R1142">
        <v>6</v>
      </c>
      <c r="S1142">
        <v>13</v>
      </c>
    </row>
    <row r="1143" spans="1:19" x14ac:dyDescent="0.35">
      <c r="A1143">
        <v>56560123400</v>
      </c>
      <c r="B1143" t="s">
        <v>4605</v>
      </c>
      <c r="C1143" t="str">
        <f>_xlfn.XLOOKUP(A1143,[1]Affiliations!$J$2:$J$5328,[1]Affiliations!$K$2:$K$5328,0)</f>
        <v>Universidade Federal Rural do Rio de Janeiro</v>
      </c>
      <c r="D1143">
        <v>13</v>
      </c>
      <c r="E1143">
        <v>434</v>
      </c>
      <c r="F1143">
        <v>33.384616999999999</v>
      </c>
      <c r="G1143">
        <v>10</v>
      </c>
      <c r="H1143">
        <v>1.22</v>
      </c>
      <c r="I1143">
        <v>0</v>
      </c>
      <c r="J1143">
        <v>3</v>
      </c>
      <c r="K1143">
        <v>7</v>
      </c>
      <c r="L1143">
        <v>11</v>
      </c>
      <c r="M1143">
        <v>11</v>
      </c>
      <c r="N1143">
        <v>11</v>
      </c>
      <c r="P1143">
        <v>0</v>
      </c>
      <c r="Q1143">
        <v>2</v>
      </c>
      <c r="R1143">
        <v>5</v>
      </c>
      <c r="S1143">
        <v>7</v>
      </c>
    </row>
    <row r="1144" spans="1:19" hidden="1" x14ac:dyDescent="0.35">
      <c r="A1144">
        <v>56425807900</v>
      </c>
      <c r="B1144" t="s">
        <v>1154</v>
      </c>
      <c r="C1144" t="str">
        <f>_xlfn.XLOOKUP(A1144,[1]Affiliations!$J$2:$J$5328,[1]Affiliations!$K$2:$K$5328,0)</f>
        <v>Universidade Federal do Rio Grande do Sul</v>
      </c>
      <c r="D1144">
        <v>2</v>
      </c>
      <c r="E1144">
        <v>104</v>
      </c>
      <c r="F1144">
        <v>52</v>
      </c>
      <c r="G1144">
        <v>3</v>
      </c>
      <c r="H1144">
        <v>1.36</v>
      </c>
      <c r="I1144">
        <v>0</v>
      </c>
      <c r="J1144">
        <v>0</v>
      </c>
      <c r="K1144">
        <v>0</v>
      </c>
      <c r="L1144">
        <v>2</v>
      </c>
      <c r="M1144">
        <v>2</v>
      </c>
      <c r="N1144">
        <v>2</v>
      </c>
      <c r="P1144">
        <v>0</v>
      </c>
      <c r="Q1144">
        <v>1</v>
      </c>
      <c r="R1144">
        <v>1</v>
      </c>
      <c r="S1144">
        <v>1</v>
      </c>
    </row>
    <row r="1145" spans="1:19" x14ac:dyDescent="0.35">
      <c r="A1145">
        <v>57196191611</v>
      </c>
      <c r="B1145" t="s">
        <v>650</v>
      </c>
      <c r="C1145" t="str">
        <f>_xlfn.XLOOKUP(A1145,[1]Affiliations!$J$2:$J$5328,[1]Affiliations!$K$2:$K$5328,0)</f>
        <v>University of Campinas</v>
      </c>
      <c r="D1145">
        <v>11</v>
      </c>
      <c r="E1145">
        <v>209</v>
      </c>
      <c r="F1145">
        <v>19</v>
      </c>
      <c r="G1145">
        <v>7</v>
      </c>
      <c r="H1145">
        <v>1.21</v>
      </c>
      <c r="I1145">
        <v>0</v>
      </c>
      <c r="J1145">
        <v>2</v>
      </c>
      <c r="K1145">
        <v>4</v>
      </c>
      <c r="L1145">
        <v>6</v>
      </c>
      <c r="M1145">
        <v>7</v>
      </c>
      <c r="N1145">
        <v>8</v>
      </c>
      <c r="P1145">
        <v>0</v>
      </c>
      <c r="Q1145">
        <v>1</v>
      </c>
      <c r="R1145">
        <v>2</v>
      </c>
      <c r="S1145">
        <v>5</v>
      </c>
    </row>
    <row r="1146" spans="1:19" x14ac:dyDescent="0.35">
      <c r="A1146">
        <v>57217987126</v>
      </c>
      <c r="B1146" t="s">
        <v>1124</v>
      </c>
      <c r="C1146" t="str">
        <f>_xlfn.XLOOKUP(A1146,[1]Affiliations!$J$2:$J$5328,[1]Affiliations!$K$2:$K$5328,0)</f>
        <v>Federal University of Rio de Janeiro</v>
      </c>
      <c r="D1146">
        <v>5</v>
      </c>
      <c r="E1146">
        <v>75</v>
      </c>
      <c r="F1146">
        <v>15</v>
      </c>
      <c r="G1146">
        <v>4</v>
      </c>
      <c r="H1146">
        <v>1.21</v>
      </c>
      <c r="I1146">
        <v>0</v>
      </c>
      <c r="J1146">
        <v>0</v>
      </c>
      <c r="K1146">
        <v>2</v>
      </c>
      <c r="L1146">
        <v>3</v>
      </c>
      <c r="M1146">
        <v>4</v>
      </c>
      <c r="N1146">
        <v>5</v>
      </c>
      <c r="P1146">
        <v>0</v>
      </c>
      <c r="Q1146">
        <v>0</v>
      </c>
      <c r="R1146">
        <v>1</v>
      </c>
      <c r="S1146">
        <v>2</v>
      </c>
    </row>
    <row r="1147" spans="1:19" hidden="1" x14ac:dyDescent="0.35">
      <c r="A1147">
        <v>8607771600</v>
      </c>
      <c r="B1147" t="s">
        <v>1157</v>
      </c>
      <c r="C1147" t="str">
        <f>_xlfn.XLOOKUP(A1147,[1]Affiliations!$J$2:$J$5328,[1]Affiliations!$K$2:$K$5328,0)</f>
        <v>Universidade de São Paulo (+1 more)</v>
      </c>
      <c r="D1147">
        <v>15</v>
      </c>
      <c r="E1147">
        <v>243</v>
      </c>
      <c r="F1147">
        <v>16.2</v>
      </c>
      <c r="G1147">
        <v>13</v>
      </c>
      <c r="H1147">
        <v>0.53</v>
      </c>
      <c r="I1147">
        <v>0</v>
      </c>
      <c r="J1147">
        <v>0</v>
      </c>
      <c r="K1147">
        <v>3</v>
      </c>
      <c r="L1147">
        <v>8</v>
      </c>
      <c r="M1147">
        <v>13</v>
      </c>
      <c r="N1147">
        <v>15</v>
      </c>
      <c r="P1147">
        <v>0</v>
      </c>
      <c r="Q1147">
        <v>0</v>
      </c>
      <c r="R1147">
        <v>0</v>
      </c>
      <c r="S1147">
        <v>4</v>
      </c>
    </row>
    <row r="1148" spans="1:19" hidden="1" x14ac:dyDescent="0.35">
      <c r="A1148">
        <v>57215675376</v>
      </c>
      <c r="B1148" t="s">
        <v>1158</v>
      </c>
      <c r="C1148" t="str">
        <f>_xlfn.XLOOKUP(A1148,[1]Affiliations!$J$2:$J$5328,[1]Affiliations!$K$2:$K$5328,0)</f>
        <v>Pontifícia Universidade Católica do Rio Grande do Sul</v>
      </c>
      <c r="D1148">
        <v>2</v>
      </c>
      <c r="E1148">
        <v>36</v>
      </c>
      <c r="F1148">
        <v>18</v>
      </c>
      <c r="G1148">
        <v>2</v>
      </c>
      <c r="H1148">
        <v>0.65</v>
      </c>
      <c r="I1148">
        <v>0</v>
      </c>
      <c r="J1148">
        <v>0</v>
      </c>
      <c r="K1148">
        <v>0</v>
      </c>
      <c r="L1148">
        <v>0</v>
      </c>
      <c r="M1148">
        <v>2</v>
      </c>
      <c r="N1148">
        <v>2</v>
      </c>
      <c r="P1148">
        <v>0</v>
      </c>
      <c r="Q1148">
        <v>0</v>
      </c>
      <c r="R1148">
        <v>0</v>
      </c>
      <c r="S1148">
        <v>1</v>
      </c>
    </row>
    <row r="1149" spans="1:19" hidden="1" x14ac:dyDescent="0.35">
      <c r="A1149">
        <v>57218865009</v>
      </c>
      <c r="B1149" t="s">
        <v>1159</v>
      </c>
      <c r="C1149" t="str">
        <f>_xlfn.XLOOKUP(A1149,[1]Affiliations!$J$2:$J$5328,[1]Affiliations!$K$2:$K$5328,0)</f>
        <v>University of Campinas</v>
      </c>
      <c r="D1149">
        <v>2</v>
      </c>
      <c r="E1149">
        <v>27</v>
      </c>
      <c r="F1149">
        <v>13.5</v>
      </c>
      <c r="G1149">
        <v>2</v>
      </c>
      <c r="H1149">
        <v>1.1200000000000001</v>
      </c>
      <c r="I1149">
        <v>0</v>
      </c>
      <c r="J1149">
        <v>0</v>
      </c>
      <c r="K1149">
        <v>1</v>
      </c>
      <c r="L1149">
        <v>1</v>
      </c>
      <c r="M1149">
        <v>1</v>
      </c>
      <c r="N1149">
        <v>1</v>
      </c>
      <c r="P1149">
        <v>0</v>
      </c>
      <c r="Q1149">
        <v>0</v>
      </c>
      <c r="R1149">
        <v>0</v>
      </c>
      <c r="S1149">
        <v>1</v>
      </c>
    </row>
    <row r="1150" spans="1:19" x14ac:dyDescent="0.35">
      <c r="A1150">
        <v>57193928519</v>
      </c>
      <c r="B1150" t="s">
        <v>2524</v>
      </c>
      <c r="C1150" t="str">
        <f>_xlfn.XLOOKUP(A1150,[1]Affiliations!$J$2:$J$5328,[1]Affiliations!$K$2:$K$5328,0)</f>
        <v>Federal University of Rio de Janeiro</v>
      </c>
      <c r="D1150">
        <v>13</v>
      </c>
      <c r="E1150">
        <v>440</v>
      </c>
      <c r="F1150">
        <v>33.846153000000001</v>
      </c>
      <c r="G1150">
        <v>11</v>
      </c>
      <c r="H1150">
        <v>1.21</v>
      </c>
      <c r="I1150">
        <v>0</v>
      </c>
      <c r="J1150">
        <v>4</v>
      </c>
      <c r="K1150">
        <v>6</v>
      </c>
      <c r="L1150">
        <v>9</v>
      </c>
      <c r="M1150">
        <v>12</v>
      </c>
      <c r="N1150">
        <v>13</v>
      </c>
      <c r="P1150">
        <v>0</v>
      </c>
      <c r="Q1150">
        <v>2</v>
      </c>
      <c r="R1150">
        <v>5</v>
      </c>
      <c r="S1150">
        <v>9</v>
      </c>
    </row>
    <row r="1151" spans="1:19" hidden="1" x14ac:dyDescent="0.35">
      <c r="A1151">
        <v>58090732900</v>
      </c>
      <c r="B1151" t="s">
        <v>1161</v>
      </c>
      <c r="C1151" t="str">
        <f>_xlfn.XLOOKUP(A1151,[1]Affiliations!$J$2:$J$5328,[1]Affiliations!$K$2:$K$5328,0)</f>
        <v>Universidade Tiradentes</v>
      </c>
      <c r="D1151">
        <v>2</v>
      </c>
      <c r="E1151">
        <v>9</v>
      </c>
      <c r="F1151">
        <v>4.5</v>
      </c>
      <c r="G1151">
        <v>2</v>
      </c>
      <c r="H1151">
        <v>0.3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2</v>
      </c>
      <c r="P1151">
        <v>0</v>
      </c>
      <c r="Q1151">
        <v>0</v>
      </c>
      <c r="R1151">
        <v>0</v>
      </c>
      <c r="S1151">
        <v>0</v>
      </c>
    </row>
    <row r="1152" spans="1:19" hidden="1" x14ac:dyDescent="0.35">
      <c r="A1152">
        <v>57205614236</v>
      </c>
      <c r="B1152" t="s">
        <v>1162</v>
      </c>
      <c r="C1152" t="str">
        <f>_xlfn.XLOOKUP(A1152,[1]Affiliations!$J$2:$J$5328,[1]Affiliations!$K$2:$K$5328,0)</f>
        <v>Universidade Federal de Itajubá</v>
      </c>
      <c r="D1152">
        <v>2</v>
      </c>
      <c r="E1152">
        <v>5</v>
      </c>
      <c r="F1152">
        <v>2.5</v>
      </c>
      <c r="G1152">
        <v>2</v>
      </c>
      <c r="H1152">
        <v>0.52</v>
      </c>
      <c r="P1152">
        <v>0</v>
      </c>
      <c r="Q1152">
        <v>0</v>
      </c>
      <c r="R1152">
        <v>0</v>
      </c>
      <c r="S1152">
        <v>0</v>
      </c>
    </row>
    <row r="1153" spans="1:19" hidden="1" x14ac:dyDescent="0.35">
      <c r="A1153">
        <v>37361068900</v>
      </c>
      <c r="B1153" t="s">
        <v>1163</v>
      </c>
      <c r="C1153" t="str">
        <f>_xlfn.XLOOKUP(A1153,[1]Affiliations!$J$2:$J$5328,[1]Affiliations!$K$2:$K$5328,0)</f>
        <v>Pontifical Catholic University of Rio de Janeiro (+1 more)</v>
      </c>
      <c r="D1153">
        <v>3</v>
      </c>
      <c r="E1153">
        <v>6</v>
      </c>
      <c r="F1153">
        <v>2</v>
      </c>
      <c r="G1153">
        <v>3</v>
      </c>
      <c r="H1153">
        <v>0.11</v>
      </c>
      <c r="I1153">
        <v>0</v>
      </c>
      <c r="J1153">
        <v>0</v>
      </c>
      <c r="K1153">
        <v>1</v>
      </c>
      <c r="L1153">
        <v>1</v>
      </c>
      <c r="M1153">
        <v>2</v>
      </c>
      <c r="N1153">
        <v>3</v>
      </c>
      <c r="P1153">
        <v>0</v>
      </c>
      <c r="Q1153">
        <v>0</v>
      </c>
      <c r="R1153">
        <v>0</v>
      </c>
      <c r="S1153">
        <v>0</v>
      </c>
    </row>
    <row r="1154" spans="1:19" x14ac:dyDescent="0.35">
      <c r="A1154">
        <v>16319451800</v>
      </c>
      <c r="B1154" t="s">
        <v>2815</v>
      </c>
      <c r="C1154" t="str">
        <f>_xlfn.XLOOKUP(A1154,[1]Affiliations!$J$2:$J$5328,[1]Affiliations!$K$2:$K$5328,0)</f>
        <v>Universidade Federal do Rio Grande do Sul</v>
      </c>
      <c r="D1154">
        <v>8</v>
      </c>
      <c r="E1154">
        <v>273</v>
      </c>
      <c r="F1154">
        <v>34.125</v>
      </c>
      <c r="G1154">
        <v>10</v>
      </c>
      <c r="H1154">
        <v>1.21</v>
      </c>
      <c r="I1154">
        <v>1</v>
      </c>
      <c r="J1154">
        <v>4</v>
      </c>
      <c r="K1154">
        <v>4</v>
      </c>
      <c r="L1154">
        <v>6</v>
      </c>
      <c r="M1154">
        <v>6</v>
      </c>
      <c r="N1154">
        <v>8</v>
      </c>
      <c r="P1154">
        <v>1</v>
      </c>
      <c r="Q1154">
        <v>1</v>
      </c>
      <c r="R1154">
        <v>1</v>
      </c>
      <c r="S1154">
        <v>5</v>
      </c>
    </row>
    <row r="1155" spans="1:19" hidden="1" x14ac:dyDescent="0.35">
      <c r="A1155">
        <v>58542151700</v>
      </c>
      <c r="B1155" t="s">
        <v>1165</v>
      </c>
      <c r="C1155" t="str">
        <f>_xlfn.XLOOKUP(A1155,[1]Affiliations!$J$2:$J$5328,[1]Affiliations!$K$2:$K$5328,0)</f>
        <v>Universidade Federal de Uberlândia</v>
      </c>
      <c r="D1155">
        <v>1</v>
      </c>
      <c r="E1155">
        <v>1</v>
      </c>
      <c r="F1155">
        <v>1</v>
      </c>
      <c r="G1155">
        <v>1</v>
      </c>
      <c r="H1155">
        <v>0.08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1</v>
      </c>
      <c r="P1155">
        <v>0</v>
      </c>
      <c r="Q1155">
        <v>0</v>
      </c>
      <c r="R1155">
        <v>0</v>
      </c>
      <c r="S1155">
        <v>0</v>
      </c>
    </row>
    <row r="1156" spans="1:19" x14ac:dyDescent="0.35">
      <c r="A1156">
        <v>36834164700</v>
      </c>
      <c r="B1156" t="s">
        <v>3104</v>
      </c>
      <c r="C1156" t="str">
        <f>_xlfn.XLOOKUP(A1156,[1]Affiliations!$J$2:$J$5328,[1]Affiliations!$K$2:$K$5328,0)</f>
        <v>Federal University of Rio de Janeiro</v>
      </c>
      <c r="D1156">
        <v>19</v>
      </c>
      <c r="E1156">
        <v>674</v>
      </c>
      <c r="F1156">
        <v>35.473681999999997</v>
      </c>
      <c r="G1156">
        <v>16</v>
      </c>
      <c r="H1156">
        <v>1.21</v>
      </c>
      <c r="I1156">
        <v>2</v>
      </c>
      <c r="J1156">
        <v>4</v>
      </c>
      <c r="K1156">
        <v>7</v>
      </c>
      <c r="L1156">
        <v>15</v>
      </c>
      <c r="M1156">
        <v>18</v>
      </c>
      <c r="N1156">
        <v>19</v>
      </c>
      <c r="P1156">
        <v>0</v>
      </c>
      <c r="Q1156">
        <v>2</v>
      </c>
      <c r="R1156">
        <v>7</v>
      </c>
      <c r="S1156">
        <v>13</v>
      </c>
    </row>
    <row r="1157" spans="1:19" hidden="1" x14ac:dyDescent="0.35">
      <c r="A1157">
        <v>58040345600</v>
      </c>
      <c r="B1157" t="s">
        <v>1167</v>
      </c>
      <c r="C1157" t="str">
        <f>_xlfn.XLOOKUP(A1157,[1]Affiliations!$J$2:$J$5328,[1]Affiliations!$K$2:$K$5328,0)</f>
        <v>Universidade de São Paulo</v>
      </c>
      <c r="D1157">
        <v>1</v>
      </c>
      <c r="E1157">
        <v>42</v>
      </c>
      <c r="F1157">
        <v>42</v>
      </c>
      <c r="G1157">
        <v>1</v>
      </c>
      <c r="H1157">
        <v>2.57</v>
      </c>
      <c r="I1157">
        <v>0</v>
      </c>
      <c r="J1157">
        <v>0</v>
      </c>
      <c r="K1157">
        <v>0</v>
      </c>
      <c r="L1157">
        <v>0</v>
      </c>
      <c r="M1157">
        <v>1</v>
      </c>
      <c r="N1157">
        <v>1</v>
      </c>
      <c r="P1157">
        <v>0</v>
      </c>
      <c r="Q1157">
        <v>0</v>
      </c>
      <c r="R1157">
        <v>1</v>
      </c>
      <c r="S1157">
        <v>1</v>
      </c>
    </row>
    <row r="1158" spans="1:19" x14ac:dyDescent="0.35">
      <c r="A1158">
        <v>7102443922</v>
      </c>
      <c r="B1158" t="s">
        <v>3306</v>
      </c>
      <c r="C1158" t="str">
        <f>_xlfn.XLOOKUP(A1158,[1]Affiliations!$J$2:$J$5328,[1]Affiliations!$K$2:$K$5328,0)</f>
        <v>Universidade de São Paulo</v>
      </c>
      <c r="D1158">
        <v>16</v>
      </c>
      <c r="E1158">
        <v>309</v>
      </c>
      <c r="F1158">
        <v>19.3125</v>
      </c>
      <c r="G1158">
        <v>10</v>
      </c>
      <c r="H1158">
        <v>1.21</v>
      </c>
      <c r="I1158">
        <v>1</v>
      </c>
      <c r="J1158">
        <v>5</v>
      </c>
      <c r="K1158">
        <v>11</v>
      </c>
      <c r="L1158">
        <v>13</v>
      </c>
      <c r="M1158">
        <v>15</v>
      </c>
      <c r="N1158">
        <v>15</v>
      </c>
      <c r="P1158">
        <v>0</v>
      </c>
      <c r="Q1158">
        <v>1</v>
      </c>
      <c r="R1158">
        <v>2</v>
      </c>
      <c r="S1158">
        <v>9</v>
      </c>
    </row>
    <row r="1159" spans="1:19" x14ac:dyDescent="0.35">
      <c r="A1159">
        <v>36448501900</v>
      </c>
      <c r="B1159" t="s">
        <v>3509</v>
      </c>
      <c r="C1159" t="str">
        <f>_xlfn.XLOOKUP(A1159,[1]Affiliations!$J$2:$J$5328,[1]Affiliations!$K$2:$K$5328,0)</f>
        <v>DEMa</v>
      </c>
      <c r="D1159">
        <v>44</v>
      </c>
      <c r="E1159">
        <v>1022</v>
      </c>
      <c r="F1159">
        <v>23.227271999999999</v>
      </c>
      <c r="G1159">
        <v>22</v>
      </c>
      <c r="H1159">
        <v>1.21</v>
      </c>
      <c r="I1159">
        <v>2</v>
      </c>
      <c r="J1159">
        <v>22</v>
      </c>
      <c r="K1159">
        <v>29</v>
      </c>
      <c r="L1159">
        <v>35</v>
      </c>
      <c r="M1159">
        <v>39</v>
      </c>
      <c r="N1159">
        <v>42</v>
      </c>
      <c r="P1159">
        <v>0</v>
      </c>
      <c r="Q1159">
        <v>2</v>
      </c>
      <c r="R1159">
        <v>10</v>
      </c>
      <c r="S1159">
        <v>26</v>
      </c>
    </row>
    <row r="1160" spans="1:19" x14ac:dyDescent="0.35">
      <c r="A1160">
        <v>57205320500</v>
      </c>
      <c r="B1160" t="s">
        <v>4364</v>
      </c>
      <c r="C1160" t="str">
        <f>_xlfn.XLOOKUP(A1160,[1]Affiliations!$J$2:$J$5328,[1]Affiliations!$K$2:$K$5328,0)</f>
        <v>Pontifical Catholic University of Rio de Janeiro</v>
      </c>
      <c r="D1160">
        <v>16</v>
      </c>
      <c r="E1160">
        <v>315</v>
      </c>
      <c r="F1160">
        <v>19.6875</v>
      </c>
      <c r="G1160">
        <v>9</v>
      </c>
      <c r="H1160">
        <v>1.21</v>
      </c>
      <c r="I1160">
        <v>0</v>
      </c>
      <c r="J1160">
        <v>2</v>
      </c>
      <c r="K1160">
        <v>9</v>
      </c>
      <c r="L1160">
        <v>11</v>
      </c>
      <c r="M1160">
        <v>11</v>
      </c>
      <c r="N1160">
        <v>11</v>
      </c>
      <c r="P1160">
        <v>0</v>
      </c>
      <c r="Q1160">
        <v>1</v>
      </c>
      <c r="R1160">
        <v>2</v>
      </c>
      <c r="S1160">
        <v>8</v>
      </c>
    </row>
    <row r="1161" spans="1:19" x14ac:dyDescent="0.35">
      <c r="A1161">
        <v>16231648500</v>
      </c>
      <c r="B1161" t="s">
        <v>5190</v>
      </c>
      <c r="C1161" t="str">
        <f>_xlfn.XLOOKUP(A1161,[1]Affiliations!$J$2:$J$5328,[1]Affiliations!$K$2:$K$5328,0)</f>
        <v>Universidade de Brasília</v>
      </c>
      <c r="D1161">
        <v>23</v>
      </c>
      <c r="E1161">
        <v>566</v>
      </c>
      <c r="F1161">
        <v>24.608695999999998</v>
      </c>
      <c r="G1161">
        <v>19</v>
      </c>
      <c r="H1161">
        <v>1.21</v>
      </c>
      <c r="I1161">
        <v>0</v>
      </c>
      <c r="J1161">
        <v>6</v>
      </c>
      <c r="K1161">
        <v>10</v>
      </c>
      <c r="L1161">
        <v>15</v>
      </c>
      <c r="M1161">
        <v>21</v>
      </c>
      <c r="N1161">
        <v>23</v>
      </c>
      <c r="P1161">
        <v>0</v>
      </c>
      <c r="Q1161">
        <v>2</v>
      </c>
      <c r="R1161">
        <v>2</v>
      </c>
      <c r="S1161">
        <v>12</v>
      </c>
    </row>
    <row r="1162" spans="1:19" hidden="1" x14ac:dyDescent="0.35">
      <c r="A1162">
        <v>57222111689</v>
      </c>
      <c r="B1162" t="s">
        <v>1172</v>
      </c>
      <c r="C1162" t="str">
        <f>_xlfn.XLOOKUP(A1162,[1]Affiliations!$J$2:$J$5328,[1]Affiliations!$K$2:$K$5328,0)</f>
        <v>Universidade Federal do Ceará</v>
      </c>
      <c r="D1162">
        <v>6</v>
      </c>
      <c r="E1162">
        <v>47</v>
      </c>
      <c r="F1162">
        <v>7.8333335000000002</v>
      </c>
      <c r="G1162">
        <v>5</v>
      </c>
      <c r="H1162">
        <v>0.67</v>
      </c>
      <c r="I1162">
        <v>0</v>
      </c>
      <c r="J1162">
        <v>0</v>
      </c>
      <c r="K1162">
        <v>0</v>
      </c>
      <c r="L1162">
        <v>1</v>
      </c>
      <c r="M1162">
        <v>6</v>
      </c>
      <c r="N1162">
        <v>6</v>
      </c>
      <c r="P1162">
        <v>0</v>
      </c>
      <c r="Q1162">
        <v>0</v>
      </c>
      <c r="R1162">
        <v>1</v>
      </c>
      <c r="S1162">
        <v>2</v>
      </c>
    </row>
    <row r="1163" spans="1:19" hidden="1" x14ac:dyDescent="0.35">
      <c r="A1163">
        <v>57200619260</v>
      </c>
      <c r="B1163" t="s">
        <v>1173</v>
      </c>
      <c r="C1163" t="str">
        <f>_xlfn.XLOOKUP(A1163,[1]Affiliations!$J$2:$J$5328,[1]Affiliations!$K$2:$K$5328,0)</f>
        <v>Federal University of Rio de Janeiro</v>
      </c>
      <c r="D1163">
        <v>1</v>
      </c>
      <c r="E1163">
        <v>4</v>
      </c>
      <c r="F1163">
        <v>4</v>
      </c>
      <c r="G1163">
        <v>1</v>
      </c>
      <c r="H1163">
        <v>0.15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1</v>
      </c>
      <c r="P1163">
        <v>0</v>
      </c>
      <c r="Q1163">
        <v>0</v>
      </c>
      <c r="R1163">
        <v>0</v>
      </c>
      <c r="S1163">
        <v>0</v>
      </c>
    </row>
    <row r="1164" spans="1:19" hidden="1" x14ac:dyDescent="0.35">
      <c r="A1164">
        <v>57219027620</v>
      </c>
      <c r="B1164" t="s">
        <v>1174</v>
      </c>
      <c r="C1164" t="str">
        <f>_xlfn.XLOOKUP(A1164,[1]Affiliations!$J$2:$J$5328,[1]Affiliations!$K$2:$K$5328,0)</f>
        <v>Secretaria de Infraestrutura e Meio Ambiente do Estado de São Paulo</v>
      </c>
      <c r="D1164">
        <v>1</v>
      </c>
      <c r="E1164">
        <v>9</v>
      </c>
      <c r="F1164">
        <v>9</v>
      </c>
      <c r="G1164">
        <v>1</v>
      </c>
      <c r="H1164">
        <v>1.07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P1164">
        <v>0</v>
      </c>
      <c r="Q1164">
        <v>0</v>
      </c>
      <c r="R1164">
        <v>0</v>
      </c>
      <c r="S1164">
        <v>0</v>
      </c>
    </row>
    <row r="1165" spans="1:19" hidden="1" x14ac:dyDescent="0.35">
      <c r="A1165">
        <v>57545831700</v>
      </c>
      <c r="B1165" t="s">
        <v>1175</v>
      </c>
      <c r="C1165" t="str">
        <f>_xlfn.XLOOKUP(A1165,[1]Affiliations!$J$2:$J$5328,[1]Affiliations!$K$2:$K$5328,0)</f>
        <v>Federal University of Santa Catarina</v>
      </c>
      <c r="D1165">
        <v>1</v>
      </c>
      <c r="E1165">
        <v>14</v>
      </c>
      <c r="F1165">
        <v>14</v>
      </c>
      <c r="G1165">
        <v>1</v>
      </c>
      <c r="H1165">
        <v>0.81</v>
      </c>
      <c r="I1165">
        <v>0</v>
      </c>
      <c r="J1165">
        <v>1</v>
      </c>
      <c r="K1165">
        <v>1</v>
      </c>
      <c r="L1165">
        <v>1</v>
      </c>
      <c r="M1165">
        <v>1</v>
      </c>
      <c r="N1165">
        <v>1</v>
      </c>
      <c r="P1165">
        <v>0</v>
      </c>
      <c r="Q1165">
        <v>0</v>
      </c>
      <c r="R1165">
        <v>0</v>
      </c>
      <c r="S1165">
        <v>1</v>
      </c>
    </row>
    <row r="1166" spans="1:19" hidden="1" x14ac:dyDescent="0.35">
      <c r="A1166">
        <v>57223129788</v>
      </c>
      <c r="B1166" t="s">
        <v>1176</v>
      </c>
      <c r="C1166" t="str">
        <f>_xlfn.XLOOKUP(A1166,[1]Affiliations!$J$2:$J$5328,[1]Affiliations!$K$2:$K$5328,0)</f>
        <v>Vizlab - X-Reality and GeoInformatics Lab</v>
      </c>
      <c r="D1166">
        <v>1</v>
      </c>
      <c r="E1166">
        <v>8</v>
      </c>
      <c r="F1166">
        <v>8</v>
      </c>
      <c r="G1166">
        <v>1</v>
      </c>
      <c r="H1166">
        <v>0.51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1</v>
      </c>
      <c r="P1166">
        <v>0</v>
      </c>
      <c r="Q1166">
        <v>0</v>
      </c>
      <c r="R1166">
        <v>0</v>
      </c>
      <c r="S1166">
        <v>0</v>
      </c>
    </row>
    <row r="1167" spans="1:19" hidden="1" x14ac:dyDescent="0.35">
      <c r="A1167">
        <v>57092658300</v>
      </c>
      <c r="B1167" t="s">
        <v>1177</v>
      </c>
      <c r="C1167" t="str">
        <f>_xlfn.XLOOKUP(A1167,[1]Affiliations!$J$2:$J$5328,[1]Affiliations!$K$2:$K$5328,0)</f>
        <v>Universidade Federal Fluminense (+1 more)</v>
      </c>
      <c r="D1167">
        <v>4</v>
      </c>
      <c r="E1167">
        <v>12</v>
      </c>
      <c r="F1167">
        <v>3</v>
      </c>
      <c r="G1167">
        <v>2</v>
      </c>
      <c r="H1167">
        <v>0.83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2</v>
      </c>
      <c r="P1167">
        <v>0</v>
      </c>
      <c r="Q1167">
        <v>0</v>
      </c>
      <c r="R1167">
        <v>0</v>
      </c>
      <c r="S1167">
        <v>0</v>
      </c>
    </row>
    <row r="1168" spans="1:19" hidden="1" x14ac:dyDescent="0.35">
      <c r="A1168">
        <v>57214932559</v>
      </c>
      <c r="B1168" t="s">
        <v>1178</v>
      </c>
      <c r="C1168" t="str">
        <f>_xlfn.XLOOKUP(A1168,[1]Affiliations!$J$2:$J$5328,[1]Affiliations!$K$2:$K$5328,0)</f>
        <v>Universidade Federal de Uberlândia</v>
      </c>
      <c r="D1168">
        <v>4</v>
      </c>
      <c r="E1168">
        <v>11</v>
      </c>
      <c r="F1168">
        <v>2.75</v>
      </c>
      <c r="G1168">
        <v>3</v>
      </c>
      <c r="H1168">
        <v>0.31</v>
      </c>
      <c r="I1168">
        <v>0</v>
      </c>
      <c r="J1168">
        <v>1</v>
      </c>
      <c r="K1168">
        <v>2</v>
      </c>
      <c r="L1168">
        <v>2</v>
      </c>
      <c r="M1168">
        <v>2</v>
      </c>
      <c r="N1168">
        <v>3</v>
      </c>
      <c r="P1168">
        <v>0</v>
      </c>
      <c r="Q1168">
        <v>0</v>
      </c>
      <c r="R1168">
        <v>0</v>
      </c>
      <c r="S1168">
        <v>0</v>
      </c>
    </row>
    <row r="1169" spans="1:19" hidden="1" x14ac:dyDescent="0.35">
      <c r="A1169">
        <v>57200132936</v>
      </c>
      <c r="B1169" t="s">
        <v>1179</v>
      </c>
      <c r="C1169" t="str">
        <f>_xlfn.XLOOKUP(A1169,[1]Affiliations!$J$2:$J$5328,[1]Affiliations!$K$2:$K$5328,0)</f>
        <v>University of Campinas</v>
      </c>
      <c r="D1169">
        <v>3</v>
      </c>
      <c r="E1169">
        <v>14</v>
      </c>
      <c r="F1169">
        <v>4.6666664999999998</v>
      </c>
      <c r="G1169">
        <v>2</v>
      </c>
      <c r="H1169">
        <v>0.32</v>
      </c>
      <c r="I1169">
        <v>0</v>
      </c>
      <c r="J1169">
        <v>0</v>
      </c>
      <c r="K1169">
        <v>2</v>
      </c>
      <c r="L1169">
        <v>3</v>
      </c>
      <c r="M1169">
        <v>3</v>
      </c>
      <c r="N1169">
        <v>3</v>
      </c>
      <c r="P1169">
        <v>0</v>
      </c>
      <c r="Q1169">
        <v>0</v>
      </c>
      <c r="R1169">
        <v>0</v>
      </c>
      <c r="S1169">
        <v>0</v>
      </c>
    </row>
    <row r="1170" spans="1:19" hidden="1" x14ac:dyDescent="0.35">
      <c r="A1170">
        <v>57209279281</v>
      </c>
      <c r="B1170" t="s">
        <v>1180</v>
      </c>
      <c r="C1170" t="str">
        <f>_xlfn.XLOOKUP(A1170,[1]Affiliations!$J$2:$J$5328,[1]Affiliations!$K$2:$K$5328,0)</f>
        <v>Federal University of Rio de Janeiro</v>
      </c>
      <c r="D1170">
        <v>2</v>
      </c>
      <c r="E1170">
        <v>13</v>
      </c>
      <c r="F1170">
        <v>6.5</v>
      </c>
      <c r="G1170">
        <v>1</v>
      </c>
      <c r="H1170">
        <v>0.42</v>
      </c>
      <c r="I1170">
        <v>0</v>
      </c>
      <c r="J1170">
        <v>0</v>
      </c>
      <c r="K1170">
        <v>0</v>
      </c>
      <c r="L1170">
        <v>0</v>
      </c>
      <c r="M1170">
        <v>2</v>
      </c>
      <c r="N1170">
        <v>2</v>
      </c>
      <c r="P1170">
        <v>0</v>
      </c>
      <c r="Q1170">
        <v>0</v>
      </c>
      <c r="R1170">
        <v>0</v>
      </c>
      <c r="S1170">
        <v>0</v>
      </c>
    </row>
    <row r="1171" spans="1:19" hidden="1" x14ac:dyDescent="0.35">
      <c r="A1171">
        <v>57219418074</v>
      </c>
      <c r="B1171" t="s">
        <v>1181</v>
      </c>
      <c r="C1171" t="str">
        <f>_xlfn.XLOOKUP(A1171,[1]Affiliations!$J$2:$J$5328,[1]Affiliations!$K$2:$K$5328,0)</f>
        <v>Federal University of Rio de Janeiro</v>
      </c>
      <c r="D1171">
        <v>5</v>
      </c>
      <c r="E1171">
        <v>40</v>
      </c>
      <c r="F1171">
        <v>8</v>
      </c>
      <c r="G1171">
        <v>4</v>
      </c>
      <c r="H1171">
        <v>0.53</v>
      </c>
      <c r="I1171">
        <v>0</v>
      </c>
      <c r="J1171">
        <v>0</v>
      </c>
      <c r="K1171">
        <v>0</v>
      </c>
      <c r="L1171">
        <v>3</v>
      </c>
      <c r="M1171">
        <v>5</v>
      </c>
      <c r="N1171">
        <v>5</v>
      </c>
      <c r="P1171">
        <v>0</v>
      </c>
      <c r="Q1171">
        <v>0</v>
      </c>
      <c r="R1171">
        <v>0</v>
      </c>
      <c r="S1171">
        <v>0</v>
      </c>
    </row>
    <row r="1172" spans="1:19" x14ac:dyDescent="0.35">
      <c r="A1172">
        <v>55362149200</v>
      </c>
      <c r="B1172" t="s">
        <v>168</v>
      </c>
      <c r="C1172" t="str">
        <f>_xlfn.XLOOKUP(A1172,[1]Affiliations!$J$2:$J$5328,[1]Affiliations!$K$2:$K$5328,0)</f>
        <v>Federal University of Santa Catarina</v>
      </c>
      <c r="D1172">
        <v>38</v>
      </c>
      <c r="E1172">
        <v>1122</v>
      </c>
      <c r="F1172">
        <v>29.526316000000001</v>
      </c>
      <c r="G1172">
        <v>20</v>
      </c>
      <c r="H1172">
        <v>1.2</v>
      </c>
      <c r="I1172">
        <v>2</v>
      </c>
      <c r="J1172">
        <v>11</v>
      </c>
      <c r="K1172">
        <v>19</v>
      </c>
      <c r="L1172">
        <v>27</v>
      </c>
      <c r="M1172">
        <v>36</v>
      </c>
      <c r="N1172">
        <v>36</v>
      </c>
      <c r="P1172">
        <v>1</v>
      </c>
      <c r="Q1172">
        <v>9</v>
      </c>
      <c r="R1172">
        <v>14</v>
      </c>
      <c r="S1172">
        <v>26</v>
      </c>
    </row>
    <row r="1173" spans="1:19" hidden="1" x14ac:dyDescent="0.35">
      <c r="A1173">
        <v>57297170800</v>
      </c>
      <c r="B1173" t="s">
        <v>1183</v>
      </c>
      <c r="C1173" t="str">
        <f>_xlfn.XLOOKUP(A1173,[1]Affiliations!$J$2:$J$5328,[1]Affiliations!$K$2:$K$5328,0)</f>
        <v>Universidade de São Paulo</v>
      </c>
      <c r="D1173">
        <v>2</v>
      </c>
      <c r="E1173">
        <v>3</v>
      </c>
      <c r="F1173">
        <v>1.5</v>
      </c>
      <c r="G1173">
        <v>1</v>
      </c>
      <c r="H1173">
        <v>0.52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2</v>
      </c>
      <c r="P1173">
        <v>0</v>
      </c>
      <c r="Q1173">
        <v>0</v>
      </c>
      <c r="R1173">
        <v>0</v>
      </c>
      <c r="S1173">
        <v>0</v>
      </c>
    </row>
    <row r="1174" spans="1:19" hidden="1" x14ac:dyDescent="0.35">
      <c r="A1174">
        <v>57221519891</v>
      </c>
      <c r="B1174" t="s">
        <v>1184</v>
      </c>
      <c r="C1174" t="str">
        <f>_xlfn.XLOOKUP(A1174,[1]Affiliations!$J$2:$J$5328,[1]Affiliations!$K$2:$K$5328,0)</f>
        <v>Federal University of Rio de Janeiro</v>
      </c>
      <c r="D1174">
        <v>2</v>
      </c>
      <c r="E1174">
        <v>24</v>
      </c>
      <c r="F1174">
        <v>12</v>
      </c>
      <c r="G1174">
        <v>2</v>
      </c>
      <c r="H1174">
        <v>0.77</v>
      </c>
      <c r="I1174">
        <v>0</v>
      </c>
      <c r="J1174">
        <v>0</v>
      </c>
      <c r="K1174">
        <v>0</v>
      </c>
      <c r="L1174">
        <v>2</v>
      </c>
      <c r="M1174">
        <v>2</v>
      </c>
      <c r="N1174">
        <v>2</v>
      </c>
      <c r="P1174">
        <v>0</v>
      </c>
      <c r="Q1174">
        <v>0</v>
      </c>
      <c r="R1174">
        <v>0</v>
      </c>
      <c r="S1174">
        <v>0</v>
      </c>
    </row>
    <row r="1175" spans="1:19" hidden="1" x14ac:dyDescent="0.35">
      <c r="A1175">
        <v>57296216700</v>
      </c>
      <c r="B1175" t="s">
        <v>1185</v>
      </c>
      <c r="C1175" t="str">
        <f>_xlfn.XLOOKUP(A1175,[1]Affiliations!$J$2:$J$5328,[1]Affiliations!$K$2:$K$5328,0)</f>
        <v>Federal University of Rio de Janeiro</v>
      </c>
      <c r="D1175">
        <v>1</v>
      </c>
      <c r="E1175">
        <v>11</v>
      </c>
      <c r="F1175">
        <v>11</v>
      </c>
      <c r="G1175">
        <v>1</v>
      </c>
      <c r="H1175">
        <v>0.68</v>
      </c>
      <c r="I1175">
        <v>0</v>
      </c>
      <c r="J1175">
        <v>0</v>
      </c>
      <c r="K1175">
        <v>0</v>
      </c>
      <c r="L1175">
        <v>1</v>
      </c>
      <c r="M1175">
        <v>1</v>
      </c>
      <c r="N1175">
        <v>1</v>
      </c>
      <c r="P1175">
        <v>0</v>
      </c>
      <c r="Q1175">
        <v>0</v>
      </c>
      <c r="R1175">
        <v>0</v>
      </c>
      <c r="S1175">
        <v>0</v>
      </c>
    </row>
    <row r="1176" spans="1:19" hidden="1" x14ac:dyDescent="0.35">
      <c r="A1176">
        <v>23479410400</v>
      </c>
      <c r="B1176" t="s">
        <v>1186</v>
      </c>
      <c r="C1176" t="str">
        <f>_xlfn.XLOOKUP(A1176,[1]Affiliations!$J$2:$J$5328,[1]Affiliations!$K$2:$K$5328,0)</f>
        <v>Universidade Federal do Ceará</v>
      </c>
      <c r="D1176">
        <v>13</v>
      </c>
      <c r="E1176">
        <v>137</v>
      </c>
      <c r="F1176">
        <v>10.538462000000001</v>
      </c>
      <c r="G1176">
        <v>8</v>
      </c>
      <c r="H1176">
        <v>0.77</v>
      </c>
      <c r="I1176">
        <v>0</v>
      </c>
      <c r="J1176">
        <v>0</v>
      </c>
      <c r="K1176">
        <v>1</v>
      </c>
      <c r="L1176">
        <v>1</v>
      </c>
      <c r="M1176">
        <v>5</v>
      </c>
      <c r="N1176">
        <v>8</v>
      </c>
      <c r="P1176">
        <v>0</v>
      </c>
      <c r="Q1176">
        <v>0</v>
      </c>
      <c r="R1176">
        <v>0</v>
      </c>
      <c r="S1176">
        <v>3</v>
      </c>
    </row>
    <row r="1177" spans="1:19" hidden="1" x14ac:dyDescent="0.35">
      <c r="A1177">
        <v>57201401132</v>
      </c>
      <c r="B1177" t="s">
        <v>1187</v>
      </c>
      <c r="C1177" t="str">
        <f>_xlfn.XLOOKUP(A1177,[1]Affiliations!$J$2:$J$5328,[1]Affiliations!$K$2:$K$5328,0)</f>
        <v>IMC Saste</v>
      </c>
      <c r="D1177">
        <v>1</v>
      </c>
      <c r="E1177">
        <v>1</v>
      </c>
      <c r="F1177">
        <v>1</v>
      </c>
      <c r="G1177">
        <v>1</v>
      </c>
      <c r="H1177">
        <v>1.19</v>
      </c>
      <c r="P1177">
        <v>0</v>
      </c>
      <c r="Q1177">
        <v>0</v>
      </c>
      <c r="R1177">
        <v>0</v>
      </c>
      <c r="S1177">
        <v>0</v>
      </c>
    </row>
    <row r="1178" spans="1:19" hidden="1" x14ac:dyDescent="0.35">
      <c r="A1178">
        <v>60152907600</v>
      </c>
      <c r="B1178" t="s">
        <v>1188</v>
      </c>
      <c r="C1178" t="str">
        <f>_xlfn.XLOOKUP(A1178,[1]Affiliations!$J$2:$J$5328,[1]Affiliations!$K$2:$K$5328,0)</f>
        <v>Universidade Federal de Goiás</v>
      </c>
      <c r="D1178">
        <v>0</v>
      </c>
      <c r="G1178">
        <v>0</v>
      </c>
    </row>
    <row r="1179" spans="1:19" x14ac:dyDescent="0.35">
      <c r="A1179">
        <v>6602977166</v>
      </c>
      <c r="B1179" t="s">
        <v>1243</v>
      </c>
      <c r="C1179" t="str">
        <f>_xlfn.XLOOKUP(A1179,[1]Affiliations!$J$2:$J$5328,[1]Affiliations!$K$2:$K$5328,0)</f>
        <v>University of Campinas</v>
      </c>
      <c r="D1179">
        <v>48</v>
      </c>
      <c r="E1179">
        <v>1141</v>
      </c>
      <c r="F1179">
        <v>23.770834000000001</v>
      </c>
      <c r="G1179">
        <v>33</v>
      </c>
      <c r="H1179">
        <v>1.2</v>
      </c>
      <c r="I1179">
        <v>0</v>
      </c>
      <c r="J1179">
        <v>2</v>
      </c>
      <c r="K1179">
        <v>10</v>
      </c>
      <c r="L1179">
        <v>19</v>
      </c>
      <c r="M1179">
        <v>35</v>
      </c>
      <c r="N1179">
        <v>37</v>
      </c>
      <c r="P1179">
        <v>0</v>
      </c>
      <c r="Q1179">
        <v>6</v>
      </c>
      <c r="R1179">
        <v>10</v>
      </c>
      <c r="S1179">
        <v>20</v>
      </c>
    </row>
    <row r="1180" spans="1:19" x14ac:dyDescent="0.35">
      <c r="A1180">
        <v>16315755600</v>
      </c>
      <c r="B1180" t="s">
        <v>2510</v>
      </c>
      <c r="C1180" t="str">
        <f>_xlfn.XLOOKUP(A1180,[1]Affiliations!$J$2:$J$5328,[1]Affiliations!$K$2:$K$5328,0)</f>
        <v>Federal University of Rio de Janeiro</v>
      </c>
      <c r="D1180">
        <v>5</v>
      </c>
      <c r="E1180">
        <v>139</v>
      </c>
      <c r="F1180">
        <v>27.8</v>
      </c>
      <c r="G1180">
        <v>6</v>
      </c>
      <c r="H1180">
        <v>1.2</v>
      </c>
      <c r="I1180">
        <v>0</v>
      </c>
      <c r="J1180">
        <v>1</v>
      </c>
      <c r="K1180">
        <v>1</v>
      </c>
      <c r="L1180">
        <v>4</v>
      </c>
      <c r="M1180">
        <v>5</v>
      </c>
      <c r="N1180">
        <v>5</v>
      </c>
      <c r="P1180">
        <v>0</v>
      </c>
      <c r="Q1180">
        <v>0</v>
      </c>
      <c r="R1180">
        <v>1</v>
      </c>
      <c r="S1180">
        <v>2</v>
      </c>
    </row>
    <row r="1181" spans="1:19" hidden="1" x14ac:dyDescent="0.35">
      <c r="A1181">
        <v>57219901470</v>
      </c>
      <c r="B1181" t="s">
        <v>1191</v>
      </c>
      <c r="C1181" t="str">
        <f>_xlfn.XLOOKUP(A1181,[1]Affiliations!$J$2:$J$5328,[1]Affiliations!$K$2:$K$5328,0)</f>
        <v>Federal University of Rio de Janeiro</v>
      </c>
      <c r="D1181">
        <v>2</v>
      </c>
      <c r="E1181">
        <v>48</v>
      </c>
      <c r="F1181">
        <v>24</v>
      </c>
      <c r="G1181">
        <v>2</v>
      </c>
      <c r="H1181">
        <v>1.07</v>
      </c>
      <c r="I1181">
        <v>0</v>
      </c>
      <c r="J1181">
        <v>0</v>
      </c>
      <c r="K1181">
        <v>0</v>
      </c>
      <c r="L1181">
        <v>1</v>
      </c>
      <c r="M1181">
        <v>2</v>
      </c>
      <c r="N1181">
        <v>2</v>
      </c>
      <c r="P1181">
        <v>0</v>
      </c>
      <c r="Q1181">
        <v>0</v>
      </c>
      <c r="R1181">
        <v>0</v>
      </c>
      <c r="S1181">
        <v>2</v>
      </c>
    </row>
    <row r="1182" spans="1:19" hidden="1" x14ac:dyDescent="0.35">
      <c r="A1182">
        <v>13805766400</v>
      </c>
      <c r="B1182" t="s">
        <v>1192</v>
      </c>
      <c r="C1182" t="str">
        <f>_xlfn.XLOOKUP(A1182,[1]Affiliations!$J$2:$J$5328,[1]Affiliations!$K$2:$K$5328,0)</f>
        <v>DEMa</v>
      </c>
      <c r="D1182">
        <v>2</v>
      </c>
      <c r="E1182">
        <v>28</v>
      </c>
      <c r="F1182">
        <v>14</v>
      </c>
      <c r="G1182">
        <v>3</v>
      </c>
      <c r="H1182">
        <v>0.46</v>
      </c>
      <c r="I1182">
        <v>0</v>
      </c>
      <c r="J1182">
        <v>0</v>
      </c>
      <c r="K1182">
        <v>1</v>
      </c>
      <c r="L1182">
        <v>2</v>
      </c>
      <c r="M1182">
        <v>2</v>
      </c>
      <c r="N1182">
        <v>2</v>
      </c>
      <c r="P1182">
        <v>0</v>
      </c>
      <c r="Q1182">
        <v>0</v>
      </c>
      <c r="R1182">
        <v>0</v>
      </c>
      <c r="S1182">
        <v>1</v>
      </c>
    </row>
    <row r="1183" spans="1:19" hidden="1" x14ac:dyDescent="0.35">
      <c r="A1183">
        <v>60074639200</v>
      </c>
      <c r="B1183" t="s">
        <v>1193</v>
      </c>
      <c r="C1183" t="str">
        <f>_xlfn.XLOOKUP(A1183,[1]Affiliations!$J$2:$J$5328,[1]Affiliations!$K$2:$K$5328,0)</f>
        <v>Federal University of Rio de Janeiro</v>
      </c>
      <c r="D1183">
        <v>0</v>
      </c>
      <c r="G1183">
        <v>0</v>
      </c>
    </row>
    <row r="1184" spans="1:19" hidden="1" x14ac:dyDescent="0.35">
      <c r="A1184">
        <v>15727209200</v>
      </c>
      <c r="B1184" t="s">
        <v>1194</v>
      </c>
      <c r="C1184" t="str">
        <f>_xlfn.XLOOKUP(A1184,[1]Affiliations!$J$2:$J$5328,[1]Affiliations!$K$2:$K$5328,0)</f>
        <v>Universidade do Estado do Rio de Janeiro</v>
      </c>
      <c r="D1184">
        <v>1</v>
      </c>
      <c r="E1184">
        <v>13</v>
      </c>
      <c r="F1184">
        <v>13</v>
      </c>
      <c r="G1184">
        <v>2</v>
      </c>
      <c r="H1184">
        <v>1.92</v>
      </c>
      <c r="I1184">
        <v>0</v>
      </c>
      <c r="J1184">
        <v>0</v>
      </c>
      <c r="K1184">
        <v>1</v>
      </c>
      <c r="L1184">
        <v>1</v>
      </c>
      <c r="M1184">
        <v>1</v>
      </c>
      <c r="N1184">
        <v>1</v>
      </c>
      <c r="P1184">
        <v>0</v>
      </c>
      <c r="Q1184">
        <v>0</v>
      </c>
      <c r="R1184">
        <v>1</v>
      </c>
      <c r="S1184">
        <v>1</v>
      </c>
    </row>
    <row r="1185" spans="1:19" hidden="1" x14ac:dyDescent="0.35">
      <c r="A1185">
        <v>57216448011</v>
      </c>
      <c r="B1185" t="s">
        <v>1195</v>
      </c>
      <c r="C1185" t="str">
        <f>_xlfn.XLOOKUP(A1185,[1]Affiliations!$J$2:$J$5328,[1]Affiliations!$K$2:$K$5328,0)</f>
        <v>Federal University of Rio de Janeiro</v>
      </c>
      <c r="D1185">
        <v>2</v>
      </c>
      <c r="E1185">
        <v>6</v>
      </c>
      <c r="F1185">
        <v>3</v>
      </c>
      <c r="G1185">
        <v>2</v>
      </c>
      <c r="H1185">
        <v>1.79</v>
      </c>
      <c r="I1185">
        <v>0</v>
      </c>
      <c r="J1185">
        <v>0</v>
      </c>
      <c r="K1185">
        <v>0</v>
      </c>
      <c r="L1185">
        <v>1</v>
      </c>
      <c r="M1185">
        <v>1</v>
      </c>
      <c r="N1185">
        <v>2</v>
      </c>
      <c r="P1185">
        <v>0</v>
      </c>
      <c r="Q1185">
        <v>0</v>
      </c>
      <c r="R1185">
        <v>0</v>
      </c>
      <c r="S1185">
        <v>0</v>
      </c>
    </row>
    <row r="1186" spans="1:19" hidden="1" x14ac:dyDescent="0.35">
      <c r="A1186">
        <v>57216736521</v>
      </c>
      <c r="B1186" t="s">
        <v>1196</v>
      </c>
      <c r="C1186" t="str">
        <f>_xlfn.XLOOKUP(A1186,[1]Affiliations!$J$2:$J$5328,[1]Affiliations!$K$2:$K$5328,0)</f>
        <v>Universidade Federal do Piauí</v>
      </c>
      <c r="D1186">
        <v>8</v>
      </c>
      <c r="E1186">
        <v>62</v>
      </c>
      <c r="F1186">
        <v>7.75</v>
      </c>
      <c r="G1186">
        <v>5</v>
      </c>
      <c r="H1186">
        <v>0.51</v>
      </c>
      <c r="I1186">
        <v>0</v>
      </c>
      <c r="J1186">
        <v>1</v>
      </c>
      <c r="K1186">
        <v>1</v>
      </c>
      <c r="L1186">
        <v>1</v>
      </c>
      <c r="M1186">
        <v>7</v>
      </c>
      <c r="N1186">
        <v>7</v>
      </c>
      <c r="P1186">
        <v>0</v>
      </c>
      <c r="Q1186">
        <v>0</v>
      </c>
      <c r="R1186">
        <v>0</v>
      </c>
      <c r="S1186">
        <v>0</v>
      </c>
    </row>
    <row r="1187" spans="1:19" hidden="1" x14ac:dyDescent="0.35">
      <c r="A1187">
        <v>59160605700</v>
      </c>
      <c r="B1187" t="s">
        <v>1197</v>
      </c>
      <c r="C1187" t="str">
        <f>_xlfn.XLOOKUP(A1187,[1]Affiliations!$J$2:$J$5328,[1]Affiliations!$K$2:$K$5328,0)</f>
        <v>Federal University of Rio de Janeiro</v>
      </c>
      <c r="D1187">
        <v>1</v>
      </c>
      <c r="E1187">
        <v>1</v>
      </c>
      <c r="F1187">
        <v>1</v>
      </c>
      <c r="G1187">
        <v>1</v>
      </c>
      <c r="H1187">
        <v>0.13</v>
      </c>
      <c r="I1187">
        <v>0</v>
      </c>
      <c r="J1187">
        <v>0</v>
      </c>
      <c r="K1187">
        <v>1</v>
      </c>
      <c r="L1187">
        <v>1</v>
      </c>
      <c r="M1187">
        <v>1</v>
      </c>
      <c r="N1187">
        <v>1</v>
      </c>
      <c r="P1187">
        <v>0</v>
      </c>
      <c r="Q1187">
        <v>0</v>
      </c>
      <c r="R1187">
        <v>0</v>
      </c>
      <c r="S1187">
        <v>0</v>
      </c>
    </row>
    <row r="1188" spans="1:19" hidden="1" x14ac:dyDescent="0.35">
      <c r="A1188">
        <v>59420764300</v>
      </c>
      <c r="B1188" t="s">
        <v>1198</v>
      </c>
      <c r="C1188" t="str">
        <f>_xlfn.XLOOKUP(A1188,[1]Affiliations!$J$2:$J$5328,[1]Affiliations!$K$2:$K$5328,0)</f>
        <v>Federal University of Rio de Janeiro</v>
      </c>
      <c r="D1188">
        <v>1</v>
      </c>
      <c r="E1188">
        <v>1</v>
      </c>
      <c r="F1188">
        <v>1</v>
      </c>
      <c r="G1188">
        <v>1</v>
      </c>
      <c r="H1188">
        <v>1.39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5">
      <c r="A1189">
        <v>21734930800</v>
      </c>
      <c r="B1189" t="s">
        <v>2677</v>
      </c>
      <c r="C1189" t="str">
        <f>_xlfn.XLOOKUP(A1189,[1]Affiliations!$J$2:$J$5328,[1]Affiliations!$K$2:$K$5328,0)</f>
        <v>Universidade de São Paulo</v>
      </c>
      <c r="D1189">
        <v>111</v>
      </c>
      <c r="E1189">
        <v>2035</v>
      </c>
      <c r="F1189">
        <v>18.333334000000001</v>
      </c>
      <c r="G1189">
        <v>33</v>
      </c>
      <c r="H1189">
        <v>1.2</v>
      </c>
      <c r="I1189">
        <v>2</v>
      </c>
      <c r="J1189">
        <v>25</v>
      </c>
      <c r="K1189">
        <v>41</v>
      </c>
      <c r="L1189">
        <v>81</v>
      </c>
      <c r="M1189">
        <v>106</v>
      </c>
      <c r="N1189">
        <v>109</v>
      </c>
      <c r="P1189">
        <v>0</v>
      </c>
      <c r="Q1189">
        <v>6</v>
      </c>
      <c r="R1189">
        <v>14</v>
      </c>
      <c r="S1189">
        <v>50</v>
      </c>
    </row>
    <row r="1190" spans="1:19" hidden="1" x14ac:dyDescent="0.35">
      <c r="A1190">
        <v>56236796700</v>
      </c>
      <c r="B1190" t="s">
        <v>1200</v>
      </c>
      <c r="C1190" t="str">
        <f>_xlfn.XLOOKUP(A1190,[1]Affiliations!$J$2:$J$5328,[1]Affiliations!$K$2:$K$5328,0)</f>
        <v>Federal University of Rio de Janeiro</v>
      </c>
      <c r="D1190">
        <v>0</v>
      </c>
      <c r="G1190">
        <v>1</v>
      </c>
    </row>
    <row r="1191" spans="1:19" hidden="1" x14ac:dyDescent="0.35">
      <c r="A1191">
        <v>57212080183</v>
      </c>
      <c r="B1191" t="s">
        <v>1201</v>
      </c>
      <c r="C1191" t="str">
        <f>_xlfn.XLOOKUP(A1191,[1]Affiliations!$J$2:$J$5328,[1]Affiliations!$K$2:$K$5328,0)</f>
        <v>Centro Nacional de Pesquisa em Energia e Materiais</v>
      </c>
      <c r="D1191">
        <v>2</v>
      </c>
      <c r="E1191">
        <v>26</v>
      </c>
      <c r="F1191">
        <v>13</v>
      </c>
      <c r="G1191">
        <v>2</v>
      </c>
      <c r="H1191">
        <v>0.73</v>
      </c>
      <c r="I1191">
        <v>0</v>
      </c>
      <c r="J1191">
        <v>2</v>
      </c>
      <c r="K1191">
        <v>2</v>
      </c>
      <c r="L1191">
        <v>2</v>
      </c>
      <c r="M1191">
        <v>2</v>
      </c>
      <c r="N1191">
        <v>2</v>
      </c>
      <c r="P1191">
        <v>0</v>
      </c>
      <c r="Q1191">
        <v>0</v>
      </c>
      <c r="R1191">
        <v>0</v>
      </c>
      <c r="S1191">
        <v>1</v>
      </c>
    </row>
    <row r="1192" spans="1:19" x14ac:dyDescent="0.35">
      <c r="A1192">
        <v>56784282200</v>
      </c>
      <c r="B1192" t="s">
        <v>2929</v>
      </c>
      <c r="C1192" t="str">
        <f>_xlfn.XLOOKUP(A1192,[1]Affiliations!$J$2:$J$5328,[1]Affiliations!$K$2:$K$5328,0)</f>
        <v>Universidade Federal de Goiás</v>
      </c>
      <c r="D1192">
        <v>11</v>
      </c>
      <c r="E1192">
        <v>257</v>
      </c>
      <c r="F1192">
        <v>23.363636</v>
      </c>
      <c r="G1192">
        <v>9</v>
      </c>
      <c r="H1192">
        <v>1.2</v>
      </c>
      <c r="I1192">
        <v>0</v>
      </c>
      <c r="J1192">
        <v>2</v>
      </c>
      <c r="K1192">
        <v>3</v>
      </c>
      <c r="L1192">
        <v>5</v>
      </c>
      <c r="M1192">
        <v>10</v>
      </c>
      <c r="N1192">
        <v>11</v>
      </c>
      <c r="P1192">
        <v>0</v>
      </c>
      <c r="Q1192">
        <v>0</v>
      </c>
      <c r="R1192">
        <v>2</v>
      </c>
      <c r="S1192">
        <v>4</v>
      </c>
    </row>
    <row r="1193" spans="1:19" x14ac:dyDescent="0.35">
      <c r="A1193">
        <v>7005556622</v>
      </c>
      <c r="B1193" t="s">
        <v>3351</v>
      </c>
      <c r="C1193" t="str">
        <f>_xlfn.XLOOKUP(A1193,[1]Affiliations!$J$2:$J$5328,[1]Affiliations!$K$2:$K$5328,0)</f>
        <v>Federal University of Rio de Janeiro</v>
      </c>
      <c r="D1193">
        <v>26</v>
      </c>
      <c r="E1193">
        <v>712</v>
      </c>
      <c r="F1193">
        <v>27.384615</v>
      </c>
      <c r="G1193">
        <v>18</v>
      </c>
      <c r="H1193">
        <v>1.2</v>
      </c>
      <c r="I1193">
        <v>0</v>
      </c>
      <c r="J1193">
        <v>5</v>
      </c>
      <c r="K1193">
        <v>7</v>
      </c>
      <c r="L1193">
        <v>15</v>
      </c>
      <c r="M1193">
        <v>23</v>
      </c>
      <c r="N1193">
        <v>26</v>
      </c>
      <c r="P1193">
        <v>1</v>
      </c>
      <c r="Q1193">
        <v>1</v>
      </c>
      <c r="R1193">
        <v>4</v>
      </c>
      <c r="S1193">
        <v>11</v>
      </c>
    </row>
    <row r="1194" spans="1:19" hidden="1" x14ac:dyDescent="0.35">
      <c r="A1194">
        <v>57214799332</v>
      </c>
      <c r="B1194" t="s">
        <v>1204</v>
      </c>
      <c r="C1194" t="str">
        <f>_xlfn.XLOOKUP(A1194,[1]Affiliations!$J$2:$J$5328,[1]Affiliations!$K$2:$K$5328,0)</f>
        <v>Senai-SC (+2 more)</v>
      </c>
      <c r="D1194">
        <v>5</v>
      </c>
      <c r="E1194">
        <v>74</v>
      </c>
      <c r="F1194">
        <v>14.8</v>
      </c>
      <c r="G1194">
        <v>3</v>
      </c>
      <c r="H1194">
        <v>0.92</v>
      </c>
      <c r="I1194">
        <v>0</v>
      </c>
      <c r="J1194">
        <v>0</v>
      </c>
      <c r="K1194">
        <v>0</v>
      </c>
      <c r="L1194">
        <v>1</v>
      </c>
      <c r="M1194">
        <v>2</v>
      </c>
      <c r="N1194">
        <v>3</v>
      </c>
      <c r="P1194">
        <v>0</v>
      </c>
      <c r="Q1194">
        <v>0</v>
      </c>
      <c r="R1194">
        <v>1</v>
      </c>
      <c r="S1194">
        <v>1</v>
      </c>
    </row>
    <row r="1195" spans="1:19" x14ac:dyDescent="0.35">
      <c r="A1195">
        <v>15769964500</v>
      </c>
      <c r="B1195" t="s">
        <v>3460</v>
      </c>
      <c r="C1195" t="str">
        <f>_xlfn.XLOOKUP(A1195,[1]Affiliations!$J$2:$J$5328,[1]Affiliations!$K$2:$K$5328,0)</f>
        <v>Universidade Federal do Rio Grande do Sul</v>
      </c>
      <c r="D1195">
        <v>40</v>
      </c>
      <c r="E1195">
        <v>516</v>
      </c>
      <c r="F1195">
        <v>12.9</v>
      </c>
      <c r="G1195">
        <v>18</v>
      </c>
      <c r="H1195">
        <v>1.2</v>
      </c>
      <c r="I1195">
        <v>2</v>
      </c>
      <c r="J1195">
        <v>7</v>
      </c>
      <c r="K1195">
        <v>10</v>
      </c>
      <c r="L1195">
        <v>12</v>
      </c>
      <c r="M1195">
        <v>17</v>
      </c>
      <c r="N1195">
        <v>22</v>
      </c>
      <c r="P1195">
        <v>0</v>
      </c>
      <c r="Q1195">
        <v>1</v>
      </c>
      <c r="R1195">
        <v>1</v>
      </c>
      <c r="S1195">
        <v>16</v>
      </c>
    </row>
    <row r="1196" spans="1:19" hidden="1" x14ac:dyDescent="0.35">
      <c r="A1196">
        <v>57203411497</v>
      </c>
      <c r="B1196" t="s">
        <v>1206</v>
      </c>
      <c r="C1196" t="str">
        <f>_xlfn.XLOOKUP(A1196,[1]Affiliations!$J$2:$J$5328,[1]Affiliations!$K$2:$K$5328,0)</f>
        <v>SimWorx Engineering R and D</v>
      </c>
      <c r="D1196">
        <v>1</v>
      </c>
      <c r="E1196">
        <v>3</v>
      </c>
      <c r="F1196">
        <v>3</v>
      </c>
      <c r="G1196">
        <v>1</v>
      </c>
      <c r="H1196">
        <v>0.51</v>
      </c>
      <c r="P1196">
        <v>0</v>
      </c>
      <c r="Q1196">
        <v>0</v>
      </c>
      <c r="R1196">
        <v>0</v>
      </c>
      <c r="S1196">
        <v>0</v>
      </c>
    </row>
    <row r="1197" spans="1:19" hidden="1" x14ac:dyDescent="0.35">
      <c r="A1197">
        <v>57884050200</v>
      </c>
      <c r="B1197" t="s">
        <v>1207</v>
      </c>
      <c r="C1197" t="str">
        <f>_xlfn.XLOOKUP(A1197,[1]Affiliations!$J$2:$J$5328,[1]Affiliations!$K$2:$K$5328,0)</f>
        <v>Instituto SENAI de Inovação em Engenharia de Superfícies</v>
      </c>
      <c r="D1197">
        <v>3</v>
      </c>
      <c r="E1197">
        <v>16</v>
      </c>
      <c r="F1197">
        <v>5.3333335000000002</v>
      </c>
      <c r="G1197">
        <v>3</v>
      </c>
      <c r="H1197">
        <v>0.45</v>
      </c>
      <c r="I1197">
        <v>0</v>
      </c>
      <c r="J1197">
        <v>0</v>
      </c>
      <c r="K1197">
        <v>0</v>
      </c>
      <c r="L1197">
        <v>1</v>
      </c>
      <c r="M1197">
        <v>3</v>
      </c>
      <c r="N1197">
        <v>3</v>
      </c>
      <c r="P1197">
        <v>0</v>
      </c>
      <c r="Q1197">
        <v>0</v>
      </c>
      <c r="R1197">
        <v>0</v>
      </c>
      <c r="S1197">
        <v>0</v>
      </c>
    </row>
    <row r="1198" spans="1:19" hidden="1" x14ac:dyDescent="0.35">
      <c r="A1198">
        <v>59000530200</v>
      </c>
      <c r="B1198" t="s">
        <v>1208</v>
      </c>
      <c r="C1198" t="str">
        <f>_xlfn.XLOOKUP(A1198,[1]Affiliations!$J$2:$J$5328,[1]Affiliations!$K$2:$K$5328,0)</f>
        <v>VERDE ÁGUA SERVIÇOS DE APOIO LTDA</v>
      </c>
      <c r="D1198">
        <v>1</v>
      </c>
      <c r="E1198">
        <v>7</v>
      </c>
      <c r="F1198">
        <v>7</v>
      </c>
      <c r="G1198">
        <v>1</v>
      </c>
      <c r="H1198">
        <v>12.83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P1198">
        <v>0</v>
      </c>
      <c r="Q1198">
        <v>0</v>
      </c>
      <c r="R1198">
        <v>0</v>
      </c>
      <c r="S1198">
        <v>1</v>
      </c>
    </row>
    <row r="1199" spans="1:19" hidden="1" x14ac:dyDescent="0.35">
      <c r="A1199">
        <v>58908630500</v>
      </c>
      <c r="B1199" t="s">
        <v>1209</v>
      </c>
      <c r="C1199" t="str">
        <f>_xlfn.XLOOKUP(A1199,[1]Affiliations!$J$2:$J$5328,[1]Affiliations!$K$2:$K$5328,0)</f>
        <v>University of Campinas</v>
      </c>
      <c r="D1199">
        <v>1</v>
      </c>
      <c r="E1199">
        <v>2</v>
      </c>
      <c r="F1199">
        <v>2</v>
      </c>
      <c r="G1199">
        <v>1</v>
      </c>
      <c r="H1199">
        <v>0.24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1</v>
      </c>
      <c r="P1199">
        <v>0</v>
      </c>
      <c r="Q1199">
        <v>0</v>
      </c>
      <c r="R1199">
        <v>0</v>
      </c>
      <c r="S1199">
        <v>0</v>
      </c>
    </row>
    <row r="1200" spans="1:19" hidden="1" x14ac:dyDescent="0.35">
      <c r="A1200">
        <v>56680664900</v>
      </c>
      <c r="B1200" t="s">
        <v>1210</v>
      </c>
      <c r="C1200" t="str">
        <f>_xlfn.XLOOKUP(A1200,[1]Affiliations!$J$2:$J$5328,[1]Affiliations!$K$2:$K$5328,0)</f>
        <v>Universidade Federal do Rio Grande do Norte</v>
      </c>
      <c r="D1200">
        <v>7</v>
      </c>
      <c r="E1200">
        <v>21</v>
      </c>
      <c r="F1200">
        <v>3</v>
      </c>
      <c r="G1200">
        <v>3</v>
      </c>
      <c r="H1200">
        <v>0.17</v>
      </c>
      <c r="I1200">
        <v>0</v>
      </c>
      <c r="J1200">
        <v>0</v>
      </c>
      <c r="K1200">
        <v>0</v>
      </c>
      <c r="L1200">
        <v>1</v>
      </c>
      <c r="M1200">
        <v>2</v>
      </c>
      <c r="N1200">
        <v>2</v>
      </c>
      <c r="P1200">
        <v>0</v>
      </c>
      <c r="Q1200">
        <v>0</v>
      </c>
      <c r="R1200">
        <v>0</v>
      </c>
      <c r="S1200">
        <v>0</v>
      </c>
    </row>
    <row r="1201" spans="1:19" hidden="1" x14ac:dyDescent="0.35">
      <c r="A1201">
        <v>57196582194</v>
      </c>
      <c r="B1201" t="s">
        <v>1211</v>
      </c>
      <c r="C1201" t="str">
        <f>_xlfn.XLOOKUP(A1201,[1]Affiliations!$J$2:$J$5328,[1]Affiliations!$K$2:$K$5328,0)</f>
        <v>Universidade Federal da Bahia</v>
      </c>
      <c r="D1201">
        <v>4</v>
      </c>
      <c r="E1201">
        <v>69</v>
      </c>
      <c r="F1201">
        <v>17.25</v>
      </c>
      <c r="G1201">
        <v>2</v>
      </c>
      <c r="H1201">
        <v>0.77</v>
      </c>
      <c r="I1201">
        <v>0</v>
      </c>
      <c r="J1201">
        <v>0</v>
      </c>
      <c r="K1201">
        <v>1</v>
      </c>
      <c r="L1201">
        <v>2</v>
      </c>
      <c r="M1201">
        <v>2</v>
      </c>
      <c r="N1201">
        <v>2</v>
      </c>
      <c r="P1201">
        <v>0</v>
      </c>
      <c r="Q1201">
        <v>0</v>
      </c>
      <c r="R1201">
        <v>1</v>
      </c>
      <c r="S1201">
        <v>1</v>
      </c>
    </row>
    <row r="1202" spans="1:19" x14ac:dyDescent="0.35">
      <c r="A1202">
        <v>6701568165</v>
      </c>
      <c r="B1202" t="s">
        <v>3779</v>
      </c>
      <c r="C1202" t="str">
        <f>_xlfn.XLOOKUP(A1202,[1]Affiliations!$J$2:$J$5328,[1]Affiliations!$K$2:$K$5328,0)</f>
        <v>Universidade Federal de Minas Gerais</v>
      </c>
      <c r="D1202">
        <v>107</v>
      </c>
      <c r="E1202">
        <v>2364</v>
      </c>
      <c r="F1202">
        <v>22.093457999999998</v>
      </c>
      <c r="G1202">
        <v>40</v>
      </c>
      <c r="H1202">
        <v>1.2</v>
      </c>
      <c r="I1202">
        <v>14</v>
      </c>
      <c r="J1202">
        <v>35</v>
      </c>
      <c r="K1202">
        <v>57</v>
      </c>
      <c r="L1202">
        <v>72</v>
      </c>
      <c r="M1202">
        <v>82</v>
      </c>
      <c r="N1202">
        <v>92</v>
      </c>
      <c r="P1202">
        <v>1</v>
      </c>
      <c r="Q1202">
        <v>5</v>
      </c>
      <c r="R1202">
        <v>19</v>
      </c>
      <c r="S1202">
        <v>51</v>
      </c>
    </row>
    <row r="1203" spans="1:19" hidden="1" x14ac:dyDescent="0.35">
      <c r="A1203">
        <v>57202091290</v>
      </c>
      <c r="B1203" t="s">
        <v>1213</v>
      </c>
      <c r="C1203" t="str">
        <f>_xlfn.XLOOKUP(A1203,[1]Affiliations!$J$2:$J$5328,[1]Affiliations!$K$2:$K$5328,0)</f>
        <v>Universidade Federal de Minas Gerais</v>
      </c>
      <c r="D1203">
        <v>7</v>
      </c>
      <c r="E1203">
        <v>57</v>
      </c>
      <c r="F1203">
        <v>8.1428580000000004</v>
      </c>
      <c r="G1203">
        <v>4</v>
      </c>
      <c r="H1203">
        <v>0.24</v>
      </c>
      <c r="I1203">
        <v>0</v>
      </c>
      <c r="J1203">
        <v>0</v>
      </c>
      <c r="K1203">
        <v>0</v>
      </c>
      <c r="L1203">
        <v>2</v>
      </c>
      <c r="M1203">
        <v>5</v>
      </c>
      <c r="N1203">
        <v>5</v>
      </c>
      <c r="P1203">
        <v>0</v>
      </c>
      <c r="Q1203">
        <v>0</v>
      </c>
      <c r="R1203">
        <v>0</v>
      </c>
      <c r="S1203">
        <v>1</v>
      </c>
    </row>
    <row r="1204" spans="1:19" hidden="1" x14ac:dyDescent="0.35">
      <c r="A1204">
        <v>57879233600</v>
      </c>
      <c r="B1204" t="s">
        <v>1214</v>
      </c>
      <c r="C1204" t="str">
        <f>_xlfn.XLOOKUP(A1204,[1]Affiliations!$J$2:$J$5328,[1]Affiliations!$K$2:$K$5328,0)</f>
        <v>Universidade Federal do Rio Grande do Sul</v>
      </c>
      <c r="D1204">
        <v>1</v>
      </c>
      <c r="E1204">
        <v>4</v>
      </c>
      <c r="F1204">
        <v>4</v>
      </c>
      <c r="G1204">
        <v>1</v>
      </c>
      <c r="H1204">
        <v>0.39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1</v>
      </c>
      <c r="P1204">
        <v>0</v>
      </c>
      <c r="Q1204">
        <v>0</v>
      </c>
      <c r="R1204">
        <v>0</v>
      </c>
      <c r="S1204">
        <v>0</v>
      </c>
    </row>
    <row r="1205" spans="1:19" hidden="1" x14ac:dyDescent="0.35">
      <c r="A1205">
        <v>55917737000</v>
      </c>
      <c r="B1205" t="s">
        <v>1215</v>
      </c>
      <c r="C1205" t="str">
        <f>_xlfn.XLOOKUP(A1205,[1]Affiliations!$J$2:$J$5328,[1]Affiliations!$K$2:$K$5328,0)</f>
        <v>Universidade Federal do Rio Grande do Sul (+1 more)</v>
      </c>
      <c r="D1205">
        <v>2</v>
      </c>
      <c r="E1205">
        <v>13</v>
      </c>
      <c r="F1205">
        <v>6.5</v>
      </c>
      <c r="G1205">
        <v>3</v>
      </c>
      <c r="H1205">
        <v>0.21</v>
      </c>
      <c r="I1205">
        <v>0</v>
      </c>
      <c r="J1205">
        <v>0</v>
      </c>
      <c r="K1205">
        <v>0</v>
      </c>
      <c r="L1205">
        <v>1</v>
      </c>
      <c r="M1205">
        <v>1</v>
      </c>
      <c r="N1205">
        <v>1</v>
      </c>
      <c r="P1205">
        <v>0</v>
      </c>
      <c r="Q1205">
        <v>0</v>
      </c>
      <c r="R1205">
        <v>0</v>
      </c>
      <c r="S1205">
        <v>0</v>
      </c>
    </row>
    <row r="1206" spans="1:19" hidden="1" x14ac:dyDescent="0.35">
      <c r="A1206">
        <v>58660931200</v>
      </c>
      <c r="B1206" t="s">
        <v>1216</v>
      </c>
      <c r="C1206" t="str">
        <f>_xlfn.XLOOKUP(A1206,[1]Affiliations!$J$2:$J$5328,[1]Affiliations!$K$2:$K$5328,0)</f>
        <v>Federal University of Rio de Janeiro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0</v>
      </c>
      <c r="Q1206">
        <v>0</v>
      </c>
      <c r="R1206">
        <v>0</v>
      </c>
      <c r="S1206">
        <v>0</v>
      </c>
    </row>
    <row r="1207" spans="1:19" hidden="1" x14ac:dyDescent="0.35">
      <c r="A1207">
        <v>57207733246</v>
      </c>
      <c r="B1207" t="s">
        <v>1217</v>
      </c>
      <c r="C1207" t="str">
        <f>_xlfn.XLOOKUP(A1207,[1]Affiliations!$J$2:$J$5328,[1]Affiliations!$K$2:$K$5328,0)</f>
        <v>Universidade Federal do Rio Grande do Norte</v>
      </c>
      <c r="D1207">
        <v>21</v>
      </c>
      <c r="E1207">
        <v>227</v>
      </c>
      <c r="F1207">
        <v>10.809524</v>
      </c>
      <c r="G1207">
        <v>10</v>
      </c>
      <c r="H1207">
        <v>0.55000000000000004</v>
      </c>
      <c r="I1207">
        <v>0</v>
      </c>
      <c r="J1207">
        <v>2</v>
      </c>
      <c r="K1207">
        <v>5</v>
      </c>
      <c r="L1207">
        <v>15</v>
      </c>
      <c r="M1207">
        <v>19</v>
      </c>
      <c r="N1207">
        <v>21</v>
      </c>
      <c r="P1207">
        <v>0</v>
      </c>
      <c r="Q1207">
        <v>0</v>
      </c>
      <c r="R1207">
        <v>0</v>
      </c>
      <c r="S1207">
        <v>9</v>
      </c>
    </row>
    <row r="1208" spans="1:19" hidden="1" x14ac:dyDescent="0.35">
      <c r="A1208">
        <v>58010476900</v>
      </c>
      <c r="B1208" t="s">
        <v>1218</v>
      </c>
      <c r="C1208" t="str">
        <f>_xlfn.XLOOKUP(A1208,[1]Affiliations!$J$2:$J$5328,[1]Affiliations!$K$2:$K$5328,0)</f>
        <v>Federal University of Rio de Janeiro</v>
      </c>
      <c r="D1208">
        <v>3</v>
      </c>
      <c r="E1208">
        <v>8</v>
      </c>
      <c r="F1208">
        <v>2.6666666999999999</v>
      </c>
      <c r="G1208">
        <v>2</v>
      </c>
      <c r="H1208">
        <v>0.16</v>
      </c>
      <c r="I1208">
        <v>0</v>
      </c>
      <c r="J1208">
        <v>0</v>
      </c>
      <c r="K1208">
        <v>0</v>
      </c>
      <c r="L1208">
        <v>1</v>
      </c>
      <c r="M1208">
        <v>1</v>
      </c>
      <c r="N1208">
        <v>2</v>
      </c>
      <c r="P1208">
        <v>0</v>
      </c>
      <c r="Q1208">
        <v>0</v>
      </c>
      <c r="R1208">
        <v>0</v>
      </c>
      <c r="S1208">
        <v>0</v>
      </c>
    </row>
    <row r="1209" spans="1:19" x14ac:dyDescent="0.35">
      <c r="A1209">
        <v>8068368400</v>
      </c>
      <c r="B1209" t="s">
        <v>4369</v>
      </c>
      <c r="C1209" t="str">
        <f>_xlfn.XLOOKUP(A1209,[1]Affiliations!$J$2:$J$5328,[1]Affiliations!$K$2:$K$5328,0)</f>
        <v>Centro Nacional de Pesquisa em Energia e Materiais</v>
      </c>
      <c r="D1209">
        <v>36</v>
      </c>
      <c r="E1209">
        <v>1124</v>
      </c>
      <c r="F1209">
        <v>31.222221000000001</v>
      </c>
      <c r="G1209">
        <v>29</v>
      </c>
      <c r="H1209">
        <v>1.2</v>
      </c>
      <c r="I1209">
        <v>3</v>
      </c>
      <c r="J1209">
        <v>5</v>
      </c>
      <c r="K1209">
        <v>11</v>
      </c>
      <c r="L1209">
        <v>26</v>
      </c>
      <c r="M1209">
        <v>34</v>
      </c>
      <c r="N1209">
        <v>36</v>
      </c>
      <c r="P1209">
        <v>1</v>
      </c>
      <c r="Q1209">
        <v>1</v>
      </c>
      <c r="R1209">
        <v>5</v>
      </c>
      <c r="S1209">
        <v>16</v>
      </c>
    </row>
    <row r="1210" spans="1:19" x14ac:dyDescent="0.35">
      <c r="A1210">
        <v>57203282348</v>
      </c>
      <c r="B1210" t="s">
        <v>4500</v>
      </c>
      <c r="C1210" t="str">
        <f>_xlfn.XLOOKUP(A1210,[1]Affiliations!$J$2:$J$5328,[1]Affiliations!$K$2:$K$5328,0)</f>
        <v>Núcleo de Estudo em Sistemas Coloidais (NUESC) / Instituto de Tecnologia e Pesquisa (ITP) (+1 more)</v>
      </c>
      <c r="D1210">
        <v>14</v>
      </c>
      <c r="E1210">
        <v>392</v>
      </c>
      <c r="F1210">
        <v>28</v>
      </c>
      <c r="G1210">
        <v>9</v>
      </c>
      <c r="H1210">
        <v>1.2</v>
      </c>
      <c r="I1210">
        <v>0</v>
      </c>
      <c r="J1210">
        <v>1</v>
      </c>
      <c r="K1210">
        <v>6</v>
      </c>
      <c r="L1210">
        <v>10</v>
      </c>
      <c r="M1210">
        <v>13</v>
      </c>
      <c r="N1210">
        <v>13</v>
      </c>
      <c r="P1210">
        <v>0</v>
      </c>
      <c r="Q1210">
        <v>2</v>
      </c>
      <c r="R1210">
        <v>3</v>
      </c>
      <c r="S1210">
        <v>7</v>
      </c>
    </row>
    <row r="1211" spans="1:19" hidden="1" x14ac:dyDescent="0.35">
      <c r="A1211">
        <v>36463303300</v>
      </c>
      <c r="B1211" t="s">
        <v>1221</v>
      </c>
      <c r="C1211" t="str">
        <f>_xlfn.XLOOKUP(A1211,[1]Affiliations!$J$2:$J$5328,[1]Affiliations!$K$2:$K$5328,0)</f>
        <v>Universidade Tiradentes</v>
      </c>
      <c r="D1211">
        <v>0</v>
      </c>
      <c r="G1211">
        <v>2</v>
      </c>
    </row>
    <row r="1212" spans="1:19" hidden="1" x14ac:dyDescent="0.35">
      <c r="A1212">
        <v>57203413394</v>
      </c>
      <c r="B1212" t="s">
        <v>1222</v>
      </c>
      <c r="C1212" t="str">
        <f>_xlfn.XLOOKUP(A1212,[1]Affiliations!$J$2:$J$5328,[1]Affiliations!$K$2:$K$5328,0)</f>
        <v>Engineering Simulation and Scientific Software (ESSS) (+2 more)</v>
      </c>
      <c r="D1212">
        <v>11</v>
      </c>
      <c r="E1212">
        <v>21</v>
      </c>
      <c r="F1212">
        <v>1.9090909</v>
      </c>
      <c r="G1212">
        <v>3</v>
      </c>
      <c r="H1212">
        <v>0.67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3</v>
      </c>
      <c r="P1212">
        <v>0</v>
      </c>
      <c r="Q1212">
        <v>0</v>
      </c>
      <c r="R1212">
        <v>0</v>
      </c>
      <c r="S1212">
        <v>0</v>
      </c>
    </row>
    <row r="1213" spans="1:19" hidden="1" x14ac:dyDescent="0.35">
      <c r="A1213">
        <v>57194605892</v>
      </c>
      <c r="B1213" t="s">
        <v>1223</v>
      </c>
      <c r="C1213" t="str">
        <f>_xlfn.XLOOKUP(A1213,[1]Affiliations!$J$2:$J$5328,[1]Affiliations!$K$2:$K$5328,0)</f>
        <v>Federal University of Santa Catarina</v>
      </c>
      <c r="D1213">
        <v>3</v>
      </c>
      <c r="E1213">
        <v>42</v>
      </c>
      <c r="F1213">
        <v>14</v>
      </c>
      <c r="G1213">
        <v>2</v>
      </c>
      <c r="H1213">
        <v>0.18</v>
      </c>
      <c r="I1213">
        <v>0</v>
      </c>
      <c r="J1213">
        <v>0</v>
      </c>
      <c r="K1213">
        <v>2</v>
      </c>
      <c r="L1213">
        <v>2</v>
      </c>
      <c r="M1213">
        <v>2</v>
      </c>
      <c r="N1213">
        <v>3</v>
      </c>
      <c r="P1213">
        <v>0</v>
      </c>
      <c r="Q1213">
        <v>0</v>
      </c>
      <c r="R1213">
        <v>0</v>
      </c>
      <c r="S1213">
        <v>1</v>
      </c>
    </row>
    <row r="1214" spans="1:19" hidden="1" x14ac:dyDescent="0.35">
      <c r="A1214">
        <v>57209134048</v>
      </c>
      <c r="B1214" t="s">
        <v>1224</v>
      </c>
      <c r="C1214" t="str">
        <f>_xlfn.XLOOKUP(A1214,[1]Affiliations!$J$2:$J$5328,[1]Affiliations!$K$2:$K$5328,0)</f>
        <v>Universidade Federal do Rio Grande do Norte</v>
      </c>
      <c r="D1214">
        <v>1</v>
      </c>
      <c r="E1214">
        <v>3</v>
      </c>
      <c r="F1214">
        <v>3</v>
      </c>
      <c r="G1214">
        <v>1</v>
      </c>
      <c r="H1214">
        <v>1.0900000000000001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0</v>
      </c>
      <c r="Q1214">
        <v>0</v>
      </c>
      <c r="R1214">
        <v>0</v>
      </c>
      <c r="S1214">
        <v>0</v>
      </c>
    </row>
    <row r="1215" spans="1:19" hidden="1" x14ac:dyDescent="0.35">
      <c r="A1215">
        <v>57219551336</v>
      </c>
      <c r="B1215" t="s">
        <v>1225</v>
      </c>
      <c r="C1215" t="str">
        <f>_xlfn.XLOOKUP(A1215,[1]Affiliations!$J$2:$J$5328,[1]Affiliations!$K$2:$K$5328,0)</f>
        <v>Federal University of Rio de Janeiro</v>
      </c>
      <c r="D1215">
        <v>5</v>
      </c>
      <c r="E1215">
        <v>35</v>
      </c>
      <c r="F1215">
        <v>7</v>
      </c>
      <c r="G1215">
        <v>4</v>
      </c>
      <c r="H1215">
        <v>0.4</v>
      </c>
      <c r="I1215">
        <v>0</v>
      </c>
      <c r="J1215">
        <v>0</v>
      </c>
      <c r="K1215">
        <v>1</v>
      </c>
      <c r="L1215">
        <v>3</v>
      </c>
      <c r="M1215">
        <v>4</v>
      </c>
      <c r="N1215">
        <v>5</v>
      </c>
      <c r="P1215">
        <v>0</v>
      </c>
      <c r="Q1215">
        <v>0</v>
      </c>
      <c r="R1215">
        <v>0</v>
      </c>
      <c r="S1215">
        <v>0</v>
      </c>
    </row>
    <row r="1216" spans="1:19" hidden="1" x14ac:dyDescent="0.35">
      <c r="A1216">
        <v>58345088600</v>
      </c>
      <c r="B1216" t="s">
        <v>1226</v>
      </c>
      <c r="C1216" t="str">
        <f>_xlfn.XLOOKUP(A1216,[1]Affiliations!$J$2:$J$5328,[1]Affiliations!$K$2:$K$5328,0)</f>
        <v>Universidade Federal do Rio Grande do Sul</v>
      </c>
      <c r="D1216">
        <v>1</v>
      </c>
      <c r="E1216">
        <v>5</v>
      </c>
      <c r="F1216">
        <v>5</v>
      </c>
      <c r="G1216">
        <v>1</v>
      </c>
      <c r="H1216">
        <v>0.51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1</v>
      </c>
      <c r="P1216">
        <v>0</v>
      </c>
      <c r="Q1216">
        <v>0</v>
      </c>
      <c r="R1216">
        <v>0</v>
      </c>
      <c r="S1216">
        <v>0</v>
      </c>
    </row>
    <row r="1217" spans="1:19" x14ac:dyDescent="0.35">
      <c r="A1217">
        <v>7003785441</v>
      </c>
      <c r="B1217" t="s">
        <v>4884</v>
      </c>
      <c r="C1217" t="str">
        <f>_xlfn.XLOOKUP(A1217,[1]Affiliations!$J$2:$J$5328,[1]Affiliations!$K$2:$K$5328,0)</f>
        <v>Federal University of Rio de Janeiro</v>
      </c>
      <c r="D1217">
        <v>22</v>
      </c>
      <c r="E1217">
        <v>466</v>
      </c>
      <c r="F1217">
        <v>21.181818</v>
      </c>
      <c r="G1217">
        <v>17</v>
      </c>
      <c r="H1217">
        <v>1.2</v>
      </c>
      <c r="I1217">
        <v>0</v>
      </c>
      <c r="J1217">
        <v>0</v>
      </c>
      <c r="K1217">
        <v>3</v>
      </c>
      <c r="L1217">
        <v>14</v>
      </c>
      <c r="M1217">
        <v>17</v>
      </c>
      <c r="N1217">
        <v>20</v>
      </c>
      <c r="P1217">
        <v>0</v>
      </c>
      <c r="Q1217">
        <v>0</v>
      </c>
      <c r="R1217">
        <v>2</v>
      </c>
      <c r="S1217">
        <v>10</v>
      </c>
    </row>
    <row r="1218" spans="1:19" x14ac:dyDescent="0.35">
      <c r="A1218">
        <v>57201944834</v>
      </c>
      <c r="B1218" t="s">
        <v>5244</v>
      </c>
      <c r="C1218" t="str">
        <f>_xlfn.XLOOKUP(A1218,[1]Affiliations!$J$2:$J$5328,[1]Affiliations!$K$2:$K$5328,0)</f>
        <v>Universidade de São Paulo</v>
      </c>
      <c r="D1218">
        <v>7</v>
      </c>
      <c r="E1218">
        <v>197</v>
      </c>
      <c r="F1218">
        <v>28.142856999999999</v>
      </c>
      <c r="G1218">
        <v>5</v>
      </c>
      <c r="H1218">
        <v>1.2</v>
      </c>
      <c r="I1218">
        <v>0</v>
      </c>
      <c r="J1218">
        <v>2</v>
      </c>
      <c r="K1218">
        <v>4</v>
      </c>
      <c r="L1218">
        <v>6</v>
      </c>
      <c r="M1218">
        <v>6</v>
      </c>
      <c r="N1218">
        <v>6</v>
      </c>
      <c r="P1218">
        <v>0</v>
      </c>
      <c r="Q1218">
        <v>1</v>
      </c>
      <c r="R1218">
        <v>3</v>
      </c>
      <c r="S1218">
        <v>4</v>
      </c>
    </row>
    <row r="1219" spans="1:19" hidden="1" x14ac:dyDescent="0.35">
      <c r="A1219">
        <v>59130289800</v>
      </c>
      <c r="B1219" t="s">
        <v>1229</v>
      </c>
      <c r="C1219" t="str">
        <f>_xlfn.XLOOKUP(A1219,[1]Affiliations!$J$2:$J$5328,[1]Affiliations!$K$2:$K$5328,0)</f>
        <v>Universidade do Estado do Rio de Janeiro</v>
      </c>
      <c r="D1219">
        <v>0</v>
      </c>
      <c r="G1219">
        <v>3</v>
      </c>
    </row>
    <row r="1220" spans="1:19" hidden="1" x14ac:dyDescent="0.35">
      <c r="A1220">
        <v>15021984100</v>
      </c>
      <c r="B1220" t="s">
        <v>1230</v>
      </c>
      <c r="C1220" t="str">
        <f>_xlfn.XLOOKUP(A1220,[1]Affiliations!$J$2:$J$5328,[1]Affiliations!$K$2:$K$5328,0)</f>
        <v>Universidade Federal Do Estado Do Rio de Janeiro (Unirio)</v>
      </c>
      <c r="D1220">
        <v>7</v>
      </c>
      <c r="E1220">
        <v>14</v>
      </c>
      <c r="F1220">
        <v>2</v>
      </c>
      <c r="G1220">
        <v>3</v>
      </c>
      <c r="H1220">
        <v>0.35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1</v>
      </c>
      <c r="P1220">
        <v>0</v>
      </c>
      <c r="Q1220">
        <v>0</v>
      </c>
      <c r="R1220">
        <v>0</v>
      </c>
      <c r="S1220">
        <v>0</v>
      </c>
    </row>
    <row r="1221" spans="1:19" hidden="1" x14ac:dyDescent="0.35">
      <c r="A1221">
        <v>57542532100</v>
      </c>
      <c r="B1221" t="s">
        <v>1231</v>
      </c>
      <c r="C1221" t="str">
        <f>_xlfn.XLOOKUP(A1221,[1]Affiliations!$J$2:$J$5328,[1]Affiliations!$K$2:$K$5328,0)</f>
        <v>Pontifical Catholic University of Rio de Janeiro</v>
      </c>
      <c r="D1221">
        <v>4</v>
      </c>
      <c r="E1221">
        <v>50</v>
      </c>
      <c r="F1221">
        <v>12.5</v>
      </c>
      <c r="G1221">
        <v>4</v>
      </c>
      <c r="H1221">
        <v>0.89</v>
      </c>
      <c r="I1221">
        <v>0</v>
      </c>
      <c r="J1221">
        <v>1</v>
      </c>
      <c r="K1221">
        <v>1</v>
      </c>
      <c r="L1221">
        <v>1</v>
      </c>
      <c r="M1221">
        <v>4</v>
      </c>
      <c r="N1221">
        <v>4</v>
      </c>
      <c r="P1221">
        <v>0</v>
      </c>
      <c r="Q1221">
        <v>1</v>
      </c>
      <c r="R1221">
        <v>2</v>
      </c>
      <c r="S1221">
        <v>2</v>
      </c>
    </row>
    <row r="1222" spans="1:19" hidden="1" x14ac:dyDescent="0.35">
      <c r="A1222">
        <v>57218286932</v>
      </c>
      <c r="B1222" t="s">
        <v>1232</v>
      </c>
      <c r="C1222" t="str">
        <f>_xlfn.XLOOKUP(A1222,[1]Affiliations!$J$2:$J$5328,[1]Affiliations!$K$2:$K$5328,0)</f>
        <v>University of Campinas (+1 more)</v>
      </c>
      <c r="D1222">
        <v>4</v>
      </c>
      <c r="E1222">
        <v>59</v>
      </c>
      <c r="F1222">
        <v>14.75</v>
      </c>
      <c r="G1222">
        <v>3</v>
      </c>
      <c r="H1222">
        <v>0.98</v>
      </c>
      <c r="I1222">
        <v>1</v>
      </c>
      <c r="J1222">
        <v>3</v>
      </c>
      <c r="K1222">
        <v>3</v>
      </c>
      <c r="L1222">
        <v>3</v>
      </c>
      <c r="M1222">
        <v>3</v>
      </c>
      <c r="N1222">
        <v>3</v>
      </c>
      <c r="P1222">
        <v>0</v>
      </c>
      <c r="Q1222">
        <v>0</v>
      </c>
      <c r="R1222">
        <v>0</v>
      </c>
      <c r="S1222">
        <v>2</v>
      </c>
    </row>
    <row r="1223" spans="1:19" x14ac:dyDescent="0.35">
      <c r="A1223">
        <v>13807405000</v>
      </c>
      <c r="B1223" t="s">
        <v>1370</v>
      </c>
      <c r="C1223" t="str">
        <f>_xlfn.XLOOKUP(A1223,[1]Affiliations!$J$2:$J$5328,[1]Affiliations!$K$2:$K$5328,0)</f>
        <v>Empresa Brasileira de Pesquisa Agropecuária</v>
      </c>
      <c r="D1223">
        <v>30</v>
      </c>
      <c r="E1223">
        <v>761</v>
      </c>
      <c r="F1223">
        <v>25.366667</v>
      </c>
      <c r="G1223">
        <v>24</v>
      </c>
      <c r="H1223">
        <v>1.19</v>
      </c>
      <c r="I1223">
        <v>0</v>
      </c>
      <c r="J1223">
        <v>1</v>
      </c>
      <c r="K1223">
        <v>2</v>
      </c>
      <c r="L1223">
        <v>9</v>
      </c>
      <c r="M1223">
        <v>22</v>
      </c>
      <c r="N1223">
        <v>25</v>
      </c>
      <c r="P1223">
        <v>1</v>
      </c>
      <c r="Q1223">
        <v>1</v>
      </c>
      <c r="R1223">
        <v>4</v>
      </c>
      <c r="S1223">
        <v>15</v>
      </c>
    </row>
    <row r="1224" spans="1:19" hidden="1" x14ac:dyDescent="0.35">
      <c r="A1224">
        <v>60029449700</v>
      </c>
      <c r="B1224" t="s">
        <v>1234</v>
      </c>
      <c r="C1224" t="str">
        <f>_xlfn.XLOOKUP(A1224,[1]Affiliations!$J$2:$J$5328,[1]Affiliations!$K$2:$K$5328,0)</f>
        <v>Universidade Federal de Alagoas</v>
      </c>
      <c r="D1224">
        <v>0</v>
      </c>
      <c r="G1224">
        <v>1</v>
      </c>
    </row>
    <row r="1225" spans="1:19" hidden="1" x14ac:dyDescent="0.35">
      <c r="A1225">
        <v>57203009185</v>
      </c>
      <c r="B1225" t="s">
        <v>1235</v>
      </c>
      <c r="C1225" t="str">
        <f>_xlfn.XLOOKUP(A1225,[1]Affiliations!$J$2:$J$5328,[1]Affiliations!$K$2:$K$5328,0)</f>
        <v>Universidade Federal de Campina Grande</v>
      </c>
      <c r="D1225">
        <v>1</v>
      </c>
      <c r="E1225">
        <v>13</v>
      </c>
      <c r="F1225">
        <v>13</v>
      </c>
      <c r="G1225">
        <v>1</v>
      </c>
      <c r="H1225">
        <v>0.68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1</v>
      </c>
      <c r="P1225">
        <v>0</v>
      </c>
      <c r="Q1225">
        <v>0</v>
      </c>
      <c r="R1225">
        <v>0</v>
      </c>
      <c r="S1225">
        <v>0</v>
      </c>
    </row>
    <row r="1226" spans="1:19" hidden="1" x14ac:dyDescent="0.35">
      <c r="A1226">
        <v>58126313300</v>
      </c>
      <c r="B1226" t="s">
        <v>1236</v>
      </c>
      <c r="C1226" t="str">
        <f>_xlfn.XLOOKUP(A1226,[1]Affiliations!$J$2:$J$5328,[1]Affiliations!$K$2:$K$5328,0)</f>
        <v>Halliburton</v>
      </c>
      <c r="D1226">
        <v>2</v>
      </c>
      <c r="E1226">
        <v>2</v>
      </c>
      <c r="F1226">
        <v>1</v>
      </c>
      <c r="G1226">
        <v>1</v>
      </c>
      <c r="H1226">
        <v>0.49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2</v>
      </c>
      <c r="P1226">
        <v>0</v>
      </c>
      <c r="Q1226">
        <v>0</v>
      </c>
      <c r="R1226">
        <v>0</v>
      </c>
      <c r="S1226">
        <v>0</v>
      </c>
    </row>
    <row r="1227" spans="1:19" hidden="1" x14ac:dyDescent="0.35">
      <c r="A1227">
        <v>59179411800</v>
      </c>
      <c r="B1227" t="s">
        <v>1237</v>
      </c>
      <c r="C1227" t="str">
        <f>_xlfn.XLOOKUP(A1227,[1]Affiliations!$J$2:$J$5328,[1]Affiliations!$K$2:$K$5328,0)</f>
        <v>Universidade Federal do Rio Grande do Sul</v>
      </c>
      <c r="D1227">
        <v>1</v>
      </c>
      <c r="E1227">
        <v>0</v>
      </c>
      <c r="F1227">
        <v>0</v>
      </c>
      <c r="G1227">
        <v>1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1</v>
      </c>
      <c r="P1227">
        <v>0</v>
      </c>
      <c r="Q1227">
        <v>0</v>
      </c>
      <c r="R1227">
        <v>0</v>
      </c>
      <c r="S1227">
        <v>0</v>
      </c>
    </row>
    <row r="1228" spans="1:19" hidden="1" x14ac:dyDescent="0.35">
      <c r="A1228">
        <v>57217159297</v>
      </c>
      <c r="B1228" t="s">
        <v>1238</v>
      </c>
      <c r="C1228" t="str">
        <f>_xlfn.XLOOKUP(A1228,[1]Affiliations!$J$2:$J$5328,[1]Affiliations!$K$2:$K$5328,0)</f>
        <v>Federal University of Rio de Janeiro</v>
      </c>
      <c r="D1228">
        <v>2</v>
      </c>
      <c r="E1228">
        <v>3</v>
      </c>
      <c r="F1228">
        <v>1.5</v>
      </c>
      <c r="G1228">
        <v>1</v>
      </c>
      <c r="H1228">
        <v>0.03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2</v>
      </c>
      <c r="P1228">
        <v>0</v>
      </c>
      <c r="Q1228">
        <v>0</v>
      </c>
      <c r="R1228">
        <v>0</v>
      </c>
      <c r="S1228">
        <v>0</v>
      </c>
    </row>
    <row r="1229" spans="1:19" hidden="1" x14ac:dyDescent="0.35">
      <c r="A1229">
        <v>57190737012</v>
      </c>
      <c r="B1229" t="s">
        <v>1239</v>
      </c>
      <c r="C1229" t="str">
        <f>_xlfn.XLOOKUP(A1229,[1]Affiliations!$J$2:$J$5328,[1]Affiliations!$K$2:$K$5328,0)</f>
        <v>University of Campinas</v>
      </c>
      <c r="D1229">
        <v>4</v>
      </c>
      <c r="E1229">
        <v>38</v>
      </c>
      <c r="F1229">
        <v>9.5</v>
      </c>
      <c r="G1229">
        <v>3</v>
      </c>
      <c r="H1229">
        <v>2.17</v>
      </c>
      <c r="I1229">
        <v>1</v>
      </c>
      <c r="J1229">
        <v>1</v>
      </c>
      <c r="K1229">
        <v>1</v>
      </c>
      <c r="L1229">
        <v>1</v>
      </c>
      <c r="M1229">
        <v>3</v>
      </c>
      <c r="N1229">
        <v>3</v>
      </c>
      <c r="P1229">
        <v>0</v>
      </c>
      <c r="Q1229">
        <v>0</v>
      </c>
      <c r="R1229">
        <v>0</v>
      </c>
      <c r="S1229">
        <v>0</v>
      </c>
    </row>
    <row r="1230" spans="1:19" x14ac:dyDescent="0.35">
      <c r="A1230">
        <v>7005365537</v>
      </c>
      <c r="B1230" t="s">
        <v>2277</v>
      </c>
      <c r="C1230" t="str">
        <f>_xlfn.XLOOKUP(A1230,[1]Affiliations!$J$2:$J$5328,[1]Affiliations!$K$2:$K$5328,0)</f>
        <v>Universidade Federal do Paraná (+2 more)</v>
      </c>
      <c r="D1230">
        <v>12</v>
      </c>
      <c r="E1230">
        <v>314</v>
      </c>
      <c r="F1230">
        <v>26.166665999999999</v>
      </c>
      <c r="G1230">
        <v>10</v>
      </c>
      <c r="H1230">
        <v>1.19</v>
      </c>
      <c r="I1230">
        <v>0</v>
      </c>
      <c r="J1230">
        <v>3</v>
      </c>
      <c r="K1230">
        <v>4</v>
      </c>
      <c r="L1230">
        <v>7</v>
      </c>
      <c r="M1230">
        <v>9</v>
      </c>
      <c r="N1230">
        <v>10</v>
      </c>
      <c r="P1230">
        <v>0</v>
      </c>
      <c r="Q1230">
        <v>1</v>
      </c>
      <c r="R1230">
        <v>2</v>
      </c>
      <c r="S1230">
        <v>4</v>
      </c>
    </row>
    <row r="1231" spans="1:19" hidden="1" x14ac:dyDescent="0.35">
      <c r="A1231">
        <v>57208154117</v>
      </c>
      <c r="B1231" t="s">
        <v>1241</v>
      </c>
      <c r="C1231" t="str">
        <f>_xlfn.XLOOKUP(A1231,[1]Affiliations!$J$2:$J$5328,[1]Affiliations!$K$2:$K$5328,0)</f>
        <v>Universidade Federal de Viçosa</v>
      </c>
      <c r="D1231">
        <v>5</v>
      </c>
      <c r="E1231">
        <v>47</v>
      </c>
      <c r="F1231">
        <v>9.4</v>
      </c>
      <c r="G1231">
        <v>3</v>
      </c>
      <c r="H1231">
        <v>0.37</v>
      </c>
      <c r="I1231">
        <v>0</v>
      </c>
      <c r="J1231">
        <v>0</v>
      </c>
      <c r="K1231">
        <v>0</v>
      </c>
      <c r="L1231">
        <v>2</v>
      </c>
      <c r="M1231">
        <v>4</v>
      </c>
      <c r="N1231">
        <v>5</v>
      </c>
      <c r="P1231">
        <v>0</v>
      </c>
      <c r="Q1231">
        <v>0</v>
      </c>
      <c r="R1231">
        <v>0</v>
      </c>
      <c r="S1231">
        <v>1</v>
      </c>
    </row>
    <row r="1232" spans="1:19" hidden="1" x14ac:dyDescent="0.35">
      <c r="A1232">
        <v>57205363570</v>
      </c>
      <c r="B1232" t="s">
        <v>1242</v>
      </c>
      <c r="C1232" t="str">
        <f>_xlfn.XLOOKUP(A1232,[1]Affiliations!$J$2:$J$5328,[1]Affiliations!$K$2:$K$5328,0)</f>
        <v>Universidade do Estado do Rio de Janeiro (+1 more)</v>
      </c>
      <c r="D1232">
        <v>2</v>
      </c>
      <c r="E1232">
        <v>26</v>
      </c>
      <c r="F1232">
        <v>13</v>
      </c>
      <c r="G1232">
        <v>3</v>
      </c>
      <c r="H1232">
        <v>0.87</v>
      </c>
      <c r="I1232">
        <v>0</v>
      </c>
      <c r="J1232">
        <v>0</v>
      </c>
      <c r="K1232">
        <v>0</v>
      </c>
      <c r="L1232">
        <v>2</v>
      </c>
      <c r="M1232">
        <v>2</v>
      </c>
      <c r="N1232">
        <v>2</v>
      </c>
      <c r="P1232">
        <v>0</v>
      </c>
      <c r="Q1232">
        <v>0</v>
      </c>
      <c r="R1232">
        <v>0</v>
      </c>
      <c r="S1232">
        <v>1</v>
      </c>
    </row>
    <row r="1233" spans="1:19" hidden="1" x14ac:dyDescent="0.35">
      <c r="A1233">
        <v>6602618309</v>
      </c>
      <c r="B1233" t="s">
        <v>676</v>
      </c>
      <c r="C1233" t="str">
        <f>_xlfn.XLOOKUP(A1233,[1]Affiliations!$J$2:$J$5328,[1]Affiliations!$K$2:$K$5328,0)</f>
        <v>Federal University of Rio de Janeiro</v>
      </c>
      <c r="D1233">
        <v>23</v>
      </c>
      <c r="E1233">
        <v>198</v>
      </c>
      <c r="F1233">
        <v>8.6086960000000001</v>
      </c>
      <c r="G1233">
        <v>13</v>
      </c>
      <c r="H1233">
        <v>0.36</v>
      </c>
      <c r="I1233">
        <v>0</v>
      </c>
      <c r="J1233">
        <v>1</v>
      </c>
      <c r="K1233">
        <v>4</v>
      </c>
      <c r="L1233">
        <v>17</v>
      </c>
      <c r="M1233">
        <v>21</v>
      </c>
      <c r="N1233">
        <v>22</v>
      </c>
      <c r="P1233">
        <v>0</v>
      </c>
      <c r="Q1233">
        <v>0</v>
      </c>
      <c r="R1233">
        <v>0</v>
      </c>
      <c r="S1233">
        <v>2</v>
      </c>
    </row>
    <row r="1234" spans="1:19" x14ac:dyDescent="0.35">
      <c r="A1234">
        <v>56323580500</v>
      </c>
      <c r="B1234" t="s">
        <v>2842</v>
      </c>
      <c r="C1234" t="str">
        <f>_xlfn.XLOOKUP(A1234,[1]Affiliations!$J$2:$J$5328,[1]Affiliations!$K$2:$K$5328,0)</f>
        <v>Federal University of Rio de Janeiro</v>
      </c>
      <c r="D1234">
        <v>47</v>
      </c>
      <c r="E1234">
        <v>1260</v>
      </c>
      <c r="F1234">
        <v>26.808509999999998</v>
      </c>
      <c r="G1234">
        <v>20</v>
      </c>
      <c r="H1234">
        <v>1.19</v>
      </c>
      <c r="I1234">
        <v>3</v>
      </c>
      <c r="J1234">
        <v>6</v>
      </c>
      <c r="K1234">
        <v>13</v>
      </c>
      <c r="L1234">
        <v>22</v>
      </c>
      <c r="M1234">
        <v>33</v>
      </c>
      <c r="N1234">
        <v>39</v>
      </c>
      <c r="P1234">
        <v>1</v>
      </c>
      <c r="Q1234">
        <v>8</v>
      </c>
      <c r="R1234">
        <v>17</v>
      </c>
      <c r="S1234">
        <v>29</v>
      </c>
    </row>
    <row r="1235" spans="1:19" hidden="1" x14ac:dyDescent="0.35">
      <c r="A1235">
        <v>57223999247</v>
      </c>
      <c r="B1235" t="s">
        <v>1244</v>
      </c>
      <c r="C1235" t="str">
        <f>_xlfn.XLOOKUP(A1235,[1]Affiliations!$J$2:$J$5328,[1]Affiliations!$K$2:$K$5328,0)</f>
        <v>Universidade Federal de Uberlândia</v>
      </c>
      <c r="D1235">
        <v>1</v>
      </c>
      <c r="E1235">
        <v>2</v>
      </c>
      <c r="F1235">
        <v>2</v>
      </c>
      <c r="G1235">
        <v>1</v>
      </c>
      <c r="H1235">
        <v>0.11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0</v>
      </c>
      <c r="Q1235">
        <v>0</v>
      </c>
      <c r="R1235">
        <v>0</v>
      </c>
      <c r="S1235">
        <v>0</v>
      </c>
    </row>
    <row r="1236" spans="1:19" hidden="1" x14ac:dyDescent="0.35">
      <c r="A1236">
        <v>56533061200</v>
      </c>
      <c r="B1236" t="s">
        <v>1245</v>
      </c>
      <c r="C1236" t="str">
        <f>_xlfn.XLOOKUP(A1236,[1]Affiliations!$J$2:$J$5328,[1]Affiliations!$K$2:$K$5328,0)</f>
        <v>Universidade de São Paulo</v>
      </c>
      <c r="D1236">
        <v>22</v>
      </c>
      <c r="E1236">
        <v>302</v>
      </c>
      <c r="F1236">
        <v>13.727273</v>
      </c>
      <c r="G1236">
        <v>11</v>
      </c>
      <c r="H1236">
        <v>0.63</v>
      </c>
      <c r="I1236">
        <v>0</v>
      </c>
      <c r="J1236">
        <v>12</v>
      </c>
      <c r="K1236">
        <v>17</v>
      </c>
      <c r="L1236">
        <v>18</v>
      </c>
      <c r="M1236">
        <v>19</v>
      </c>
      <c r="N1236">
        <v>21</v>
      </c>
      <c r="P1236">
        <v>0</v>
      </c>
      <c r="Q1236">
        <v>0</v>
      </c>
      <c r="R1236">
        <v>0</v>
      </c>
      <c r="S1236">
        <v>6</v>
      </c>
    </row>
    <row r="1237" spans="1:19" x14ac:dyDescent="0.35">
      <c r="A1237">
        <v>19640630500</v>
      </c>
      <c r="B1237" t="s">
        <v>3357</v>
      </c>
      <c r="C1237" t="str">
        <f>_xlfn.XLOOKUP(A1237,[1]Affiliations!$J$2:$J$5328,[1]Affiliations!$K$2:$K$5328,0)</f>
        <v>Universidade Federal do Rio Grande do Sul</v>
      </c>
      <c r="D1237">
        <v>13</v>
      </c>
      <c r="E1237">
        <v>566</v>
      </c>
      <c r="F1237">
        <v>43.538460000000001</v>
      </c>
      <c r="G1237">
        <v>27</v>
      </c>
      <c r="H1237">
        <v>1.19</v>
      </c>
      <c r="I1237">
        <v>1</v>
      </c>
      <c r="J1237">
        <v>7</v>
      </c>
      <c r="K1237">
        <v>9</v>
      </c>
      <c r="L1237">
        <v>11</v>
      </c>
      <c r="M1237">
        <v>11</v>
      </c>
      <c r="N1237">
        <v>12</v>
      </c>
      <c r="P1237">
        <v>1</v>
      </c>
      <c r="Q1237">
        <v>4</v>
      </c>
      <c r="R1237">
        <v>4</v>
      </c>
      <c r="S1237">
        <v>8</v>
      </c>
    </row>
    <row r="1238" spans="1:19" hidden="1" x14ac:dyDescent="0.35">
      <c r="A1238">
        <v>57217417395</v>
      </c>
      <c r="B1238" t="s">
        <v>1247</v>
      </c>
      <c r="C1238" t="str">
        <f>_xlfn.XLOOKUP(A1238,[1]Affiliations!$J$2:$J$5328,[1]Affiliations!$K$2:$K$5328,0)</f>
        <v>Universidade Federal do Ceará</v>
      </c>
      <c r="D1238">
        <v>10</v>
      </c>
      <c r="E1238">
        <v>127</v>
      </c>
      <c r="F1238">
        <v>12.7</v>
      </c>
      <c r="G1238">
        <v>6</v>
      </c>
      <c r="H1238">
        <v>0.69</v>
      </c>
      <c r="I1238">
        <v>0</v>
      </c>
      <c r="J1238">
        <v>1</v>
      </c>
      <c r="K1238">
        <v>2</v>
      </c>
      <c r="L1238">
        <v>6</v>
      </c>
      <c r="M1238">
        <v>9</v>
      </c>
      <c r="N1238">
        <v>10</v>
      </c>
      <c r="P1238">
        <v>0</v>
      </c>
      <c r="Q1238">
        <v>0</v>
      </c>
      <c r="R1238">
        <v>0</v>
      </c>
      <c r="S1238">
        <v>4</v>
      </c>
    </row>
    <row r="1239" spans="1:19" x14ac:dyDescent="0.35">
      <c r="A1239">
        <v>57324292800</v>
      </c>
      <c r="B1239" t="s">
        <v>3538</v>
      </c>
      <c r="C1239" t="str">
        <f>_xlfn.XLOOKUP(A1239,[1]Affiliations!$J$2:$J$5328,[1]Affiliations!$K$2:$K$5328,0)</f>
        <v>Serviço Nacional de Aprendizagem Industrial</v>
      </c>
      <c r="D1239">
        <v>54</v>
      </c>
      <c r="E1239">
        <v>1171</v>
      </c>
      <c r="F1239">
        <v>21.685184</v>
      </c>
      <c r="G1239">
        <v>16</v>
      </c>
      <c r="H1239">
        <v>1.19</v>
      </c>
      <c r="I1239">
        <v>0</v>
      </c>
      <c r="J1239">
        <v>10</v>
      </c>
      <c r="K1239">
        <v>11</v>
      </c>
      <c r="L1239">
        <v>28</v>
      </c>
      <c r="M1239">
        <v>35</v>
      </c>
      <c r="N1239">
        <v>41</v>
      </c>
      <c r="P1239">
        <v>3</v>
      </c>
      <c r="Q1239">
        <v>4</v>
      </c>
      <c r="R1239">
        <v>8</v>
      </c>
      <c r="S1239">
        <v>21</v>
      </c>
    </row>
    <row r="1240" spans="1:19" hidden="1" x14ac:dyDescent="0.35">
      <c r="A1240">
        <v>59579754200</v>
      </c>
      <c r="B1240" t="s">
        <v>1249</v>
      </c>
      <c r="C1240" t="str">
        <f>_xlfn.XLOOKUP(A1240,[1]Affiliations!$J$2:$J$5328,[1]Affiliations!$K$2:$K$5328,0)</f>
        <v>Federal University of Rio de Janeiro</v>
      </c>
      <c r="D1240">
        <v>0</v>
      </c>
      <c r="G1240">
        <v>0</v>
      </c>
    </row>
    <row r="1241" spans="1:19" hidden="1" x14ac:dyDescent="0.35">
      <c r="A1241">
        <v>58116774000</v>
      </c>
      <c r="B1241" t="s">
        <v>1250</v>
      </c>
      <c r="C1241" t="str">
        <f>_xlfn.XLOOKUP(A1241,[1]Affiliations!$J$2:$J$5328,[1]Affiliations!$K$2:$K$5328,0)</f>
        <v>Universidade Federal da Bahia</v>
      </c>
      <c r="D1241">
        <v>1</v>
      </c>
      <c r="E1241">
        <v>0</v>
      </c>
      <c r="F1241">
        <v>0</v>
      </c>
      <c r="G1241">
        <v>0</v>
      </c>
      <c r="H1241">
        <v>0</v>
      </c>
      <c r="P1241">
        <v>0</v>
      </c>
      <c r="Q1241">
        <v>0</v>
      </c>
      <c r="R1241">
        <v>0</v>
      </c>
      <c r="S1241">
        <v>0</v>
      </c>
    </row>
    <row r="1242" spans="1:19" hidden="1" x14ac:dyDescent="0.35">
      <c r="A1242">
        <v>59343792300</v>
      </c>
      <c r="B1242" t="s">
        <v>1251</v>
      </c>
      <c r="C1242" t="str">
        <f>_xlfn.XLOOKUP(A1242,[1]Affiliations!$J$2:$J$5328,[1]Affiliations!$K$2:$K$5328,0)</f>
        <v>Universidade Federal do Espírito Santo</v>
      </c>
      <c r="D1242">
        <v>1</v>
      </c>
      <c r="E1242">
        <v>1</v>
      </c>
      <c r="F1242">
        <v>1</v>
      </c>
      <c r="G1242">
        <v>1</v>
      </c>
      <c r="H1242">
        <v>0.33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P1242">
        <v>0</v>
      </c>
      <c r="Q1242">
        <v>0</v>
      </c>
      <c r="R1242">
        <v>0</v>
      </c>
      <c r="S1242">
        <v>0</v>
      </c>
    </row>
    <row r="1243" spans="1:19" hidden="1" x14ac:dyDescent="0.35">
      <c r="A1243">
        <v>57967090500</v>
      </c>
      <c r="B1243" t="s">
        <v>1252</v>
      </c>
      <c r="C1243" t="str">
        <f>_xlfn.XLOOKUP(A1243,[1]Affiliations!$J$2:$J$5328,[1]Affiliations!$K$2:$K$5328,0)</f>
        <v>Universidade Federal do Rio Grande do Sul</v>
      </c>
      <c r="D1243">
        <v>1</v>
      </c>
      <c r="E1243">
        <v>6</v>
      </c>
      <c r="F1243">
        <v>6</v>
      </c>
      <c r="G1243">
        <v>1</v>
      </c>
      <c r="H1243">
        <v>1.55</v>
      </c>
      <c r="I1243">
        <v>0</v>
      </c>
      <c r="J1243">
        <v>0</v>
      </c>
      <c r="K1243">
        <v>0</v>
      </c>
      <c r="L1243">
        <v>1</v>
      </c>
      <c r="M1243">
        <v>1</v>
      </c>
      <c r="N1243">
        <v>1</v>
      </c>
      <c r="P1243">
        <v>0</v>
      </c>
      <c r="Q1243">
        <v>0</v>
      </c>
      <c r="R1243">
        <v>0</v>
      </c>
      <c r="S1243">
        <v>1</v>
      </c>
    </row>
    <row r="1244" spans="1:19" hidden="1" x14ac:dyDescent="0.35">
      <c r="A1244">
        <v>6507606204</v>
      </c>
      <c r="B1244" t="s">
        <v>1253</v>
      </c>
      <c r="C1244" t="str">
        <f>_xlfn.XLOOKUP(A1244,[1]Affiliations!$J$2:$J$5328,[1]Affiliations!$K$2:$K$5328,0)</f>
        <v>Pontifical Catholic University of Rio de Janeiro</v>
      </c>
      <c r="D1244">
        <v>26</v>
      </c>
      <c r="E1244">
        <v>250</v>
      </c>
      <c r="F1244">
        <v>9.6153849999999998</v>
      </c>
      <c r="G1244">
        <v>16</v>
      </c>
      <c r="H1244">
        <v>0.59</v>
      </c>
      <c r="I1244">
        <v>0</v>
      </c>
      <c r="J1244">
        <v>0</v>
      </c>
      <c r="K1244">
        <v>3</v>
      </c>
      <c r="L1244">
        <v>13</v>
      </c>
      <c r="M1244">
        <v>22</v>
      </c>
      <c r="N1244">
        <v>23</v>
      </c>
      <c r="P1244">
        <v>0</v>
      </c>
      <c r="Q1244">
        <v>0</v>
      </c>
      <c r="R1244">
        <v>0</v>
      </c>
      <c r="S1244">
        <v>5</v>
      </c>
    </row>
    <row r="1245" spans="1:19" hidden="1" x14ac:dyDescent="0.35">
      <c r="A1245">
        <v>57209774658</v>
      </c>
      <c r="B1245" t="s">
        <v>1254</v>
      </c>
      <c r="C1245" t="str">
        <f>_xlfn.XLOOKUP(A1245,[1]Affiliations!$J$2:$J$5328,[1]Affiliations!$K$2:$K$5328,0)</f>
        <v>Universidade de Passo Fundo</v>
      </c>
      <c r="D1245">
        <v>2</v>
      </c>
      <c r="E1245">
        <v>13</v>
      </c>
      <c r="F1245">
        <v>6.5</v>
      </c>
      <c r="G1245">
        <v>1</v>
      </c>
      <c r="H1245">
        <v>0.18</v>
      </c>
      <c r="I1245">
        <v>0</v>
      </c>
      <c r="J1245">
        <v>1</v>
      </c>
      <c r="K1245">
        <v>1</v>
      </c>
      <c r="L1245">
        <v>1</v>
      </c>
      <c r="M1245">
        <v>1</v>
      </c>
      <c r="N1245">
        <v>1</v>
      </c>
      <c r="P1245">
        <v>0</v>
      </c>
      <c r="Q1245">
        <v>0</v>
      </c>
      <c r="R1245">
        <v>0</v>
      </c>
      <c r="S1245">
        <v>0</v>
      </c>
    </row>
    <row r="1246" spans="1:19" hidden="1" x14ac:dyDescent="0.35">
      <c r="A1246">
        <v>55798991000</v>
      </c>
      <c r="B1246" t="s">
        <v>1255</v>
      </c>
      <c r="C1246" t="str">
        <f>_xlfn.XLOOKUP(A1246,[1]Affiliations!$J$2:$J$5328,[1]Affiliations!$K$2:$K$5328,0)</f>
        <v>Universidade Federal Fluminense</v>
      </c>
      <c r="D1246">
        <v>1</v>
      </c>
      <c r="E1246">
        <v>92</v>
      </c>
      <c r="F1246">
        <v>92</v>
      </c>
      <c r="G1246">
        <v>3</v>
      </c>
      <c r="H1246">
        <v>4.2</v>
      </c>
      <c r="I1246">
        <v>0</v>
      </c>
      <c r="J1246">
        <v>0</v>
      </c>
      <c r="K1246">
        <v>0</v>
      </c>
      <c r="L1246">
        <v>1</v>
      </c>
      <c r="M1246">
        <v>1</v>
      </c>
      <c r="N1246">
        <v>1</v>
      </c>
      <c r="P1246">
        <v>0</v>
      </c>
      <c r="Q1246">
        <v>1</v>
      </c>
      <c r="R1246">
        <v>1</v>
      </c>
      <c r="S1246">
        <v>1</v>
      </c>
    </row>
    <row r="1247" spans="1:19" x14ac:dyDescent="0.35">
      <c r="A1247">
        <v>24069433800</v>
      </c>
      <c r="B1247" t="s">
        <v>5006</v>
      </c>
      <c r="C1247" t="str">
        <f>_xlfn.XLOOKUP(A1247,[1]Affiliations!$J$2:$J$5328,[1]Affiliations!$K$2:$K$5328,0)</f>
        <v>Fundação Oswaldo Cruz</v>
      </c>
      <c r="D1247">
        <v>27</v>
      </c>
      <c r="E1247">
        <v>880</v>
      </c>
      <c r="F1247">
        <v>32.592593999999998</v>
      </c>
      <c r="G1247">
        <v>18</v>
      </c>
      <c r="H1247">
        <v>1.19</v>
      </c>
      <c r="I1247">
        <v>3</v>
      </c>
      <c r="J1247">
        <v>4</v>
      </c>
      <c r="K1247">
        <v>11</v>
      </c>
      <c r="L1247">
        <v>17</v>
      </c>
      <c r="M1247">
        <v>26</v>
      </c>
      <c r="N1247">
        <v>27</v>
      </c>
      <c r="P1247">
        <v>2</v>
      </c>
      <c r="Q1247">
        <v>4</v>
      </c>
      <c r="R1247">
        <v>6</v>
      </c>
      <c r="S1247">
        <v>16</v>
      </c>
    </row>
    <row r="1248" spans="1:19" hidden="1" x14ac:dyDescent="0.35">
      <c r="A1248">
        <v>57191955547</v>
      </c>
      <c r="B1248" t="s">
        <v>1257</v>
      </c>
      <c r="C1248" t="str">
        <f>_xlfn.XLOOKUP(A1248,[1]Affiliations!$J$2:$J$5328,[1]Affiliations!$K$2:$K$5328,0)</f>
        <v>ATNAS</v>
      </c>
      <c r="D1248">
        <v>4</v>
      </c>
      <c r="E1248">
        <v>7</v>
      </c>
      <c r="F1248">
        <v>1.75</v>
      </c>
      <c r="G1248">
        <v>1</v>
      </c>
      <c r="H1248">
        <v>0.06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1</v>
      </c>
      <c r="P1248">
        <v>0</v>
      </c>
      <c r="Q1248">
        <v>0</v>
      </c>
      <c r="R1248">
        <v>0</v>
      </c>
      <c r="S1248">
        <v>0</v>
      </c>
    </row>
    <row r="1249" spans="1:19" x14ac:dyDescent="0.35">
      <c r="A1249">
        <v>56455326500</v>
      </c>
      <c r="B1249" t="s">
        <v>323</v>
      </c>
      <c r="C1249" t="str">
        <f>_xlfn.XLOOKUP(A1249,[1]Affiliations!$J$2:$J$5328,[1]Affiliations!$K$2:$K$5328,0)</f>
        <v>Federal University of Rio de Janeiro</v>
      </c>
      <c r="D1249">
        <v>17</v>
      </c>
      <c r="E1249">
        <v>452</v>
      </c>
      <c r="F1249">
        <v>26.588235999999998</v>
      </c>
      <c r="G1249">
        <v>9</v>
      </c>
      <c r="H1249">
        <v>1.18</v>
      </c>
      <c r="I1249">
        <v>0</v>
      </c>
      <c r="J1249">
        <v>0</v>
      </c>
      <c r="K1249">
        <v>1</v>
      </c>
      <c r="L1249">
        <v>7</v>
      </c>
      <c r="M1249">
        <v>9</v>
      </c>
      <c r="N1249">
        <v>11</v>
      </c>
      <c r="P1249">
        <v>2</v>
      </c>
      <c r="Q1249">
        <v>3</v>
      </c>
      <c r="R1249">
        <v>4</v>
      </c>
      <c r="S1249">
        <v>8</v>
      </c>
    </row>
    <row r="1250" spans="1:19" x14ac:dyDescent="0.35">
      <c r="A1250">
        <v>57208397074</v>
      </c>
      <c r="B1250" t="s">
        <v>1586</v>
      </c>
      <c r="C1250" t="str">
        <f>_xlfn.XLOOKUP(A1250,[1]Affiliations!$J$2:$J$5328,[1]Affiliations!$K$2:$K$5328,0)</f>
        <v>Universidade Federal de Pernambuco</v>
      </c>
      <c r="D1250">
        <v>5</v>
      </c>
      <c r="E1250">
        <v>59</v>
      </c>
      <c r="F1250">
        <v>11.8</v>
      </c>
      <c r="G1250">
        <v>3</v>
      </c>
      <c r="H1250">
        <v>1.18</v>
      </c>
      <c r="I1250">
        <v>0</v>
      </c>
      <c r="J1250">
        <v>1</v>
      </c>
      <c r="K1250">
        <v>1</v>
      </c>
      <c r="L1250">
        <v>2</v>
      </c>
      <c r="M1250">
        <v>4</v>
      </c>
      <c r="N1250">
        <v>5</v>
      </c>
      <c r="P1250">
        <v>0</v>
      </c>
      <c r="Q1250">
        <v>1</v>
      </c>
      <c r="R1250">
        <v>1</v>
      </c>
      <c r="S1250">
        <v>2</v>
      </c>
    </row>
    <row r="1251" spans="1:19" hidden="1" x14ac:dyDescent="0.35">
      <c r="A1251">
        <v>57072396400</v>
      </c>
      <c r="B1251" t="s">
        <v>1260</v>
      </c>
      <c r="C1251" t="str">
        <f>_xlfn.XLOOKUP(A1251,[1]Affiliations!$J$2:$J$5328,[1]Affiliations!$K$2:$K$5328,0)</f>
        <v>Universidade Estadual do Norte Fluminense</v>
      </c>
      <c r="D1251">
        <v>17</v>
      </c>
      <c r="E1251">
        <v>116</v>
      </c>
      <c r="F1251">
        <v>6.8235292000000003</v>
      </c>
      <c r="G1251">
        <v>8</v>
      </c>
      <c r="H1251">
        <v>0.4</v>
      </c>
      <c r="I1251">
        <v>0</v>
      </c>
      <c r="J1251">
        <v>0</v>
      </c>
      <c r="K1251">
        <v>1</v>
      </c>
      <c r="L1251">
        <v>4</v>
      </c>
      <c r="M1251">
        <v>8</v>
      </c>
      <c r="N1251">
        <v>12</v>
      </c>
      <c r="P1251">
        <v>0</v>
      </c>
      <c r="Q1251">
        <v>0</v>
      </c>
      <c r="R1251">
        <v>0</v>
      </c>
      <c r="S1251">
        <v>1</v>
      </c>
    </row>
    <row r="1252" spans="1:19" hidden="1" x14ac:dyDescent="0.35">
      <c r="A1252">
        <v>57191055328</v>
      </c>
      <c r="B1252" t="s">
        <v>1261</v>
      </c>
      <c r="C1252" t="str">
        <f>_xlfn.XLOOKUP(A1252,[1]Affiliations!$J$2:$J$5328,[1]Affiliations!$K$2:$K$5328,0)</f>
        <v>Universidade Federal de São João del-Rei</v>
      </c>
      <c r="D1252">
        <v>11</v>
      </c>
      <c r="E1252">
        <v>38</v>
      </c>
      <c r="F1252">
        <v>3.4545455</v>
      </c>
      <c r="G1252">
        <v>4</v>
      </c>
      <c r="H1252">
        <v>0.61</v>
      </c>
      <c r="I1252">
        <v>0</v>
      </c>
      <c r="J1252">
        <v>0</v>
      </c>
      <c r="K1252">
        <v>0</v>
      </c>
      <c r="L1252">
        <v>3</v>
      </c>
      <c r="M1252">
        <v>7</v>
      </c>
      <c r="N1252">
        <v>8</v>
      </c>
      <c r="P1252">
        <v>0</v>
      </c>
      <c r="Q1252">
        <v>0</v>
      </c>
      <c r="R1252">
        <v>0</v>
      </c>
      <c r="S1252">
        <v>1</v>
      </c>
    </row>
    <row r="1253" spans="1:19" hidden="1" x14ac:dyDescent="0.35">
      <c r="A1253">
        <v>57248596300</v>
      </c>
      <c r="B1253" t="s">
        <v>1262</v>
      </c>
      <c r="C1253" t="str">
        <f>_xlfn.XLOOKUP(A1253,[1]Affiliations!$J$2:$J$5328,[1]Affiliations!$K$2:$K$5328,0)</f>
        <v>Universidade Federal do Rio Grande do Sul</v>
      </c>
      <c r="D1253">
        <v>3</v>
      </c>
      <c r="E1253">
        <v>49</v>
      </c>
      <c r="F1253">
        <v>16.333334000000001</v>
      </c>
      <c r="G1253">
        <v>3</v>
      </c>
      <c r="H1253">
        <v>1.39</v>
      </c>
      <c r="I1253">
        <v>0</v>
      </c>
      <c r="J1253">
        <v>1</v>
      </c>
      <c r="K1253">
        <v>1</v>
      </c>
      <c r="L1253">
        <v>1</v>
      </c>
      <c r="M1253">
        <v>3</v>
      </c>
      <c r="N1253">
        <v>3</v>
      </c>
      <c r="P1253">
        <v>0</v>
      </c>
      <c r="Q1253">
        <v>0</v>
      </c>
      <c r="R1253">
        <v>0</v>
      </c>
      <c r="S1253">
        <v>2</v>
      </c>
    </row>
    <row r="1254" spans="1:19" x14ac:dyDescent="0.35">
      <c r="A1254">
        <v>6602199051</v>
      </c>
      <c r="B1254" t="s">
        <v>2793</v>
      </c>
      <c r="C1254" t="str">
        <f>_xlfn.XLOOKUP(A1254,[1]Affiliations!$J$2:$J$5328,[1]Affiliations!$K$2:$K$5328,0)</f>
        <v>Universidade Federal de Ouro Preto</v>
      </c>
      <c r="D1254">
        <v>165</v>
      </c>
      <c r="E1254">
        <v>3618</v>
      </c>
      <c r="F1254">
        <v>21.927273</v>
      </c>
      <c r="G1254">
        <v>40</v>
      </c>
      <c r="H1254">
        <v>1.18</v>
      </c>
      <c r="I1254">
        <v>9</v>
      </c>
      <c r="J1254">
        <v>37</v>
      </c>
      <c r="K1254">
        <v>69</v>
      </c>
      <c r="L1254">
        <v>103</v>
      </c>
      <c r="M1254">
        <v>153</v>
      </c>
      <c r="N1254">
        <v>159</v>
      </c>
      <c r="P1254">
        <v>0</v>
      </c>
      <c r="Q1254">
        <v>8</v>
      </c>
      <c r="R1254">
        <v>24</v>
      </c>
      <c r="S1254">
        <v>66</v>
      </c>
    </row>
    <row r="1255" spans="1:19" x14ac:dyDescent="0.35">
      <c r="A1255">
        <v>55856682800</v>
      </c>
      <c r="B1255" t="s">
        <v>4578</v>
      </c>
      <c r="C1255" t="str">
        <f>_xlfn.XLOOKUP(A1255,[1]Affiliations!$J$2:$J$5328,[1]Affiliations!$K$2:$K$5328,0)</f>
        <v>Pontifícia Universidade Católica do Rio Grande do Sul</v>
      </c>
      <c r="D1255">
        <v>12</v>
      </c>
      <c r="E1255">
        <v>412</v>
      </c>
      <c r="F1255">
        <v>34.333331999999999</v>
      </c>
      <c r="G1255">
        <v>11</v>
      </c>
      <c r="H1255">
        <v>1.18</v>
      </c>
      <c r="I1255">
        <v>0</v>
      </c>
      <c r="J1255">
        <v>1</v>
      </c>
      <c r="K1255">
        <v>5</v>
      </c>
      <c r="L1255">
        <v>6</v>
      </c>
      <c r="M1255">
        <v>12</v>
      </c>
      <c r="N1255">
        <v>12</v>
      </c>
      <c r="P1255">
        <v>1</v>
      </c>
      <c r="Q1255">
        <v>1</v>
      </c>
      <c r="R1255">
        <v>1</v>
      </c>
      <c r="S1255">
        <v>6</v>
      </c>
    </row>
    <row r="1256" spans="1:19" hidden="1" x14ac:dyDescent="0.35">
      <c r="A1256">
        <v>59417918400</v>
      </c>
      <c r="B1256" t="s">
        <v>1265</v>
      </c>
      <c r="C1256" t="str">
        <f>_xlfn.XLOOKUP(A1256,[1]Affiliations!$J$2:$J$5328,[1]Affiliations!$K$2:$K$5328,0)</f>
        <v>Universidade Federal do Rio Grande do Norte</v>
      </c>
      <c r="D1256">
        <v>1</v>
      </c>
      <c r="E1256">
        <v>10</v>
      </c>
      <c r="F1256">
        <v>10</v>
      </c>
      <c r="G1256">
        <v>1</v>
      </c>
      <c r="H1256">
        <v>0.94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P1256">
        <v>0</v>
      </c>
      <c r="Q1256">
        <v>0</v>
      </c>
      <c r="R1256">
        <v>0</v>
      </c>
      <c r="S1256">
        <v>1</v>
      </c>
    </row>
    <row r="1257" spans="1:19" hidden="1" x14ac:dyDescent="0.35">
      <c r="A1257">
        <v>58853945700</v>
      </c>
      <c r="B1257" t="s">
        <v>1266</v>
      </c>
      <c r="C1257" t="str">
        <f>_xlfn.XLOOKUP(A1257,[1]Affiliations!$J$2:$J$5328,[1]Affiliations!$K$2:$K$5328,0)</f>
        <v>Pontifical Catholic University of Rio de Janeiro (+1 more)</v>
      </c>
      <c r="D1257">
        <v>4</v>
      </c>
      <c r="E1257">
        <v>15</v>
      </c>
      <c r="F1257">
        <v>3.75</v>
      </c>
      <c r="G1257">
        <v>2</v>
      </c>
      <c r="H1257">
        <v>0.86</v>
      </c>
      <c r="I1257">
        <v>0</v>
      </c>
      <c r="J1257">
        <v>0</v>
      </c>
      <c r="K1257">
        <v>1</v>
      </c>
      <c r="L1257">
        <v>2</v>
      </c>
      <c r="M1257">
        <v>2</v>
      </c>
      <c r="N1257">
        <v>2</v>
      </c>
      <c r="P1257">
        <v>0</v>
      </c>
      <c r="Q1257">
        <v>0</v>
      </c>
      <c r="R1257">
        <v>0</v>
      </c>
      <c r="S1257">
        <v>1</v>
      </c>
    </row>
    <row r="1258" spans="1:19" hidden="1" x14ac:dyDescent="0.35">
      <c r="A1258">
        <v>58676731500</v>
      </c>
      <c r="B1258" t="s">
        <v>1267</v>
      </c>
      <c r="C1258" t="str">
        <f>_xlfn.XLOOKUP(A1258,[1]Affiliations!$J$2:$J$5328,[1]Affiliations!$K$2:$K$5328,0)</f>
        <v>Universidade Federal do Ceará</v>
      </c>
      <c r="D1258">
        <v>1</v>
      </c>
      <c r="E1258">
        <v>0</v>
      </c>
      <c r="F1258">
        <v>0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P1258">
        <v>0</v>
      </c>
      <c r="Q1258">
        <v>0</v>
      </c>
      <c r="R1258">
        <v>0</v>
      </c>
      <c r="S1258">
        <v>0</v>
      </c>
    </row>
    <row r="1259" spans="1:19" hidden="1" x14ac:dyDescent="0.35">
      <c r="A1259">
        <v>55479842600</v>
      </c>
      <c r="B1259" t="s">
        <v>1268</v>
      </c>
      <c r="C1259" t="str">
        <f>_xlfn.XLOOKUP(A1259,[1]Affiliations!$J$2:$J$5328,[1]Affiliations!$K$2:$K$5328,0)</f>
        <v>Federal University of Rio de Janeiro</v>
      </c>
      <c r="D1259">
        <v>3</v>
      </c>
      <c r="E1259">
        <v>264</v>
      </c>
      <c r="F1259">
        <v>88</v>
      </c>
      <c r="G1259">
        <v>4</v>
      </c>
      <c r="H1259">
        <v>3</v>
      </c>
      <c r="I1259">
        <v>0</v>
      </c>
      <c r="J1259">
        <v>1</v>
      </c>
      <c r="K1259">
        <v>1</v>
      </c>
      <c r="L1259">
        <v>3</v>
      </c>
      <c r="M1259">
        <v>3</v>
      </c>
      <c r="N1259">
        <v>3</v>
      </c>
      <c r="P1259">
        <v>0</v>
      </c>
      <c r="Q1259">
        <v>1</v>
      </c>
      <c r="R1259">
        <v>3</v>
      </c>
      <c r="S1259">
        <v>3</v>
      </c>
    </row>
    <row r="1260" spans="1:19" x14ac:dyDescent="0.35">
      <c r="A1260">
        <v>12764962500</v>
      </c>
      <c r="B1260" t="s">
        <v>4717</v>
      </c>
      <c r="C1260" t="str">
        <f>_xlfn.XLOOKUP(A1260,[1]Affiliations!$J$2:$J$5328,[1]Affiliations!$K$2:$K$5328,0)</f>
        <v>Federal University of Rio de Janeiro</v>
      </c>
      <c r="D1260">
        <v>9</v>
      </c>
      <c r="E1260">
        <v>258</v>
      </c>
      <c r="F1260">
        <v>28.666665999999999</v>
      </c>
      <c r="G1260">
        <v>10</v>
      </c>
      <c r="H1260">
        <v>1.18</v>
      </c>
      <c r="I1260">
        <v>0</v>
      </c>
      <c r="J1260">
        <v>2</v>
      </c>
      <c r="K1260">
        <v>5</v>
      </c>
      <c r="L1260">
        <v>7</v>
      </c>
      <c r="M1260">
        <v>8</v>
      </c>
      <c r="N1260">
        <v>8</v>
      </c>
      <c r="P1260">
        <v>0</v>
      </c>
      <c r="Q1260">
        <v>1</v>
      </c>
      <c r="R1260">
        <v>1</v>
      </c>
      <c r="S1260">
        <v>6</v>
      </c>
    </row>
    <row r="1261" spans="1:19" x14ac:dyDescent="0.35">
      <c r="A1261">
        <v>6603793530</v>
      </c>
      <c r="B1261" t="s">
        <v>4764</v>
      </c>
      <c r="C1261" t="str">
        <f>_xlfn.XLOOKUP(A1261,[1]Affiliations!$J$2:$J$5328,[1]Affiliations!$K$2:$K$5328,0)</f>
        <v>Universidade de São Paulo</v>
      </c>
      <c r="D1261">
        <v>44</v>
      </c>
      <c r="E1261">
        <v>488</v>
      </c>
      <c r="F1261">
        <v>11.090909</v>
      </c>
      <c r="G1261">
        <v>18</v>
      </c>
      <c r="H1261">
        <v>1.18</v>
      </c>
      <c r="I1261">
        <v>0</v>
      </c>
      <c r="J1261">
        <v>0</v>
      </c>
      <c r="K1261">
        <v>1</v>
      </c>
      <c r="L1261">
        <v>13</v>
      </c>
      <c r="M1261">
        <v>24</v>
      </c>
      <c r="N1261">
        <v>35</v>
      </c>
      <c r="P1261">
        <v>0</v>
      </c>
      <c r="Q1261">
        <v>0</v>
      </c>
      <c r="R1261">
        <v>1</v>
      </c>
      <c r="S1261">
        <v>11</v>
      </c>
    </row>
    <row r="1262" spans="1:19" hidden="1" x14ac:dyDescent="0.35">
      <c r="A1262">
        <v>36170443400</v>
      </c>
      <c r="B1262" t="s">
        <v>1271</v>
      </c>
      <c r="C1262" t="str">
        <f>_xlfn.XLOOKUP(A1262,[1]Affiliations!$J$2:$J$5328,[1]Affiliations!$K$2:$K$5328,0)</f>
        <v>Universidade Federal de Uberlândia</v>
      </c>
      <c r="D1262">
        <v>3</v>
      </c>
      <c r="E1262">
        <v>15</v>
      </c>
      <c r="F1262">
        <v>5</v>
      </c>
      <c r="G1262">
        <v>4</v>
      </c>
      <c r="H1262">
        <v>0.35</v>
      </c>
      <c r="I1262">
        <v>0</v>
      </c>
      <c r="J1262">
        <v>0</v>
      </c>
      <c r="K1262">
        <v>0</v>
      </c>
      <c r="L1262">
        <v>1</v>
      </c>
      <c r="M1262">
        <v>2</v>
      </c>
      <c r="N1262">
        <v>3</v>
      </c>
      <c r="P1262">
        <v>0</v>
      </c>
      <c r="Q1262">
        <v>0</v>
      </c>
      <c r="R1262">
        <v>0</v>
      </c>
      <c r="S1262">
        <v>0</v>
      </c>
    </row>
    <row r="1263" spans="1:19" hidden="1" x14ac:dyDescent="0.35">
      <c r="A1263">
        <v>59533510800</v>
      </c>
      <c r="B1263" t="s">
        <v>1272</v>
      </c>
      <c r="C1263" t="str">
        <f>_xlfn.XLOOKUP(A1263,[1]Affiliations!$J$2:$J$5328,[1]Affiliations!$K$2:$K$5328,0)</f>
        <v>Universidade Federal Fluminense</v>
      </c>
      <c r="D1263">
        <v>0</v>
      </c>
      <c r="G1263">
        <v>0</v>
      </c>
    </row>
    <row r="1264" spans="1:19" hidden="1" x14ac:dyDescent="0.35">
      <c r="A1264">
        <v>57271613500</v>
      </c>
      <c r="B1264" t="s">
        <v>1273</v>
      </c>
      <c r="C1264" t="str">
        <f>_xlfn.XLOOKUP(A1264,[1]Affiliations!$J$2:$J$5328,[1]Affiliations!$K$2:$K$5328,0)</f>
        <v>Universidade Federal de Goiás</v>
      </c>
      <c r="D1264">
        <v>5</v>
      </c>
      <c r="E1264">
        <v>50</v>
      </c>
      <c r="F1264">
        <v>10</v>
      </c>
      <c r="G1264">
        <v>4</v>
      </c>
      <c r="H1264">
        <v>0.86</v>
      </c>
      <c r="I1264">
        <v>0</v>
      </c>
      <c r="J1264">
        <v>1</v>
      </c>
      <c r="K1264">
        <v>1</v>
      </c>
      <c r="L1264">
        <v>4</v>
      </c>
      <c r="M1264">
        <v>5</v>
      </c>
      <c r="N1264">
        <v>5</v>
      </c>
      <c r="P1264">
        <v>0</v>
      </c>
      <c r="Q1264">
        <v>0</v>
      </c>
      <c r="R1264">
        <v>0</v>
      </c>
      <c r="S1264">
        <v>2</v>
      </c>
    </row>
    <row r="1265" spans="1:19" hidden="1" x14ac:dyDescent="0.35">
      <c r="A1265">
        <v>57203006026</v>
      </c>
      <c r="B1265" t="s">
        <v>1274</v>
      </c>
      <c r="C1265" t="str">
        <f>_xlfn.XLOOKUP(A1265,[1]Affiliations!$J$2:$J$5328,[1]Affiliations!$K$2:$K$5328,0)</f>
        <v>Universidade Federal de Campina Grande</v>
      </c>
      <c r="D1265">
        <v>1</v>
      </c>
      <c r="E1265">
        <v>13</v>
      </c>
      <c r="F1265">
        <v>13</v>
      </c>
      <c r="G1265">
        <v>1</v>
      </c>
      <c r="H1265">
        <v>0.68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1</v>
      </c>
      <c r="P1265">
        <v>0</v>
      </c>
      <c r="Q1265">
        <v>0</v>
      </c>
      <c r="R1265">
        <v>0</v>
      </c>
      <c r="S1265">
        <v>0</v>
      </c>
    </row>
    <row r="1266" spans="1:19" hidden="1" x14ac:dyDescent="0.35">
      <c r="A1266">
        <v>57201430502</v>
      </c>
      <c r="B1266" t="s">
        <v>1275</v>
      </c>
      <c r="C1266" t="str">
        <f>_xlfn.XLOOKUP(A1266,[1]Affiliations!$J$2:$J$5328,[1]Affiliations!$K$2:$K$5328,0)</f>
        <v>TRANSPETRO</v>
      </c>
      <c r="D1266">
        <v>2</v>
      </c>
      <c r="E1266">
        <v>0</v>
      </c>
      <c r="F1266">
        <v>0</v>
      </c>
      <c r="G1266">
        <v>0</v>
      </c>
      <c r="H1266">
        <v>0</v>
      </c>
      <c r="P1266">
        <v>0</v>
      </c>
      <c r="Q1266">
        <v>0</v>
      </c>
      <c r="R1266">
        <v>0</v>
      </c>
      <c r="S1266">
        <v>0</v>
      </c>
    </row>
    <row r="1267" spans="1:19" hidden="1" x14ac:dyDescent="0.35">
      <c r="A1267">
        <v>58740633100</v>
      </c>
      <c r="B1267" t="s">
        <v>1276</v>
      </c>
      <c r="C1267" t="str">
        <f>_xlfn.XLOOKUP(A1267,[1]Affiliations!$J$2:$J$5328,[1]Affiliations!$K$2:$K$5328,0)</f>
        <v>Universidade Federal de Alagoas</v>
      </c>
      <c r="D1267">
        <v>1</v>
      </c>
      <c r="E1267">
        <v>7</v>
      </c>
      <c r="F1267">
        <v>7</v>
      </c>
      <c r="G1267">
        <v>1</v>
      </c>
      <c r="H1267">
        <v>0.63</v>
      </c>
      <c r="I1267">
        <v>0</v>
      </c>
      <c r="J1267">
        <v>0</v>
      </c>
      <c r="K1267">
        <v>0</v>
      </c>
      <c r="L1267">
        <v>1</v>
      </c>
      <c r="M1267">
        <v>1</v>
      </c>
      <c r="N1267">
        <v>1</v>
      </c>
      <c r="P1267">
        <v>0</v>
      </c>
      <c r="Q1267">
        <v>0</v>
      </c>
      <c r="R1267">
        <v>0</v>
      </c>
      <c r="S1267">
        <v>0</v>
      </c>
    </row>
    <row r="1268" spans="1:19" hidden="1" x14ac:dyDescent="0.35">
      <c r="A1268">
        <v>16444375900</v>
      </c>
      <c r="B1268" t="s">
        <v>1277</v>
      </c>
      <c r="C1268" t="str">
        <f>_xlfn.XLOOKUP(A1268,[1]Affiliations!$J$2:$J$5328,[1]Affiliations!$K$2:$K$5328,0)</f>
        <v>Universidade Federal do Rio Grande do Sul (+1 more)</v>
      </c>
      <c r="D1268">
        <v>24</v>
      </c>
      <c r="E1268">
        <v>111</v>
      </c>
      <c r="F1268">
        <v>4.625</v>
      </c>
      <c r="G1268">
        <v>13</v>
      </c>
      <c r="H1268">
        <v>0.34</v>
      </c>
      <c r="I1268">
        <v>2</v>
      </c>
      <c r="J1268">
        <v>5</v>
      </c>
      <c r="K1268">
        <v>7</v>
      </c>
      <c r="L1268">
        <v>9</v>
      </c>
      <c r="M1268">
        <v>14</v>
      </c>
      <c r="N1268">
        <v>16</v>
      </c>
      <c r="P1268">
        <v>0</v>
      </c>
      <c r="Q1268">
        <v>0</v>
      </c>
      <c r="R1268">
        <v>0</v>
      </c>
      <c r="S1268">
        <v>2</v>
      </c>
    </row>
    <row r="1269" spans="1:19" x14ac:dyDescent="0.35">
      <c r="A1269">
        <v>57200730805</v>
      </c>
      <c r="B1269" t="s">
        <v>419</v>
      </c>
      <c r="C1269" t="str">
        <f>_xlfn.XLOOKUP(A1269,[1]Affiliations!$J$2:$J$5328,[1]Affiliations!$K$2:$K$5328,0)</f>
        <v>Universidade de São Paulo</v>
      </c>
      <c r="D1269">
        <v>5</v>
      </c>
      <c r="E1269">
        <v>134</v>
      </c>
      <c r="F1269">
        <v>26.8</v>
      </c>
      <c r="G1269">
        <v>5</v>
      </c>
      <c r="H1269">
        <v>1.17</v>
      </c>
      <c r="I1269">
        <v>0</v>
      </c>
      <c r="J1269">
        <v>0</v>
      </c>
      <c r="K1269">
        <v>2</v>
      </c>
      <c r="L1269">
        <v>3</v>
      </c>
      <c r="M1269">
        <v>4</v>
      </c>
      <c r="N1269">
        <v>5</v>
      </c>
      <c r="P1269">
        <v>0</v>
      </c>
      <c r="Q1269">
        <v>1</v>
      </c>
      <c r="R1269">
        <v>2</v>
      </c>
      <c r="S1269">
        <v>2</v>
      </c>
    </row>
    <row r="1270" spans="1:19" hidden="1" x14ac:dyDescent="0.35">
      <c r="A1270">
        <v>58066915400</v>
      </c>
      <c r="B1270" t="s">
        <v>1279</v>
      </c>
      <c r="C1270" t="str">
        <f>_xlfn.XLOOKUP(A1270,[1]Affiliations!$J$2:$J$5328,[1]Affiliations!$K$2:$K$5328,0)</f>
        <v>Federal University of Rio de Janeiro</v>
      </c>
      <c r="D1270">
        <v>3</v>
      </c>
      <c r="E1270">
        <v>11</v>
      </c>
      <c r="F1270">
        <v>3.6666666999999999</v>
      </c>
      <c r="G1270">
        <v>2</v>
      </c>
      <c r="H1270">
        <v>0.17</v>
      </c>
      <c r="I1270">
        <v>0</v>
      </c>
      <c r="J1270">
        <v>0</v>
      </c>
      <c r="K1270">
        <v>0</v>
      </c>
      <c r="L1270">
        <v>1</v>
      </c>
      <c r="M1270">
        <v>1</v>
      </c>
      <c r="N1270">
        <v>1</v>
      </c>
      <c r="P1270">
        <v>0</v>
      </c>
      <c r="Q1270">
        <v>0</v>
      </c>
      <c r="R1270">
        <v>0</v>
      </c>
      <c r="S1270">
        <v>0</v>
      </c>
    </row>
    <row r="1271" spans="1:19" hidden="1" x14ac:dyDescent="0.35">
      <c r="A1271">
        <v>55794610300</v>
      </c>
      <c r="B1271" t="s">
        <v>1280</v>
      </c>
      <c r="C1271" t="str">
        <f>_xlfn.XLOOKUP(A1271,[1]Affiliations!$J$2:$J$5328,[1]Affiliations!$K$2:$K$5328,0)</f>
        <v>Federal University of Rio de Janeiro</v>
      </c>
      <c r="D1271">
        <v>2</v>
      </c>
      <c r="E1271">
        <v>13</v>
      </c>
      <c r="F1271">
        <v>6.5</v>
      </c>
      <c r="G1271">
        <v>2</v>
      </c>
      <c r="H1271">
        <v>0.35</v>
      </c>
      <c r="I1271">
        <v>0</v>
      </c>
      <c r="J1271">
        <v>0</v>
      </c>
      <c r="K1271">
        <v>0</v>
      </c>
      <c r="L1271">
        <v>0</v>
      </c>
      <c r="M1271">
        <v>2</v>
      </c>
      <c r="N1271">
        <v>2</v>
      </c>
      <c r="P1271">
        <v>0</v>
      </c>
      <c r="Q1271">
        <v>0</v>
      </c>
      <c r="R1271">
        <v>0</v>
      </c>
      <c r="S1271">
        <v>0</v>
      </c>
    </row>
    <row r="1272" spans="1:19" hidden="1" x14ac:dyDescent="0.35">
      <c r="A1272">
        <v>57226695264</v>
      </c>
      <c r="B1272" t="s">
        <v>1281</v>
      </c>
      <c r="C1272" t="str">
        <f>_xlfn.XLOOKUP(A1272,[1]Affiliations!$J$2:$J$5328,[1]Affiliations!$K$2:$K$5328,0)</f>
        <v>Universidade Federal de Goiás</v>
      </c>
      <c r="D1272">
        <v>3</v>
      </c>
      <c r="E1272">
        <v>13</v>
      </c>
      <c r="F1272">
        <v>4.3333335000000002</v>
      </c>
      <c r="G1272">
        <v>2</v>
      </c>
      <c r="H1272">
        <v>0.3</v>
      </c>
      <c r="I1272">
        <v>0</v>
      </c>
      <c r="J1272">
        <v>1</v>
      </c>
      <c r="K1272">
        <v>1</v>
      </c>
      <c r="L1272">
        <v>2</v>
      </c>
      <c r="M1272">
        <v>2</v>
      </c>
      <c r="N1272">
        <v>2</v>
      </c>
      <c r="P1272">
        <v>0</v>
      </c>
      <c r="Q1272">
        <v>0</v>
      </c>
      <c r="R1272">
        <v>0</v>
      </c>
      <c r="S1272">
        <v>0</v>
      </c>
    </row>
    <row r="1273" spans="1:19" hidden="1" x14ac:dyDescent="0.35">
      <c r="A1273">
        <v>7102297182</v>
      </c>
      <c r="B1273" t="s">
        <v>1282</v>
      </c>
      <c r="C1273" t="str">
        <f>_xlfn.XLOOKUP(A1273,[1]Affiliations!$J$2:$J$5328,[1]Affiliations!$K$2:$K$5328,0)</f>
        <v>Serviço Nacional de Aprendizagem Industrial</v>
      </c>
      <c r="D1273">
        <v>10</v>
      </c>
      <c r="E1273">
        <v>25</v>
      </c>
      <c r="F1273">
        <v>2.5</v>
      </c>
      <c r="G1273">
        <v>6</v>
      </c>
      <c r="H1273">
        <v>0.38</v>
      </c>
      <c r="I1273">
        <v>0</v>
      </c>
      <c r="J1273">
        <v>0</v>
      </c>
      <c r="K1273">
        <v>2</v>
      </c>
      <c r="L1273">
        <v>3</v>
      </c>
      <c r="M1273">
        <v>4</v>
      </c>
      <c r="N1273">
        <v>5</v>
      </c>
      <c r="P1273">
        <v>0</v>
      </c>
      <c r="Q1273">
        <v>0</v>
      </c>
      <c r="R1273">
        <v>0</v>
      </c>
      <c r="S1273">
        <v>0</v>
      </c>
    </row>
    <row r="1274" spans="1:19" x14ac:dyDescent="0.35">
      <c r="A1274">
        <v>54794879800</v>
      </c>
      <c r="B1274" t="s">
        <v>739</v>
      </c>
      <c r="C1274" t="str">
        <f>_xlfn.XLOOKUP(A1274,[1]Affiliations!$J$2:$J$5328,[1]Affiliations!$K$2:$K$5328,0)</f>
        <v>Federal University of Rio de Janeiro</v>
      </c>
      <c r="D1274">
        <v>13</v>
      </c>
      <c r="E1274">
        <v>172</v>
      </c>
      <c r="F1274">
        <v>13.230769</v>
      </c>
      <c r="G1274">
        <v>7</v>
      </c>
      <c r="H1274">
        <v>1.17</v>
      </c>
      <c r="I1274">
        <v>0</v>
      </c>
      <c r="J1274">
        <v>2</v>
      </c>
      <c r="K1274">
        <v>3</v>
      </c>
      <c r="L1274">
        <v>5</v>
      </c>
      <c r="M1274">
        <v>8</v>
      </c>
      <c r="N1274">
        <v>10</v>
      </c>
      <c r="P1274">
        <v>0</v>
      </c>
      <c r="Q1274">
        <v>2</v>
      </c>
      <c r="R1274">
        <v>2</v>
      </c>
      <c r="S1274">
        <v>4</v>
      </c>
    </row>
    <row r="1275" spans="1:19" hidden="1" x14ac:dyDescent="0.35">
      <c r="A1275">
        <v>57213839177</v>
      </c>
      <c r="B1275" t="s">
        <v>1284</v>
      </c>
      <c r="C1275" t="str">
        <f>_xlfn.XLOOKUP(A1275,[1]Affiliations!$J$2:$J$5328,[1]Affiliations!$K$2:$K$5328,0)</f>
        <v>Federal University of Rio de Janeiro</v>
      </c>
      <c r="D1275">
        <v>5</v>
      </c>
      <c r="E1275">
        <v>24</v>
      </c>
      <c r="F1275">
        <v>4.8</v>
      </c>
      <c r="G1275">
        <v>4</v>
      </c>
      <c r="H1275">
        <v>0.24</v>
      </c>
      <c r="I1275">
        <v>0</v>
      </c>
      <c r="J1275">
        <v>1</v>
      </c>
      <c r="K1275">
        <v>1</v>
      </c>
      <c r="L1275">
        <v>4</v>
      </c>
      <c r="M1275">
        <v>4</v>
      </c>
      <c r="N1275">
        <v>4</v>
      </c>
      <c r="P1275">
        <v>0</v>
      </c>
      <c r="Q1275">
        <v>0</v>
      </c>
      <c r="R1275">
        <v>0</v>
      </c>
      <c r="S1275">
        <v>0</v>
      </c>
    </row>
    <row r="1276" spans="1:19" x14ac:dyDescent="0.35">
      <c r="A1276">
        <v>15073747800</v>
      </c>
      <c r="B1276" t="s">
        <v>1010</v>
      </c>
      <c r="C1276" t="str">
        <f>_xlfn.XLOOKUP(A1276,[1]Affiliations!$J$2:$J$5328,[1]Affiliations!$K$2:$K$5328,0)</f>
        <v>Universidade de São Paulo</v>
      </c>
      <c r="D1276">
        <v>86</v>
      </c>
      <c r="E1276">
        <v>1335</v>
      </c>
      <c r="F1276">
        <v>15.523255000000001</v>
      </c>
      <c r="G1276">
        <v>23</v>
      </c>
      <c r="H1276">
        <v>1.17</v>
      </c>
      <c r="I1276">
        <v>2</v>
      </c>
      <c r="J1276">
        <v>7</v>
      </c>
      <c r="K1276">
        <v>13</v>
      </c>
      <c r="L1276">
        <v>19</v>
      </c>
      <c r="M1276">
        <v>27</v>
      </c>
      <c r="N1276">
        <v>41</v>
      </c>
      <c r="P1276">
        <v>2</v>
      </c>
      <c r="Q1276">
        <v>5</v>
      </c>
      <c r="R1276">
        <v>6</v>
      </c>
      <c r="S1276">
        <v>19</v>
      </c>
    </row>
    <row r="1277" spans="1:19" x14ac:dyDescent="0.35">
      <c r="A1277">
        <v>56905411000</v>
      </c>
      <c r="B1277" t="s">
        <v>1505</v>
      </c>
      <c r="C1277" t="str">
        <f>_xlfn.XLOOKUP(A1277,[1]Affiliations!$J$2:$J$5328,[1]Affiliations!$K$2:$K$5328,0)</f>
        <v>Federal University of Rio de Janeiro</v>
      </c>
      <c r="D1277">
        <v>13</v>
      </c>
      <c r="E1277">
        <v>331</v>
      </c>
      <c r="F1277">
        <v>25.461538000000001</v>
      </c>
      <c r="G1277">
        <v>7</v>
      </c>
      <c r="H1277">
        <v>1.17</v>
      </c>
      <c r="I1277">
        <v>0</v>
      </c>
      <c r="J1277">
        <v>3</v>
      </c>
      <c r="K1277">
        <v>4</v>
      </c>
      <c r="L1277">
        <v>6</v>
      </c>
      <c r="M1277">
        <v>11</v>
      </c>
      <c r="N1277">
        <v>12</v>
      </c>
      <c r="P1277">
        <v>0</v>
      </c>
      <c r="Q1277">
        <v>2</v>
      </c>
      <c r="R1277">
        <v>3</v>
      </c>
      <c r="S1277">
        <v>6</v>
      </c>
    </row>
    <row r="1278" spans="1:19" hidden="1" x14ac:dyDescent="0.35">
      <c r="A1278">
        <v>55942335400</v>
      </c>
      <c r="B1278" t="s">
        <v>1287</v>
      </c>
      <c r="C1278" t="str">
        <f>_xlfn.XLOOKUP(A1278,[1]Affiliations!$J$2:$J$5328,[1]Affiliations!$K$2:$K$5328,0)</f>
        <v>Vizlab - X-Reality and GeoInformatics Lab (+1 more)</v>
      </c>
      <c r="D1278">
        <v>13</v>
      </c>
      <c r="E1278">
        <v>58</v>
      </c>
      <c r="F1278">
        <v>4.4615383</v>
      </c>
      <c r="G1278">
        <v>4</v>
      </c>
      <c r="H1278">
        <v>0.39</v>
      </c>
      <c r="I1278">
        <v>0</v>
      </c>
      <c r="J1278">
        <v>0</v>
      </c>
      <c r="K1278">
        <v>5</v>
      </c>
      <c r="L1278">
        <v>7</v>
      </c>
      <c r="M1278">
        <v>10</v>
      </c>
      <c r="N1278">
        <v>11</v>
      </c>
      <c r="P1278">
        <v>0</v>
      </c>
      <c r="Q1278">
        <v>0</v>
      </c>
      <c r="R1278">
        <v>0</v>
      </c>
      <c r="S1278">
        <v>1</v>
      </c>
    </row>
    <row r="1279" spans="1:19" hidden="1" x14ac:dyDescent="0.35">
      <c r="A1279">
        <v>53879403200</v>
      </c>
      <c r="B1279" t="s">
        <v>1288</v>
      </c>
      <c r="C1279" t="str">
        <f>_xlfn.XLOOKUP(A1279,[1]Affiliations!$J$2:$J$5328,[1]Affiliations!$K$2:$K$5328,0)</f>
        <v>Universidade Federal de Santa Maria</v>
      </c>
      <c r="D1279">
        <v>19</v>
      </c>
      <c r="E1279">
        <v>244</v>
      </c>
      <c r="F1279">
        <v>12.842105</v>
      </c>
      <c r="G1279">
        <v>12</v>
      </c>
      <c r="H1279">
        <v>0.65</v>
      </c>
      <c r="I1279">
        <v>0</v>
      </c>
      <c r="J1279">
        <v>2</v>
      </c>
      <c r="K1279">
        <v>6</v>
      </c>
      <c r="L1279">
        <v>9</v>
      </c>
      <c r="M1279">
        <v>15</v>
      </c>
      <c r="N1279">
        <v>18</v>
      </c>
      <c r="P1279">
        <v>0</v>
      </c>
      <c r="Q1279">
        <v>0</v>
      </c>
      <c r="R1279">
        <v>0</v>
      </c>
      <c r="S1279">
        <v>3</v>
      </c>
    </row>
    <row r="1280" spans="1:19" x14ac:dyDescent="0.35">
      <c r="A1280">
        <v>35611272000</v>
      </c>
      <c r="B1280" t="s">
        <v>1660</v>
      </c>
      <c r="C1280" t="str">
        <f>_xlfn.XLOOKUP(A1280,[1]Affiliations!$J$2:$J$5328,[1]Affiliations!$K$2:$K$5328,0)</f>
        <v>University of Campinas</v>
      </c>
      <c r="D1280">
        <v>103</v>
      </c>
      <c r="E1280">
        <v>2522</v>
      </c>
      <c r="F1280">
        <v>24.485437000000001</v>
      </c>
      <c r="G1280">
        <v>37</v>
      </c>
      <c r="H1280">
        <v>1.17</v>
      </c>
      <c r="I1280">
        <v>2</v>
      </c>
      <c r="J1280">
        <v>16</v>
      </c>
      <c r="K1280">
        <v>32</v>
      </c>
      <c r="L1280">
        <v>58</v>
      </c>
      <c r="M1280">
        <v>78</v>
      </c>
      <c r="N1280">
        <v>95</v>
      </c>
      <c r="P1280">
        <v>0</v>
      </c>
      <c r="Q1280">
        <v>5</v>
      </c>
      <c r="R1280">
        <v>19</v>
      </c>
      <c r="S1280">
        <v>56</v>
      </c>
    </row>
    <row r="1281" spans="1:19" hidden="1" x14ac:dyDescent="0.35">
      <c r="A1281">
        <v>48360967300</v>
      </c>
      <c r="B1281" t="s">
        <v>1290</v>
      </c>
      <c r="C1281" t="str">
        <f>_xlfn.XLOOKUP(A1281,[1]Affiliations!$J$2:$J$5328,[1]Affiliations!$K$2:$K$5328,0)</f>
        <v>University of Campinas</v>
      </c>
      <c r="D1281">
        <v>25</v>
      </c>
      <c r="E1281">
        <v>164</v>
      </c>
      <c r="F1281">
        <v>6.56</v>
      </c>
      <c r="G1281">
        <v>10</v>
      </c>
      <c r="H1281">
        <v>0.56999999999999995</v>
      </c>
      <c r="I1281">
        <v>0</v>
      </c>
      <c r="J1281">
        <v>3</v>
      </c>
      <c r="K1281">
        <v>4</v>
      </c>
      <c r="L1281">
        <v>6</v>
      </c>
      <c r="M1281">
        <v>10</v>
      </c>
      <c r="N1281">
        <v>17</v>
      </c>
      <c r="P1281">
        <v>0</v>
      </c>
      <c r="Q1281">
        <v>0</v>
      </c>
      <c r="R1281">
        <v>0</v>
      </c>
      <c r="S1281">
        <v>0</v>
      </c>
    </row>
    <row r="1282" spans="1:19" hidden="1" x14ac:dyDescent="0.35">
      <c r="A1282">
        <v>57218172190</v>
      </c>
      <c r="B1282" t="s">
        <v>1291</v>
      </c>
      <c r="C1282" t="str">
        <f>_xlfn.XLOOKUP(A1282,[1]Affiliations!$J$2:$J$5328,[1]Affiliations!$K$2:$K$5328,0)</f>
        <v>Federal University of Santa Catarina</v>
      </c>
      <c r="D1282">
        <v>4</v>
      </c>
      <c r="E1282">
        <v>45</v>
      </c>
      <c r="F1282">
        <v>11.25</v>
      </c>
      <c r="G1282">
        <v>4</v>
      </c>
      <c r="H1282">
        <v>0.63</v>
      </c>
      <c r="I1282">
        <v>0</v>
      </c>
      <c r="J1282">
        <v>0</v>
      </c>
      <c r="K1282">
        <v>2</v>
      </c>
      <c r="L1282">
        <v>4</v>
      </c>
      <c r="M1282">
        <v>4</v>
      </c>
      <c r="N1282">
        <v>4</v>
      </c>
      <c r="P1282">
        <v>0</v>
      </c>
      <c r="Q1282">
        <v>0</v>
      </c>
      <c r="R1282">
        <v>0</v>
      </c>
      <c r="S1282">
        <v>2</v>
      </c>
    </row>
    <row r="1283" spans="1:19" hidden="1" x14ac:dyDescent="0.35">
      <c r="A1283">
        <v>57218369943</v>
      </c>
      <c r="B1283" t="s">
        <v>1292</v>
      </c>
      <c r="C1283" t="str">
        <f>_xlfn.XLOOKUP(A1283,[1]Affiliations!$J$2:$J$5328,[1]Affiliations!$K$2:$K$5328,0)</f>
        <v>NIDF (+1 more)</v>
      </c>
      <c r="D1283">
        <v>3</v>
      </c>
      <c r="E1283">
        <v>14</v>
      </c>
      <c r="F1283">
        <v>4.6666664999999998</v>
      </c>
      <c r="G1283">
        <v>1</v>
      </c>
      <c r="H1283">
        <v>0.23</v>
      </c>
      <c r="I1283">
        <v>0</v>
      </c>
      <c r="J1283">
        <v>0</v>
      </c>
      <c r="K1283">
        <v>1</v>
      </c>
      <c r="L1283">
        <v>1</v>
      </c>
      <c r="M1283">
        <v>1</v>
      </c>
      <c r="N1283">
        <v>1</v>
      </c>
      <c r="P1283">
        <v>0</v>
      </c>
      <c r="Q1283">
        <v>0</v>
      </c>
      <c r="R1283">
        <v>0</v>
      </c>
      <c r="S1283">
        <v>0</v>
      </c>
    </row>
    <row r="1284" spans="1:19" hidden="1" x14ac:dyDescent="0.35">
      <c r="A1284">
        <v>55608561100</v>
      </c>
      <c r="B1284" t="s">
        <v>1293</v>
      </c>
      <c r="C1284" t="str">
        <f>_xlfn.XLOOKUP(A1284,[1]Affiliations!$J$2:$J$5328,[1]Affiliations!$K$2:$K$5328,0)</f>
        <v>Universidade Tecnológica Federal do Paraná</v>
      </c>
      <c r="D1284">
        <v>4</v>
      </c>
      <c r="E1284">
        <v>24</v>
      </c>
      <c r="F1284">
        <v>6</v>
      </c>
      <c r="G1284">
        <v>3</v>
      </c>
      <c r="H1284">
        <v>0.36</v>
      </c>
      <c r="I1284">
        <v>0</v>
      </c>
      <c r="J1284">
        <v>1</v>
      </c>
      <c r="K1284">
        <v>2</v>
      </c>
      <c r="L1284">
        <v>2</v>
      </c>
      <c r="M1284">
        <v>2</v>
      </c>
      <c r="N1284">
        <v>3</v>
      </c>
      <c r="P1284">
        <v>0</v>
      </c>
      <c r="Q1284">
        <v>0</v>
      </c>
      <c r="R1284">
        <v>0</v>
      </c>
      <c r="S1284">
        <v>0</v>
      </c>
    </row>
    <row r="1285" spans="1:19" x14ac:dyDescent="0.35">
      <c r="A1285">
        <v>57195625097</v>
      </c>
      <c r="B1285" t="s">
        <v>2050</v>
      </c>
      <c r="C1285" t="str">
        <f>_xlfn.XLOOKUP(A1285,[1]Affiliations!$J$2:$J$5328,[1]Affiliations!$K$2:$K$5328,0)</f>
        <v>Universidade Federal de Pelotas</v>
      </c>
      <c r="D1285">
        <v>37</v>
      </c>
      <c r="E1285">
        <v>550</v>
      </c>
      <c r="F1285">
        <v>14.864865</v>
      </c>
      <c r="G1285">
        <v>14</v>
      </c>
      <c r="H1285">
        <v>1.17</v>
      </c>
      <c r="I1285">
        <v>0</v>
      </c>
      <c r="J1285">
        <v>1</v>
      </c>
      <c r="K1285">
        <v>6</v>
      </c>
      <c r="L1285">
        <v>26</v>
      </c>
      <c r="M1285">
        <v>32</v>
      </c>
      <c r="N1285">
        <v>34</v>
      </c>
      <c r="P1285">
        <v>0</v>
      </c>
      <c r="Q1285">
        <v>2</v>
      </c>
      <c r="R1285">
        <v>4</v>
      </c>
      <c r="S1285">
        <v>20</v>
      </c>
    </row>
    <row r="1286" spans="1:19" hidden="1" x14ac:dyDescent="0.35">
      <c r="A1286">
        <v>57193577883</v>
      </c>
      <c r="B1286" t="s">
        <v>1295</v>
      </c>
      <c r="C1286" t="str">
        <f>_xlfn.XLOOKUP(A1286,[1]Affiliations!$J$2:$J$5328,[1]Affiliations!$K$2:$K$5328,0)</f>
        <v>Universidade Federal de Juiz de Fora</v>
      </c>
      <c r="D1286">
        <v>6</v>
      </c>
      <c r="E1286">
        <v>58</v>
      </c>
      <c r="F1286">
        <v>9.6666670000000003</v>
      </c>
      <c r="G1286">
        <v>4</v>
      </c>
      <c r="H1286">
        <v>0.65</v>
      </c>
      <c r="I1286">
        <v>0</v>
      </c>
      <c r="J1286">
        <v>0</v>
      </c>
      <c r="K1286">
        <v>1</v>
      </c>
      <c r="L1286">
        <v>2</v>
      </c>
      <c r="M1286">
        <v>5</v>
      </c>
      <c r="N1286">
        <v>5</v>
      </c>
      <c r="P1286">
        <v>0</v>
      </c>
      <c r="Q1286">
        <v>0</v>
      </c>
      <c r="R1286">
        <v>0</v>
      </c>
      <c r="S1286">
        <v>2</v>
      </c>
    </row>
    <row r="1287" spans="1:19" hidden="1" x14ac:dyDescent="0.35">
      <c r="A1287">
        <v>36815772600</v>
      </c>
      <c r="B1287" t="s">
        <v>1296</v>
      </c>
      <c r="C1287" t="str">
        <f>_xlfn.XLOOKUP(A1287,[1]Affiliations!$J$2:$J$5328,[1]Affiliations!$K$2:$K$5328,0)</f>
        <v>Brazilian Navy</v>
      </c>
      <c r="D1287">
        <v>2</v>
      </c>
      <c r="E1287">
        <v>25</v>
      </c>
      <c r="F1287">
        <v>12.5</v>
      </c>
      <c r="G1287">
        <v>3</v>
      </c>
      <c r="H1287">
        <v>0.16</v>
      </c>
      <c r="I1287">
        <v>0</v>
      </c>
      <c r="J1287">
        <v>0</v>
      </c>
      <c r="K1287">
        <v>1</v>
      </c>
      <c r="L1287">
        <v>1</v>
      </c>
      <c r="M1287">
        <v>1</v>
      </c>
      <c r="N1287">
        <v>1</v>
      </c>
      <c r="P1287">
        <v>0</v>
      </c>
      <c r="Q1287">
        <v>0</v>
      </c>
      <c r="R1287">
        <v>0</v>
      </c>
      <c r="S1287">
        <v>0</v>
      </c>
    </row>
    <row r="1288" spans="1:19" hidden="1" x14ac:dyDescent="0.35">
      <c r="A1288">
        <v>59158085300</v>
      </c>
      <c r="B1288" t="s">
        <v>1297</v>
      </c>
      <c r="C1288" t="str">
        <f>_xlfn.XLOOKUP(A1288,[1]Affiliations!$J$2:$J$5328,[1]Affiliations!$K$2:$K$5328,0)</f>
        <v>Federal University of Rio de Janeiro</v>
      </c>
      <c r="D1288">
        <v>10</v>
      </c>
      <c r="E1288">
        <v>81</v>
      </c>
      <c r="F1288">
        <v>8.1</v>
      </c>
      <c r="G1288">
        <v>8</v>
      </c>
      <c r="H1288">
        <v>0.81</v>
      </c>
      <c r="I1288">
        <v>0</v>
      </c>
      <c r="J1288">
        <v>1</v>
      </c>
      <c r="K1288">
        <v>2</v>
      </c>
      <c r="L1288">
        <v>6</v>
      </c>
      <c r="M1288">
        <v>7</v>
      </c>
      <c r="N1288">
        <v>8</v>
      </c>
      <c r="P1288">
        <v>0</v>
      </c>
      <c r="Q1288">
        <v>0</v>
      </c>
      <c r="R1288">
        <v>0</v>
      </c>
      <c r="S1288">
        <v>2</v>
      </c>
    </row>
    <row r="1289" spans="1:19" hidden="1" x14ac:dyDescent="0.35">
      <c r="A1289">
        <v>57203929077</v>
      </c>
      <c r="B1289" t="s">
        <v>1298</v>
      </c>
      <c r="C1289" t="str">
        <f>_xlfn.XLOOKUP(A1289,[1]Affiliations!$J$2:$J$5328,[1]Affiliations!$K$2:$K$5328,0)</f>
        <v>Universidade Federal Rural do Rio de Janeiro</v>
      </c>
      <c r="D1289">
        <v>1</v>
      </c>
      <c r="E1289">
        <v>15</v>
      </c>
      <c r="F1289">
        <v>15</v>
      </c>
      <c r="G1289">
        <v>1</v>
      </c>
      <c r="H1289">
        <v>0.64</v>
      </c>
      <c r="I1289">
        <v>0</v>
      </c>
      <c r="J1289">
        <v>0</v>
      </c>
      <c r="K1289">
        <v>0</v>
      </c>
      <c r="L1289">
        <v>1</v>
      </c>
      <c r="M1289">
        <v>1</v>
      </c>
      <c r="N1289">
        <v>1</v>
      </c>
      <c r="P1289">
        <v>0</v>
      </c>
      <c r="Q1289">
        <v>0</v>
      </c>
      <c r="R1289">
        <v>0</v>
      </c>
      <c r="S1289">
        <v>0</v>
      </c>
    </row>
    <row r="1290" spans="1:19" x14ac:dyDescent="0.35">
      <c r="A1290">
        <v>35605771500</v>
      </c>
      <c r="B1290" t="s">
        <v>2227</v>
      </c>
      <c r="C1290" t="str">
        <f>_xlfn.XLOOKUP(A1290,[1]Affiliations!$J$2:$J$5328,[1]Affiliations!$K$2:$K$5328,0)</f>
        <v>Universidade Federal de Santa Maria (+1 more)</v>
      </c>
      <c r="D1290">
        <v>224</v>
      </c>
      <c r="E1290">
        <v>5891</v>
      </c>
      <c r="F1290">
        <v>26.299106999999999</v>
      </c>
      <c r="G1290">
        <v>60</v>
      </c>
      <c r="H1290">
        <v>1.17</v>
      </c>
      <c r="I1290">
        <v>2</v>
      </c>
      <c r="J1290">
        <v>56</v>
      </c>
      <c r="K1290">
        <v>93</v>
      </c>
      <c r="L1290">
        <v>162</v>
      </c>
      <c r="M1290">
        <v>203</v>
      </c>
      <c r="N1290">
        <v>212</v>
      </c>
      <c r="P1290">
        <v>1</v>
      </c>
      <c r="Q1290">
        <v>17</v>
      </c>
      <c r="R1290">
        <v>47</v>
      </c>
      <c r="S1290">
        <v>116</v>
      </c>
    </row>
    <row r="1291" spans="1:19" hidden="1" x14ac:dyDescent="0.35">
      <c r="A1291">
        <v>55240199400</v>
      </c>
      <c r="B1291" t="s">
        <v>1300</v>
      </c>
      <c r="C1291" t="str">
        <f>_xlfn.XLOOKUP(A1291,[1]Affiliations!$J$2:$J$5328,[1]Affiliations!$K$2:$K$5328,0)</f>
        <v>Universidade Federal do Espírito Santo</v>
      </c>
      <c r="D1291">
        <v>1</v>
      </c>
      <c r="E1291">
        <v>6</v>
      </c>
      <c r="F1291">
        <v>6</v>
      </c>
      <c r="G1291">
        <v>4</v>
      </c>
      <c r="H1291">
        <v>0.16</v>
      </c>
      <c r="I1291">
        <v>0</v>
      </c>
      <c r="J1291">
        <v>1</v>
      </c>
      <c r="K1291">
        <v>1</v>
      </c>
      <c r="L1291">
        <v>1</v>
      </c>
      <c r="M1291">
        <v>1</v>
      </c>
      <c r="N1291">
        <v>1</v>
      </c>
      <c r="P1291">
        <v>0</v>
      </c>
      <c r="Q1291">
        <v>0</v>
      </c>
      <c r="R1291">
        <v>0</v>
      </c>
      <c r="S1291">
        <v>0</v>
      </c>
    </row>
    <row r="1292" spans="1:19" hidden="1" x14ac:dyDescent="0.35">
      <c r="A1292">
        <v>57200297805</v>
      </c>
      <c r="B1292" t="s">
        <v>1301</v>
      </c>
      <c r="C1292" t="str">
        <f>_xlfn.XLOOKUP(A1292,[1]Affiliations!$J$2:$J$5328,[1]Affiliations!$K$2:$K$5328,0)</f>
        <v>Universidade Tecnológica Federal do Paraná</v>
      </c>
      <c r="D1292">
        <v>9</v>
      </c>
      <c r="E1292">
        <v>65</v>
      </c>
      <c r="F1292">
        <v>7.2222223000000003</v>
      </c>
      <c r="G1292">
        <v>4</v>
      </c>
      <c r="H1292">
        <v>0.53</v>
      </c>
      <c r="I1292">
        <v>1</v>
      </c>
      <c r="J1292">
        <v>1</v>
      </c>
      <c r="K1292">
        <v>2</v>
      </c>
      <c r="L1292">
        <v>5</v>
      </c>
      <c r="M1292">
        <v>5</v>
      </c>
      <c r="N1292">
        <v>5</v>
      </c>
      <c r="P1292">
        <v>0</v>
      </c>
      <c r="Q1292">
        <v>0</v>
      </c>
      <c r="R1292">
        <v>0</v>
      </c>
      <c r="S1292">
        <v>2</v>
      </c>
    </row>
    <row r="1293" spans="1:19" x14ac:dyDescent="0.35">
      <c r="A1293">
        <v>7004185972</v>
      </c>
      <c r="B1293" t="s">
        <v>2760</v>
      </c>
      <c r="C1293" t="str">
        <f>_xlfn.XLOOKUP(A1293,[1]Affiliations!$J$2:$J$5328,[1]Affiliations!$K$2:$K$5328,0)</f>
        <v>Universidade Federal de Minas Gerais</v>
      </c>
      <c r="D1293">
        <v>85</v>
      </c>
      <c r="E1293">
        <v>2219</v>
      </c>
      <c r="F1293">
        <v>26.105882999999999</v>
      </c>
      <c r="G1293">
        <v>30</v>
      </c>
      <c r="H1293">
        <v>1.17</v>
      </c>
      <c r="I1293">
        <v>4</v>
      </c>
      <c r="J1293">
        <v>12</v>
      </c>
      <c r="K1293">
        <v>27</v>
      </c>
      <c r="L1293">
        <v>66</v>
      </c>
      <c r="M1293">
        <v>83</v>
      </c>
      <c r="N1293">
        <v>85</v>
      </c>
      <c r="P1293">
        <v>1</v>
      </c>
      <c r="Q1293">
        <v>5</v>
      </c>
      <c r="R1293">
        <v>14</v>
      </c>
      <c r="S1293">
        <v>45</v>
      </c>
    </row>
    <row r="1294" spans="1:19" hidden="1" x14ac:dyDescent="0.35">
      <c r="A1294">
        <v>6507972942</v>
      </c>
      <c r="B1294" t="s">
        <v>1303</v>
      </c>
      <c r="C1294" t="str">
        <f>_xlfn.XLOOKUP(A1294,[1]Affiliations!$J$2:$J$5328,[1]Affiliations!$K$2:$K$5328,0)</f>
        <v>Federal University of Rio de Janeiro</v>
      </c>
      <c r="D1294">
        <v>4</v>
      </c>
      <c r="E1294">
        <v>40</v>
      </c>
      <c r="F1294">
        <v>10</v>
      </c>
      <c r="G1294">
        <v>4</v>
      </c>
      <c r="H1294">
        <v>1.1200000000000001</v>
      </c>
      <c r="I1294">
        <v>0</v>
      </c>
      <c r="J1294">
        <v>0</v>
      </c>
      <c r="K1294">
        <v>0</v>
      </c>
      <c r="L1294">
        <v>0</v>
      </c>
      <c r="M1294">
        <v>2</v>
      </c>
      <c r="N1294">
        <v>4</v>
      </c>
      <c r="P1294">
        <v>0</v>
      </c>
      <c r="Q1294">
        <v>0</v>
      </c>
      <c r="R1294">
        <v>1</v>
      </c>
      <c r="S1294">
        <v>1</v>
      </c>
    </row>
    <row r="1295" spans="1:19" hidden="1" x14ac:dyDescent="0.35">
      <c r="A1295">
        <v>57224106219</v>
      </c>
      <c r="B1295" t="s">
        <v>1304</v>
      </c>
      <c r="C1295" t="str">
        <f>_xlfn.XLOOKUP(A1295,[1]Affiliations!$J$2:$J$5328,[1]Affiliations!$K$2:$K$5328,0)</f>
        <v>Federal University of Rio de Janeiro</v>
      </c>
      <c r="D1295">
        <v>1</v>
      </c>
      <c r="E1295">
        <v>22</v>
      </c>
      <c r="F1295">
        <v>22</v>
      </c>
      <c r="G1295">
        <v>1</v>
      </c>
      <c r="H1295">
        <v>1.02</v>
      </c>
      <c r="I1295">
        <v>0</v>
      </c>
      <c r="J1295">
        <v>1</v>
      </c>
      <c r="K1295">
        <v>1</v>
      </c>
      <c r="L1295">
        <v>1</v>
      </c>
      <c r="M1295">
        <v>1</v>
      </c>
      <c r="N1295">
        <v>1</v>
      </c>
      <c r="P1295">
        <v>0</v>
      </c>
      <c r="Q1295">
        <v>0</v>
      </c>
      <c r="R1295">
        <v>0</v>
      </c>
      <c r="S1295">
        <v>1</v>
      </c>
    </row>
    <row r="1296" spans="1:19" hidden="1" x14ac:dyDescent="0.35">
      <c r="A1296">
        <v>46861129100</v>
      </c>
      <c r="B1296" t="s">
        <v>1305</v>
      </c>
      <c r="C1296" t="str">
        <f>_xlfn.XLOOKUP(A1296,[1]Affiliations!$J$2:$J$5328,[1]Affiliations!$K$2:$K$5328,0)</f>
        <v>Pontifical Catholic University of Rio de Janeiro</v>
      </c>
      <c r="D1296">
        <v>5</v>
      </c>
      <c r="E1296">
        <v>44</v>
      </c>
      <c r="F1296">
        <v>8.8000000000000007</v>
      </c>
      <c r="G1296">
        <v>6</v>
      </c>
      <c r="H1296">
        <v>0.42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1</v>
      </c>
      <c r="P1296">
        <v>0</v>
      </c>
      <c r="Q1296">
        <v>0</v>
      </c>
      <c r="R1296">
        <v>0</v>
      </c>
      <c r="S1296">
        <v>0</v>
      </c>
    </row>
    <row r="1297" spans="1:19" hidden="1" x14ac:dyDescent="0.35">
      <c r="A1297">
        <v>58758272000</v>
      </c>
      <c r="B1297" t="s">
        <v>1306</v>
      </c>
      <c r="C1297" t="str">
        <f>_xlfn.XLOOKUP(A1297,[1]Affiliations!$J$2:$J$5328,[1]Affiliations!$K$2:$K$5328,0)</f>
        <v>Federal University of Santa Catarina</v>
      </c>
      <c r="D1297">
        <v>1</v>
      </c>
      <c r="E1297">
        <v>4</v>
      </c>
      <c r="F1297">
        <v>4</v>
      </c>
      <c r="G1297">
        <v>1</v>
      </c>
      <c r="H1297">
        <v>0.49</v>
      </c>
      <c r="I1297">
        <v>0</v>
      </c>
      <c r="J1297">
        <v>1</v>
      </c>
      <c r="K1297">
        <v>1</v>
      </c>
      <c r="L1297">
        <v>1</v>
      </c>
      <c r="M1297">
        <v>1</v>
      </c>
      <c r="N1297">
        <v>1</v>
      </c>
      <c r="P1297">
        <v>0</v>
      </c>
      <c r="Q1297">
        <v>0</v>
      </c>
      <c r="R1297">
        <v>0</v>
      </c>
      <c r="S1297">
        <v>0</v>
      </c>
    </row>
    <row r="1298" spans="1:19" x14ac:dyDescent="0.35">
      <c r="A1298">
        <v>57193913494</v>
      </c>
      <c r="B1298" t="s">
        <v>2903</v>
      </c>
      <c r="C1298" t="str">
        <f>_xlfn.XLOOKUP(A1298,[1]Affiliations!$J$2:$J$5328,[1]Affiliations!$K$2:$K$5328,0)</f>
        <v>University of Campinas (+5 more)</v>
      </c>
      <c r="D1298">
        <v>53</v>
      </c>
      <c r="E1298">
        <v>994</v>
      </c>
      <c r="F1298">
        <v>18.754716999999999</v>
      </c>
      <c r="G1298">
        <v>24</v>
      </c>
      <c r="H1298">
        <v>1.17</v>
      </c>
      <c r="I1298">
        <v>6</v>
      </c>
      <c r="J1298">
        <v>19</v>
      </c>
      <c r="K1298">
        <v>34</v>
      </c>
      <c r="L1298">
        <v>43</v>
      </c>
      <c r="M1298">
        <v>45</v>
      </c>
      <c r="N1298">
        <v>45</v>
      </c>
      <c r="P1298">
        <v>1</v>
      </c>
      <c r="Q1298">
        <v>4</v>
      </c>
      <c r="R1298">
        <v>5</v>
      </c>
      <c r="S1298">
        <v>24</v>
      </c>
    </row>
    <row r="1299" spans="1:19" hidden="1" x14ac:dyDescent="0.35">
      <c r="A1299">
        <v>58527534100</v>
      </c>
      <c r="B1299" t="s">
        <v>1308</v>
      </c>
      <c r="C1299" t="str">
        <f>_xlfn.XLOOKUP(A1299,[1]Affiliations!$J$2:$J$5328,[1]Affiliations!$K$2:$K$5328,0)</f>
        <v>Núcleo de Estudo em Sistemas Coloidais (NUESC) / Instituto de Tecnologia e Pesquisa (ITP)</v>
      </c>
      <c r="D1299">
        <v>1</v>
      </c>
      <c r="E1299">
        <v>9</v>
      </c>
      <c r="F1299">
        <v>9</v>
      </c>
      <c r="G1299">
        <v>1</v>
      </c>
      <c r="H1299">
        <v>1.55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1</v>
      </c>
      <c r="P1299">
        <v>0</v>
      </c>
      <c r="Q1299">
        <v>0</v>
      </c>
      <c r="R1299">
        <v>0</v>
      </c>
      <c r="S1299">
        <v>1</v>
      </c>
    </row>
    <row r="1300" spans="1:19" hidden="1" x14ac:dyDescent="0.35">
      <c r="A1300">
        <v>59510928500</v>
      </c>
      <c r="B1300" t="s">
        <v>1309</v>
      </c>
      <c r="C1300" t="str">
        <f>_xlfn.XLOOKUP(A1300,[1]Affiliations!$J$2:$J$5328,[1]Affiliations!$K$2:$K$5328,0)</f>
        <v>Universidade Federal Fluminense</v>
      </c>
      <c r="D1300">
        <v>1</v>
      </c>
      <c r="E1300">
        <v>0</v>
      </c>
      <c r="F1300">
        <v>0</v>
      </c>
      <c r="G1300">
        <v>1</v>
      </c>
      <c r="H1300">
        <v>0</v>
      </c>
      <c r="P1300">
        <v>0</v>
      </c>
      <c r="Q1300">
        <v>0</v>
      </c>
      <c r="R1300">
        <v>0</v>
      </c>
      <c r="S1300">
        <v>0</v>
      </c>
    </row>
    <row r="1301" spans="1:19" hidden="1" x14ac:dyDescent="0.35">
      <c r="A1301">
        <v>59158377900</v>
      </c>
      <c r="B1301" t="s">
        <v>1310</v>
      </c>
      <c r="C1301" t="str">
        <f>_xlfn.XLOOKUP(A1301,[1]Affiliations!$J$2:$J$5328,[1]Affiliations!$K$2:$K$5328,0)</f>
        <v>Pontifical Catholic University of Rio de Janeiro</v>
      </c>
      <c r="D1301">
        <v>5</v>
      </c>
      <c r="E1301">
        <v>10</v>
      </c>
      <c r="F1301">
        <v>2</v>
      </c>
      <c r="G1301">
        <v>3</v>
      </c>
      <c r="H1301">
        <v>0.28000000000000003</v>
      </c>
      <c r="I1301">
        <v>0</v>
      </c>
      <c r="J1301">
        <v>0</v>
      </c>
      <c r="K1301">
        <v>0</v>
      </c>
      <c r="L1301">
        <v>0</v>
      </c>
      <c r="M1301">
        <v>1</v>
      </c>
      <c r="N1301">
        <v>2</v>
      </c>
      <c r="P1301">
        <v>0</v>
      </c>
      <c r="Q1301">
        <v>0</v>
      </c>
      <c r="R1301">
        <v>0</v>
      </c>
      <c r="S1301">
        <v>0</v>
      </c>
    </row>
    <row r="1302" spans="1:19" x14ac:dyDescent="0.35">
      <c r="A1302">
        <v>56946489700</v>
      </c>
      <c r="B1302" t="s">
        <v>3240</v>
      </c>
      <c r="C1302" t="str">
        <f>_xlfn.XLOOKUP(A1302,[1]Affiliations!$J$2:$J$5328,[1]Affiliations!$K$2:$K$5328,0)</f>
        <v>University of Campinas (+2 more)</v>
      </c>
      <c r="D1302">
        <v>28</v>
      </c>
      <c r="E1302">
        <v>978</v>
      </c>
      <c r="F1302">
        <v>34.928570000000001</v>
      </c>
      <c r="G1302">
        <v>18</v>
      </c>
      <c r="H1302">
        <v>1.17</v>
      </c>
      <c r="I1302">
        <v>6</v>
      </c>
      <c r="J1302">
        <v>16</v>
      </c>
      <c r="K1302">
        <v>24</v>
      </c>
      <c r="L1302">
        <v>26</v>
      </c>
      <c r="M1302">
        <v>28</v>
      </c>
      <c r="N1302">
        <v>28</v>
      </c>
      <c r="P1302">
        <v>0</v>
      </c>
      <c r="Q1302">
        <v>4</v>
      </c>
      <c r="R1302">
        <v>12</v>
      </c>
      <c r="S1302">
        <v>21</v>
      </c>
    </row>
    <row r="1303" spans="1:19" x14ac:dyDescent="0.35">
      <c r="A1303">
        <v>37111086700</v>
      </c>
      <c r="B1303" t="s">
        <v>3333</v>
      </c>
      <c r="C1303" t="str">
        <f>_xlfn.XLOOKUP(A1303,[1]Affiliations!$J$2:$J$5328,[1]Affiliations!$K$2:$K$5328,0)</f>
        <v>Universidade Estadual de Maringá</v>
      </c>
      <c r="D1303">
        <v>12</v>
      </c>
      <c r="E1303">
        <v>508</v>
      </c>
      <c r="F1303">
        <v>42.333331999999999</v>
      </c>
      <c r="G1303">
        <v>12</v>
      </c>
      <c r="H1303">
        <v>1.17</v>
      </c>
      <c r="I1303">
        <v>0</v>
      </c>
      <c r="J1303">
        <v>0</v>
      </c>
      <c r="K1303">
        <v>3</v>
      </c>
      <c r="L1303">
        <v>9</v>
      </c>
      <c r="M1303">
        <v>11</v>
      </c>
      <c r="N1303">
        <v>12</v>
      </c>
      <c r="P1303">
        <v>0</v>
      </c>
      <c r="Q1303">
        <v>2</v>
      </c>
      <c r="R1303">
        <v>5</v>
      </c>
      <c r="S1303">
        <v>9</v>
      </c>
    </row>
    <row r="1304" spans="1:19" hidden="1" x14ac:dyDescent="0.35">
      <c r="A1304">
        <v>56646180500</v>
      </c>
      <c r="B1304" t="s">
        <v>1313</v>
      </c>
      <c r="C1304" t="str">
        <f>_xlfn.XLOOKUP(A1304,[1]Affiliations!$J$2:$J$5328,[1]Affiliations!$K$2:$K$5328,0)</f>
        <v>Universidade Federal de Uberlândia</v>
      </c>
      <c r="D1304">
        <v>6</v>
      </c>
      <c r="E1304">
        <v>16</v>
      </c>
      <c r="F1304">
        <v>2.6666666999999999</v>
      </c>
      <c r="G1304">
        <v>2</v>
      </c>
      <c r="H1304">
        <v>0.06</v>
      </c>
      <c r="I1304">
        <v>0</v>
      </c>
      <c r="J1304">
        <v>0</v>
      </c>
      <c r="K1304">
        <v>0</v>
      </c>
      <c r="L1304">
        <v>1</v>
      </c>
      <c r="M1304">
        <v>2</v>
      </c>
      <c r="N1304">
        <v>3</v>
      </c>
      <c r="P1304">
        <v>0</v>
      </c>
      <c r="Q1304">
        <v>0</v>
      </c>
      <c r="R1304">
        <v>0</v>
      </c>
      <c r="S1304">
        <v>0</v>
      </c>
    </row>
    <row r="1305" spans="1:19" hidden="1" x14ac:dyDescent="0.35">
      <c r="A1305">
        <v>57191414672</v>
      </c>
      <c r="B1305" t="s">
        <v>1314</v>
      </c>
      <c r="C1305" t="str">
        <f>_xlfn.XLOOKUP(A1305,[1]Affiliations!$J$2:$J$5328,[1]Affiliations!$K$2:$K$5328,0)</f>
        <v>Universidade Federal do Rio Grande do Sul (+1 more)</v>
      </c>
      <c r="D1305">
        <v>14</v>
      </c>
      <c r="E1305">
        <v>210</v>
      </c>
      <c r="F1305">
        <v>15</v>
      </c>
      <c r="G1305">
        <v>9</v>
      </c>
      <c r="H1305">
        <v>0.66</v>
      </c>
      <c r="I1305">
        <v>0</v>
      </c>
      <c r="J1305">
        <v>0</v>
      </c>
      <c r="K1305">
        <v>4</v>
      </c>
      <c r="L1305">
        <v>8</v>
      </c>
      <c r="M1305">
        <v>9</v>
      </c>
      <c r="N1305">
        <v>13</v>
      </c>
      <c r="P1305">
        <v>0</v>
      </c>
      <c r="Q1305">
        <v>0</v>
      </c>
      <c r="R1305">
        <v>0</v>
      </c>
      <c r="S1305">
        <v>4</v>
      </c>
    </row>
    <row r="1306" spans="1:19" hidden="1" x14ac:dyDescent="0.35">
      <c r="A1306">
        <v>55806764200</v>
      </c>
      <c r="B1306" t="s">
        <v>1315</v>
      </c>
      <c r="C1306" t="str">
        <f>_xlfn.XLOOKUP(A1306,[1]Affiliations!$J$2:$J$5328,[1]Affiliations!$K$2:$K$5328,0)</f>
        <v>Federal University of Santa Catarina</v>
      </c>
      <c r="D1306">
        <v>4</v>
      </c>
      <c r="E1306">
        <v>19</v>
      </c>
      <c r="F1306">
        <v>4.75</v>
      </c>
      <c r="G1306">
        <v>3</v>
      </c>
      <c r="H1306">
        <v>0.35</v>
      </c>
      <c r="I1306">
        <v>0</v>
      </c>
      <c r="J1306">
        <v>0</v>
      </c>
      <c r="K1306">
        <v>1</v>
      </c>
      <c r="L1306">
        <v>1</v>
      </c>
      <c r="M1306">
        <v>1</v>
      </c>
      <c r="N1306">
        <v>2</v>
      </c>
      <c r="P1306">
        <v>0</v>
      </c>
      <c r="Q1306">
        <v>0</v>
      </c>
      <c r="R1306">
        <v>0</v>
      </c>
      <c r="S1306">
        <v>1</v>
      </c>
    </row>
    <row r="1307" spans="1:19" hidden="1" x14ac:dyDescent="0.35">
      <c r="A1307">
        <v>50960937600</v>
      </c>
      <c r="B1307" t="s">
        <v>1316</v>
      </c>
      <c r="C1307" t="str">
        <f>_xlfn.XLOOKUP(A1307,[1]Affiliations!$J$2:$J$5328,[1]Affiliations!$K$2:$K$5328,0)</f>
        <v>University of Campinas</v>
      </c>
      <c r="D1307">
        <v>12</v>
      </c>
      <c r="E1307">
        <v>68</v>
      </c>
      <c r="F1307">
        <v>5.6666664999999998</v>
      </c>
      <c r="G1307">
        <v>5</v>
      </c>
      <c r="H1307">
        <v>0.99</v>
      </c>
      <c r="I1307">
        <v>0</v>
      </c>
      <c r="J1307">
        <v>0</v>
      </c>
      <c r="K1307">
        <v>2</v>
      </c>
      <c r="L1307">
        <v>3</v>
      </c>
      <c r="M1307">
        <v>3</v>
      </c>
      <c r="N1307">
        <v>4</v>
      </c>
      <c r="P1307">
        <v>0</v>
      </c>
      <c r="Q1307">
        <v>0</v>
      </c>
      <c r="R1307">
        <v>0</v>
      </c>
      <c r="S1307">
        <v>0</v>
      </c>
    </row>
    <row r="1308" spans="1:19" hidden="1" x14ac:dyDescent="0.35">
      <c r="A1308">
        <v>6507369527</v>
      </c>
      <c r="B1308" t="s">
        <v>1317</v>
      </c>
      <c r="C1308" t="str">
        <f>_xlfn.XLOOKUP(A1308,[1]Affiliations!$J$2:$J$5328,[1]Affiliations!$K$2:$K$5328,0)</f>
        <v>Universidade Federal do Rio Grande do Sul</v>
      </c>
      <c r="D1308">
        <v>22</v>
      </c>
      <c r="E1308">
        <v>171</v>
      </c>
      <c r="F1308">
        <v>7.7727275000000002</v>
      </c>
      <c r="G1308">
        <v>10</v>
      </c>
      <c r="H1308">
        <v>0.42</v>
      </c>
      <c r="I1308">
        <v>0</v>
      </c>
      <c r="J1308">
        <v>4</v>
      </c>
      <c r="K1308">
        <v>6</v>
      </c>
      <c r="L1308">
        <v>7</v>
      </c>
      <c r="M1308">
        <v>17</v>
      </c>
      <c r="N1308">
        <v>20</v>
      </c>
      <c r="P1308">
        <v>0</v>
      </c>
      <c r="Q1308">
        <v>0</v>
      </c>
      <c r="R1308">
        <v>0</v>
      </c>
      <c r="S1308">
        <v>2</v>
      </c>
    </row>
    <row r="1309" spans="1:19" hidden="1" x14ac:dyDescent="0.35">
      <c r="A1309">
        <v>59251055200</v>
      </c>
      <c r="B1309" t="s">
        <v>1318</v>
      </c>
      <c r="C1309" t="str">
        <f>_xlfn.XLOOKUP(A1309,[1]Affiliations!$J$2:$J$5328,[1]Affiliations!$K$2:$K$5328,0)</f>
        <v>Universidade Federal de Minas Gerais</v>
      </c>
      <c r="D1309">
        <v>1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</v>
      </c>
      <c r="N1309">
        <v>1</v>
      </c>
      <c r="P1309">
        <v>0</v>
      </c>
      <c r="Q1309">
        <v>0</v>
      </c>
      <c r="R1309">
        <v>0</v>
      </c>
      <c r="S1309">
        <v>0</v>
      </c>
    </row>
    <row r="1310" spans="1:19" x14ac:dyDescent="0.35">
      <c r="A1310">
        <v>56042814800</v>
      </c>
      <c r="B1310" t="s">
        <v>3507</v>
      </c>
      <c r="C1310" t="str">
        <f>_xlfn.XLOOKUP(A1310,[1]Affiliations!$J$2:$J$5328,[1]Affiliations!$K$2:$K$5328,0)</f>
        <v>Federal University of Santa Catarina</v>
      </c>
      <c r="D1310">
        <v>12</v>
      </c>
      <c r="E1310">
        <v>231</v>
      </c>
      <c r="F1310">
        <v>19.25</v>
      </c>
      <c r="G1310">
        <v>7</v>
      </c>
      <c r="H1310">
        <v>1.17</v>
      </c>
      <c r="I1310">
        <v>1</v>
      </c>
      <c r="J1310">
        <v>3</v>
      </c>
      <c r="K1310">
        <v>4</v>
      </c>
      <c r="L1310">
        <v>7</v>
      </c>
      <c r="M1310">
        <v>7</v>
      </c>
      <c r="N1310">
        <v>7</v>
      </c>
      <c r="P1310">
        <v>0</v>
      </c>
      <c r="Q1310">
        <v>0</v>
      </c>
      <c r="R1310">
        <v>2</v>
      </c>
      <c r="S1310">
        <v>3</v>
      </c>
    </row>
    <row r="1311" spans="1:19" x14ac:dyDescent="0.35">
      <c r="A1311">
        <v>7006556583</v>
      </c>
      <c r="B1311" t="s">
        <v>3998</v>
      </c>
      <c r="C1311" t="str">
        <f>_xlfn.XLOOKUP(A1311,[1]Affiliations!$J$2:$J$5328,[1]Affiliations!$K$2:$K$5328,0)</f>
        <v>Universidade Estadual de Ponta Grossa</v>
      </c>
      <c r="D1311">
        <v>78</v>
      </c>
      <c r="E1311">
        <v>1761</v>
      </c>
      <c r="F1311">
        <v>22.576923000000001</v>
      </c>
      <c r="G1311">
        <v>30</v>
      </c>
      <c r="H1311">
        <v>1.17</v>
      </c>
      <c r="I1311">
        <v>3</v>
      </c>
      <c r="J1311">
        <v>20</v>
      </c>
      <c r="K1311">
        <v>28</v>
      </c>
      <c r="L1311">
        <v>45</v>
      </c>
      <c r="M1311">
        <v>57</v>
      </c>
      <c r="N1311">
        <v>71</v>
      </c>
      <c r="P1311">
        <v>2</v>
      </c>
      <c r="Q1311">
        <v>7</v>
      </c>
      <c r="R1311">
        <v>13</v>
      </c>
      <c r="S1311">
        <v>25</v>
      </c>
    </row>
    <row r="1312" spans="1:19" hidden="1" x14ac:dyDescent="0.35">
      <c r="A1312">
        <v>56094458600</v>
      </c>
      <c r="B1312" t="s">
        <v>1321</v>
      </c>
      <c r="C1312" t="str">
        <f>_xlfn.XLOOKUP(A1312,[1]Affiliations!$J$2:$J$5328,[1]Affiliations!$K$2:$K$5328,0)</f>
        <v>Engineering Simulation and Scientific Software (+1 more)</v>
      </c>
      <c r="D1312">
        <v>3</v>
      </c>
      <c r="E1312">
        <v>8</v>
      </c>
      <c r="F1312">
        <v>2.6666666999999999</v>
      </c>
      <c r="G1312">
        <v>4</v>
      </c>
      <c r="H1312">
        <v>0.34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P1312">
        <v>0</v>
      </c>
      <c r="Q1312">
        <v>0</v>
      </c>
      <c r="R1312">
        <v>0</v>
      </c>
      <c r="S1312">
        <v>0</v>
      </c>
    </row>
    <row r="1313" spans="1:19" hidden="1" x14ac:dyDescent="0.35">
      <c r="A1313">
        <v>9240696100</v>
      </c>
      <c r="B1313" t="s">
        <v>1322</v>
      </c>
      <c r="C1313" t="str">
        <f>_xlfn.XLOOKUP(A1313,[1]Affiliations!$J$2:$J$5328,[1]Affiliations!$K$2:$K$5328,0)</f>
        <v>Federal University of Rio de Janeiro</v>
      </c>
      <c r="D1313">
        <v>5</v>
      </c>
      <c r="E1313">
        <v>32</v>
      </c>
      <c r="F1313">
        <v>6.4</v>
      </c>
      <c r="G1313">
        <v>5</v>
      </c>
      <c r="H1313">
        <v>0.49</v>
      </c>
      <c r="I1313">
        <v>0</v>
      </c>
      <c r="J1313">
        <v>1</v>
      </c>
      <c r="K1313">
        <v>2</v>
      </c>
      <c r="L1313">
        <v>3</v>
      </c>
      <c r="M1313">
        <v>5</v>
      </c>
      <c r="N1313">
        <v>5</v>
      </c>
      <c r="P1313">
        <v>0</v>
      </c>
      <c r="Q1313">
        <v>0</v>
      </c>
      <c r="R1313">
        <v>0</v>
      </c>
      <c r="S1313">
        <v>0</v>
      </c>
    </row>
    <row r="1314" spans="1:19" x14ac:dyDescent="0.35">
      <c r="A1314">
        <v>35497256600</v>
      </c>
      <c r="B1314" t="s">
        <v>4788</v>
      </c>
      <c r="C1314" t="str">
        <f>_xlfn.XLOOKUP(A1314,[1]Affiliations!$J$2:$J$5328,[1]Affiliations!$K$2:$K$5328,0)</f>
        <v>INSTITUTO DE MACROMOLÉCULAS PROFESSORA ELOISA MANO – UFRJ (+1 more)</v>
      </c>
      <c r="D1314">
        <v>142</v>
      </c>
      <c r="E1314">
        <v>3218</v>
      </c>
      <c r="F1314">
        <v>22.661971999999999</v>
      </c>
      <c r="G1314">
        <v>48</v>
      </c>
      <c r="H1314">
        <v>1.17</v>
      </c>
      <c r="I1314">
        <v>0</v>
      </c>
      <c r="J1314">
        <v>8</v>
      </c>
      <c r="K1314">
        <v>29</v>
      </c>
      <c r="L1314">
        <v>75</v>
      </c>
      <c r="M1314">
        <v>123</v>
      </c>
      <c r="N1314">
        <v>135</v>
      </c>
      <c r="P1314">
        <v>0</v>
      </c>
      <c r="Q1314">
        <v>6</v>
      </c>
      <c r="R1314">
        <v>25</v>
      </c>
      <c r="S1314">
        <v>80</v>
      </c>
    </row>
    <row r="1315" spans="1:19" hidden="1" x14ac:dyDescent="0.35">
      <c r="A1315">
        <v>59654151400</v>
      </c>
      <c r="B1315" t="s">
        <v>1324</v>
      </c>
      <c r="C1315" t="str">
        <f>_xlfn.XLOOKUP(A1315,[1]Affiliations!$J$2:$J$5328,[1]Affiliations!$K$2:$K$5328,0)</f>
        <v>Universidade Federal do Rio Grande do Norte</v>
      </c>
      <c r="D1315">
        <v>0</v>
      </c>
      <c r="G1315">
        <v>1</v>
      </c>
    </row>
    <row r="1316" spans="1:19" hidden="1" x14ac:dyDescent="0.35">
      <c r="A1316">
        <v>57209368504</v>
      </c>
      <c r="B1316" t="s">
        <v>1325</v>
      </c>
      <c r="C1316" t="str">
        <f>_xlfn.XLOOKUP(A1316,[1]Affiliations!$J$2:$J$5328,[1]Affiliations!$K$2:$K$5328,0)</f>
        <v>National Department of Transport Infrastructure (+1 more)</v>
      </c>
      <c r="D1316">
        <v>2</v>
      </c>
      <c r="E1316">
        <v>37</v>
      </c>
      <c r="F1316">
        <v>18.5</v>
      </c>
      <c r="G1316">
        <v>2</v>
      </c>
      <c r="H1316">
        <v>1.01</v>
      </c>
      <c r="I1316">
        <v>0</v>
      </c>
      <c r="J1316">
        <v>0</v>
      </c>
      <c r="K1316">
        <v>0</v>
      </c>
      <c r="L1316">
        <v>1</v>
      </c>
      <c r="M1316">
        <v>1</v>
      </c>
      <c r="N1316">
        <v>2</v>
      </c>
      <c r="P1316">
        <v>0</v>
      </c>
      <c r="Q1316">
        <v>0</v>
      </c>
      <c r="R1316">
        <v>0</v>
      </c>
      <c r="S1316">
        <v>1</v>
      </c>
    </row>
    <row r="1317" spans="1:19" hidden="1" x14ac:dyDescent="0.35">
      <c r="A1317">
        <v>57211853743</v>
      </c>
      <c r="B1317" t="s">
        <v>1326</v>
      </c>
      <c r="C1317" t="str">
        <f>_xlfn.XLOOKUP(A1317,[1]Affiliations!$J$2:$J$5328,[1]Affiliations!$K$2:$K$5328,0)</f>
        <v>Universidade de Brasília (+1 more)</v>
      </c>
      <c r="D1317">
        <v>7</v>
      </c>
      <c r="E1317">
        <v>35</v>
      </c>
      <c r="F1317">
        <v>5</v>
      </c>
      <c r="G1317">
        <v>4</v>
      </c>
      <c r="H1317">
        <v>0.45</v>
      </c>
      <c r="I1317">
        <v>0</v>
      </c>
      <c r="J1317">
        <v>1</v>
      </c>
      <c r="K1317">
        <v>1</v>
      </c>
      <c r="L1317">
        <v>3</v>
      </c>
      <c r="M1317">
        <v>6</v>
      </c>
      <c r="N1317">
        <v>7</v>
      </c>
      <c r="P1317">
        <v>0</v>
      </c>
      <c r="Q1317">
        <v>0</v>
      </c>
      <c r="R1317">
        <v>0</v>
      </c>
      <c r="S1317">
        <v>0</v>
      </c>
    </row>
    <row r="1318" spans="1:19" hidden="1" x14ac:dyDescent="0.35">
      <c r="A1318">
        <v>57197873459</v>
      </c>
      <c r="B1318" t="s">
        <v>1327</v>
      </c>
      <c r="C1318" t="str">
        <f>_xlfn.XLOOKUP(A1318,[1]Affiliations!$J$2:$J$5328,[1]Affiliations!$K$2:$K$5328,0)</f>
        <v>Universidade Federal do Rio Grande do Norte</v>
      </c>
      <c r="D1318">
        <v>2</v>
      </c>
      <c r="E1318">
        <v>3</v>
      </c>
      <c r="F1318">
        <v>1.5</v>
      </c>
      <c r="G1318">
        <v>2</v>
      </c>
      <c r="H1318">
        <v>0.38</v>
      </c>
      <c r="I1318">
        <v>0</v>
      </c>
      <c r="J1318">
        <v>1</v>
      </c>
      <c r="K1318">
        <v>1</v>
      </c>
      <c r="L1318">
        <v>1</v>
      </c>
      <c r="M1318">
        <v>1</v>
      </c>
      <c r="N1318">
        <v>1</v>
      </c>
      <c r="P1318">
        <v>0</v>
      </c>
      <c r="Q1318">
        <v>0</v>
      </c>
      <c r="R1318">
        <v>0</v>
      </c>
      <c r="S1318">
        <v>0</v>
      </c>
    </row>
    <row r="1319" spans="1:19" x14ac:dyDescent="0.35">
      <c r="A1319">
        <v>56548788200</v>
      </c>
      <c r="B1319" t="s">
        <v>4876</v>
      </c>
      <c r="C1319" t="str">
        <f>_xlfn.XLOOKUP(A1319,[1]Affiliations!$J$2:$J$5328,[1]Affiliations!$K$2:$K$5328,0)</f>
        <v>Universidade Federal do Rio Grande do Norte</v>
      </c>
      <c r="D1319">
        <v>8</v>
      </c>
      <c r="E1319">
        <v>113</v>
      </c>
      <c r="F1319">
        <v>14.125</v>
      </c>
      <c r="G1319">
        <v>4</v>
      </c>
      <c r="H1319">
        <v>1.17</v>
      </c>
      <c r="I1319">
        <v>0</v>
      </c>
      <c r="J1319">
        <v>2</v>
      </c>
      <c r="K1319">
        <v>3</v>
      </c>
      <c r="L1319">
        <v>3</v>
      </c>
      <c r="M1319">
        <v>7</v>
      </c>
      <c r="N1319">
        <v>7</v>
      </c>
      <c r="P1319">
        <v>0</v>
      </c>
      <c r="Q1319">
        <v>1</v>
      </c>
      <c r="R1319">
        <v>1</v>
      </c>
      <c r="S1319">
        <v>1</v>
      </c>
    </row>
    <row r="1320" spans="1:19" hidden="1" x14ac:dyDescent="0.35">
      <c r="A1320">
        <v>6602758274</v>
      </c>
      <c r="B1320" t="s">
        <v>1329</v>
      </c>
      <c r="C1320" t="str">
        <f>_xlfn.XLOOKUP(A1320,[1]Affiliations!$J$2:$J$5328,[1]Affiliations!$K$2:$K$5328,0)</f>
        <v>Federal University of Rio de Janeiro</v>
      </c>
      <c r="D1320">
        <v>23</v>
      </c>
      <c r="E1320">
        <v>71</v>
      </c>
      <c r="F1320">
        <v>3.0869564999999999</v>
      </c>
      <c r="G1320">
        <v>8</v>
      </c>
      <c r="H1320">
        <v>0.28999999999999998</v>
      </c>
      <c r="I1320">
        <v>0</v>
      </c>
      <c r="J1320">
        <v>4</v>
      </c>
      <c r="K1320">
        <v>6</v>
      </c>
      <c r="L1320">
        <v>9</v>
      </c>
      <c r="M1320">
        <v>14</v>
      </c>
      <c r="N1320">
        <v>15</v>
      </c>
      <c r="P1320">
        <v>0</v>
      </c>
      <c r="Q1320">
        <v>0</v>
      </c>
      <c r="R1320">
        <v>0</v>
      </c>
      <c r="S1320">
        <v>1</v>
      </c>
    </row>
    <row r="1321" spans="1:19" x14ac:dyDescent="0.35">
      <c r="A1321">
        <v>6701599601</v>
      </c>
      <c r="B1321" t="s">
        <v>5153</v>
      </c>
      <c r="C1321" t="str">
        <f>_xlfn.XLOOKUP(A1321,[1]Affiliations!$J$2:$J$5328,[1]Affiliations!$K$2:$K$5328,0)</f>
        <v>Federal University of Rio de Janeiro</v>
      </c>
      <c r="D1321">
        <v>79</v>
      </c>
      <c r="E1321">
        <v>2058</v>
      </c>
      <c r="F1321">
        <v>26.050632</v>
      </c>
      <c r="G1321">
        <v>38</v>
      </c>
      <c r="H1321">
        <v>1.17</v>
      </c>
      <c r="I1321">
        <v>1</v>
      </c>
      <c r="J1321">
        <v>2</v>
      </c>
      <c r="K1321">
        <v>18</v>
      </c>
      <c r="L1321">
        <v>46</v>
      </c>
      <c r="M1321">
        <v>64</v>
      </c>
      <c r="N1321">
        <v>67</v>
      </c>
      <c r="P1321">
        <v>1</v>
      </c>
      <c r="Q1321">
        <v>10</v>
      </c>
      <c r="R1321">
        <v>18</v>
      </c>
      <c r="S1321">
        <v>38</v>
      </c>
    </row>
    <row r="1322" spans="1:19" hidden="1" x14ac:dyDescent="0.35">
      <c r="A1322">
        <v>23070246900</v>
      </c>
      <c r="B1322" t="s">
        <v>1331</v>
      </c>
      <c r="C1322" t="str">
        <f>_xlfn.XLOOKUP(A1322,[1]Affiliations!$J$2:$J$5328,[1]Affiliations!$K$2:$K$5328,0)</f>
        <v>Instituto Nacional de Metrologia, Qualidade e Tecnologia</v>
      </c>
      <c r="D1322">
        <v>9</v>
      </c>
      <c r="E1322">
        <v>141</v>
      </c>
      <c r="F1322">
        <v>15.666667</v>
      </c>
      <c r="G1322">
        <v>19</v>
      </c>
      <c r="H1322">
        <v>0.61</v>
      </c>
      <c r="I1322">
        <v>0</v>
      </c>
      <c r="J1322">
        <v>0</v>
      </c>
      <c r="K1322">
        <v>2</v>
      </c>
      <c r="L1322">
        <v>7</v>
      </c>
      <c r="M1322">
        <v>8</v>
      </c>
      <c r="N1322">
        <v>8</v>
      </c>
      <c r="P1322">
        <v>0</v>
      </c>
      <c r="Q1322">
        <v>0</v>
      </c>
      <c r="R1322">
        <v>0</v>
      </c>
      <c r="S1322">
        <v>2</v>
      </c>
    </row>
    <row r="1323" spans="1:19" x14ac:dyDescent="0.35">
      <c r="A1323">
        <v>57210601087</v>
      </c>
      <c r="B1323" t="s">
        <v>450</v>
      </c>
      <c r="C1323" t="str">
        <f>_xlfn.XLOOKUP(A1323,[1]Affiliations!$J$2:$J$5328,[1]Affiliations!$K$2:$K$5328,0)</f>
        <v>Federal University of Santa Catarina</v>
      </c>
      <c r="D1323">
        <v>12</v>
      </c>
      <c r="E1323">
        <v>217</v>
      </c>
      <c r="F1323">
        <v>18.083334000000001</v>
      </c>
      <c r="G1323">
        <v>8</v>
      </c>
      <c r="H1323">
        <v>1.1599999999999999</v>
      </c>
      <c r="I1323">
        <v>0</v>
      </c>
      <c r="J1323">
        <v>1</v>
      </c>
      <c r="K1323">
        <v>3</v>
      </c>
      <c r="L1323">
        <v>7</v>
      </c>
      <c r="M1323">
        <v>12</v>
      </c>
      <c r="N1323">
        <v>12</v>
      </c>
      <c r="P1323">
        <v>0</v>
      </c>
      <c r="Q1323">
        <v>1</v>
      </c>
      <c r="R1323">
        <v>2</v>
      </c>
      <c r="S1323">
        <v>6</v>
      </c>
    </row>
    <row r="1324" spans="1:19" hidden="1" x14ac:dyDescent="0.35">
      <c r="A1324">
        <v>25228208100</v>
      </c>
      <c r="B1324" t="s">
        <v>1333</v>
      </c>
      <c r="C1324" t="str">
        <f>_xlfn.XLOOKUP(A1324,[1]Affiliations!$J$2:$J$5328,[1]Affiliations!$K$2:$K$5328,0)</f>
        <v>Universidade Federal de Goiás</v>
      </c>
      <c r="D1324">
        <v>1</v>
      </c>
      <c r="E1324">
        <v>14</v>
      </c>
      <c r="F1324">
        <v>14</v>
      </c>
      <c r="G1324">
        <v>1</v>
      </c>
      <c r="H1324">
        <v>0.97</v>
      </c>
      <c r="I1324">
        <v>0</v>
      </c>
      <c r="J1324">
        <v>0</v>
      </c>
      <c r="K1324">
        <v>0</v>
      </c>
      <c r="L1324">
        <v>0</v>
      </c>
      <c r="M1324">
        <v>1</v>
      </c>
      <c r="N1324">
        <v>1</v>
      </c>
      <c r="P1324">
        <v>0</v>
      </c>
      <c r="Q1324">
        <v>0</v>
      </c>
      <c r="R1324">
        <v>0</v>
      </c>
      <c r="S1324">
        <v>0</v>
      </c>
    </row>
    <row r="1325" spans="1:19" hidden="1" x14ac:dyDescent="0.35">
      <c r="A1325">
        <v>36628061800</v>
      </c>
      <c r="B1325" t="s">
        <v>1334</v>
      </c>
      <c r="C1325" t="str">
        <f>_xlfn.XLOOKUP(A1325,[1]Affiliations!$J$2:$J$5328,[1]Affiliations!$K$2:$K$5328,0)</f>
        <v>Fundação Gorceix (+1 more)</v>
      </c>
      <c r="D1325">
        <v>0</v>
      </c>
      <c r="G1325">
        <v>1</v>
      </c>
    </row>
    <row r="1326" spans="1:19" hidden="1" x14ac:dyDescent="0.35">
      <c r="A1326">
        <v>57216926282</v>
      </c>
      <c r="B1326" t="s">
        <v>1335</v>
      </c>
      <c r="C1326" t="str">
        <f>_xlfn.XLOOKUP(A1326,[1]Affiliations!$J$2:$J$5328,[1]Affiliations!$K$2:$K$5328,0)</f>
        <v>Federal University of Rio de Janeiro</v>
      </c>
      <c r="D1326">
        <v>1</v>
      </c>
      <c r="E1326">
        <v>10</v>
      </c>
      <c r="F1326">
        <v>10</v>
      </c>
      <c r="G1326">
        <v>1</v>
      </c>
      <c r="H1326">
        <v>0.28999999999999998</v>
      </c>
      <c r="I1326">
        <v>0</v>
      </c>
      <c r="J1326">
        <v>0</v>
      </c>
      <c r="K1326">
        <v>0</v>
      </c>
      <c r="L1326">
        <v>0</v>
      </c>
      <c r="M1326">
        <v>1</v>
      </c>
      <c r="N1326">
        <v>1</v>
      </c>
      <c r="P1326">
        <v>0</v>
      </c>
      <c r="Q1326">
        <v>0</v>
      </c>
      <c r="R1326">
        <v>0</v>
      </c>
      <c r="S1326">
        <v>0</v>
      </c>
    </row>
    <row r="1327" spans="1:19" hidden="1" x14ac:dyDescent="0.35">
      <c r="A1327">
        <v>57491478100</v>
      </c>
      <c r="B1327" t="s">
        <v>1336</v>
      </c>
      <c r="C1327" t="str">
        <f>_xlfn.XLOOKUP(A1327,[1]Affiliations!$J$2:$J$5328,[1]Affiliations!$K$2:$K$5328,0)</f>
        <v>University of Campinas (+1 more)</v>
      </c>
      <c r="D1327">
        <v>4</v>
      </c>
      <c r="E1327">
        <v>36</v>
      </c>
      <c r="F1327">
        <v>9</v>
      </c>
      <c r="G1327">
        <v>4</v>
      </c>
      <c r="H1327">
        <v>0.86</v>
      </c>
      <c r="I1327">
        <v>0</v>
      </c>
      <c r="J1327">
        <v>0</v>
      </c>
      <c r="K1327">
        <v>1</v>
      </c>
      <c r="L1327">
        <v>4</v>
      </c>
      <c r="M1327">
        <v>4</v>
      </c>
      <c r="N1327">
        <v>4</v>
      </c>
      <c r="P1327">
        <v>0</v>
      </c>
      <c r="Q1327">
        <v>0</v>
      </c>
      <c r="R1327">
        <v>0</v>
      </c>
      <c r="S1327">
        <v>3</v>
      </c>
    </row>
    <row r="1328" spans="1:19" hidden="1" x14ac:dyDescent="0.35">
      <c r="A1328">
        <v>57662657200</v>
      </c>
      <c r="B1328" t="s">
        <v>1337</v>
      </c>
      <c r="C1328" t="str">
        <f>_xlfn.XLOOKUP(A1328,[1]Affiliations!$J$2:$J$5328,[1]Affiliations!$K$2:$K$5328,0)</f>
        <v>Universidade de São Paulo</v>
      </c>
      <c r="D1328">
        <v>3</v>
      </c>
      <c r="E1328">
        <v>44</v>
      </c>
      <c r="F1328">
        <v>14.666667</v>
      </c>
      <c r="G1328">
        <v>2</v>
      </c>
      <c r="H1328">
        <v>1.05</v>
      </c>
      <c r="I1328">
        <v>0</v>
      </c>
      <c r="J1328">
        <v>0</v>
      </c>
      <c r="K1328">
        <v>2</v>
      </c>
      <c r="L1328">
        <v>3</v>
      </c>
      <c r="M1328">
        <v>3</v>
      </c>
      <c r="N1328">
        <v>3</v>
      </c>
      <c r="P1328">
        <v>0</v>
      </c>
      <c r="Q1328">
        <v>0</v>
      </c>
      <c r="R1328">
        <v>0</v>
      </c>
      <c r="S1328">
        <v>1</v>
      </c>
    </row>
    <row r="1329" spans="1:19" hidden="1" x14ac:dyDescent="0.35">
      <c r="A1329">
        <v>57665530200</v>
      </c>
      <c r="B1329" t="s">
        <v>1338</v>
      </c>
      <c r="C1329" t="str">
        <f>_xlfn.XLOOKUP(A1329,[1]Affiliations!$J$2:$J$5328,[1]Affiliations!$K$2:$K$5328,0)</f>
        <v>Universidade Federal de Goiás</v>
      </c>
      <c r="D1329">
        <v>1</v>
      </c>
      <c r="E1329">
        <v>3</v>
      </c>
      <c r="F1329">
        <v>3</v>
      </c>
      <c r="G1329">
        <v>1</v>
      </c>
      <c r="H1329">
        <v>0.41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P1329">
        <v>0</v>
      </c>
      <c r="Q1329">
        <v>0</v>
      </c>
      <c r="R1329">
        <v>0</v>
      </c>
      <c r="S1329">
        <v>0</v>
      </c>
    </row>
    <row r="1330" spans="1:19" hidden="1" x14ac:dyDescent="0.35">
      <c r="A1330">
        <v>57202211209</v>
      </c>
      <c r="B1330" t="s">
        <v>1339</v>
      </c>
      <c r="C1330" t="str">
        <f>_xlfn.XLOOKUP(A1330,[1]Affiliations!$J$2:$J$5328,[1]Affiliations!$K$2:$K$5328,0)</f>
        <v>Universidade Federal de Goiás</v>
      </c>
      <c r="D1330">
        <v>8</v>
      </c>
      <c r="E1330">
        <v>148</v>
      </c>
      <c r="F1330">
        <v>18.5</v>
      </c>
      <c r="G1330">
        <v>7</v>
      </c>
      <c r="H1330">
        <v>0.89</v>
      </c>
      <c r="I1330">
        <v>0</v>
      </c>
      <c r="J1330">
        <v>5</v>
      </c>
      <c r="K1330">
        <v>8</v>
      </c>
      <c r="L1330">
        <v>8</v>
      </c>
      <c r="M1330">
        <v>8</v>
      </c>
      <c r="N1330">
        <v>8</v>
      </c>
      <c r="P1330">
        <v>0</v>
      </c>
      <c r="Q1330">
        <v>0</v>
      </c>
      <c r="R1330">
        <v>0</v>
      </c>
      <c r="S1330">
        <v>4</v>
      </c>
    </row>
    <row r="1331" spans="1:19" hidden="1" x14ac:dyDescent="0.35">
      <c r="A1331">
        <v>57210389065</v>
      </c>
      <c r="B1331" t="s">
        <v>1340</v>
      </c>
      <c r="C1331" t="str">
        <f>_xlfn.XLOOKUP(A1331,[1]Affiliations!$J$2:$J$5328,[1]Affiliations!$K$2:$K$5328,0)</f>
        <v>Federal University of Rio de Janeiro</v>
      </c>
      <c r="D1331">
        <v>2</v>
      </c>
      <c r="E1331">
        <v>22</v>
      </c>
      <c r="F1331">
        <v>11</v>
      </c>
      <c r="G1331">
        <v>2</v>
      </c>
      <c r="H1331">
        <v>0.42</v>
      </c>
      <c r="I1331">
        <v>0</v>
      </c>
      <c r="J1331">
        <v>1</v>
      </c>
      <c r="K1331">
        <v>1</v>
      </c>
      <c r="L1331">
        <v>1</v>
      </c>
      <c r="M1331">
        <v>1</v>
      </c>
      <c r="N1331">
        <v>2</v>
      </c>
      <c r="P1331">
        <v>0</v>
      </c>
      <c r="Q1331">
        <v>0</v>
      </c>
      <c r="R1331">
        <v>0</v>
      </c>
      <c r="S1331">
        <v>0</v>
      </c>
    </row>
    <row r="1332" spans="1:19" hidden="1" x14ac:dyDescent="0.35">
      <c r="A1332">
        <v>57222276929</v>
      </c>
      <c r="B1332" t="s">
        <v>1341</v>
      </c>
      <c r="C1332" t="str">
        <f>_xlfn.XLOOKUP(A1332,[1]Affiliations!$J$2:$J$5328,[1]Affiliations!$K$2:$K$5328,0)</f>
        <v>Federal University of Rio de Janeiro</v>
      </c>
      <c r="D1332">
        <v>3</v>
      </c>
      <c r="E1332">
        <v>24</v>
      </c>
      <c r="F1332">
        <v>8</v>
      </c>
      <c r="G1332">
        <v>3</v>
      </c>
      <c r="H1332">
        <v>0.41</v>
      </c>
      <c r="I1332">
        <v>0</v>
      </c>
      <c r="J1332">
        <v>2</v>
      </c>
      <c r="K1332">
        <v>3</v>
      </c>
      <c r="L1332">
        <v>3</v>
      </c>
      <c r="M1332">
        <v>3</v>
      </c>
      <c r="N1332">
        <v>3</v>
      </c>
      <c r="P1332">
        <v>0</v>
      </c>
      <c r="Q1332">
        <v>0</v>
      </c>
      <c r="R1332">
        <v>0</v>
      </c>
      <c r="S1332">
        <v>0</v>
      </c>
    </row>
    <row r="1333" spans="1:19" x14ac:dyDescent="0.35">
      <c r="A1333">
        <v>57196410594</v>
      </c>
      <c r="B1333" t="s">
        <v>1581</v>
      </c>
      <c r="C1333" t="str">
        <f>_xlfn.XLOOKUP(A1333,[1]Affiliations!$J$2:$J$5328,[1]Affiliations!$K$2:$K$5328,0)</f>
        <v>Federal University of Santa Catarina</v>
      </c>
      <c r="D1333">
        <v>15</v>
      </c>
      <c r="E1333">
        <v>568</v>
      </c>
      <c r="F1333">
        <v>37.866664999999998</v>
      </c>
      <c r="G1333">
        <v>11</v>
      </c>
      <c r="H1333">
        <v>1.1599999999999999</v>
      </c>
      <c r="I1333">
        <v>1</v>
      </c>
      <c r="J1333">
        <v>2</v>
      </c>
      <c r="K1333">
        <v>3</v>
      </c>
      <c r="L1333">
        <v>5</v>
      </c>
      <c r="M1333">
        <v>12</v>
      </c>
      <c r="N1333">
        <v>14</v>
      </c>
      <c r="P1333">
        <v>1</v>
      </c>
      <c r="Q1333">
        <v>1</v>
      </c>
      <c r="R1333">
        <v>3</v>
      </c>
      <c r="S1333">
        <v>10</v>
      </c>
    </row>
    <row r="1334" spans="1:19" hidden="1" x14ac:dyDescent="0.35">
      <c r="A1334">
        <v>57889105800</v>
      </c>
      <c r="B1334" t="s">
        <v>1343</v>
      </c>
      <c r="C1334" t="str">
        <f>_xlfn.XLOOKUP(A1334,[1]Affiliations!$J$2:$J$5328,[1]Affiliations!$K$2:$K$5328,0)</f>
        <v>Pontifical Catholic University of Rio de Janeiro</v>
      </c>
      <c r="D1334">
        <v>1</v>
      </c>
      <c r="E1334">
        <v>5</v>
      </c>
      <c r="F1334">
        <v>5</v>
      </c>
      <c r="G1334">
        <v>1</v>
      </c>
      <c r="H1334">
        <v>1.05</v>
      </c>
      <c r="P1334">
        <v>0</v>
      </c>
      <c r="Q1334">
        <v>0</v>
      </c>
      <c r="R1334">
        <v>0</v>
      </c>
      <c r="S1334">
        <v>0</v>
      </c>
    </row>
    <row r="1335" spans="1:19" hidden="1" x14ac:dyDescent="0.35">
      <c r="A1335">
        <v>57204171216</v>
      </c>
      <c r="B1335" t="s">
        <v>1344</v>
      </c>
      <c r="C1335" t="str">
        <f>_xlfn.XLOOKUP(A1335,[1]Affiliations!$J$2:$J$5328,[1]Affiliations!$K$2:$K$5328,0)</f>
        <v>Universidade Federal do Rio Grande do Norte</v>
      </c>
      <c r="D1335">
        <v>1</v>
      </c>
      <c r="E1335">
        <v>3</v>
      </c>
      <c r="F1335">
        <v>3</v>
      </c>
      <c r="G1335">
        <v>1</v>
      </c>
      <c r="H1335">
        <v>1.05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P1335">
        <v>0</v>
      </c>
      <c r="Q1335">
        <v>0</v>
      </c>
      <c r="R1335">
        <v>0</v>
      </c>
      <c r="S1335">
        <v>0</v>
      </c>
    </row>
    <row r="1336" spans="1:19" hidden="1" x14ac:dyDescent="0.35">
      <c r="A1336">
        <v>6603791835</v>
      </c>
      <c r="B1336" t="s">
        <v>1345</v>
      </c>
      <c r="C1336" t="str">
        <f>_xlfn.XLOOKUP(A1336,[1]Affiliations!$J$2:$J$5328,[1]Affiliations!$K$2:$K$5328,0)</f>
        <v>University of Campinas</v>
      </c>
      <c r="D1336">
        <v>2</v>
      </c>
      <c r="E1336">
        <v>29</v>
      </c>
      <c r="F1336">
        <v>14.5</v>
      </c>
      <c r="G1336">
        <v>5</v>
      </c>
      <c r="H1336">
        <v>0.95</v>
      </c>
      <c r="I1336">
        <v>0</v>
      </c>
      <c r="J1336">
        <v>0</v>
      </c>
      <c r="K1336">
        <v>0</v>
      </c>
      <c r="L1336">
        <v>1</v>
      </c>
      <c r="M1336">
        <v>2</v>
      </c>
      <c r="N1336">
        <v>2</v>
      </c>
      <c r="P1336">
        <v>0</v>
      </c>
      <c r="Q1336">
        <v>0</v>
      </c>
      <c r="R1336">
        <v>0</v>
      </c>
      <c r="S1336">
        <v>0</v>
      </c>
    </row>
    <row r="1337" spans="1:19" hidden="1" x14ac:dyDescent="0.35">
      <c r="A1337">
        <v>36659125300</v>
      </c>
      <c r="B1337" t="s">
        <v>1346</v>
      </c>
      <c r="C1337" t="str">
        <f>_xlfn.XLOOKUP(A1337,[1]Affiliations!$J$2:$J$5328,[1]Affiliations!$K$2:$K$5328,0)</f>
        <v>Federal University of Santa Catarina</v>
      </c>
      <c r="D1337">
        <v>3</v>
      </c>
      <c r="E1337">
        <v>8</v>
      </c>
      <c r="F1337">
        <v>2.6666666999999999</v>
      </c>
      <c r="G1337">
        <v>3</v>
      </c>
      <c r="H1337">
        <v>0.27</v>
      </c>
      <c r="I1337">
        <v>0</v>
      </c>
      <c r="J1337">
        <v>1</v>
      </c>
      <c r="K1337">
        <v>1</v>
      </c>
      <c r="L1337">
        <v>3</v>
      </c>
      <c r="M1337">
        <v>3</v>
      </c>
      <c r="N1337">
        <v>3</v>
      </c>
      <c r="P1337">
        <v>0</v>
      </c>
      <c r="Q1337">
        <v>0</v>
      </c>
      <c r="R1337">
        <v>0</v>
      </c>
      <c r="S1337">
        <v>0</v>
      </c>
    </row>
    <row r="1338" spans="1:19" hidden="1" x14ac:dyDescent="0.35">
      <c r="A1338">
        <v>58533957700</v>
      </c>
      <c r="B1338" t="s">
        <v>1347</v>
      </c>
      <c r="C1338" t="str">
        <f>_xlfn.XLOOKUP(A1338,[1]Affiliations!$J$2:$J$5328,[1]Affiliations!$K$2:$K$5328,0)</f>
        <v>University of Campinas</v>
      </c>
      <c r="D1338">
        <v>1</v>
      </c>
      <c r="E1338">
        <v>9</v>
      </c>
      <c r="F1338">
        <v>9</v>
      </c>
      <c r="G1338">
        <v>1</v>
      </c>
      <c r="H1338">
        <v>0.62</v>
      </c>
      <c r="I1338">
        <v>0</v>
      </c>
      <c r="J1338">
        <v>1</v>
      </c>
      <c r="K1338">
        <v>1</v>
      </c>
      <c r="L1338">
        <v>1</v>
      </c>
      <c r="M1338">
        <v>1</v>
      </c>
      <c r="N1338">
        <v>1</v>
      </c>
      <c r="P1338">
        <v>0</v>
      </c>
      <c r="Q1338">
        <v>0</v>
      </c>
      <c r="R1338">
        <v>0</v>
      </c>
      <c r="S1338">
        <v>1</v>
      </c>
    </row>
    <row r="1339" spans="1:19" x14ac:dyDescent="0.35">
      <c r="A1339">
        <v>59657231200</v>
      </c>
      <c r="B1339" t="s">
        <v>1771</v>
      </c>
      <c r="C1339" t="str">
        <f>_xlfn.XLOOKUP(A1339,[1]Affiliations!$J$2:$J$5328,[1]Affiliations!$K$2:$K$5328,0)</f>
        <v>Universidade Tecnológica Federal do Paraná</v>
      </c>
      <c r="D1339">
        <v>31</v>
      </c>
      <c r="E1339">
        <v>316</v>
      </c>
      <c r="F1339">
        <v>10.193548</v>
      </c>
      <c r="G1339">
        <v>12</v>
      </c>
      <c r="H1339">
        <v>1.1599999999999999</v>
      </c>
      <c r="I1339">
        <v>2</v>
      </c>
      <c r="J1339">
        <v>5</v>
      </c>
      <c r="K1339">
        <v>8</v>
      </c>
      <c r="L1339">
        <v>10</v>
      </c>
      <c r="M1339">
        <v>15</v>
      </c>
      <c r="N1339">
        <v>19</v>
      </c>
      <c r="P1339">
        <v>0</v>
      </c>
      <c r="Q1339">
        <v>0</v>
      </c>
      <c r="R1339">
        <v>1</v>
      </c>
      <c r="S1339">
        <v>9</v>
      </c>
    </row>
    <row r="1340" spans="1:19" x14ac:dyDescent="0.35">
      <c r="A1340">
        <v>36542157500</v>
      </c>
      <c r="B1340" t="s">
        <v>1792</v>
      </c>
      <c r="C1340" t="str">
        <f>_xlfn.XLOOKUP(A1340,[1]Affiliations!$J$2:$J$5328,[1]Affiliations!$K$2:$K$5328,0)</f>
        <v>University of Campinas</v>
      </c>
      <c r="D1340">
        <v>12</v>
      </c>
      <c r="E1340">
        <v>299</v>
      </c>
      <c r="F1340">
        <v>24.916665999999999</v>
      </c>
      <c r="G1340">
        <v>10</v>
      </c>
      <c r="H1340">
        <v>1.1599999999999999</v>
      </c>
      <c r="I1340">
        <v>1</v>
      </c>
      <c r="J1340">
        <v>1</v>
      </c>
      <c r="K1340">
        <v>3</v>
      </c>
      <c r="L1340">
        <v>6</v>
      </c>
      <c r="M1340">
        <v>9</v>
      </c>
      <c r="N1340">
        <v>10</v>
      </c>
      <c r="P1340">
        <v>0</v>
      </c>
      <c r="Q1340">
        <v>0</v>
      </c>
      <c r="R1340">
        <v>3</v>
      </c>
      <c r="S1340">
        <v>5</v>
      </c>
    </row>
    <row r="1341" spans="1:19" hidden="1" x14ac:dyDescent="0.35">
      <c r="A1341">
        <v>60123912700</v>
      </c>
      <c r="B1341" t="s">
        <v>1350</v>
      </c>
      <c r="C1341" t="str">
        <f>_xlfn.XLOOKUP(A1341,[1]Affiliations!$J$2:$J$5328,[1]Affiliations!$K$2:$K$5328,0)</f>
        <v>Universidade Federal do Ceará</v>
      </c>
      <c r="D1341">
        <v>0</v>
      </c>
      <c r="G1341">
        <v>0</v>
      </c>
    </row>
    <row r="1342" spans="1:19" hidden="1" x14ac:dyDescent="0.35">
      <c r="A1342">
        <v>57223248720</v>
      </c>
      <c r="B1342" t="s">
        <v>1351</v>
      </c>
      <c r="C1342" t="str">
        <f>_xlfn.XLOOKUP(A1342,[1]Affiliations!$J$2:$J$5328,[1]Affiliations!$K$2:$K$5328,0)</f>
        <v>Universidade Federal da Bahia</v>
      </c>
      <c r="D1342">
        <v>4</v>
      </c>
      <c r="E1342">
        <v>31</v>
      </c>
      <c r="F1342">
        <v>7.75</v>
      </c>
      <c r="G1342">
        <v>3</v>
      </c>
      <c r="H1342">
        <v>0.67</v>
      </c>
      <c r="I1342">
        <v>0</v>
      </c>
      <c r="J1342">
        <v>1</v>
      </c>
      <c r="K1342">
        <v>2</v>
      </c>
      <c r="L1342">
        <v>3</v>
      </c>
      <c r="M1342">
        <v>3</v>
      </c>
      <c r="N1342">
        <v>3</v>
      </c>
      <c r="P1342">
        <v>0</v>
      </c>
      <c r="Q1342">
        <v>0</v>
      </c>
      <c r="R1342">
        <v>0</v>
      </c>
      <c r="S1342">
        <v>2</v>
      </c>
    </row>
    <row r="1343" spans="1:19" hidden="1" x14ac:dyDescent="0.35">
      <c r="A1343">
        <v>57211603387</v>
      </c>
      <c r="B1343" t="s">
        <v>1352</v>
      </c>
      <c r="C1343" t="str">
        <f>_xlfn.XLOOKUP(A1343,[1]Affiliations!$J$2:$J$5328,[1]Affiliations!$K$2:$K$5328,0)</f>
        <v>Federal University of Santa Catarina</v>
      </c>
      <c r="D1343">
        <v>5</v>
      </c>
      <c r="E1343">
        <v>32</v>
      </c>
      <c r="F1343">
        <v>6.4</v>
      </c>
      <c r="G1343">
        <v>4</v>
      </c>
      <c r="H1343">
        <v>0.26</v>
      </c>
      <c r="I1343">
        <v>0</v>
      </c>
      <c r="J1343">
        <v>0</v>
      </c>
      <c r="K1343">
        <v>2</v>
      </c>
      <c r="L1343">
        <v>3</v>
      </c>
      <c r="M1343">
        <v>4</v>
      </c>
      <c r="N1343">
        <v>5</v>
      </c>
      <c r="P1343">
        <v>0</v>
      </c>
      <c r="Q1343">
        <v>0</v>
      </c>
      <c r="R1343">
        <v>0</v>
      </c>
      <c r="S1343">
        <v>0</v>
      </c>
    </row>
    <row r="1344" spans="1:19" x14ac:dyDescent="0.35">
      <c r="A1344">
        <v>55879294000</v>
      </c>
      <c r="B1344" t="s">
        <v>2263</v>
      </c>
      <c r="C1344" t="str">
        <f>_xlfn.XLOOKUP(A1344,[1]Affiliations!$J$2:$J$5328,[1]Affiliations!$K$2:$K$5328,0)</f>
        <v>Universidade Federal Fluminense</v>
      </c>
      <c r="D1344">
        <v>119</v>
      </c>
      <c r="E1344">
        <v>805</v>
      </c>
      <c r="F1344">
        <v>6.7647057000000004</v>
      </c>
      <c r="G1344">
        <v>16</v>
      </c>
      <c r="H1344">
        <v>1.1599999999999999</v>
      </c>
      <c r="I1344">
        <v>0</v>
      </c>
      <c r="J1344">
        <v>2</v>
      </c>
      <c r="K1344">
        <v>5</v>
      </c>
      <c r="L1344">
        <v>18</v>
      </c>
      <c r="M1344">
        <v>36</v>
      </c>
      <c r="N1344">
        <v>58</v>
      </c>
      <c r="P1344">
        <v>0</v>
      </c>
      <c r="Q1344">
        <v>3</v>
      </c>
      <c r="R1344">
        <v>3</v>
      </c>
      <c r="S1344">
        <v>12</v>
      </c>
    </row>
    <row r="1345" spans="1:19" x14ac:dyDescent="0.35">
      <c r="A1345">
        <v>7404608626</v>
      </c>
      <c r="B1345" t="s">
        <v>2372</v>
      </c>
      <c r="C1345" t="str">
        <f>_xlfn.XLOOKUP(A1345,[1]Affiliations!$J$2:$J$5328,[1]Affiliations!$K$2:$K$5328,0)</f>
        <v>Pontifical Catholic University of Rio de Janeiro</v>
      </c>
      <c r="D1345">
        <v>127</v>
      </c>
      <c r="E1345">
        <v>1871</v>
      </c>
      <c r="F1345">
        <v>14.732284</v>
      </c>
      <c r="G1345">
        <v>38</v>
      </c>
      <c r="H1345">
        <v>1.1599999999999999</v>
      </c>
      <c r="I1345">
        <v>0</v>
      </c>
      <c r="J1345">
        <v>3</v>
      </c>
      <c r="K1345">
        <v>8</v>
      </c>
      <c r="L1345">
        <v>25</v>
      </c>
      <c r="M1345">
        <v>39</v>
      </c>
      <c r="N1345">
        <v>42</v>
      </c>
      <c r="P1345">
        <v>0</v>
      </c>
      <c r="Q1345">
        <v>1</v>
      </c>
      <c r="R1345">
        <v>7</v>
      </c>
      <c r="S1345">
        <v>37</v>
      </c>
    </row>
    <row r="1346" spans="1:19" x14ac:dyDescent="0.35">
      <c r="A1346">
        <v>57194704943</v>
      </c>
      <c r="B1346" t="s">
        <v>2768</v>
      </c>
      <c r="C1346" t="str">
        <f>_xlfn.XLOOKUP(A1346,[1]Affiliations!$J$2:$J$5328,[1]Affiliations!$K$2:$K$5328,0)</f>
        <v>Universidade Federal Rural do Rio de Janeiro (+1 more)</v>
      </c>
      <c r="D1346">
        <v>32</v>
      </c>
      <c r="E1346">
        <v>485</v>
      </c>
      <c r="F1346">
        <v>15.15625</v>
      </c>
      <c r="G1346">
        <v>13</v>
      </c>
      <c r="H1346">
        <v>1.1599999999999999</v>
      </c>
      <c r="I1346">
        <v>0</v>
      </c>
      <c r="J1346">
        <v>2</v>
      </c>
      <c r="K1346">
        <v>16</v>
      </c>
      <c r="L1346">
        <v>26</v>
      </c>
      <c r="M1346">
        <v>29</v>
      </c>
      <c r="N1346">
        <v>31</v>
      </c>
      <c r="P1346">
        <v>0</v>
      </c>
      <c r="Q1346">
        <v>0</v>
      </c>
      <c r="R1346">
        <v>2</v>
      </c>
      <c r="S1346">
        <v>14</v>
      </c>
    </row>
    <row r="1347" spans="1:19" hidden="1" x14ac:dyDescent="0.35">
      <c r="A1347">
        <v>36051841300</v>
      </c>
      <c r="B1347" t="s">
        <v>1356</v>
      </c>
      <c r="C1347" t="str">
        <f>_xlfn.XLOOKUP(A1347,[1]Affiliations!$J$2:$J$5328,[1]Affiliations!$K$2:$K$5328,0)</f>
        <v>Federal University of Rio de Janeiro</v>
      </c>
      <c r="D1347">
        <v>0</v>
      </c>
      <c r="G1347">
        <v>2</v>
      </c>
    </row>
    <row r="1348" spans="1:19" x14ac:dyDescent="0.35">
      <c r="A1348">
        <v>56347326700</v>
      </c>
      <c r="B1348" t="s">
        <v>3077</v>
      </c>
      <c r="C1348" t="str">
        <f>_xlfn.XLOOKUP(A1348,[1]Affiliations!$J$2:$J$5328,[1]Affiliations!$K$2:$K$5328,0)</f>
        <v>Universidade de Caxias do Sul</v>
      </c>
      <c r="D1348">
        <v>14</v>
      </c>
      <c r="E1348">
        <v>244</v>
      </c>
      <c r="F1348">
        <v>17.428571999999999</v>
      </c>
      <c r="G1348">
        <v>10</v>
      </c>
      <c r="H1348">
        <v>1.1599999999999999</v>
      </c>
      <c r="I1348">
        <v>0</v>
      </c>
      <c r="J1348">
        <v>1</v>
      </c>
      <c r="K1348">
        <v>3</v>
      </c>
      <c r="L1348">
        <v>7</v>
      </c>
      <c r="M1348">
        <v>10</v>
      </c>
      <c r="N1348">
        <v>13</v>
      </c>
      <c r="P1348">
        <v>0</v>
      </c>
      <c r="Q1348">
        <v>0</v>
      </c>
      <c r="R1348">
        <v>3</v>
      </c>
      <c r="S1348">
        <v>11</v>
      </c>
    </row>
    <row r="1349" spans="1:19" x14ac:dyDescent="0.35">
      <c r="A1349">
        <v>57216493721</v>
      </c>
      <c r="B1349" t="s">
        <v>3450</v>
      </c>
      <c r="C1349" t="str">
        <f>_xlfn.XLOOKUP(A1349,[1]Affiliations!$J$2:$J$5328,[1]Affiliations!$K$2:$K$5328,0)</f>
        <v>Universidade Federal do Rio Grande do Norte</v>
      </c>
      <c r="D1349">
        <v>10</v>
      </c>
      <c r="E1349">
        <v>262</v>
      </c>
      <c r="F1349">
        <v>26.2</v>
      </c>
      <c r="G1349">
        <v>7</v>
      </c>
      <c r="H1349">
        <v>1.1599999999999999</v>
      </c>
      <c r="I1349">
        <v>0</v>
      </c>
      <c r="J1349">
        <v>2</v>
      </c>
      <c r="K1349">
        <v>5</v>
      </c>
      <c r="L1349">
        <v>7</v>
      </c>
      <c r="M1349">
        <v>7</v>
      </c>
      <c r="N1349">
        <v>8</v>
      </c>
      <c r="P1349">
        <v>0</v>
      </c>
      <c r="Q1349">
        <v>0</v>
      </c>
      <c r="R1349">
        <v>2</v>
      </c>
      <c r="S1349">
        <v>6</v>
      </c>
    </row>
    <row r="1350" spans="1:19" x14ac:dyDescent="0.35">
      <c r="A1350">
        <v>22952045900</v>
      </c>
      <c r="B1350" t="s">
        <v>3726</v>
      </c>
      <c r="C1350" t="str">
        <f>_xlfn.XLOOKUP(A1350,[1]Affiliations!$J$2:$J$5328,[1]Affiliations!$K$2:$K$5328,0)</f>
        <v>Universidade do Estado do Rio de Janeiro</v>
      </c>
      <c r="D1350">
        <v>119</v>
      </c>
      <c r="E1350">
        <v>1508</v>
      </c>
      <c r="F1350">
        <v>12.672269</v>
      </c>
      <c r="G1350">
        <v>25</v>
      </c>
      <c r="H1350">
        <v>1.1599999999999999</v>
      </c>
      <c r="I1350">
        <v>2</v>
      </c>
      <c r="J1350">
        <v>13</v>
      </c>
      <c r="K1350">
        <v>23</v>
      </c>
      <c r="L1350">
        <v>38</v>
      </c>
      <c r="M1350">
        <v>67</v>
      </c>
      <c r="N1350">
        <v>89</v>
      </c>
      <c r="P1350">
        <v>0</v>
      </c>
      <c r="Q1350">
        <v>3</v>
      </c>
      <c r="R1350">
        <v>6</v>
      </c>
      <c r="S1350">
        <v>29</v>
      </c>
    </row>
    <row r="1351" spans="1:19" hidden="1" x14ac:dyDescent="0.35">
      <c r="A1351">
        <v>57191255872</v>
      </c>
      <c r="B1351" t="s">
        <v>1360</v>
      </c>
      <c r="C1351" t="str">
        <f>_xlfn.XLOOKUP(A1351,[1]Affiliations!$J$2:$J$5328,[1]Affiliations!$K$2:$K$5328,0)</f>
        <v>Universidade Federal Fluminense</v>
      </c>
      <c r="D1351">
        <v>1</v>
      </c>
      <c r="E1351">
        <v>6</v>
      </c>
      <c r="F1351">
        <v>6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P1351">
        <v>0</v>
      </c>
      <c r="Q1351">
        <v>0</v>
      </c>
      <c r="R1351">
        <v>0</v>
      </c>
      <c r="S1351">
        <v>0</v>
      </c>
    </row>
    <row r="1352" spans="1:19" hidden="1" x14ac:dyDescent="0.35">
      <c r="A1352">
        <v>56152461900</v>
      </c>
      <c r="B1352" t="s">
        <v>1361</v>
      </c>
      <c r="C1352" t="str">
        <f>_xlfn.XLOOKUP(A1352,[1]Affiliations!$J$2:$J$5328,[1]Affiliations!$K$2:$K$5328,0)</f>
        <v>Universidade Federal Fluminense</v>
      </c>
      <c r="D1352">
        <v>0</v>
      </c>
      <c r="G1352">
        <v>0</v>
      </c>
    </row>
    <row r="1353" spans="1:19" hidden="1" x14ac:dyDescent="0.35">
      <c r="A1353">
        <v>57195735761</v>
      </c>
      <c r="B1353" t="s">
        <v>1362</v>
      </c>
      <c r="C1353" t="str">
        <f>_xlfn.XLOOKUP(A1353,[1]Affiliations!$J$2:$J$5328,[1]Affiliations!$K$2:$K$5328,0)</f>
        <v>Federal University of Rio de Janeiro</v>
      </c>
      <c r="D1353">
        <v>2</v>
      </c>
      <c r="E1353">
        <v>74</v>
      </c>
      <c r="F1353">
        <v>37</v>
      </c>
      <c r="G1353">
        <v>2</v>
      </c>
      <c r="H1353">
        <v>1.24</v>
      </c>
      <c r="I1353">
        <v>0</v>
      </c>
      <c r="J1353">
        <v>0</v>
      </c>
      <c r="K1353">
        <v>2</v>
      </c>
      <c r="L1353">
        <v>2</v>
      </c>
      <c r="M1353">
        <v>2</v>
      </c>
      <c r="N1353">
        <v>2</v>
      </c>
      <c r="P1353">
        <v>0</v>
      </c>
      <c r="Q1353">
        <v>0</v>
      </c>
      <c r="R1353">
        <v>0</v>
      </c>
      <c r="S1353">
        <v>2</v>
      </c>
    </row>
    <row r="1354" spans="1:19" hidden="1" x14ac:dyDescent="0.35">
      <c r="A1354">
        <v>57222039166</v>
      </c>
      <c r="B1354" t="s">
        <v>1363</v>
      </c>
      <c r="C1354" t="str">
        <f>_xlfn.XLOOKUP(A1354,[1]Affiliations!$J$2:$J$5328,[1]Affiliations!$K$2:$K$5328,0)</f>
        <v>Federal University of Rio de Janeiro</v>
      </c>
      <c r="D1354">
        <v>7</v>
      </c>
      <c r="E1354">
        <v>60</v>
      </c>
      <c r="F1354">
        <v>8.5714279999999992</v>
      </c>
      <c r="G1354">
        <v>3</v>
      </c>
      <c r="H1354">
        <v>0.48</v>
      </c>
      <c r="I1354">
        <v>0</v>
      </c>
      <c r="J1354">
        <v>1</v>
      </c>
      <c r="K1354">
        <v>1</v>
      </c>
      <c r="L1354">
        <v>2</v>
      </c>
      <c r="M1354">
        <v>3</v>
      </c>
      <c r="N1354">
        <v>4</v>
      </c>
      <c r="P1354">
        <v>0</v>
      </c>
      <c r="Q1354">
        <v>0</v>
      </c>
      <c r="R1354">
        <v>0</v>
      </c>
      <c r="S1354">
        <v>3</v>
      </c>
    </row>
    <row r="1355" spans="1:19" hidden="1" x14ac:dyDescent="0.35">
      <c r="A1355">
        <v>59420765600</v>
      </c>
      <c r="B1355" t="s">
        <v>1364</v>
      </c>
      <c r="C1355" t="str">
        <f>_xlfn.XLOOKUP(A1355,[1]Affiliations!$J$2:$J$5328,[1]Affiliations!$K$2:$K$5328,0)</f>
        <v>Federal University of Rio de Janeiro</v>
      </c>
      <c r="D1355">
        <v>1</v>
      </c>
      <c r="E1355">
        <v>1</v>
      </c>
      <c r="F1355">
        <v>1</v>
      </c>
      <c r="G1355">
        <v>1</v>
      </c>
      <c r="H1355">
        <v>1.39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0</v>
      </c>
      <c r="Q1355">
        <v>0</v>
      </c>
      <c r="R1355">
        <v>0</v>
      </c>
      <c r="S1355">
        <v>0</v>
      </c>
    </row>
    <row r="1356" spans="1:19" hidden="1" x14ac:dyDescent="0.35">
      <c r="A1356">
        <v>59458870100</v>
      </c>
      <c r="B1356" t="s">
        <v>1365</v>
      </c>
      <c r="C1356" t="str">
        <f>_xlfn.XLOOKUP(A1356,[1]Affiliations!$J$2:$J$5328,[1]Affiliations!$K$2:$K$5328,0)</f>
        <v>Federal University of Santa Catarina</v>
      </c>
      <c r="D1356">
        <v>0</v>
      </c>
      <c r="G1356">
        <v>1</v>
      </c>
    </row>
    <row r="1357" spans="1:19" hidden="1" x14ac:dyDescent="0.35">
      <c r="A1357">
        <v>57195624393</v>
      </c>
      <c r="B1357" t="s">
        <v>1366</v>
      </c>
      <c r="C1357" t="str">
        <f>_xlfn.XLOOKUP(A1357,[1]Affiliations!$J$2:$J$5328,[1]Affiliations!$K$2:$K$5328,0)</f>
        <v>Pontifical Catholic University of Rio de Janeiro (+1 more)</v>
      </c>
      <c r="D1357">
        <v>3</v>
      </c>
      <c r="E1357">
        <v>16</v>
      </c>
      <c r="F1357">
        <v>5.3333335000000002</v>
      </c>
      <c r="G1357">
        <v>2</v>
      </c>
      <c r="H1357">
        <v>0.18</v>
      </c>
      <c r="I1357">
        <v>0</v>
      </c>
      <c r="J1357">
        <v>0</v>
      </c>
      <c r="K1357">
        <v>0</v>
      </c>
      <c r="L1357">
        <v>0</v>
      </c>
      <c r="M1357">
        <v>2</v>
      </c>
      <c r="N1357">
        <v>2</v>
      </c>
      <c r="P1357">
        <v>0</v>
      </c>
      <c r="Q1357">
        <v>0</v>
      </c>
      <c r="R1357">
        <v>0</v>
      </c>
      <c r="S1357">
        <v>0</v>
      </c>
    </row>
    <row r="1358" spans="1:19" hidden="1" x14ac:dyDescent="0.35">
      <c r="A1358">
        <v>56868332100</v>
      </c>
      <c r="B1358" t="s">
        <v>1367</v>
      </c>
      <c r="C1358" t="str">
        <f>_xlfn.XLOOKUP(A1358,[1]Affiliations!$J$2:$J$5328,[1]Affiliations!$K$2:$K$5328,0)</f>
        <v>Universidade de São Paulo (+1 more)</v>
      </c>
      <c r="D1358">
        <v>5</v>
      </c>
      <c r="E1358">
        <v>93</v>
      </c>
      <c r="F1358">
        <v>18.600000000000001</v>
      </c>
      <c r="G1358">
        <v>6</v>
      </c>
      <c r="H1358">
        <v>0.94</v>
      </c>
      <c r="I1358">
        <v>0</v>
      </c>
      <c r="J1358">
        <v>0</v>
      </c>
      <c r="K1358">
        <v>1</v>
      </c>
      <c r="L1358">
        <v>4</v>
      </c>
      <c r="M1358">
        <v>5</v>
      </c>
      <c r="N1358">
        <v>5</v>
      </c>
      <c r="P1358">
        <v>0</v>
      </c>
      <c r="Q1358">
        <v>0</v>
      </c>
      <c r="R1358">
        <v>0</v>
      </c>
      <c r="S1358">
        <v>3</v>
      </c>
    </row>
    <row r="1359" spans="1:19" x14ac:dyDescent="0.35">
      <c r="A1359">
        <v>36700118900</v>
      </c>
      <c r="B1359" t="s">
        <v>3939</v>
      </c>
      <c r="C1359" t="str">
        <f>_xlfn.XLOOKUP(A1359,[1]Affiliations!$J$2:$J$5328,[1]Affiliations!$K$2:$K$5328,0)</f>
        <v>Universidade Federal de Uberlândia (+2 more)</v>
      </c>
      <c r="D1359">
        <v>23</v>
      </c>
      <c r="E1359">
        <v>340</v>
      </c>
      <c r="F1359">
        <v>14.782609000000001</v>
      </c>
      <c r="G1359">
        <v>11</v>
      </c>
      <c r="H1359">
        <v>1.1599999999999999</v>
      </c>
      <c r="I1359">
        <v>0</v>
      </c>
      <c r="J1359">
        <v>3</v>
      </c>
      <c r="K1359">
        <v>6</v>
      </c>
      <c r="L1359">
        <v>9</v>
      </c>
      <c r="M1359">
        <v>14</v>
      </c>
      <c r="N1359">
        <v>18</v>
      </c>
      <c r="P1359">
        <v>0</v>
      </c>
      <c r="Q1359">
        <v>0</v>
      </c>
      <c r="R1359">
        <v>4</v>
      </c>
      <c r="S1359">
        <v>11</v>
      </c>
    </row>
    <row r="1360" spans="1:19" x14ac:dyDescent="0.35">
      <c r="A1360">
        <v>7202521198</v>
      </c>
      <c r="B1360" t="s">
        <v>4285</v>
      </c>
      <c r="C1360" t="str">
        <f>_xlfn.XLOOKUP(A1360,[1]Affiliations!$J$2:$J$5328,[1]Affiliations!$K$2:$K$5328,0)</f>
        <v>Protimiza Consulting and Training in Experimental Design and Process Optimization</v>
      </c>
      <c r="D1360">
        <v>20</v>
      </c>
      <c r="E1360">
        <v>559</v>
      </c>
      <c r="F1360">
        <v>27.95</v>
      </c>
      <c r="G1360">
        <v>27</v>
      </c>
      <c r="H1360">
        <v>1.1599999999999999</v>
      </c>
      <c r="I1360">
        <v>0</v>
      </c>
      <c r="J1360">
        <v>5</v>
      </c>
      <c r="K1360">
        <v>9</v>
      </c>
      <c r="L1360">
        <v>12</v>
      </c>
      <c r="M1360">
        <v>16</v>
      </c>
      <c r="N1360">
        <v>20</v>
      </c>
      <c r="P1360">
        <v>0</v>
      </c>
      <c r="Q1360">
        <v>2</v>
      </c>
      <c r="R1360">
        <v>5</v>
      </c>
      <c r="S1360">
        <v>9</v>
      </c>
    </row>
    <row r="1361" spans="1:19" x14ac:dyDescent="0.35">
      <c r="A1361">
        <v>57203093502</v>
      </c>
      <c r="B1361" t="s">
        <v>4684</v>
      </c>
      <c r="C1361" t="str">
        <f>_xlfn.XLOOKUP(A1361,[1]Affiliations!$J$2:$J$5328,[1]Affiliations!$K$2:$K$5328,0)</f>
        <v>Federal University of Rio de Janeiro</v>
      </c>
      <c r="D1361">
        <v>7</v>
      </c>
      <c r="E1361">
        <v>191</v>
      </c>
      <c r="F1361">
        <v>27.285715</v>
      </c>
      <c r="G1361">
        <v>6</v>
      </c>
      <c r="H1361">
        <v>1.1599999999999999</v>
      </c>
      <c r="I1361">
        <v>0</v>
      </c>
      <c r="J1361">
        <v>2</v>
      </c>
      <c r="K1361">
        <v>3</v>
      </c>
      <c r="L1361">
        <v>5</v>
      </c>
      <c r="M1361">
        <v>6</v>
      </c>
      <c r="N1361">
        <v>7</v>
      </c>
      <c r="P1361">
        <v>0</v>
      </c>
      <c r="Q1361">
        <v>0</v>
      </c>
      <c r="R1361">
        <v>2</v>
      </c>
      <c r="S1361">
        <v>4</v>
      </c>
    </row>
    <row r="1362" spans="1:19" hidden="1" x14ac:dyDescent="0.35">
      <c r="A1362">
        <v>57196258998</v>
      </c>
      <c r="B1362" t="s">
        <v>1371</v>
      </c>
      <c r="C1362" t="str">
        <f>_xlfn.XLOOKUP(A1362,[1]Affiliations!$J$2:$J$5328,[1]Affiliations!$K$2:$K$5328,0)</f>
        <v>Federal University of Rio de Janeiro</v>
      </c>
      <c r="D1362">
        <v>1</v>
      </c>
      <c r="E1362">
        <v>14</v>
      </c>
      <c r="F1362">
        <v>14</v>
      </c>
      <c r="G1362">
        <v>1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</v>
      </c>
      <c r="N1362">
        <v>1</v>
      </c>
      <c r="P1362">
        <v>0</v>
      </c>
      <c r="Q1362">
        <v>0</v>
      </c>
      <c r="R1362">
        <v>0</v>
      </c>
      <c r="S1362">
        <v>0</v>
      </c>
    </row>
    <row r="1363" spans="1:19" x14ac:dyDescent="0.35">
      <c r="A1363">
        <v>36889529100</v>
      </c>
      <c r="B1363" t="s">
        <v>4769</v>
      </c>
      <c r="C1363" t="str">
        <f>_xlfn.XLOOKUP(A1363,[1]Affiliations!$J$2:$J$5328,[1]Affiliations!$K$2:$K$5328,0)</f>
        <v>Universidade Federal de Minas Gerais</v>
      </c>
      <c r="D1363">
        <v>8</v>
      </c>
      <c r="E1363">
        <v>306</v>
      </c>
      <c r="F1363">
        <v>38.25</v>
      </c>
      <c r="G1363">
        <v>9</v>
      </c>
      <c r="H1363">
        <v>1.1599999999999999</v>
      </c>
      <c r="I1363">
        <v>0</v>
      </c>
      <c r="J1363">
        <v>1</v>
      </c>
      <c r="K1363">
        <v>2</v>
      </c>
      <c r="L1363">
        <v>5</v>
      </c>
      <c r="M1363">
        <v>7</v>
      </c>
      <c r="N1363">
        <v>7</v>
      </c>
      <c r="P1363">
        <v>0</v>
      </c>
      <c r="Q1363">
        <v>1</v>
      </c>
      <c r="R1363">
        <v>3</v>
      </c>
      <c r="S1363">
        <v>4</v>
      </c>
    </row>
    <row r="1364" spans="1:19" x14ac:dyDescent="0.35">
      <c r="A1364">
        <v>55509921100</v>
      </c>
      <c r="B1364" t="s">
        <v>5126</v>
      </c>
      <c r="C1364" t="str">
        <f>_xlfn.XLOOKUP(A1364,[1]Affiliations!$J$2:$J$5328,[1]Affiliations!$K$2:$K$5328,0)</f>
        <v>Universidade Federal de Viçosa</v>
      </c>
      <c r="D1364">
        <v>31</v>
      </c>
      <c r="E1364">
        <v>645</v>
      </c>
      <c r="F1364">
        <v>20.806452</v>
      </c>
      <c r="G1364">
        <v>15</v>
      </c>
      <c r="H1364">
        <v>1.1599999999999999</v>
      </c>
      <c r="I1364">
        <v>0</v>
      </c>
      <c r="J1364">
        <v>1</v>
      </c>
      <c r="K1364">
        <v>7</v>
      </c>
      <c r="L1364">
        <v>18</v>
      </c>
      <c r="M1364">
        <v>25</v>
      </c>
      <c r="N1364">
        <v>27</v>
      </c>
      <c r="P1364">
        <v>0</v>
      </c>
      <c r="Q1364">
        <v>2</v>
      </c>
      <c r="R1364">
        <v>4</v>
      </c>
      <c r="S1364">
        <v>11</v>
      </c>
    </row>
    <row r="1365" spans="1:19" hidden="1" x14ac:dyDescent="0.35">
      <c r="A1365">
        <v>25649180500</v>
      </c>
      <c r="B1365" t="s">
        <v>1374</v>
      </c>
      <c r="C1365" t="str">
        <f>_xlfn.XLOOKUP(A1365,[1]Affiliations!$J$2:$J$5328,[1]Affiliations!$K$2:$K$5328,0)</f>
        <v>Federal University of Rio de Janeiro</v>
      </c>
      <c r="D1365">
        <v>22</v>
      </c>
      <c r="E1365">
        <v>122</v>
      </c>
      <c r="F1365">
        <v>5.5454545</v>
      </c>
      <c r="G1365">
        <v>10</v>
      </c>
      <c r="H1365">
        <v>0.43</v>
      </c>
      <c r="I1365">
        <v>0</v>
      </c>
      <c r="J1365">
        <v>0</v>
      </c>
      <c r="K1365">
        <v>0</v>
      </c>
      <c r="L1365">
        <v>6</v>
      </c>
      <c r="M1365">
        <v>12</v>
      </c>
      <c r="N1365">
        <v>15</v>
      </c>
      <c r="P1365">
        <v>0</v>
      </c>
      <c r="Q1365">
        <v>0</v>
      </c>
      <c r="R1365">
        <v>0</v>
      </c>
      <c r="S1365">
        <v>3</v>
      </c>
    </row>
    <row r="1366" spans="1:19" hidden="1" x14ac:dyDescent="0.35">
      <c r="A1366">
        <v>7004079795</v>
      </c>
      <c r="B1366" t="s">
        <v>1375</v>
      </c>
      <c r="C1366" t="str">
        <f>_xlfn.XLOOKUP(A1366,[1]Affiliations!$J$2:$J$5328,[1]Affiliations!$K$2:$K$5328,0)</f>
        <v>Instituto de Pesquisas Tecnologicas (+1 more)</v>
      </c>
      <c r="D1366">
        <v>14</v>
      </c>
      <c r="E1366">
        <v>13</v>
      </c>
      <c r="F1366">
        <v>0.92857140000000005</v>
      </c>
      <c r="G1366">
        <v>4</v>
      </c>
      <c r="H1366">
        <v>0.24</v>
      </c>
      <c r="I1366">
        <v>0</v>
      </c>
      <c r="J1366">
        <v>0</v>
      </c>
      <c r="K1366">
        <v>0</v>
      </c>
      <c r="L1366">
        <v>1</v>
      </c>
      <c r="M1366">
        <v>1</v>
      </c>
      <c r="N1366">
        <v>2</v>
      </c>
      <c r="P1366">
        <v>0</v>
      </c>
      <c r="Q1366">
        <v>0</v>
      </c>
      <c r="R1366">
        <v>0</v>
      </c>
      <c r="S1366">
        <v>0</v>
      </c>
    </row>
    <row r="1367" spans="1:19" hidden="1" x14ac:dyDescent="0.35">
      <c r="A1367">
        <v>57200790508</v>
      </c>
      <c r="B1367" t="s">
        <v>1376</v>
      </c>
      <c r="C1367" t="str">
        <f>_xlfn.XLOOKUP(A1367,[1]Affiliations!$J$2:$J$5328,[1]Affiliations!$K$2:$K$5328,0)</f>
        <v>Federal University of Rio de Janeiro</v>
      </c>
      <c r="D1367">
        <v>3</v>
      </c>
      <c r="E1367">
        <v>15</v>
      </c>
      <c r="F1367">
        <v>5</v>
      </c>
      <c r="G1367">
        <v>2</v>
      </c>
      <c r="H1367">
        <v>0.08</v>
      </c>
      <c r="I1367">
        <v>0</v>
      </c>
      <c r="J1367">
        <v>0</v>
      </c>
      <c r="K1367">
        <v>0</v>
      </c>
      <c r="L1367">
        <v>1</v>
      </c>
      <c r="M1367">
        <v>2</v>
      </c>
      <c r="N1367">
        <v>2</v>
      </c>
      <c r="P1367">
        <v>0</v>
      </c>
      <c r="Q1367">
        <v>0</v>
      </c>
      <c r="R1367">
        <v>0</v>
      </c>
      <c r="S1367">
        <v>0</v>
      </c>
    </row>
    <row r="1368" spans="1:19" hidden="1" x14ac:dyDescent="0.35">
      <c r="A1368">
        <v>25622281300</v>
      </c>
      <c r="B1368" t="s">
        <v>1377</v>
      </c>
      <c r="C1368" t="str">
        <f>_xlfn.XLOOKUP(A1368,[1]Affiliations!$J$2:$J$5328,[1]Affiliations!$K$2:$K$5328,0)</f>
        <v>Universidade do Estado da Bahia</v>
      </c>
      <c r="D1368">
        <v>1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P1368">
        <v>0</v>
      </c>
      <c r="Q1368">
        <v>0</v>
      </c>
      <c r="R1368">
        <v>0</v>
      </c>
      <c r="S1368">
        <v>0</v>
      </c>
    </row>
    <row r="1369" spans="1:19" hidden="1" x14ac:dyDescent="0.35">
      <c r="A1369">
        <v>59420176000</v>
      </c>
      <c r="B1369" t="s">
        <v>1378</v>
      </c>
      <c r="C1369" t="str">
        <f>_xlfn.XLOOKUP(A1369,[1]Affiliations!$J$2:$J$5328,[1]Affiliations!$K$2:$K$5328,0)</f>
        <v>Centro de Estudos e Sistemas Avançados do Recife</v>
      </c>
      <c r="D1369">
        <v>1</v>
      </c>
      <c r="E1369">
        <v>1</v>
      </c>
      <c r="F1369">
        <v>1</v>
      </c>
      <c r="G1369">
        <v>1</v>
      </c>
      <c r="H1369">
        <v>1.39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5">
      <c r="A1370">
        <v>7006754774</v>
      </c>
      <c r="B1370" t="s">
        <v>197</v>
      </c>
      <c r="C1370" t="str">
        <f>_xlfn.XLOOKUP(A1370,[1]Affiliations!$J$2:$J$5328,[1]Affiliations!$K$2:$K$5328,0)</f>
        <v>Universidade Federal Fluminense</v>
      </c>
      <c r="D1370">
        <v>22</v>
      </c>
      <c r="E1370">
        <v>624</v>
      </c>
      <c r="F1370">
        <v>28.363636</v>
      </c>
      <c r="G1370">
        <v>35</v>
      </c>
      <c r="H1370">
        <v>1.1499999999999999</v>
      </c>
      <c r="I1370">
        <v>0</v>
      </c>
      <c r="J1370">
        <v>5</v>
      </c>
      <c r="K1370">
        <v>7</v>
      </c>
      <c r="L1370">
        <v>13</v>
      </c>
      <c r="M1370">
        <v>19</v>
      </c>
      <c r="N1370">
        <v>20</v>
      </c>
      <c r="P1370">
        <v>0</v>
      </c>
      <c r="Q1370">
        <v>3</v>
      </c>
      <c r="R1370">
        <v>5</v>
      </c>
      <c r="S1370">
        <v>10</v>
      </c>
    </row>
    <row r="1371" spans="1:19" hidden="1" x14ac:dyDescent="0.35">
      <c r="A1371">
        <v>58577144600</v>
      </c>
      <c r="B1371" t="s">
        <v>1380</v>
      </c>
      <c r="C1371" t="str">
        <f>_xlfn.XLOOKUP(A1371,[1]Affiliations!$J$2:$J$5328,[1]Affiliations!$K$2:$K$5328,0)</f>
        <v>Laboratório Nacional de Computação Científica</v>
      </c>
      <c r="D1371">
        <v>2</v>
      </c>
      <c r="E1371">
        <v>5</v>
      </c>
      <c r="F1371">
        <v>2.5</v>
      </c>
      <c r="G1371">
        <v>1</v>
      </c>
      <c r="H1371">
        <v>2.58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P1371">
        <v>0</v>
      </c>
      <c r="Q1371">
        <v>0</v>
      </c>
      <c r="R1371">
        <v>0</v>
      </c>
      <c r="S1371">
        <v>1</v>
      </c>
    </row>
    <row r="1372" spans="1:19" hidden="1" x14ac:dyDescent="0.35">
      <c r="A1372">
        <v>55813088000</v>
      </c>
      <c r="B1372" t="s">
        <v>1381</v>
      </c>
      <c r="C1372" t="str">
        <f>_xlfn.XLOOKUP(A1372,[1]Affiliations!$J$2:$J$5328,[1]Affiliations!$K$2:$K$5328,0)</f>
        <v>Universidade Federal do Espírito Santo</v>
      </c>
      <c r="D1372">
        <v>0</v>
      </c>
      <c r="G1372">
        <v>1</v>
      </c>
    </row>
    <row r="1373" spans="1:19" hidden="1" x14ac:dyDescent="0.35">
      <c r="A1373">
        <v>56494639900</v>
      </c>
      <c r="B1373" t="s">
        <v>1382</v>
      </c>
      <c r="C1373" t="str">
        <f>_xlfn.XLOOKUP(A1373,[1]Affiliations!$J$2:$J$5328,[1]Affiliations!$K$2:$K$5328,0)</f>
        <v>Pontifical Catholic University of Rio de Janeiro</v>
      </c>
      <c r="D1373">
        <v>10</v>
      </c>
      <c r="E1373">
        <v>74</v>
      </c>
      <c r="F1373">
        <v>7.4</v>
      </c>
      <c r="G1373">
        <v>5</v>
      </c>
      <c r="H1373">
        <v>0.89</v>
      </c>
      <c r="I1373">
        <v>0</v>
      </c>
      <c r="J1373">
        <v>0</v>
      </c>
      <c r="K1373">
        <v>0</v>
      </c>
      <c r="L1373">
        <v>0</v>
      </c>
      <c r="M1373">
        <v>2</v>
      </c>
      <c r="N1373">
        <v>3</v>
      </c>
      <c r="P1373">
        <v>0</v>
      </c>
      <c r="Q1373">
        <v>0</v>
      </c>
      <c r="R1373">
        <v>0</v>
      </c>
      <c r="S1373">
        <v>1</v>
      </c>
    </row>
    <row r="1374" spans="1:19" hidden="1" x14ac:dyDescent="0.35">
      <c r="A1374">
        <v>57218199463</v>
      </c>
      <c r="B1374" t="s">
        <v>1383</v>
      </c>
      <c r="C1374" t="str">
        <f>_xlfn.XLOOKUP(A1374,[1]Affiliations!$J$2:$J$5328,[1]Affiliations!$K$2:$K$5328,0)</f>
        <v>Federal University of Rio de Janeiro</v>
      </c>
      <c r="D1374">
        <v>3</v>
      </c>
      <c r="E1374">
        <v>3</v>
      </c>
      <c r="F1374">
        <v>1</v>
      </c>
      <c r="G1374">
        <v>1</v>
      </c>
      <c r="H1374">
        <v>0.08</v>
      </c>
      <c r="I1374">
        <v>0</v>
      </c>
      <c r="J1374">
        <v>0</v>
      </c>
      <c r="K1374">
        <v>0</v>
      </c>
      <c r="L1374">
        <v>0</v>
      </c>
      <c r="M1374">
        <v>1</v>
      </c>
      <c r="N1374">
        <v>1</v>
      </c>
      <c r="P1374">
        <v>0</v>
      </c>
      <c r="Q1374">
        <v>0</v>
      </c>
      <c r="R1374">
        <v>0</v>
      </c>
      <c r="S1374">
        <v>0</v>
      </c>
    </row>
    <row r="1375" spans="1:19" hidden="1" x14ac:dyDescent="0.35">
      <c r="A1375">
        <v>56227293600</v>
      </c>
      <c r="B1375" t="s">
        <v>1384</v>
      </c>
      <c r="C1375" t="str">
        <f>_xlfn.XLOOKUP(A1375,[1]Affiliations!$J$2:$J$5328,[1]Affiliations!$K$2:$K$5328,0)</f>
        <v>Federal University of Rio de Janeiro</v>
      </c>
      <c r="D1375">
        <v>0</v>
      </c>
      <c r="G1375">
        <v>1</v>
      </c>
    </row>
    <row r="1376" spans="1:19" hidden="1" x14ac:dyDescent="0.35">
      <c r="A1376">
        <v>57219512648</v>
      </c>
      <c r="B1376" t="s">
        <v>1385</v>
      </c>
      <c r="C1376" t="str">
        <f>_xlfn.XLOOKUP(A1376,[1]Affiliations!$J$2:$J$5328,[1]Affiliations!$K$2:$K$5328,0)</f>
        <v>Universidade Federal de Pernambuco</v>
      </c>
      <c r="D1376">
        <v>3</v>
      </c>
      <c r="E1376">
        <v>11</v>
      </c>
      <c r="F1376">
        <v>3.6666666999999999</v>
      </c>
      <c r="G1376">
        <v>2</v>
      </c>
      <c r="H1376">
        <v>0.42</v>
      </c>
      <c r="I1376">
        <v>0</v>
      </c>
      <c r="J1376">
        <v>0</v>
      </c>
      <c r="K1376">
        <v>0</v>
      </c>
      <c r="L1376">
        <v>1</v>
      </c>
      <c r="M1376">
        <v>2</v>
      </c>
      <c r="N1376">
        <v>3</v>
      </c>
      <c r="P1376">
        <v>0</v>
      </c>
      <c r="Q1376">
        <v>0</v>
      </c>
      <c r="R1376">
        <v>0</v>
      </c>
      <c r="S1376">
        <v>0</v>
      </c>
    </row>
    <row r="1377" spans="1:19" hidden="1" x14ac:dyDescent="0.35">
      <c r="A1377">
        <v>60124649100</v>
      </c>
      <c r="B1377" t="s">
        <v>1386</v>
      </c>
      <c r="C1377" t="str">
        <f>_xlfn.XLOOKUP(A1377,[1]Affiliations!$J$2:$J$5328,[1]Affiliations!$K$2:$K$5328,0)</f>
        <v>SENAI</v>
      </c>
      <c r="D1377">
        <v>0</v>
      </c>
      <c r="G1377">
        <v>0</v>
      </c>
    </row>
    <row r="1378" spans="1:19" hidden="1" x14ac:dyDescent="0.35">
      <c r="A1378">
        <v>58455133600</v>
      </c>
      <c r="B1378" t="s">
        <v>1387</v>
      </c>
      <c r="C1378" t="str">
        <f>_xlfn.XLOOKUP(A1378,[1]Affiliations!$J$2:$J$5328,[1]Affiliations!$K$2:$K$5328,0)</f>
        <v>Universidade de São Paulo</v>
      </c>
      <c r="D1378">
        <v>2</v>
      </c>
      <c r="E1378">
        <v>5</v>
      </c>
      <c r="F1378">
        <v>2.5</v>
      </c>
      <c r="G1378">
        <v>2</v>
      </c>
      <c r="H1378">
        <v>0.23</v>
      </c>
      <c r="I1378">
        <v>0</v>
      </c>
      <c r="J1378">
        <v>0</v>
      </c>
      <c r="K1378">
        <v>0</v>
      </c>
      <c r="L1378">
        <v>0</v>
      </c>
      <c r="M1378">
        <v>1</v>
      </c>
      <c r="N1378">
        <v>1</v>
      </c>
      <c r="P1378">
        <v>0</v>
      </c>
      <c r="Q1378">
        <v>0</v>
      </c>
      <c r="R1378">
        <v>0</v>
      </c>
      <c r="S1378">
        <v>0</v>
      </c>
    </row>
    <row r="1379" spans="1:19" hidden="1" x14ac:dyDescent="0.35">
      <c r="A1379">
        <v>59184319000</v>
      </c>
      <c r="B1379" t="s">
        <v>1388</v>
      </c>
      <c r="C1379" t="str">
        <f>_xlfn.XLOOKUP(A1379,[1]Affiliations!$J$2:$J$5328,[1]Affiliations!$K$2:$K$5328,0)</f>
        <v>Universidade de São Paulo</v>
      </c>
      <c r="D1379">
        <v>0</v>
      </c>
      <c r="G1379">
        <v>1</v>
      </c>
    </row>
    <row r="1380" spans="1:19" hidden="1" x14ac:dyDescent="0.35">
      <c r="A1380">
        <v>8834195900</v>
      </c>
      <c r="B1380" t="s">
        <v>1389</v>
      </c>
      <c r="C1380" t="str">
        <f>_xlfn.XLOOKUP(A1380,[1]Affiliations!$J$2:$J$5328,[1]Affiliations!$K$2:$K$5328,0)</f>
        <v>Universidade Federal do Rio Grande do Norte</v>
      </c>
      <c r="D1380">
        <v>0</v>
      </c>
      <c r="G1380">
        <v>3</v>
      </c>
    </row>
    <row r="1381" spans="1:19" hidden="1" x14ac:dyDescent="0.35">
      <c r="A1381">
        <v>59391245600</v>
      </c>
      <c r="B1381" t="s">
        <v>1390</v>
      </c>
      <c r="C1381" t="str">
        <f>_xlfn.XLOOKUP(A1381,[1]Affiliations!$J$2:$J$5328,[1]Affiliations!$K$2:$K$5328,0)</f>
        <v>Pontifícia Universidade Católica do Rio Grande do Sul</v>
      </c>
      <c r="D1381">
        <v>0</v>
      </c>
      <c r="G1381">
        <v>1</v>
      </c>
    </row>
    <row r="1382" spans="1:19" hidden="1" x14ac:dyDescent="0.35">
      <c r="A1382">
        <v>57204171575</v>
      </c>
      <c r="B1382" t="s">
        <v>1391</v>
      </c>
      <c r="C1382" t="str">
        <f>_xlfn.XLOOKUP(A1382,[1]Affiliations!$J$2:$J$5328,[1]Affiliations!$K$2:$K$5328,0)</f>
        <v>Universidade Federal do Rio Grande do Norte</v>
      </c>
      <c r="D1382">
        <v>2</v>
      </c>
      <c r="E1382">
        <v>29</v>
      </c>
      <c r="F1382">
        <v>14.5</v>
      </c>
      <c r="G1382">
        <v>2</v>
      </c>
      <c r="H1382">
        <v>1.19</v>
      </c>
      <c r="I1382">
        <v>0</v>
      </c>
      <c r="J1382">
        <v>0</v>
      </c>
      <c r="K1382">
        <v>0</v>
      </c>
      <c r="L1382">
        <v>1</v>
      </c>
      <c r="M1382">
        <v>1</v>
      </c>
      <c r="N1382">
        <v>2</v>
      </c>
      <c r="P1382">
        <v>0</v>
      </c>
      <c r="Q1382">
        <v>0</v>
      </c>
      <c r="R1382">
        <v>0</v>
      </c>
      <c r="S1382">
        <v>1</v>
      </c>
    </row>
    <row r="1383" spans="1:19" x14ac:dyDescent="0.35">
      <c r="A1383">
        <v>25959877700</v>
      </c>
      <c r="B1383" t="s">
        <v>358</v>
      </c>
      <c r="C1383" t="str">
        <f>_xlfn.XLOOKUP(A1383,[1]Affiliations!$J$2:$J$5328,[1]Affiliations!$K$2:$K$5328,0)</f>
        <v>Universidade Federal de Lavras</v>
      </c>
      <c r="D1383">
        <v>37</v>
      </c>
      <c r="E1383">
        <v>787</v>
      </c>
      <c r="F1383">
        <v>21.27027</v>
      </c>
      <c r="G1383">
        <v>16</v>
      </c>
      <c r="H1383">
        <v>1.1499999999999999</v>
      </c>
      <c r="I1383">
        <v>2</v>
      </c>
      <c r="J1383">
        <v>7</v>
      </c>
      <c r="K1383">
        <v>16</v>
      </c>
      <c r="L1383">
        <v>24</v>
      </c>
      <c r="M1383">
        <v>27</v>
      </c>
      <c r="N1383">
        <v>34</v>
      </c>
      <c r="P1383">
        <v>0</v>
      </c>
      <c r="Q1383">
        <v>3</v>
      </c>
      <c r="R1383">
        <v>9</v>
      </c>
      <c r="S1383">
        <v>14</v>
      </c>
    </row>
    <row r="1384" spans="1:19" hidden="1" x14ac:dyDescent="0.35">
      <c r="A1384">
        <v>57656074900</v>
      </c>
      <c r="B1384" t="s">
        <v>1393</v>
      </c>
      <c r="C1384" t="str">
        <f>_xlfn.XLOOKUP(A1384,[1]Affiliations!$J$2:$J$5328,[1]Affiliations!$K$2:$K$5328,0)</f>
        <v>Federal University of Rio de Janeiro</v>
      </c>
      <c r="D1384">
        <v>4</v>
      </c>
      <c r="E1384">
        <v>1</v>
      </c>
      <c r="F1384">
        <v>0.25</v>
      </c>
      <c r="G1384">
        <v>1</v>
      </c>
      <c r="H1384">
        <v>0.03</v>
      </c>
      <c r="I1384">
        <v>0</v>
      </c>
      <c r="J1384">
        <v>0</v>
      </c>
      <c r="K1384">
        <v>0</v>
      </c>
      <c r="L1384">
        <v>1</v>
      </c>
      <c r="M1384">
        <v>1</v>
      </c>
      <c r="N1384">
        <v>2</v>
      </c>
      <c r="P1384">
        <v>0</v>
      </c>
      <c r="Q1384">
        <v>0</v>
      </c>
      <c r="R1384">
        <v>0</v>
      </c>
      <c r="S1384">
        <v>0</v>
      </c>
    </row>
    <row r="1385" spans="1:19" x14ac:dyDescent="0.35">
      <c r="A1385">
        <v>55312445900</v>
      </c>
      <c r="B1385" t="s">
        <v>533</v>
      </c>
      <c r="C1385" t="str">
        <f>_xlfn.XLOOKUP(A1385,[1]Affiliations!$J$2:$J$5328,[1]Affiliations!$K$2:$K$5328,0)</f>
        <v>Vizlab - X-Reality and GeoInformatics Lab</v>
      </c>
      <c r="D1385">
        <v>14</v>
      </c>
      <c r="E1385">
        <v>167</v>
      </c>
      <c r="F1385">
        <v>11.928572000000001</v>
      </c>
      <c r="G1385">
        <v>8</v>
      </c>
      <c r="H1385">
        <v>1.1499999999999999</v>
      </c>
      <c r="I1385">
        <v>0</v>
      </c>
      <c r="J1385">
        <v>4</v>
      </c>
      <c r="K1385">
        <v>6</v>
      </c>
      <c r="L1385">
        <v>9</v>
      </c>
      <c r="M1385">
        <v>12</v>
      </c>
      <c r="N1385">
        <v>14</v>
      </c>
      <c r="P1385">
        <v>0</v>
      </c>
      <c r="Q1385">
        <v>1</v>
      </c>
      <c r="R1385">
        <v>3</v>
      </c>
      <c r="S1385">
        <v>4</v>
      </c>
    </row>
    <row r="1386" spans="1:19" hidden="1" x14ac:dyDescent="0.35">
      <c r="A1386">
        <v>59531299900</v>
      </c>
      <c r="B1386" t="s">
        <v>1395</v>
      </c>
      <c r="C1386" t="str">
        <f>_xlfn.XLOOKUP(A1386,[1]Affiliations!$J$2:$J$5328,[1]Affiliations!$K$2:$K$5328,0)</f>
        <v>Pontifical Catholic University of Rio de Janeiro (+1 more)</v>
      </c>
      <c r="D1386">
        <v>0</v>
      </c>
      <c r="G1386">
        <v>1</v>
      </c>
    </row>
    <row r="1387" spans="1:19" hidden="1" x14ac:dyDescent="0.35">
      <c r="A1387">
        <v>57393010000</v>
      </c>
      <c r="B1387" t="s">
        <v>1396</v>
      </c>
      <c r="C1387" t="str">
        <f>_xlfn.XLOOKUP(A1387,[1]Affiliations!$J$2:$J$5328,[1]Affiliations!$K$2:$K$5328,0)</f>
        <v>Federal University of Rio de Janeiro</v>
      </c>
      <c r="D1387">
        <v>2</v>
      </c>
      <c r="E1387">
        <v>2</v>
      </c>
      <c r="F1387">
        <v>1</v>
      </c>
      <c r="G1387">
        <v>1</v>
      </c>
      <c r="H1387">
        <v>0.1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1</v>
      </c>
      <c r="P1387">
        <v>0</v>
      </c>
      <c r="Q1387">
        <v>0</v>
      </c>
      <c r="R1387">
        <v>0</v>
      </c>
      <c r="S1387">
        <v>0</v>
      </c>
    </row>
    <row r="1388" spans="1:19" hidden="1" x14ac:dyDescent="0.35">
      <c r="A1388">
        <v>57886168600</v>
      </c>
      <c r="B1388" t="s">
        <v>1397</v>
      </c>
      <c r="C1388" t="str">
        <f>_xlfn.XLOOKUP(A1388,[1]Affiliations!$J$2:$J$5328,[1]Affiliations!$K$2:$K$5328,0)</f>
        <v>Pontifical Catholic University of Rio de Janeiro</v>
      </c>
      <c r="D1388">
        <v>1</v>
      </c>
      <c r="E1388">
        <v>8</v>
      </c>
      <c r="F1388">
        <v>8</v>
      </c>
      <c r="G1388">
        <v>1</v>
      </c>
      <c r="H1388">
        <v>1.06</v>
      </c>
      <c r="I1388">
        <v>0</v>
      </c>
      <c r="J1388">
        <v>0</v>
      </c>
      <c r="K1388">
        <v>0</v>
      </c>
      <c r="L1388">
        <v>1</v>
      </c>
      <c r="M1388">
        <v>1</v>
      </c>
      <c r="N1388">
        <v>1</v>
      </c>
      <c r="P1388">
        <v>0</v>
      </c>
      <c r="Q1388">
        <v>0</v>
      </c>
      <c r="R1388">
        <v>0</v>
      </c>
      <c r="S1388">
        <v>0</v>
      </c>
    </row>
    <row r="1389" spans="1:19" hidden="1" x14ac:dyDescent="0.35">
      <c r="A1389">
        <v>57189582801</v>
      </c>
      <c r="B1389" t="s">
        <v>1398</v>
      </c>
      <c r="C1389" t="str">
        <f>_xlfn.XLOOKUP(A1389,[1]Affiliations!$J$2:$J$5328,[1]Affiliations!$K$2:$K$5328,0)</f>
        <v>Universidade Federal de Pernambuco</v>
      </c>
      <c r="D1389">
        <v>3</v>
      </c>
      <c r="E1389">
        <v>15</v>
      </c>
      <c r="F1389">
        <v>5</v>
      </c>
      <c r="G1389">
        <v>2</v>
      </c>
      <c r="H1389">
        <v>0.42</v>
      </c>
      <c r="I1389">
        <v>0</v>
      </c>
      <c r="J1389">
        <v>0</v>
      </c>
      <c r="K1389">
        <v>0</v>
      </c>
      <c r="L1389">
        <v>0</v>
      </c>
      <c r="M1389">
        <v>1</v>
      </c>
      <c r="N1389">
        <v>1</v>
      </c>
      <c r="P1389">
        <v>0</v>
      </c>
      <c r="Q1389">
        <v>0</v>
      </c>
      <c r="R1389">
        <v>0</v>
      </c>
      <c r="S1389">
        <v>1</v>
      </c>
    </row>
    <row r="1390" spans="1:19" hidden="1" x14ac:dyDescent="0.35">
      <c r="A1390">
        <v>57411096300</v>
      </c>
      <c r="B1390" t="s">
        <v>1399</v>
      </c>
      <c r="C1390" t="str">
        <f>_xlfn.XLOOKUP(A1390,[1]Affiliations!$J$2:$J$5328,[1]Affiliations!$K$2:$K$5328,0)</f>
        <v>Federal University of Rio de Janeiro</v>
      </c>
      <c r="D1390">
        <v>5</v>
      </c>
      <c r="E1390">
        <v>29</v>
      </c>
      <c r="F1390">
        <v>5.8</v>
      </c>
      <c r="G1390">
        <v>3</v>
      </c>
      <c r="H1390">
        <v>1.32</v>
      </c>
      <c r="I1390">
        <v>1</v>
      </c>
      <c r="J1390">
        <v>1</v>
      </c>
      <c r="K1390">
        <v>2</v>
      </c>
      <c r="L1390">
        <v>2</v>
      </c>
      <c r="M1390">
        <v>4</v>
      </c>
      <c r="N1390">
        <v>4</v>
      </c>
      <c r="P1390">
        <v>0</v>
      </c>
      <c r="Q1390">
        <v>0</v>
      </c>
      <c r="R1390">
        <v>0</v>
      </c>
      <c r="S1390">
        <v>1</v>
      </c>
    </row>
    <row r="1391" spans="1:19" hidden="1" x14ac:dyDescent="0.35">
      <c r="A1391">
        <v>56582556100</v>
      </c>
      <c r="B1391" t="s">
        <v>1400</v>
      </c>
      <c r="C1391" t="str">
        <f>_xlfn.XLOOKUP(A1391,[1]Affiliations!$J$2:$J$5328,[1]Affiliations!$K$2:$K$5328,0)</f>
        <v>Universidade Federal de Goiás</v>
      </c>
      <c r="D1391">
        <v>2</v>
      </c>
      <c r="E1391">
        <v>16</v>
      </c>
      <c r="F1391">
        <v>8</v>
      </c>
      <c r="G1391">
        <v>2</v>
      </c>
      <c r="H1391">
        <v>0.56000000000000005</v>
      </c>
      <c r="I1391">
        <v>0</v>
      </c>
      <c r="J1391">
        <v>0</v>
      </c>
      <c r="K1391">
        <v>0</v>
      </c>
      <c r="L1391">
        <v>0</v>
      </c>
      <c r="M1391">
        <v>2</v>
      </c>
      <c r="N1391">
        <v>2</v>
      </c>
      <c r="P1391">
        <v>0</v>
      </c>
      <c r="Q1391">
        <v>0</v>
      </c>
      <c r="R1391">
        <v>0</v>
      </c>
      <c r="S1391">
        <v>0</v>
      </c>
    </row>
    <row r="1392" spans="1:19" hidden="1" x14ac:dyDescent="0.35">
      <c r="A1392">
        <v>57344765400</v>
      </c>
      <c r="B1392" t="s">
        <v>1401</v>
      </c>
      <c r="C1392" t="str">
        <f>_xlfn.XLOOKUP(A1392,[1]Affiliations!$J$2:$J$5328,[1]Affiliations!$K$2:$K$5328,0)</f>
        <v>Pontifical Catholic University of Rio de Janeiro (+1 more)</v>
      </c>
      <c r="D1392">
        <v>3</v>
      </c>
      <c r="E1392">
        <v>10</v>
      </c>
      <c r="F1392">
        <v>3.3333333000000001</v>
      </c>
      <c r="G1392">
        <v>1</v>
      </c>
      <c r="H1392">
        <v>0.21</v>
      </c>
      <c r="I1392">
        <v>0</v>
      </c>
      <c r="J1392">
        <v>0</v>
      </c>
      <c r="K1392">
        <v>1</v>
      </c>
      <c r="L1392">
        <v>1</v>
      </c>
      <c r="M1392">
        <v>1</v>
      </c>
      <c r="N1392">
        <v>1</v>
      </c>
      <c r="P1392">
        <v>0</v>
      </c>
      <c r="Q1392">
        <v>0</v>
      </c>
      <c r="R1392">
        <v>0</v>
      </c>
      <c r="S1392">
        <v>0</v>
      </c>
    </row>
    <row r="1393" spans="1:19" hidden="1" x14ac:dyDescent="0.35">
      <c r="A1393">
        <v>57208132207</v>
      </c>
      <c r="B1393" t="s">
        <v>1402</v>
      </c>
      <c r="C1393" t="str">
        <f>_xlfn.XLOOKUP(A1393,[1]Affiliations!$J$2:$J$5328,[1]Affiliations!$K$2:$K$5328,0)</f>
        <v>Federal University of Rio de Janeiro</v>
      </c>
      <c r="D1393">
        <v>1</v>
      </c>
      <c r="E1393">
        <v>10</v>
      </c>
      <c r="F1393">
        <v>10</v>
      </c>
      <c r="G1393">
        <v>1</v>
      </c>
      <c r="H1393">
        <v>0.31</v>
      </c>
      <c r="I1393">
        <v>0</v>
      </c>
      <c r="J1393">
        <v>1</v>
      </c>
      <c r="K1393">
        <v>1</v>
      </c>
      <c r="L1393">
        <v>1</v>
      </c>
      <c r="M1393">
        <v>1</v>
      </c>
      <c r="N1393">
        <v>1</v>
      </c>
      <c r="P1393">
        <v>0</v>
      </c>
      <c r="Q1393">
        <v>0</v>
      </c>
      <c r="R1393">
        <v>0</v>
      </c>
      <c r="S1393">
        <v>0</v>
      </c>
    </row>
    <row r="1394" spans="1:19" hidden="1" x14ac:dyDescent="0.35">
      <c r="A1394">
        <v>15849216200</v>
      </c>
      <c r="B1394" t="s">
        <v>1403</v>
      </c>
      <c r="C1394" t="str">
        <f>_xlfn.XLOOKUP(A1394,[1]Affiliations!$J$2:$J$5328,[1]Affiliations!$K$2:$K$5328,0)</f>
        <v>Federal University of Pará</v>
      </c>
      <c r="D1394">
        <v>15</v>
      </c>
      <c r="E1394">
        <v>97</v>
      </c>
      <c r="F1394">
        <v>6.4666667000000002</v>
      </c>
      <c r="G1394">
        <v>7</v>
      </c>
      <c r="H1394">
        <v>0.27</v>
      </c>
      <c r="I1394">
        <v>0</v>
      </c>
      <c r="J1394">
        <v>0</v>
      </c>
      <c r="K1394">
        <v>0</v>
      </c>
      <c r="L1394">
        <v>0</v>
      </c>
      <c r="M1394">
        <v>8</v>
      </c>
      <c r="N1394">
        <v>10</v>
      </c>
      <c r="P1394">
        <v>0</v>
      </c>
      <c r="Q1394">
        <v>0</v>
      </c>
      <c r="R1394">
        <v>0</v>
      </c>
      <c r="S1394">
        <v>0</v>
      </c>
    </row>
    <row r="1395" spans="1:19" hidden="1" x14ac:dyDescent="0.35">
      <c r="A1395">
        <v>57212049034</v>
      </c>
      <c r="B1395" t="s">
        <v>1404</v>
      </c>
      <c r="C1395" t="str">
        <f>_xlfn.XLOOKUP(A1395,[1]Affiliations!$J$2:$J$5328,[1]Affiliations!$K$2:$K$5328,0)</f>
        <v>Universidade Federal do Rio Grande do Sul</v>
      </c>
      <c r="D1395">
        <v>9</v>
      </c>
      <c r="E1395">
        <v>101</v>
      </c>
      <c r="F1395">
        <v>11.222222</v>
      </c>
      <c r="G1395">
        <v>5</v>
      </c>
      <c r="H1395">
        <v>0.54</v>
      </c>
      <c r="I1395">
        <v>0</v>
      </c>
      <c r="J1395">
        <v>1</v>
      </c>
      <c r="K1395">
        <v>2</v>
      </c>
      <c r="L1395">
        <v>7</v>
      </c>
      <c r="M1395">
        <v>8</v>
      </c>
      <c r="N1395">
        <v>8</v>
      </c>
      <c r="P1395">
        <v>0</v>
      </c>
      <c r="Q1395">
        <v>0</v>
      </c>
      <c r="R1395">
        <v>0</v>
      </c>
      <c r="S1395">
        <v>3</v>
      </c>
    </row>
    <row r="1396" spans="1:19" hidden="1" x14ac:dyDescent="0.35">
      <c r="A1396">
        <v>57201399643</v>
      </c>
      <c r="B1396" t="s">
        <v>1405</v>
      </c>
      <c r="C1396" t="str">
        <f>_xlfn.XLOOKUP(A1396,[1]Affiliations!$J$2:$J$5328,[1]Affiliations!$K$2:$K$5328,0)</f>
        <v>ACV. TECLINE</v>
      </c>
      <c r="D1396">
        <v>1</v>
      </c>
      <c r="E1396">
        <v>0</v>
      </c>
      <c r="F1396">
        <v>0</v>
      </c>
      <c r="G1396">
        <v>0</v>
      </c>
      <c r="H1396">
        <v>0</v>
      </c>
      <c r="P1396">
        <v>0</v>
      </c>
      <c r="Q1396">
        <v>0</v>
      </c>
      <c r="R1396">
        <v>0</v>
      </c>
      <c r="S1396">
        <v>0</v>
      </c>
    </row>
    <row r="1397" spans="1:19" hidden="1" x14ac:dyDescent="0.35">
      <c r="A1397">
        <v>57219020611</v>
      </c>
      <c r="B1397" t="s">
        <v>1406</v>
      </c>
      <c r="C1397" t="str">
        <f>_xlfn.XLOOKUP(A1397,[1]Affiliations!$J$2:$J$5328,[1]Affiliations!$K$2:$K$5328,0)</f>
        <v>Universidade Federal de Goiás</v>
      </c>
      <c r="D1397">
        <v>7</v>
      </c>
      <c r="E1397">
        <v>173</v>
      </c>
      <c r="F1397">
        <v>24.714285</v>
      </c>
      <c r="G1397">
        <v>7</v>
      </c>
      <c r="H1397">
        <v>1.53</v>
      </c>
      <c r="I1397">
        <v>0</v>
      </c>
      <c r="J1397">
        <v>0</v>
      </c>
      <c r="K1397">
        <v>0</v>
      </c>
      <c r="L1397">
        <v>4</v>
      </c>
      <c r="M1397">
        <v>7</v>
      </c>
      <c r="N1397">
        <v>7</v>
      </c>
      <c r="P1397">
        <v>0</v>
      </c>
      <c r="Q1397">
        <v>1</v>
      </c>
      <c r="R1397">
        <v>3</v>
      </c>
      <c r="S1397">
        <v>5</v>
      </c>
    </row>
    <row r="1398" spans="1:19" hidden="1" x14ac:dyDescent="0.35">
      <c r="A1398">
        <v>57924666700</v>
      </c>
      <c r="B1398" t="s">
        <v>1407</v>
      </c>
      <c r="C1398" t="str">
        <f>_xlfn.XLOOKUP(A1398,[1]Affiliations!$J$2:$J$5328,[1]Affiliations!$K$2:$K$5328,0)</f>
        <v>Universidade Federal de Alagoas (+1 more)</v>
      </c>
      <c r="D1398">
        <v>3</v>
      </c>
      <c r="E1398">
        <v>12</v>
      </c>
      <c r="F1398">
        <v>4</v>
      </c>
      <c r="G1398">
        <v>2</v>
      </c>
      <c r="H1398">
        <v>1.1000000000000001</v>
      </c>
      <c r="I1398">
        <v>0</v>
      </c>
      <c r="J1398">
        <v>0</v>
      </c>
      <c r="K1398">
        <v>0</v>
      </c>
      <c r="L1398">
        <v>1</v>
      </c>
      <c r="M1398">
        <v>1</v>
      </c>
      <c r="N1398">
        <v>2</v>
      </c>
      <c r="P1398">
        <v>0</v>
      </c>
      <c r="Q1398">
        <v>0</v>
      </c>
      <c r="R1398">
        <v>0</v>
      </c>
      <c r="S1398">
        <v>0</v>
      </c>
    </row>
    <row r="1399" spans="1:19" hidden="1" x14ac:dyDescent="0.35">
      <c r="A1399">
        <v>36605939000</v>
      </c>
      <c r="B1399" t="s">
        <v>1408</v>
      </c>
      <c r="C1399" t="str">
        <f>_xlfn.XLOOKUP(A1399,[1]Affiliations!$J$2:$J$5328,[1]Affiliations!$K$2:$K$5328,0)</f>
        <v>Federal University of Rio de Janeiro</v>
      </c>
      <c r="D1399">
        <v>3</v>
      </c>
      <c r="E1399">
        <v>225</v>
      </c>
      <c r="F1399">
        <v>75</v>
      </c>
      <c r="G1399">
        <v>7</v>
      </c>
      <c r="H1399">
        <v>1.56</v>
      </c>
      <c r="I1399">
        <v>0</v>
      </c>
      <c r="J1399">
        <v>0</v>
      </c>
      <c r="K1399">
        <v>1</v>
      </c>
      <c r="L1399">
        <v>3</v>
      </c>
      <c r="M1399">
        <v>3</v>
      </c>
      <c r="N1399">
        <v>3</v>
      </c>
      <c r="P1399">
        <v>0</v>
      </c>
      <c r="Q1399">
        <v>1</v>
      </c>
      <c r="R1399">
        <v>2</v>
      </c>
      <c r="S1399">
        <v>2</v>
      </c>
    </row>
    <row r="1400" spans="1:19" hidden="1" x14ac:dyDescent="0.35">
      <c r="A1400">
        <v>57339188100</v>
      </c>
      <c r="B1400" t="s">
        <v>1409</v>
      </c>
      <c r="C1400" t="str">
        <f>_xlfn.XLOOKUP(A1400,[1]Affiliations!$J$2:$J$5328,[1]Affiliations!$K$2:$K$5328,0)</f>
        <v>Universidade Federal Rural do Rio de Janeiro</v>
      </c>
      <c r="D1400">
        <v>1</v>
      </c>
      <c r="E1400">
        <v>3</v>
      </c>
      <c r="F1400">
        <v>3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P1400">
        <v>0</v>
      </c>
      <c r="Q1400">
        <v>0</v>
      </c>
      <c r="R1400">
        <v>0</v>
      </c>
      <c r="S1400">
        <v>0</v>
      </c>
    </row>
    <row r="1401" spans="1:19" x14ac:dyDescent="0.35">
      <c r="A1401">
        <v>57202133500</v>
      </c>
      <c r="B1401" t="s">
        <v>1043</v>
      </c>
      <c r="C1401" t="str">
        <f>_xlfn.XLOOKUP(A1401,[1]Affiliations!$J$2:$J$5328,[1]Affiliations!$K$2:$K$5328,0)</f>
        <v>Federal University of Santa Catarina</v>
      </c>
      <c r="D1401">
        <v>6</v>
      </c>
      <c r="E1401">
        <v>156</v>
      </c>
      <c r="F1401">
        <v>26</v>
      </c>
      <c r="G1401">
        <v>5</v>
      </c>
      <c r="H1401">
        <v>1.1499999999999999</v>
      </c>
      <c r="I1401">
        <v>0</v>
      </c>
      <c r="J1401">
        <v>3</v>
      </c>
      <c r="K1401">
        <v>4</v>
      </c>
      <c r="L1401">
        <v>5</v>
      </c>
      <c r="M1401">
        <v>6</v>
      </c>
      <c r="N1401">
        <v>6</v>
      </c>
      <c r="P1401">
        <v>0</v>
      </c>
      <c r="Q1401">
        <v>1</v>
      </c>
      <c r="R1401">
        <v>2</v>
      </c>
      <c r="S1401">
        <v>4</v>
      </c>
    </row>
    <row r="1402" spans="1:19" x14ac:dyDescent="0.35">
      <c r="A1402">
        <v>6602545035</v>
      </c>
      <c r="B1402" t="s">
        <v>1695</v>
      </c>
      <c r="C1402" t="str">
        <f>_xlfn.XLOOKUP(A1402,[1]Affiliations!$J$2:$J$5328,[1]Affiliations!$K$2:$K$5328,0)</f>
        <v>Instituto Nacional de Metrologia, Qualidade e Tecnologia</v>
      </c>
      <c r="D1402">
        <v>13</v>
      </c>
      <c r="E1402">
        <v>344</v>
      </c>
      <c r="F1402">
        <v>26.461538000000001</v>
      </c>
      <c r="G1402">
        <v>18</v>
      </c>
      <c r="H1402">
        <v>1.1499999999999999</v>
      </c>
      <c r="I1402">
        <v>0</v>
      </c>
      <c r="J1402">
        <v>3</v>
      </c>
      <c r="K1402">
        <v>5</v>
      </c>
      <c r="L1402">
        <v>7</v>
      </c>
      <c r="M1402">
        <v>9</v>
      </c>
      <c r="N1402">
        <v>11</v>
      </c>
      <c r="P1402">
        <v>0</v>
      </c>
      <c r="Q1402">
        <v>0</v>
      </c>
      <c r="R1402">
        <v>2</v>
      </c>
      <c r="S1402">
        <v>7</v>
      </c>
    </row>
    <row r="1403" spans="1:19" hidden="1" x14ac:dyDescent="0.35">
      <c r="A1403">
        <v>57192371609</v>
      </c>
      <c r="B1403" t="s">
        <v>1412</v>
      </c>
      <c r="C1403" t="str">
        <f>_xlfn.XLOOKUP(A1403,[1]Affiliations!$J$2:$J$5328,[1]Affiliations!$K$2:$K$5328,0)</f>
        <v>Pontifical Catholic University of Rio de Janeiro</v>
      </c>
      <c r="D1403">
        <v>21</v>
      </c>
      <c r="E1403">
        <v>107</v>
      </c>
      <c r="F1403">
        <v>5.0952380000000002</v>
      </c>
      <c r="G1403">
        <v>5</v>
      </c>
      <c r="H1403">
        <v>0.38</v>
      </c>
      <c r="I1403">
        <v>0</v>
      </c>
      <c r="J1403">
        <v>0</v>
      </c>
      <c r="K1403">
        <v>1</v>
      </c>
      <c r="L1403">
        <v>1</v>
      </c>
      <c r="M1403">
        <v>8</v>
      </c>
      <c r="N1403">
        <v>13</v>
      </c>
      <c r="P1403">
        <v>0</v>
      </c>
      <c r="Q1403">
        <v>0</v>
      </c>
      <c r="R1403">
        <v>0</v>
      </c>
      <c r="S1403">
        <v>3</v>
      </c>
    </row>
    <row r="1404" spans="1:19" hidden="1" x14ac:dyDescent="0.35">
      <c r="A1404">
        <v>57056524700</v>
      </c>
      <c r="B1404" t="s">
        <v>1413</v>
      </c>
      <c r="C1404" t="str">
        <f>_xlfn.XLOOKUP(A1404,[1]Affiliations!$J$2:$J$5328,[1]Affiliations!$K$2:$K$5328,0)</f>
        <v>Universidade Santa Cecília</v>
      </c>
      <c r="D1404">
        <v>2</v>
      </c>
      <c r="E1404">
        <v>5</v>
      </c>
      <c r="F1404">
        <v>2.5</v>
      </c>
      <c r="G1404">
        <v>1</v>
      </c>
      <c r="H1404">
        <v>0.18</v>
      </c>
      <c r="I1404">
        <v>0</v>
      </c>
      <c r="J1404">
        <v>0</v>
      </c>
      <c r="K1404">
        <v>0</v>
      </c>
      <c r="L1404">
        <v>1</v>
      </c>
      <c r="M1404">
        <v>1</v>
      </c>
      <c r="N1404">
        <v>1</v>
      </c>
      <c r="P1404">
        <v>0</v>
      </c>
      <c r="Q1404">
        <v>0</v>
      </c>
      <c r="R1404">
        <v>0</v>
      </c>
      <c r="S1404">
        <v>0</v>
      </c>
    </row>
    <row r="1405" spans="1:19" hidden="1" x14ac:dyDescent="0.35">
      <c r="A1405">
        <v>57553480800</v>
      </c>
      <c r="B1405" t="s">
        <v>1414</v>
      </c>
      <c r="C1405" t="str">
        <f>_xlfn.XLOOKUP(A1405,[1]Affiliations!$J$2:$J$5328,[1]Affiliations!$K$2:$K$5328,0)</f>
        <v>Universidade Federal de Pernambuco</v>
      </c>
      <c r="D1405">
        <v>1</v>
      </c>
      <c r="E1405">
        <v>2</v>
      </c>
      <c r="F1405">
        <v>2</v>
      </c>
      <c r="G1405">
        <v>1</v>
      </c>
      <c r="H1405">
        <v>0.1</v>
      </c>
      <c r="I1405">
        <v>0</v>
      </c>
      <c r="J1405">
        <v>0</v>
      </c>
      <c r="K1405">
        <v>0</v>
      </c>
      <c r="L1405">
        <v>0</v>
      </c>
      <c r="M1405">
        <v>1</v>
      </c>
      <c r="N1405">
        <v>1</v>
      </c>
      <c r="P1405">
        <v>0</v>
      </c>
      <c r="Q1405">
        <v>0</v>
      </c>
      <c r="R1405">
        <v>0</v>
      </c>
      <c r="S1405">
        <v>0</v>
      </c>
    </row>
    <row r="1406" spans="1:19" x14ac:dyDescent="0.35">
      <c r="A1406">
        <v>57191827434</v>
      </c>
      <c r="B1406" t="s">
        <v>2066</v>
      </c>
      <c r="C1406" t="str">
        <f>_xlfn.XLOOKUP(A1406,[1]Affiliations!$J$2:$J$5328,[1]Affiliations!$K$2:$K$5328,0)</f>
        <v>Pontifical Catholic University of Rio de Janeiro</v>
      </c>
      <c r="D1406">
        <v>10</v>
      </c>
      <c r="E1406">
        <v>301</v>
      </c>
      <c r="F1406">
        <v>30.1</v>
      </c>
      <c r="G1406">
        <v>8</v>
      </c>
      <c r="H1406">
        <v>1.1499999999999999</v>
      </c>
      <c r="I1406">
        <v>2</v>
      </c>
      <c r="J1406">
        <v>5</v>
      </c>
      <c r="K1406">
        <v>6</v>
      </c>
      <c r="L1406">
        <v>8</v>
      </c>
      <c r="M1406">
        <v>10</v>
      </c>
      <c r="N1406">
        <v>10</v>
      </c>
      <c r="P1406">
        <v>0</v>
      </c>
      <c r="Q1406">
        <v>0</v>
      </c>
      <c r="R1406">
        <v>3</v>
      </c>
      <c r="S1406">
        <v>6</v>
      </c>
    </row>
    <row r="1407" spans="1:19" x14ac:dyDescent="0.35">
      <c r="A1407">
        <v>59759470900</v>
      </c>
      <c r="B1407" t="s">
        <v>2146</v>
      </c>
      <c r="C1407" t="str">
        <f>_xlfn.XLOOKUP(A1407,[1]Affiliations!$J$2:$J$5328,[1]Affiliations!$K$2:$K$5328,0)</f>
        <v>Universidade de São Paulo</v>
      </c>
      <c r="D1407">
        <v>18</v>
      </c>
      <c r="E1407">
        <v>242</v>
      </c>
      <c r="F1407">
        <v>13.444445</v>
      </c>
      <c r="G1407">
        <v>9</v>
      </c>
      <c r="H1407">
        <v>1.1499999999999999</v>
      </c>
      <c r="I1407">
        <v>1</v>
      </c>
      <c r="J1407">
        <v>10</v>
      </c>
      <c r="K1407">
        <v>12</v>
      </c>
      <c r="L1407">
        <v>13</v>
      </c>
      <c r="M1407">
        <v>17</v>
      </c>
      <c r="N1407">
        <v>17</v>
      </c>
      <c r="P1407">
        <v>0</v>
      </c>
      <c r="Q1407">
        <v>0</v>
      </c>
      <c r="R1407">
        <v>1</v>
      </c>
      <c r="S1407">
        <v>10</v>
      </c>
    </row>
    <row r="1408" spans="1:19" hidden="1" x14ac:dyDescent="0.35">
      <c r="A1408">
        <v>58941451000</v>
      </c>
      <c r="B1408" t="s">
        <v>1417</v>
      </c>
      <c r="C1408" t="str">
        <f>_xlfn.XLOOKUP(A1408,[1]Affiliations!$J$2:$J$5328,[1]Affiliations!$K$2:$K$5328,0)</f>
        <v>Federal University of Rio de Janeiro</v>
      </c>
      <c r="D1408">
        <v>1</v>
      </c>
      <c r="E1408">
        <v>16</v>
      </c>
      <c r="F1408">
        <v>16</v>
      </c>
      <c r="G1408">
        <v>1</v>
      </c>
      <c r="H1408">
        <v>3.21</v>
      </c>
      <c r="I1408">
        <v>0</v>
      </c>
      <c r="J1408">
        <v>0</v>
      </c>
      <c r="K1408">
        <v>0</v>
      </c>
      <c r="L1408">
        <v>1</v>
      </c>
      <c r="M1408">
        <v>1</v>
      </c>
      <c r="N1408">
        <v>1</v>
      </c>
      <c r="P1408">
        <v>0</v>
      </c>
      <c r="Q1408">
        <v>0</v>
      </c>
      <c r="R1408">
        <v>1</v>
      </c>
      <c r="S1408">
        <v>1</v>
      </c>
    </row>
    <row r="1409" spans="1:19" x14ac:dyDescent="0.35">
      <c r="A1409">
        <v>59679359500</v>
      </c>
      <c r="B1409" t="s">
        <v>2328</v>
      </c>
      <c r="C1409" t="str">
        <f>_xlfn.XLOOKUP(A1409,[1]Affiliations!$J$2:$J$5328,[1]Affiliations!$K$2:$K$5328,0)</f>
        <v>Laboratório Nacional de Luz Síncrotron (LNLS)</v>
      </c>
      <c r="D1409">
        <v>31</v>
      </c>
      <c r="E1409">
        <v>672</v>
      </c>
      <c r="F1409">
        <v>21.677420000000001</v>
      </c>
      <c r="G1409">
        <v>17</v>
      </c>
      <c r="H1409">
        <v>1.1499999999999999</v>
      </c>
      <c r="I1409">
        <v>3</v>
      </c>
      <c r="J1409">
        <v>10</v>
      </c>
      <c r="K1409">
        <v>18</v>
      </c>
      <c r="L1409">
        <v>25</v>
      </c>
      <c r="M1409">
        <v>28</v>
      </c>
      <c r="N1409">
        <v>29</v>
      </c>
      <c r="P1409">
        <v>0</v>
      </c>
      <c r="Q1409">
        <v>0</v>
      </c>
      <c r="R1409">
        <v>5</v>
      </c>
      <c r="S1409">
        <v>21</v>
      </c>
    </row>
    <row r="1410" spans="1:19" x14ac:dyDescent="0.35">
      <c r="A1410">
        <v>22635029200</v>
      </c>
      <c r="B1410" t="s">
        <v>2712</v>
      </c>
      <c r="C1410" t="str">
        <f>_xlfn.XLOOKUP(A1410,[1]Affiliations!$J$2:$J$5328,[1]Affiliations!$K$2:$K$5328,0)</f>
        <v>Instituto Nacional de Pesquisas Espaciais</v>
      </c>
      <c r="D1410">
        <v>50</v>
      </c>
      <c r="E1410">
        <v>1411</v>
      </c>
      <c r="F1410">
        <v>28.22</v>
      </c>
      <c r="G1410">
        <v>24</v>
      </c>
      <c r="H1410">
        <v>1.1499999999999999</v>
      </c>
      <c r="I1410">
        <v>3</v>
      </c>
      <c r="J1410">
        <v>7</v>
      </c>
      <c r="K1410">
        <v>12</v>
      </c>
      <c r="L1410">
        <v>22</v>
      </c>
      <c r="M1410">
        <v>33</v>
      </c>
      <c r="N1410">
        <v>40</v>
      </c>
      <c r="P1410">
        <v>2</v>
      </c>
      <c r="Q1410">
        <v>5</v>
      </c>
      <c r="R1410">
        <v>8</v>
      </c>
      <c r="S1410">
        <v>20</v>
      </c>
    </row>
    <row r="1411" spans="1:19" hidden="1" x14ac:dyDescent="0.35">
      <c r="A1411">
        <v>57742955500</v>
      </c>
      <c r="B1411" t="s">
        <v>1420</v>
      </c>
      <c r="C1411" t="str">
        <f>_xlfn.XLOOKUP(A1411,[1]Affiliations!$J$2:$J$5328,[1]Affiliations!$K$2:$K$5328,0)</f>
        <v>Universidade Federal do Espírito Santo</v>
      </c>
      <c r="D1411">
        <v>1</v>
      </c>
      <c r="E1411">
        <v>1</v>
      </c>
      <c r="F1411">
        <v>1</v>
      </c>
      <c r="G1411">
        <v>1</v>
      </c>
      <c r="H1411">
        <v>0</v>
      </c>
      <c r="P1411">
        <v>0</v>
      </c>
      <c r="Q1411">
        <v>0</v>
      </c>
      <c r="R1411">
        <v>0</v>
      </c>
      <c r="S1411">
        <v>0</v>
      </c>
    </row>
    <row r="1412" spans="1:19" hidden="1" x14ac:dyDescent="0.35">
      <c r="A1412">
        <v>57214797356</v>
      </c>
      <c r="B1412" t="s">
        <v>1421</v>
      </c>
      <c r="C1412" t="str">
        <f>_xlfn.XLOOKUP(A1412,[1]Affiliations!$J$2:$J$5328,[1]Affiliations!$K$2:$K$5328,0)</f>
        <v>Universidade Federal do Espírito Santo (+1 more)</v>
      </c>
      <c r="D1412">
        <v>6</v>
      </c>
      <c r="E1412">
        <v>24</v>
      </c>
      <c r="F1412">
        <v>4</v>
      </c>
      <c r="G1412">
        <v>3</v>
      </c>
      <c r="H1412">
        <v>0.59</v>
      </c>
      <c r="I1412">
        <v>0</v>
      </c>
      <c r="J1412">
        <v>1</v>
      </c>
      <c r="K1412">
        <v>1</v>
      </c>
      <c r="L1412">
        <v>1</v>
      </c>
      <c r="M1412">
        <v>1</v>
      </c>
      <c r="N1412">
        <v>4</v>
      </c>
      <c r="P1412">
        <v>0</v>
      </c>
      <c r="Q1412">
        <v>0</v>
      </c>
      <c r="R1412">
        <v>0</v>
      </c>
      <c r="S1412">
        <v>1</v>
      </c>
    </row>
    <row r="1413" spans="1:19" hidden="1" x14ac:dyDescent="0.35">
      <c r="A1413">
        <v>55078096200</v>
      </c>
      <c r="B1413" t="s">
        <v>1422</v>
      </c>
      <c r="C1413" t="str">
        <f>_xlfn.XLOOKUP(A1413,[1]Affiliations!$J$2:$J$5328,[1]Affiliations!$K$2:$K$5328,0)</f>
        <v>Federal University of Rio de Janeiro</v>
      </c>
      <c r="D1413">
        <v>8</v>
      </c>
      <c r="E1413">
        <v>70</v>
      </c>
      <c r="F1413">
        <v>8.75</v>
      </c>
      <c r="G1413">
        <v>6</v>
      </c>
      <c r="H1413">
        <v>0.47</v>
      </c>
      <c r="I1413">
        <v>0</v>
      </c>
      <c r="J1413">
        <v>1</v>
      </c>
      <c r="K1413">
        <v>2</v>
      </c>
      <c r="L1413">
        <v>5</v>
      </c>
      <c r="M1413">
        <v>6</v>
      </c>
      <c r="N1413">
        <v>7</v>
      </c>
      <c r="P1413">
        <v>0</v>
      </c>
      <c r="Q1413">
        <v>0</v>
      </c>
      <c r="R1413">
        <v>0</v>
      </c>
      <c r="S1413">
        <v>1</v>
      </c>
    </row>
    <row r="1414" spans="1:19" hidden="1" x14ac:dyDescent="0.35">
      <c r="A1414">
        <v>57214164066</v>
      </c>
      <c r="B1414" t="s">
        <v>1423</v>
      </c>
      <c r="C1414" t="str">
        <f>_xlfn.XLOOKUP(A1414,[1]Affiliations!$J$2:$J$5328,[1]Affiliations!$K$2:$K$5328,0)</f>
        <v>Universidade de São Paulo</v>
      </c>
      <c r="D1414">
        <v>1</v>
      </c>
      <c r="E1414">
        <v>18</v>
      </c>
      <c r="F1414">
        <v>18</v>
      </c>
      <c r="G1414">
        <v>1</v>
      </c>
      <c r="H1414">
        <v>1.24</v>
      </c>
      <c r="I1414">
        <v>0</v>
      </c>
      <c r="J1414">
        <v>0</v>
      </c>
      <c r="K1414">
        <v>0</v>
      </c>
      <c r="L1414">
        <v>0</v>
      </c>
      <c r="M1414">
        <v>1</v>
      </c>
      <c r="N1414">
        <v>1</v>
      </c>
      <c r="P1414">
        <v>0</v>
      </c>
      <c r="Q1414">
        <v>0</v>
      </c>
      <c r="R1414">
        <v>0</v>
      </c>
      <c r="S1414">
        <v>0</v>
      </c>
    </row>
    <row r="1415" spans="1:19" x14ac:dyDescent="0.35">
      <c r="A1415">
        <v>8360555800</v>
      </c>
      <c r="B1415" t="s">
        <v>2717</v>
      </c>
      <c r="C1415" t="str">
        <f>_xlfn.XLOOKUP(A1415,[1]Affiliations!$J$2:$J$5328,[1]Affiliations!$K$2:$K$5328,0)</f>
        <v>Universidade Federal de Minas Gerais</v>
      </c>
      <c r="D1415">
        <v>157</v>
      </c>
      <c r="E1415">
        <v>3676</v>
      </c>
      <c r="F1415">
        <v>23.414013000000001</v>
      </c>
      <c r="G1415">
        <v>53</v>
      </c>
      <c r="H1415">
        <v>1.1499999999999999</v>
      </c>
      <c r="I1415">
        <v>4</v>
      </c>
      <c r="J1415">
        <v>40</v>
      </c>
      <c r="K1415">
        <v>62</v>
      </c>
      <c r="L1415">
        <v>100</v>
      </c>
      <c r="M1415">
        <v>119</v>
      </c>
      <c r="N1415">
        <v>150</v>
      </c>
      <c r="P1415">
        <v>1</v>
      </c>
      <c r="Q1415">
        <v>12</v>
      </c>
      <c r="R1415">
        <v>23</v>
      </c>
      <c r="S1415">
        <v>70</v>
      </c>
    </row>
    <row r="1416" spans="1:19" x14ac:dyDescent="0.35">
      <c r="A1416">
        <v>6505760718</v>
      </c>
      <c r="B1416" t="s">
        <v>2867</v>
      </c>
      <c r="C1416" t="str">
        <f>_xlfn.XLOOKUP(A1416,[1]Affiliations!$J$2:$J$5328,[1]Affiliations!$K$2:$K$5328,0)</f>
        <v>Programa de Pós Graduação Em Engenharia e Tecnologia Dos Materiais (PGETEMA) (+2 more)</v>
      </c>
      <c r="D1416">
        <v>59</v>
      </c>
      <c r="E1416">
        <v>1619</v>
      </c>
      <c r="F1416">
        <v>27.440677999999998</v>
      </c>
      <c r="G1416">
        <v>31</v>
      </c>
      <c r="H1416">
        <v>1.1499999999999999</v>
      </c>
      <c r="I1416">
        <v>0</v>
      </c>
      <c r="J1416">
        <v>2</v>
      </c>
      <c r="K1416">
        <v>10</v>
      </c>
      <c r="L1416">
        <v>19</v>
      </c>
      <c r="M1416">
        <v>44</v>
      </c>
      <c r="N1416">
        <v>55</v>
      </c>
      <c r="P1416">
        <v>2</v>
      </c>
      <c r="Q1416">
        <v>3</v>
      </c>
      <c r="R1416">
        <v>8</v>
      </c>
      <c r="S1416">
        <v>26</v>
      </c>
    </row>
    <row r="1417" spans="1:19" hidden="1" x14ac:dyDescent="0.35">
      <c r="A1417">
        <v>59673931300</v>
      </c>
      <c r="B1417" t="s">
        <v>1426</v>
      </c>
      <c r="C1417" t="str">
        <f>_xlfn.XLOOKUP(A1417,[1]Affiliations!$J$2:$J$5328,[1]Affiliations!$K$2:$K$5328,0)</f>
        <v>Universidade Federal do Rio Grande do Sul</v>
      </c>
      <c r="D1417">
        <v>0</v>
      </c>
      <c r="G1417">
        <v>1</v>
      </c>
    </row>
    <row r="1418" spans="1:19" hidden="1" x14ac:dyDescent="0.35">
      <c r="A1418">
        <v>58311656800</v>
      </c>
      <c r="B1418" t="s">
        <v>1427</v>
      </c>
      <c r="C1418" t="str">
        <f>_xlfn.XLOOKUP(A1418,[1]Affiliations!$J$2:$J$5328,[1]Affiliations!$K$2:$K$5328,0)</f>
        <v>Federal University of Santa Catarina</v>
      </c>
      <c r="D1418">
        <v>1</v>
      </c>
      <c r="E1418">
        <v>6</v>
      </c>
      <c r="F1418">
        <v>6</v>
      </c>
      <c r="G1418">
        <v>1</v>
      </c>
      <c r="H1418">
        <v>0.39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1</v>
      </c>
      <c r="P1418">
        <v>0</v>
      </c>
      <c r="Q1418">
        <v>0</v>
      </c>
      <c r="R1418">
        <v>0</v>
      </c>
      <c r="S1418">
        <v>0</v>
      </c>
    </row>
    <row r="1419" spans="1:19" hidden="1" x14ac:dyDescent="0.35">
      <c r="A1419">
        <v>35101749000</v>
      </c>
      <c r="B1419" t="s">
        <v>1428</v>
      </c>
      <c r="C1419" t="str">
        <f>_xlfn.XLOOKUP(A1419,[1]Affiliations!$J$2:$J$5328,[1]Affiliations!$K$2:$K$5328,0)</f>
        <v>Pesquisador</v>
      </c>
      <c r="D1419">
        <v>2</v>
      </c>
      <c r="E1419">
        <v>0</v>
      </c>
      <c r="F1419">
        <v>0</v>
      </c>
      <c r="G1419">
        <v>3</v>
      </c>
      <c r="H1419">
        <v>0</v>
      </c>
      <c r="P1419">
        <v>0</v>
      </c>
      <c r="Q1419">
        <v>0</v>
      </c>
      <c r="R1419">
        <v>0</v>
      </c>
      <c r="S1419">
        <v>0</v>
      </c>
    </row>
    <row r="1420" spans="1:19" hidden="1" x14ac:dyDescent="0.35">
      <c r="A1420">
        <v>57209303201</v>
      </c>
      <c r="B1420" t="s">
        <v>1429</v>
      </c>
      <c r="C1420" t="str">
        <f>_xlfn.XLOOKUP(A1420,[1]Affiliations!$J$2:$J$5328,[1]Affiliations!$K$2:$K$5328,0)</f>
        <v>University of Campinas (+1 more)</v>
      </c>
      <c r="D1420">
        <v>2</v>
      </c>
      <c r="E1420">
        <v>40</v>
      </c>
      <c r="F1420">
        <v>20</v>
      </c>
      <c r="G1420">
        <v>2</v>
      </c>
      <c r="H1420">
        <v>0.89</v>
      </c>
      <c r="I1420">
        <v>0</v>
      </c>
      <c r="J1420">
        <v>0</v>
      </c>
      <c r="K1420">
        <v>0</v>
      </c>
      <c r="L1420">
        <v>1</v>
      </c>
      <c r="M1420">
        <v>2</v>
      </c>
      <c r="N1420">
        <v>2</v>
      </c>
      <c r="P1420">
        <v>0</v>
      </c>
      <c r="Q1420">
        <v>0</v>
      </c>
      <c r="R1420">
        <v>0</v>
      </c>
      <c r="S1420">
        <v>2</v>
      </c>
    </row>
    <row r="1421" spans="1:19" hidden="1" x14ac:dyDescent="0.35">
      <c r="A1421">
        <v>36106949500</v>
      </c>
      <c r="B1421" t="s">
        <v>1430</v>
      </c>
      <c r="C1421" t="str">
        <f>_xlfn.XLOOKUP(A1421,[1]Affiliations!$J$2:$J$5328,[1]Affiliations!$K$2:$K$5328,0)</f>
        <v>Federal University of Rio de Janeiro</v>
      </c>
      <c r="D1421">
        <v>1</v>
      </c>
      <c r="E1421">
        <v>0</v>
      </c>
      <c r="F1421">
        <v>0</v>
      </c>
      <c r="G1421">
        <v>4</v>
      </c>
      <c r="H1421">
        <v>0</v>
      </c>
      <c r="P1421">
        <v>0</v>
      </c>
      <c r="Q1421">
        <v>0</v>
      </c>
      <c r="R1421">
        <v>0</v>
      </c>
      <c r="S1421">
        <v>0</v>
      </c>
    </row>
    <row r="1422" spans="1:19" hidden="1" x14ac:dyDescent="0.35">
      <c r="A1422">
        <v>57210256799</v>
      </c>
      <c r="B1422" t="s">
        <v>1431</v>
      </c>
      <c r="C1422" t="str">
        <f>_xlfn.XLOOKUP(A1422,[1]Affiliations!$J$2:$J$5328,[1]Affiliations!$K$2:$K$5328,0)</f>
        <v>Federal University of Rio de Janeiro</v>
      </c>
      <c r="D1422">
        <v>1</v>
      </c>
      <c r="E1422">
        <v>3</v>
      </c>
      <c r="F1422">
        <v>3</v>
      </c>
      <c r="G1422">
        <v>1</v>
      </c>
      <c r="H1422">
        <v>0.7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P1422">
        <v>0</v>
      </c>
      <c r="Q1422">
        <v>0</v>
      </c>
      <c r="R1422">
        <v>0</v>
      </c>
      <c r="S1422">
        <v>0</v>
      </c>
    </row>
    <row r="1423" spans="1:19" hidden="1" x14ac:dyDescent="0.35">
      <c r="A1423">
        <v>57226815393</v>
      </c>
      <c r="B1423" t="s">
        <v>1432</v>
      </c>
      <c r="C1423" t="str">
        <f>_xlfn.XLOOKUP(A1423,[1]Affiliations!$J$2:$J$5328,[1]Affiliations!$K$2:$K$5328,0)</f>
        <v>Laboratório Nacional de Computação Científica</v>
      </c>
      <c r="D1423">
        <v>1</v>
      </c>
      <c r="E1423">
        <v>5</v>
      </c>
      <c r="F1423">
        <v>5</v>
      </c>
      <c r="G1423">
        <v>1</v>
      </c>
      <c r="H1423">
        <v>5.17</v>
      </c>
      <c r="P1423">
        <v>0</v>
      </c>
      <c r="Q1423">
        <v>0</v>
      </c>
      <c r="R1423">
        <v>0</v>
      </c>
      <c r="S1423">
        <v>1</v>
      </c>
    </row>
    <row r="1424" spans="1:19" hidden="1" x14ac:dyDescent="0.35">
      <c r="A1424">
        <v>58723928400</v>
      </c>
      <c r="B1424" t="s">
        <v>1433</v>
      </c>
      <c r="C1424" t="str">
        <f>_xlfn.XLOOKUP(A1424,[1]Affiliations!$J$2:$J$5328,[1]Affiliations!$K$2:$K$5328,0)</f>
        <v>Instituto Federal de Pernambuco</v>
      </c>
      <c r="D1424">
        <v>1</v>
      </c>
      <c r="E1424">
        <v>2</v>
      </c>
      <c r="F1424">
        <v>2</v>
      </c>
      <c r="G1424">
        <v>1</v>
      </c>
      <c r="H1424">
        <v>0.27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1</v>
      </c>
      <c r="P1424">
        <v>0</v>
      </c>
      <c r="Q1424">
        <v>0</v>
      </c>
      <c r="R1424">
        <v>0</v>
      </c>
      <c r="S1424">
        <v>0</v>
      </c>
    </row>
    <row r="1425" spans="1:19" x14ac:dyDescent="0.35">
      <c r="A1425">
        <v>57155983200</v>
      </c>
      <c r="B1425" t="s">
        <v>3772</v>
      </c>
      <c r="C1425" t="str">
        <f>_xlfn.XLOOKUP(A1425,[1]Affiliations!$J$2:$J$5328,[1]Affiliations!$K$2:$K$5328,0)</f>
        <v>Universidade Federal do Rio Grande do Norte (+1 more)</v>
      </c>
      <c r="D1425">
        <v>13</v>
      </c>
      <c r="E1425">
        <v>396</v>
      </c>
      <c r="F1425">
        <v>30.461538000000001</v>
      </c>
      <c r="G1425">
        <v>7</v>
      </c>
      <c r="H1425">
        <v>1.1499999999999999</v>
      </c>
      <c r="I1425">
        <v>1</v>
      </c>
      <c r="J1425">
        <v>1</v>
      </c>
      <c r="K1425">
        <v>2</v>
      </c>
      <c r="L1425">
        <v>6</v>
      </c>
      <c r="M1425">
        <v>7</v>
      </c>
      <c r="N1425">
        <v>8</v>
      </c>
      <c r="P1425">
        <v>0</v>
      </c>
      <c r="Q1425">
        <v>2</v>
      </c>
      <c r="R1425">
        <v>4</v>
      </c>
      <c r="S1425">
        <v>6</v>
      </c>
    </row>
    <row r="1426" spans="1:19" x14ac:dyDescent="0.35">
      <c r="A1426">
        <v>21739593000</v>
      </c>
      <c r="B1426" t="s">
        <v>3893</v>
      </c>
      <c r="C1426" t="str">
        <f>_xlfn.XLOOKUP(A1426,[1]Affiliations!$J$2:$J$5328,[1]Affiliations!$K$2:$K$5328,0)</f>
        <v>Universidade Federal do Rio Grande do Sul (+2 more)</v>
      </c>
      <c r="D1426">
        <v>13</v>
      </c>
      <c r="E1426">
        <v>414</v>
      </c>
      <c r="F1426">
        <v>31.846153000000001</v>
      </c>
      <c r="G1426">
        <v>29</v>
      </c>
      <c r="H1426">
        <v>1.1499999999999999</v>
      </c>
      <c r="I1426">
        <v>0</v>
      </c>
      <c r="J1426">
        <v>5</v>
      </c>
      <c r="K1426">
        <v>7</v>
      </c>
      <c r="L1426">
        <v>13</v>
      </c>
      <c r="M1426">
        <v>13</v>
      </c>
      <c r="N1426">
        <v>13</v>
      </c>
      <c r="P1426">
        <v>0</v>
      </c>
      <c r="Q1426">
        <v>1</v>
      </c>
      <c r="R1426">
        <v>3</v>
      </c>
      <c r="S1426">
        <v>7</v>
      </c>
    </row>
    <row r="1427" spans="1:19" x14ac:dyDescent="0.35">
      <c r="A1427">
        <v>24172397800</v>
      </c>
      <c r="B1427" t="s">
        <v>4261</v>
      </c>
      <c r="C1427" t="str">
        <f>_xlfn.XLOOKUP(A1427,[1]Affiliations!$J$2:$J$5328,[1]Affiliations!$K$2:$K$5328,0)</f>
        <v>Universidade Federal do Espírito Santo</v>
      </c>
      <c r="D1427">
        <v>25</v>
      </c>
      <c r="E1427">
        <v>442</v>
      </c>
      <c r="F1427">
        <v>17.68</v>
      </c>
      <c r="G1427">
        <v>13</v>
      </c>
      <c r="H1427">
        <v>1.1499999999999999</v>
      </c>
      <c r="I1427">
        <v>0</v>
      </c>
      <c r="J1427">
        <v>5</v>
      </c>
      <c r="K1427">
        <v>7</v>
      </c>
      <c r="L1427">
        <v>12</v>
      </c>
      <c r="M1427">
        <v>13</v>
      </c>
      <c r="N1427">
        <v>17</v>
      </c>
      <c r="P1427">
        <v>0</v>
      </c>
      <c r="Q1427">
        <v>2</v>
      </c>
      <c r="R1427">
        <v>5</v>
      </c>
      <c r="S1427">
        <v>8</v>
      </c>
    </row>
    <row r="1428" spans="1:19" hidden="1" x14ac:dyDescent="0.35">
      <c r="A1428">
        <v>57254558600</v>
      </c>
      <c r="B1428" t="s">
        <v>1437</v>
      </c>
      <c r="C1428" t="str">
        <f>_xlfn.XLOOKUP(A1428,[1]Affiliations!$J$2:$J$5328,[1]Affiliations!$K$2:$K$5328,0)</f>
        <v>Federal University of Rio de Janeiro</v>
      </c>
      <c r="D1428">
        <v>1</v>
      </c>
      <c r="E1428">
        <v>18</v>
      </c>
      <c r="F1428">
        <v>18</v>
      </c>
      <c r="G1428">
        <v>1</v>
      </c>
      <c r="H1428">
        <v>1.1100000000000001</v>
      </c>
      <c r="I1428">
        <v>0</v>
      </c>
      <c r="J1428">
        <v>1</v>
      </c>
      <c r="K1428">
        <v>1</v>
      </c>
      <c r="L1428">
        <v>1</v>
      </c>
      <c r="M1428">
        <v>1</v>
      </c>
      <c r="N1428">
        <v>1</v>
      </c>
      <c r="P1428">
        <v>0</v>
      </c>
      <c r="Q1428">
        <v>0</v>
      </c>
      <c r="R1428">
        <v>0</v>
      </c>
      <c r="S1428">
        <v>1</v>
      </c>
    </row>
    <row r="1429" spans="1:19" hidden="1" x14ac:dyDescent="0.35">
      <c r="A1429">
        <v>59157864000</v>
      </c>
      <c r="B1429" t="s">
        <v>1438</v>
      </c>
      <c r="C1429" t="str">
        <f>_xlfn.XLOOKUP(A1429,[1]Affiliations!$J$2:$J$5328,[1]Affiliations!$K$2:$K$5328,0)</f>
        <v>Centro Federal de Educação Tecnológica Celso Suckow da Fonseca (CEFET-RJ) (+1 more)</v>
      </c>
      <c r="D1429">
        <v>18</v>
      </c>
      <c r="E1429">
        <v>59</v>
      </c>
      <c r="F1429">
        <v>3.2777777000000001</v>
      </c>
      <c r="G1429">
        <v>4</v>
      </c>
      <c r="H1429">
        <v>1.37</v>
      </c>
      <c r="I1429">
        <v>0</v>
      </c>
      <c r="J1429">
        <v>0</v>
      </c>
      <c r="K1429">
        <v>1</v>
      </c>
      <c r="L1429">
        <v>2</v>
      </c>
      <c r="M1429">
        <v>2</v>
      </c>
      <c r="N1429">
        <v>2</v>
      </c>
      <c r="P1429">
        <v>0</v>
      </c>
      <c r="Q1429">
        <v>0</v>
      </c>
      <c r="R1429">
        <v>0</v>
      </c>
      <c r="S1429">
        <v>2</v>
      </c>
    </row>
    <row r="1430" spans="1:19" hidden="1" x14ac:dyDescent="0.35">
      <c r="A1430">
        <v>56281813100</v>
      </c>
      <c r="B1430" t="s">
        <v>1439</v>
      </c>
      <c r="C1430" t="str">
        <f>_xlfn.XLOOKUP(A1430,[1]Affiliations!$J$2:$J$5328,[1]Affiliations!$K$2:$K$5328,0)</f>
        <v>DEMa</v>
      </c>
      <c r="D1430">
        <v>6</v>
      </c>
      <c r="E1430">
        <v>45</v>
      </c>
      <c r="F1430">
        <v>7.5</v>
      </c>
      <c r="G1430">
        <v>6</v>
      </c>
      <c r="H1430">
        <v>0.33</v>
      </c>
      <c r="I1430">
        <v>0</v>
      </c>
      <c r="J1430">
        <v>0</v>
      </c>
      <c r="K1430">
        <v>1</v>
      </c>
      <c r="L1430">
        <v>4</v>
      </c>
      <c r="M1430">
        <v>5</v>
      </c>
      <c r="N1430">
        <v>5</v>
      </c>
      <c r="P1430">
        <v>0</v>
      </c>
      <c r="Q1430">
        <v>0</v>
      </c>
      <c r="R1430">
        <v>0</v>
      </c>
      <c r="S1430">
        <v>1</v>
      </c>
    </row>
    <row r="1431" spans="1:19" hidden="1" x14ac:dyDescent="0.35">
      <c r="A1431">
        <v>56087791900</v>
      </c>
      <c r="B1431" t="s">
        <v>1440</v>
      </c>
      <c r="C1431" t="str">
        <f>_xlfn.XLOOKUP(A1431,[1]Affiliations!$J$2:$J$5328,[1]Affiliations!$K$2:$K$5328,0)</f>
        <v>Universidade Tiradentes</v>
      </c>
      <c r="D1431">
        <v>0</v>
      </c>
      <c r="G1431">
        <v>1</v>
      </c>
    </row>
    <row r="1432" spans="1:19" hidden="1" x14ac:dyDescent="0.35">
      <c r="A1432">
        <v>57221482505</v>
      </c>
      <c r="B1432" t="s">
        <v>1441</v>
      </c>
      <c r="C1432" t="str">
        <f>_xlfn.XLOOKUP(A1432,[1]Affiliations!$J$2:$J$5328,[1]Affiliations!$K$2:$K$5328,0)</f>
        <v>Universidade Federal de Goiás</v>
      </c>
      <c r="D1432">
        <v>3</v>
      </c>
      <c r="E1432">
        <v>31</v>
      </c>
      <c r="F1432">
        <v>10.333333</v>
      </c>
      <c r="G1432">
        <v>3</v>
      </c>
      <c r="H1432">
        <v>0.56999999999999995</v>
      </c>
      <c r="I1432">
        <v>0</v>
      </c>
      <c r="J1432">
        <v>1</v>
      </c>
      <c r="K1432">
        <v>1</v>
      </c>
      <c r="L1432">
        <v>2</v>
      </c>
      <c r="M1432">
        <v>3</v>
      </c>
      <c r="N1432">
        <v>3</v>
      </c>
      <c r="P1432">
        <v>0</v>
      </c>
      <c r="Q1432">
        <v>0</v>
      </c>
      <c r="R1432">
        <v>0</v>
      </c>
      <c r="S1432">
        <v>1</v>
      </c>
    </row>
    <row r="1433" spans="1:19" hidden="1" x14ac:dyDescent="0.35">
      <c r="A1433">
        <v>58809719200</v>
      </c>
      <c r="B1433" t="s">
        <v>1442</v>
      </c>
      <c r="C1433" t="str">
        <f>_xlfn.XLOOKUP(A1433,[1]Affiliations!$J$2:$J$5328,[1]Affiliations!$K$2:$K$5328,0)</f>
        <v>Pontifical Catholic University of Rio de Janeiro (+1 more)</v>
      </c>
      <c r="D1433">
        <v>2</v>
      </c>
      <c r="E1433">
        <v>7</v>
      </c>
      <c r="F1433">
        <v>3.5</v>
      </c>
      <c r="G1433">
        <v>2</v>
      </c>
      <c r="H1433">
        <v>0.7</v>
      </c>
      <c r="I1433">
        <v>0</v>
      </c>
      <c r="J1433">
        <v>0</v>
      </c>
      <c r="K1433">
        <v>1</v>
      </c>
      <c r="L1433">
        <v>1</v>
      </c>
      <c r="M1433">
        <v>2</v>
      </c>
      <c r="N1433">
        <v>2</v>
      </c>
      <c r="P1433">
        <v>0</v>
      </c>
      <c r="Q1433">
        <v>0</v>
      </c>
      <c r="R1433">
        <v>0</v>
      </c>
      <c r="S1433">
        <v>1</v>
      </c>
    </row>
    <row r="1434" spans="1:19" x14ac:dyDescent="0.35">
      <c r="A1434">
        <v>35866473000</v>
      </c>
      <c r="B1434" t="s">
        <v>1900</v>
      </c>
      <c r="C1434" t="str">
        <f>_xlfn.XLOOKUP(A1434,[1]Affiliations!$J$2:$J$5328,[1]Affiliations!$K$2:$K$5328,0)</f>
        <v>Universidade Federal do Rio Grande do Sul</v>
      </c>
      <c r="D1434">
        <v>51</v>
      </c>
      <c r="E1434">
        <v>1004</v>
      </c>
      <c r="F1434">
        <v>19.686274000000001</v>
      </c>
      <c r="G1434">
        <v>29</v>
      </c>
      <c r="H1434">
        <v>1.1499999999999999</v>
      </c>
      <c r="I1434">
        <v>2</v>
      </c>
      <c r="J1434">
        <v>8</v>
      </c>
      <c r="K1434">
        <v>14</v>
      </c>
      <c r="L1434">
        <v>32</v>
      </c>
      <c r="M1434">
        <v>45</v>
      </c>
      <c r="N1434">
        <v>48</v>
      </c>
      <c r="P1434">
        <v>0</v>
      </c>
      <c r="Q1434">
        <v>2</v>
      </c>
      <c r="R1434">
        <v>4</v>
      </c>
      <c r="S1434">
        <v>22</v>
      </c>
    </row>
    <row r="1435" spans="1:19" hidden="1" x14ac:dyDescent="0.35">
      <c r="A1435">
        <v>55345241600</v>
      </c>
      <c r="B1435" t="s">
        <v>1444</v>
      </c>
      <c r="C1435" t="str">
        <f>_xlfn.XLOOKUP(A1435,[1]Affiliations!$J$2:$J$5328,[1]Affiliations!$K$2:$K$5328,0)</f>
        <v>Universidade Tiradentes</v>
      </c>
      <c r="D1435">
        <v>0</v>
      </c>
      <c r="G1435">
        <v>3</v>
      </c>
    </row>
    <row r="1436" spans="1:19" x14ac:dyDescent="0.35">
      <c r="A1436">
        <v>56450094100</v>
      </c>
      <c r="B1436" t="s">
        <v>5193</v>
      </c>
      <c r="C1436" t="str">
        <f>_xlfn.XLOOKUP(A1436,[1]Affiliations!$J$2:$J$5328,[1]Affiliations!$K$2:$K$5328,0)</f>
        <v>Pontifícia Universidade Católica do Rio Grande do Sul (+1 more)</v>
      </c>
      <c r="D1436">
        <v>17</v>
      </c>
      <c r="E1436">
        <v>498</v>
      </c>
      <c r="F1436">
        <v>29.294117</v>
      </c>
      <c r="G1436">
        <v>13</v>
      </c>
      <c r="H1436">
        <v>1.1499999999999999</v>
      </c>
      <c r="I1436">
        <v>0</v>
      </c>
      <c r="J1436">
        <v>0</v>
      </c>
      <c r="K1436">
        <v>4</v>
      </c>
      <c r="L1436">
        <v>8</v>
      </c>
      <c r="M1436">
        <v>12</v>
      </c>
      <c r="N1436">
        <v>15</v>
      </c>
      <c r="P1436">
        <v>0</v>
      </c>
      <c r="Q1436">
        <v>1</v>
      </c>
      <c r="R1436">
        <v>3</v>
      </c>
      <c r="S1436">
        <v>10</v>
      </c>
    </row>
    <row r="1437" spans="1:19" x14ac:dyDescent="0.35">
      <c r="A1437">
        <v>34978280600</v>
      </c>
      <c r="B1437" t="s">
        <v>189</v>
      </c>
      <c r="C1437" t="str">
        <f>_xlfn.XLOOKUP(A1437,[1]Affiliations!$J$2:$J$5328,[1]Affiliations!$K$2:$K$5328,0)</f>
        <v>Universidade de São Paulo</v>
      </c>
      <c r="D1437">
        <v>44</v>
      </c>
      <c r="E1437">
        <v>1222</v>
      </c>
      <c r="F1437">
        <v>27.772728000000001</v>
      </c>
      <c r="G1437">
        <v>26</v>
      </c>
      <c r="H1437">
        <v>1.1399999999999999</v>
      </c>
      <c r="I1437">
        <v>0</v>
      </c>
      <c r="J1437">
        <v>2</v>
      </c>
      <c r="K1437">
        <v>10</v>
      </c>
      <c r="L1437">
        <v>17</v>
      </c>
      <c r="M1437">
        <v>23</v>
      </c>
      <c r="N1437">
        <v>31</v>
      </c>
      <c r="P1437">
        <v>0</v>
      </c>
      <c r="Q1437">
        <v>3</v>
      </c>
      <c r="R1437">
        <v>11</v>
      </c>
      <c r="S1437">
        <v>19</v>
      </c>
    </row>
    <row r="1438" spans="1:19" hidden="1" x14ac:dyDescent="0.35">
      <c r="A1438">
        <v>57371986500</v>
      </c>
      <c r="B1438" t="s">
        <v>1447</v>
      </c>
      <c r="C1438" t="str">
        <f>_xlfn.XLOOKUP(A1438,[1]Affiliations!$J$2:$J$5328,[1]Affiliations!$K$2:$K$5328,0)</f>
        <v>Universidade Federal de Uberlândia</v>
      </c>
      <c r="D1438">
        <v>1</v>
      </c>
      <c r="E1438">
        <v>1</v>
      </c>
      <c r="F1438">
        <v>1</v>
      </c>
      <c r="G1438">
        <v>1</v>
      </c>
      <c r="H1438">
        <v>0.08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1</v>
      </c>
      <c r="P1438">
        <v>0</v>
      </c>
      <c r="Q1438">
        <v>0</v>
      </c>
      <c r="R1438">
        <v>0</v>
      </c>
      <c r="S1438">
        <v>0</v>
      </c>
    </row>
    <row r="1439" spans="1:19" x14ac:dyDescent="0.35">
      <c r="A1439">
        <v>57203333972</v>
      </c>
      <c r="B1439" t="s">
        <v>1015</v>
      </c>
      <c r="C1439" t="str">
        <f>_xlfn.XLOOKUP(A1439,[1]Affiliations!$J$2:$J$5328,[1]Affiliations!$K$2:$K$5328,0)</f>
        <v>Centro Nacional de Pesquisa em Energia e Materiais</v>
      </c>
      <c r="D1439">
        <v>33</v>
      </c>
      <c r="E1439">
        <v>847</v>
      </c>
      <c r="F1439">
        <v>25.666665999999999</v>
      </c>
      <c r="G1439">
        <v>21</v>
      </c>
      <c r="H1439">
        <v>1.1399999999999999</v>
      </c>
      <c r="I1439">
        <v>0</v>
      </c>
      <c r="J1439">
        <v>2</v>
      </c>
      <c r="K1439">
        <v>10</v>
      </c>
      <c r="L1439">
        <v>24</v>
      </c>
      <c r="M1439">
        <v>29</v>
      </c>
      <c r="N1439">
        <v>32</v>
      </c>
      <c r="P1439">
        <v>0</v>
      </c>
      <c r="Q1439">
        <v>2</v>
      </c>
      <c r="R1439">
        <v>4</v>
      </c>
      <c r="S1439">
        <v>16</v>
      </c>
    </row>
    <row r="1440" spans="1:19" hidden="1" x14ac:dyDescent="0.35">
      <c r="A1440">
        <v>58413361400</v>
      </c>
      <c r="B1440" t="s">
        <v>1449</v>
      </c>
      <c r="C1440" t="str">
        <f>_xlfn.XLOOKUP(A1440,[1]Affiliations!$J$2:$J$5328,[1]Affiliations!$K$2:$K$5328,0)</f>
        <v>Universidade Federal do Paraná</v>
      </c>
      <c r="D1440">
        <v>2</v>
      </c>
      <c r="E1440">
        <v>4</v>
      </c>
      <c r="F1440">
        <v>2</v>
      </c>
      <c r="G1440">
        <v>1</v>
      </c>
      <c r="H1440">
        <v>0.5</v>
      </c>
      <c r="I1440">
        <v>0</v>
      </c>
      <c r="J1440">
        <v>2</v>
      </c>
      <c r="K1440">
        <v>2</v>
      </c>
      <c r="L1440">
        <v>2</v>
      </c>
      <c r="M1440">
        <v>2</v>
      </c>
      <c r="N1440">
        <v>2</v>
      </c>
      <c r="P1440">
        <v>0</v>
      </c>
      <c r="Q1440">
        <v>0</v>
      </c>
      <c r="R1440">
        <v>0</v>
      </c>
      <c r="S1440">
        <v>0</v>
      </c>
    </row>
    <row r="1441" spans="1:19" hidden="1" x14ac:dyDescent="0.35">
      <c r="A1441">
        <v>25929891900</v>
      </c>
      <c r="B1441" t="s">
        <v>1450</v>
      </c>
      <c r="C1441" t="str">
        <f>_xlfn.XLOOKUP(A1441,[1]Affiliations!$J$2:$J$5328,[1]Affiliations!$K$2:$K$5328,0)</f>
        <v>Universidade Federal do Rio Grande do Norte</v>
      </c>
      <c r="D1441">
        <v>9</v>
      </c>
      <c r="E1441">
        <v>118</v>
      </c>
      <c r="F1441">
        <v>13.111110999999999</v>
      </c>
      <c r="G1441">
        <v>8</v>
      </c>
      <c r="H1441">
        <v>0.79</v>
      </c>
      <c r="I1441">
        <v>0</v>
      </c>
      <c r="J1441">
        <v>0</v>
      </c>
      <c r="K1441">
        <v>3</v>
      </c>
      <c r="L1441">
        <v>4</v>
      </c>
      <c r="M1441">
        <v>4</v>
      </c>
      <c r="N1441">
        <v>8</v>
      </c>
      <c r="P1441">
        <v>0</v>
      </c>
      <c r="Q1441">
        <v>0</v>
      </c>
      <c r="R1441">
        <v>0</v>
      </c>
      <c r="S1441">
        <v>1</v>
      </c>
    </row>
    <row r="1442" spans="1:19" x14ac:dyDescent="0.35">
      <c r="A1442">
        <v>35196247300</v>
      </c>
      <c r="B1442" t="s">
        <v>2831</v>
      </c>
      <c r="C1442" t="str">
        <f>_xlfn.XLOOKUP(A1442,[1]Affiliations!$J$2:$J$5328,[1]Affiliations!$K$2:$K$5328,0)</f>
        <v>Federal University of Rio de Janeiro</v>
      </c>
      <c r="D1442">
        <v>32</v>
      </c>
      <c r="E1442">
        <v>278</v>
      </c>
      <c r="F1442">
        <v>8.6875</v>
      </c>
      <c r="G1442">
        <v>13</v>
      </c>
      <c r="H1442">
        <v>1.1399999999999999</v>
      </c>
      <c r="I1442">
        <v>1</v>
      </c>
      <c r="J1442">
        <v>2</v>
      </c>
      <c r="K1442">
        <v>2</v>
      </c>
      <c r="L1442">
        <v>7</v>
      </c>
      <c r="M1442">
        <v>11</v>
      </c>
      <c r="N1442">
        <v>19</v>
      </c>
      <c r="P1442">
        <v>0</v>
      </c>
      <c r="Q1442">
        <v>1</v>
      </c>
      <c r="R1442">
        <v>3</v>
      </c>
      <c r="S1442">
        <v>6</v>
      </c>
    </row>
    <row r="1443" spans="1:19" hidden="1" x14ac:dyDescent="0.35">
      <c r="A1443">
        <v>57204661776</v>
      </c>
      <c r="B1443" t="s">
        <v>1452</v>
      </c>
      <c r="C1443" t="str">
        <f>_xlfn.XLOOKUP(A1443,[1]Affiliations!$J$2:$J$5328,[1]Affiliations!$K$2:$K$5328,0)</f>
        <v>Universidade Federal Fluminense</v>
      </c>
      <c r="D1443">
        <v>2</v>
      </c>
      <c r="E1443">
        <v>4</v>
      </c>
      <c r="F1443">
        <v>2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</v>
      </c>
      <c r="N1443">
        <v>2</v>
      </c>
      <c r="P1443">
        <v>0</v>
      </c>
      <c r="Q1443">
        <v>0</v>
      </c>
      <c r="R1443">
        <v>0</v>
      </c>
      <c r="S1443">
        <v>0</v>
      </c>
    </row>
    <row r="1444" spans="1:19" x14ac:dyDescent="0.35">
      <c r="A1444">
        <v>55503104600</v>
      </c>
      <c r="B1444" t="s">
        <v>3167</v>
      </c>
      <c r="C1444" t="str">
        <f>_xlfn.XLOOKUP(A1444,[1]Affiliations!$J$2:$J$5328,[1]Affiliations!$K$2:$K$5328,0)</f>
        <v>Universidade Federal do Rio Grande do Norte (+1 more)</v>
      </c>
      <c r="D1444">
        <v>22</v>
      </c>
      <c r="E1444">
        <v>543</v>
      </c>
      <c r="F1444">
        <v>24.681818</v>
      </c>
      <c r="G1444">
        <v>13</v>
      </c>
      <c r="H1444">
        <v>1.1399999999999999</v>
      </c>
      <c r="I1444">
        <v>0</v>
      </c>
      <c r="J1444">
        <v>5</v>
      </c>
      <c r="K1444">
        <v>10</v>
      </c>
      <c r="L1444">
        <v>13</v>
      </c>
      <c r="M1444">
        <v>17</v>
      </c>
      <c r="N1444">
        <v>20</v>
      </c>
      <c r="P1444">
        <v>0</v>
      </c>
      <c r="Q1444">
        <v>2</v>
      </c>
      <c r="R1444">
        <v>2</v>
      </c>
      <c r="S1444">
        <v>9</v>
      </c>
    </row>
    <row r="1445" spans="1:19" hidden="1" x14ac:dyDescent="0.35">
      <c r="A1445">
        <v>57339093400</v>
      </c>
      <c r="B1445" t="s">
        <v>1454</v>
      </c>
      <c r="C1445" t="str">
        <f>_xlfn.XLOOKUP(A1445,[1]Affiliations!$J$2:$J$5328,[1]Affiliations!$K$2:$K$5328,0)</f>
        <v>Universidade Federal Rural do Rio de Janeiro</v>
      </c>
      <c r="D1445">
        <v>1</v>
      </c>
      <c r="E1445">
        <v>3</v>
      </c>
      <c r="F1445">
        <v>3</v>
      </c>
      <c r="G1445">
        <v>1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P1445">
        <v>0</v>
      </c>
      <c r="Q1445">
        <v>0</v>
      </c>
      <c r="R1445">
        <v>0</v>
      </c>
      <c r="S1445">
        <v>0</v>
      </c>
    </row>
    <row r="1446" spans="1:19" hidden="1" x14ac:dyDescent="0.35">
      <c r="A1446">
        <v>56415038700</v>
      </c>
      <c r="B1446" t="s">
        <v>1455</v>
      </c>
      <c r="C1446" t="str">
        <f>_xlfn.XLOOKUP(A1446,[1]Affiliations!$J$2:$J$5328,[1]Affiliations!$K$2:$K$5328,0)</f>
        <v>Universidade Federal de São João del-Rei</v>
      </c>
      <c r="D1446">
        <v>1</v>
      </c>
      <c r="E1446">
        <v>1</v>
      </c>
      <c r="F1446">
        <v>1</v>
      </c>
      <c r="G1446">
        <v>1</v>
      </c>
      <c r="H1446">
        <v>1.39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P1446">
        <v>0</v>
      </c>
      <c r="Q1446">
        <v>0</v>
      </c>
      <c r="R1446">
        <v>0</v>
      </c>
      <c r="S1446">
        <v>0</v>
      </c>
    </row>
    <row r="1447" spans="1:19" hidden="1" x14ac:dyDescent="0.35">
      <c r="A1447">
        <v>57545831600</v>
      </c>
      <c r="B1447" t="s">
        <v>1456</v>
      </c>
      <c r="C1447" t="str">
        <f>_xlfn.XLOOKUP(A1447,[1]Affiliations!$J$2:$J$5328,[1]Affiliations!$K$2:$K$5328,0)</f>
        <v>Federal University of Santa Catarina</v>
      </c>
      <c r="D1447">
        <v>3</v>
      </c>
      <c r="E1447">
        <v>78</v>
      </c>
      <c r="F1447">
        <v>26</v>
      </c>
      <c r="G1447">
        <v>4</v>
      </c>
      <c r="H1447">
        <v>0.96</v>
      </c>
      <c r="I1447">
        <v>0</v>
      </c>
      <c r="J1447">
        <v>3</v>
      </c>
      <c r="K1447">
        <v>3</v>
      </c>
      <c r="L1447">
        <v>3</v>
      </c>
      <c r="M1447">
        <v>3</v>
      </c>
      <c r="N1447">
        <v>3</v>
      </c>
      <c r="P1447">
        <v>0</v>
      </c>
      <c r="Q1447">
        <v>1</v>
      </c>
      <c r="R1447">
        <v>1</v>
      </c>
      <c r="S1447">
        <v>3</v>
      </c>
    </row>
    <row r="1448" spans="1:19" hidden="1" x14ac:dyDescent="0.35">
      <c r="A1448">
        <v>57219726250</v>
      </c>
      <c r="B1448" t="s">
        <v>1457</v>
      </c>
      <c r="C1448" t="str">
        <f>_xlfn.XLOOKUP(A1448,[1]Affiliations!$J$2:$J$5328,[1]Affiliations!$K$2:$K$5328,0)</f>
        <v>Universidade Federal do Ceará</v>
      </c>
      <c r="D1448">
        <v>4</v>
      </c>
      <c r="E1448">
        <v>30</v>
      </c>
      <c r="F1448">
        <v>7.5</v>
      </c>
      <c r="G1448">
        <v>4</v>
      </c>
      <c r="H1448">
        <v>0.54</v>
      </c>
      <c r="I1448">
        <v>0</v>
      </c>
      <c r="J1448">
        <v>0</v>
      </c>
      <c r="K1448">
        <v>0</v>
      </c>
      <c r="L1448">
        <v>2</v>
      </c>
      <c r="M1448">
        <v>4</v>
      </c>
      <c r="N1448">
        <v>4</v>
      </c>
      <c r="P1448">
        <v>0</v>
      </c>
      <c r="Q1448">
        <v>0</v>
      </c>
      <c r="R1448">
        <v>0</v>
      </c>
      <c r="S1448">
        <v>0</v>
      </c>
    </row>
    <row r="1449" spans="1:19" hidden="1" x14ac:dyDescent="0.35">
      <c r="A1449">
        <v>36343231400</v>
      </c>
      <c r="B1449" t="s">
        <v>1458</v>
      </c>
      <c r="C1449" t="str">
        <f>_xlfn.XLOOKUP(A1449,[1]Affiliations!$J$2:$J$5328,[1]Affiliations!$K$2:$K$5328,0)</f>
        <v>Universidade Estadual de Maringá</v>
      </c>
      <c r="D1449">
        <v>12</v>
      </c>
      <c r="E1449">
        <v>109</v>
      </c>
      <c r="F1449">
        <v>9.0833329999999997</v>
      </c>
      <c r="G1449">
        <v>9</v>
      </c>
      <c r="H1449">
        <v>0.44</v>
      </c>
      <c r="I1449">
        <v>0</v>
      </c>
      <c r="J1449">
        <v>0</v>
      </c>
      <c r="K1449">
        <v>1</v>
      </c>
      <c r="L1449">
        <v>6</v>
      </c>
      <c r="M1449">
        <v>9</v>
      </c>
      <c r="N1449">
        <v>12</v>
      </c>
      <c r="P1449">
        <v>0</v>
      </c>
      <c r="Q1449">
        <v>0</v>
      </c>
      <c r="R1449">
        <v>0</v>
      </c>
      <c r="S1449">
        <v>1</v>
      </c>
    </row>
    <row r="1450" spans="1:19" x14ac:dyDescent="0.35">
      <c r="A1450">
        <v>56368367700</v>
      </c>
      <c r="B1450" t="s">
        <v>3983</v>
      </c>
      <c r="C1450" t="str">
        <f>_xlfn.XLOOKUP(A1450,[1]Affiliations!$J$2:$J$5328,[1]Affiliations!$K$2:$K$5328,0)</f>
        <v>Centro Federal de Educação Tecnológica Celso Suckow da Fonseca (CEFET-RJ)</v>
      </c>
      <c r="D1450">
        <v>94</v>
      </c>
      <c r="E1450">
        <v>1043</v>
      </c>
      <c r="F1450">
        <v>11.095745000000001</v>
      </c>
      <c r="G1450">
        <v>20</v>
      </c>
      <c r="H1450">
        <v>1.1399999999999999</v>
      </c>
      <c r="I1450">
        <v>0</v>
      </c>
      <c r="J1450">
        <v>2</v>
      </c>
      <c r="K1450">
        <v>16</v>
      </c>
      <c r="L1450">
        <v>33</v>
      </c>
      <c r="M1450">
        <v>43</v>
      </c>
      <c r="N1450">
        <v>54</v>
      </c>
      <c r="P1450">
        <v>0</v>
      </c>
      <c r="Q1450">
        <v>3</v>
      </c>
      <c r="R1450">
        <v>11</v>
      </c>
      <c r="S1450">
        <v>29</v>
      </c>
    </row>
    <row r="1451" spans="1:19" x14ac:dyDescent="0.35">
      <c r="A1451">
        <v>57188881090</v>
      </c>
      <c r="B1451" t="s">
        <v>4141</v>
      </c>
      <c r="C1451" t="str">
        <f>_xlfn.XLOOKUP(A1451,[1]Affiliations!$J$2:$J$5328,[1]Affiliations!$K$2:$K$5328,0)</f>
        <v>Universidade Federal de Minas Gerais</v>
      </c>
      <c r="D1451">
        <v>14</v>
      </c>
      <c r="E1451">
        <v>503</v>
      </c>
      <c r="F1451">
        <v>35.928570000000001</v>
      </c>
      <c r="G1451">
        <v>12</v>
      </c>
      <c r="H1451">
        <v>1.1399999999999999</v>
      </c>
      <c r="I1451">
        <v>0</v>
      </c>
      <c r="J1451">
        <v>2</v>
      </c>
      <c r="K1451">
        <v>3</v>
      </c>
      <c r="L1451">
        <v>10</v>
      </c>
      <c r="M1451">
        <v>14</v>
      </c>
      <c r="N1451">
        <v>14</v>
      </c>
      <c r="P1451">
        <v>0</v>
      </c>
      <c r="Q1451">
        <v>1</v>
      </c>
      <c r="R1451">
        <v>4</v>
      </c>
      <c r="S1451">
        <v>12</v>
      </c>
    </row>
    <row r="1452" spans="1:19" hidden="1" x14ac:dyDescent="0.35">
      <c r="A1452">
        <v>55837733200</v>
      </c>
      <c r="B1452" t="s">
        <v>1461</v>
      </c>
      <c r="C1452" t="str">
        <f>_xlfn.XLOOKUP(A1452,[1]Affiliations!$J$2:$J$5328,[1]Affiliations!$K$2:$K$5328,0)</f>
        <v>Federal University of Rio de Janeiro</v>
      </c>
      <c r="D1452">
        <v>5</v>
      </c>
      <c r="E1452">
        <v>22</v>
      </c>
      <c r="F1452">
        <v>4.4000000000000004</v>
      </c>
      <c r="G1452">
        <v>3</v>
      </c>
      <c r="H1452">
        <v>0.23</v>
      </c>
      <c r="I1452">
        <v>0</v>
      </c>
      <c r="J1452">
        <v>0</v>
      </c>
      <c r="K1452">
        <v>0</v>
      </c>
      <c r="L1452">
        <v>0</v>
      </c>
      <c r="M1452">
        <v>3</v>
      </c>
      <c r="N1452">
        <v>5</v>
      </c>
      <c r="P1452">
        <v>0</v>
      </c>
      <c r="Q1452">
        <v>0</v>
      </c>
      <c r="R1452">
        <v>0</v>
      </c>
      <c r="S1452">
        <v>0</v>
      </c>
    </row>
    <row r="1453" spans="1:19" x14ac:dyDescent="0.35">
      <c r="A1453">
        <v>37075656100</v>
      </c>
      <c r="B1453" t="s">
        <v>4480</v>
      </c>
      <c r="C1453" t="str">
        <f>_xlfn.XLOOKUP(A1453,[1]Affiliations!$J$2:$J$5328,[1]Affiliations!$K$2:$K$5328,0)</f>
        <v>Laboratório Nacional Agropecuário (LANAGRO)</v>
      </c>
      <c r="D1453">
        <v>9</v>
      </c>
      <c r="E1453">
        <v>342</v>
      </c>
      <c r="F1453">
        <v>38</v>
      </c>
      <c r="G1453">
        <v>8</v>
      </c>
      <c r="H1453">
        <v>1.1399999999999999</v>
      </c>
      <c r="I1453">
        <v>0</v>
      </c>
      <c r="J1453">
        <v>1</v>
      </c>
      <c r="K1453">
        <v>4</v>
      </c>
      <c r="L1453">
        <v>5</v>
      </c>
      <c r="M1453">
        <v>8</v>
      </c>
      <c r="N1453">
        <v>9</v>
      </c>
      <c r="P1453">
        <v>0</v>
      </c>
      <c r="Q1453">
        <v>1</v>
      </c>
      <c r="R1453">
        <v>3</v>
      </c>
      <c r="S1453">
        <v>4</v>
      </c>
    </row>
    <row r="1454" spans="1:19" hidden="1" x14ac:dyDescent="0.35">
      <c r="A1454">
        <v>57204000785</v>
      </c>
      <c r="B1454" t="s">
        <v>1463</v>
      </c>
      <c r="C1454" t="str">
        <f>_xlfn.XLOOKUP(A1454,[1]Affiliations!$J$2:$J$5328,[1]Affiliations!$K$2:$K$5328,0)</f>
        <v>Universidade Federal Rural do Rio de Janeiro</v>
      </c>
      <c r="D1454">
        <v>2</v>
      </c>
      <c r="E1454">
        <v>12</v>
      </c>
      <c r="F1454">
        <v>6</v>
      </c>
      <c r="G1454">
        <v>1</v>
      </c>
      <c r="H1454">
        <v>0.28000000000000003</v>
      </c>
      <c r="I1454">
        <v>0</v>
      </c>
      <c r="J1454">
        <v>0</v>
      </c>
      <c r="K1454">
        <v>0</v>
      </c>
      <c r="L1454">
        <v>1</v>
      </c>
      <c r="M1454">
        <v>1</v>
      </c>
      <c r="N1454">
        <v>2</v>
      </c>
      <c r="P1454">
        <v>0</v>
      </c>
      <c r="Q1454">
        <v>0</v>
      </c>
      <c r="R1454">
        <v>0</v>
      </c>
      <c r="S1454">
        <v>0</v>
      </c>
    </row>
    <row r="1455" spans="1:19" hidden="1" x14ac:dyDescent="0.35">
      <c r="A1455">
        <v>57210556623</v>
      </c>
      <c r="B1455" t="s">
        <v>1464</v>
      </c>
      <c r="C1455" t="str">
        <f>_xlfn.XLOOKUP(A1455,[1]Affiliations!$J$2:$J$5328,[1]Affiliations!$K$2:$K$5328,0)</f>
        <v>Federal University of Rio de Janeiro</v>
      </c>
      <c r="D1455">
        <v>2</v>
      </c>
      <c r="E1455">
        <v>20</v>
      </c>
      <c r="F1455">
        <v>10</v>
      </c>
      <c r="G1455">
        <v>2</v>
      </c>
      <c r="H1455">
        <v>0.56999999999999995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P1455">
        <v>0</v>
      </c>
      <c r="Q1455">
        <v>0</v>
      </c>
      <c r="R1455">
        <v>0</v>
      </c>
      <c r="S1455">
        <v>0</v>
      </c>
    </row>
    <row r="1456" spans="1:19" hidden="1" x14ac:dyDescent="0.35">
      <c r="A1456">
        <v>57191857636</v>
      </c>
      <c r="B1456" t="s">
        <v>1465</v>
      </c>
      <c r="C1456" t="str">
        <f>_xlfn.XLOOKUP(A1456,[1]Affiliations!$J$2:$J$5328,[1]Affiliations!$K$2:$K$5328,0)</f>
        <v>Universidade Federal de Viçosa</v>
      </c>
      <c r="D1456">
        <v>1</v>
      </c>
      <c r="E1456">
        <v>37</v>
      </c>
      <c r="F1456">
        <v>37</v>
      </c>
      <c r="G1456">
        <v>1</v>
      </c>
      <c r="H1456">
        <v>1.76</v>
      </c>
      <c r="I1456">
        <v>0</v>
      </c>
      <c r="J1456">
        <v>0</v>
      </c>
      <c r="K1456">
        <v>0</v>
      </c>
      <c r="L1456">
        <v>1</v>
      </c>
      <c r="M1456">
        <v>1</v>
      </c>
      <c r="N1456">
        <v>1</v>
      </c>
      <c r="P1456">
        <v>0</v>
      </c>
      <c r="Q1456">
        <v>0</v>
      </c>
      <c r="R1456">
        <v>0</v>
      </c>
      <c r="S1456">
        <v>1</v>
      </c>
    </row>
    <row r="1457" spans="1:19" x14ac:dyDescent="0.35">
      <c r="A1457">
        <v>8325223000</v>
      </c>
      <c r="B1457" t="s">
        <v>4937</v>
      </c>
      <c r="C1457" t="str">
        <f>_xlfn.XLOOKUP(A1457,[1]Affiliations!$J$2:$J$5328,[1]Affiliations!$K$2:$K$5328,0)</f>
        <v>Universidade Federal do Paraná</v>
      </c>
      <c r="D1457">
        <v>16</v>
      </c>
      <c r="E1457">
        <v>332</v>
      </c>
      <c r="F1457">
        <v>20.75</v>
      </c>
      <c r="G1457">
        <v>13</v>
      </c>
      <c r="H1457">
        <v>1.1399999999999999</v>
      </c>
      <c r="I1457">
        <v>0</v>
      </c>
      <c r="J1457">
        <v>3</v>
      </c>
      <c r="K1457">
        <v>6</v>
      </c>
      <c r="L1457">
        <v>8</v>
      </c>
      <c r="M1457">
        <v>10</v>
      </c>
      <c r="N1457">
        <v>12</v>
      </c>
      <c r="P1457">
        <v>0</v>
      </c>
      <c r="Q1457">
        <v>0</v>
      </c>
      <c r="R1457">
        <v>2</v>
      </c>
      <c r="S1457">
        <v>7</v>
      </c>
    </row>
    <row r="1458" spans="1:19" hidden="1" x14ac:dyDescent="0.35">
      <c r="A1458">
        <v>37107585400</v>
      </c>
      <c r="B1458" t="s">
        <v>1467</v>
      </c>
      <c r="C1458" t="str">
        <f>_xlfn.XLOOKUP(A1458,[1]Affiliations!$J$2:$J$5328,[1]Affiliations!$K$2:$K$5328,0)</f>
        <v>Universidade do Estado do Rio de Janeiro (+1 more)</v>
      </c>
      <c r="D1458">
        <v>0</v>
      </c>
      <c r="G1458">
        <v>4</v>
      </c>
    </row>
    <row r="1459" spans="1:19" hidden="1" x14ac:dyDescent="0.35">
      <c r="A1459">
        <v>60125474100</v>
      </c>
      <c r="B1459" t="s">
        <v>1468</v>
      </c>
      <c r="C1459" t="str">
        <f>_xlfn.XLOOKUP(A1459,[1]Affiliations!$J$2:$J$5328,[1]Affiliations!$K$2:$K$5328,0)</f>
        <v>FIEMG</v>
      </c>
      <c r="D1459">
        <v>0</v>
      </c>
      <c r="G1459">
        <v>0</v>
      </c>
    </row>
    <row r="1460" spans="1:19" hidden="1" x14ac:dyDescent="0.35">
      <c r="A1460">
        <v>57190790602</v>
      </c>
      <c r="B1460" t="s">
        <v>1469</v>
      </c>
      <c r="C1460" t="str">
        <f>_xlfn.XLOOKUP(A1460,[1]Affiliations!$J$2:$J$5328,[1]Affiliations!$K$2:$K$5328,0)</f>
        <v>Universidade de São Paulo</v>
      </c>
      <c r="D1460">
        <v>1</v>
      </c>
      <c r="E1460">
        <v>1</v>
      </c>
      <c r="F1460">
        <v>1</v>
      </c>
      <c r="G1460">
        <v>1</v>
      </c>
      <c r="H1460">
        <v>0.12</v>
      </c>
      <c r="I1460">
        <v>0</v>
      </c>
      <c r="J1460">
        <v>0</v>
      </c>
      <c r="K1460">
        <v>0</v>
      </c>
      <c r="L1460">
        <v>0</v>
      </c>
      <c r="M1460">
        <v>1</v>
      </c>
      <c r="N1460">
        <v>1</v>
      </c>
      <c r="P1460">
        <v>0</v>
      </c>
      <c r="Q1460">
        <v>0</v>
      </c>
      <c r="R1460">
        <v>0</v>
      </c>
      <c r="S1460">
        <v>0</v>
      </c>
    </row>
    <row r="1461" spans="1:19" hidden="1" x14ac:dyDescent="0.35">
      <c r="A1461">
        <v>58819701200</v>
      </c>
      <c r="B1461" t="s">
        <v>1470</v>
      </c>
      <c r="C1461" t="str">
        <f>_xlfn.XLOOKUP(A1461,[1]Affiliations!$J$2:$J$5328,[1]Affiliations!$K$2:$K$5328,0)</f>
        <v>Federal University of Rio de Janeiro</v>
      </c>
      <c r="D1461">
        <v>2</v>
      </c>
      <c r="E1461">
        <v>4</v>
      </c>
      <c r="F1461">
        <v>2</v>
      </c>
      <c r="G1461">
        <v>2</v>
      </c>
      <c r="H1461">
        <v>0.5</v>
      </c>
      <c r="I1461">
        <v>0</v>
      </c>
      <c r="J1461">
        <v>0</v>
      </c>
      <c r="K1461">
        <v>0</v>
      </c>
      <c r="L1461">
        <v>0</v>
      </c>
      <c r="M1461">
        <v>2</v>
      </c>
      <c r="N1461">
        <v>2</v>
      </c>
      <c r="P1461">
        <v>0</v>
      </c>
      <c r="Q1461">
        <v>0</v>
      </c>
      <c r="R1461">
        <v>0</v>
      </c>
      <c r="S1461">
        <v>0</v>
      </c>
    </row>
    <row r="1462" spans="1:19" hidden="1" x14ac:dyDescent="0.35">
      <c r="A1462">
        <v>36177268800</v>
      </c>
      <c r="B1462" t="s">
        <v>1471</v>
      </c>
      <c r="C1462" t="str">
        <f>_xlfn.XLOOKUP(A1462,[1]Affiliations!$J$2:$J$5328,[1]Affiliations!$K$2:$K$5328,0)</f>
        <v>Federal University of Rio de Janeiro</v>
      </c>
      <c r="D1462">
        <v>43</v>
      </c>
      <c r="E1462">
        <v>219</v>
      </c>
      <c r="F1462">
        <v>5.0930232999999996</v>
      </c>
      <c r="G1462">
        <v>11</v>
      </c>
      <c r="H1462">
        <v>0.34</v>
      </c>
      <c r="I1462">
        <v>0</v>
      </c>
      <c r="J1462">
        <v>0</v>
      </c>
      <c r="K1462">
        <v>0</v>
      </c>
      <c r="L1462">
        <v>3</v>
      </c>
      <c r="M1462">
        <v>13</v>
      </c>
      <c r="N1462">
        <v>29</v>
      </c>
      <c r="P1462">
        <v>0</v>
      </c>
      <c r="Q1462">
        <v>0</v>
      </c>
      <c r="R1462">
        <v>1</v>
      </c>
      <c r="S1462">
        <v>3</v>
      </c>
    </row>
    <row r="1463" spans="1:19" hidden="1" x14ac:dyDescent="0.35">
      <c r="A1463">
        <v>57223136919</v>
      </c>
      <c r="B1463" t="s">
        <v>1472</v>
      </c>
      <c r="C1463" t="str">
        <f>_xlfn.XLOOKUP(A1463,[1]Affiliations!$J$2:$J$5328,[1]Affiliations!$K$2:$K$5328,0)</f>
        <v>Laboratório Nacional de Computação Científica (+1 more)</v>
      </c>
      <c r="D1463">
        <v>6</v>
      </c>
      <c r="E1463">
        <v>49</v>
      </c>
      <c r="F1463">
        <v>8.1666670000000003</v>
      </c>
      <c r="G1463">
        <v>4</v>
      </c>
      <c r="H1463">
        <v>0.66</v>
      </c>
      <c r="I1463">
        <v>0</v>
      </c>
      <c r="J1463">
        <v>1</v>
      </c>
      <c r="K1463">
        <v>2</v>
      </c>
      <c r="L1463">
        <v>3</v>
      </c>
      <c r="M1463">
        <v>5</v>
      </c>
      <c r="N1463">
        <v>5</v>
      </c>
      <c r="P1463">
        <v>0</v>
      </c>
      <c r="Q1463">
        <v>0</v>
      </c>
      <c r="R1463">
        <v>0</v>
      </c>
      <c r="S1463">
        <v>2</v>
      </c>
    </row>
    <row r="1464" spans="1:19" hidden="1" x14ac:dyDescent="0.35">
      <c r="A1464">
        <v>59479501100</v>
      </c>
      <c r="B1464" t="s">
        <v>1473</v>
      </c>
      <c r="C1464" t="str">
        <f>_xlfn.XLOOKUP(A1464,[1]Affiliations!$J$2:$J$5328,[1]Affiliations!$K$2:$K$5328,0)</f>
        <v>Laboratório Nacional de Computação Científica</v>
      </c>
      <c r="D1464">
        <v>0</v>
      </c>
      <c r="G1464">
        <v>0</v>
      </c>
    </row>
    <row r="1465" spans="1:19" hidden="1" x14ac:dyDescent="0.35">
      <c r="A1465">
        <v>57455293800</v>
      </c>
      <c r="B1465" t="s">
        <v>1474</v>
      </c>
      <c r="C1465" t="str">
        <f>_xlfn.XLOOKUP(A1465,[1]Affiliations!$J$2:$J$5328,[1]Affiliations!$K$2:$K$5328,0)</f>
        <v>Universidade Federal de Viçosa</v>
      </c>
      <c r="D1465">
        <v>5</v>
      </c>
      <c r="E1465">
        <v>23</v>
      </c>
      <c r="F1465">
        <v>4.5999999999999996</v>
      </c>
      <c r="G1465">
        <v>3</v>
      </c>
      <c r="H1465">
        <v>0.51</v>
      </c>
      <c r="I1465">
        <v>0</v>
      </c>
      <c r="J1465">
        <v>0</v>
      </c>
      <c r="K1465">
        <v>0</v>
      </c>
      <c r="L1465">
        <v>3</v>
      </c>
      <c r="M1465">
        <v>4</v>
      </c>
      <c r="N1465">
        <v>5</v>
      </c>
      <c r="P1465">
        <v>0</v>
      </c>
      <c r="Q1465">
        <v>0</v>
      </c>
      <c r="R1465">
        <v>0</v>
      </c>
      <c r="S1465">
        <v>0</v>
      </c>
    </row>
    <row r="1466" spans="1:19" hidden="1" x14ac:dyDescent="0.35">
      <c r="A1466">
        <v>56320417900</v>
      </c>
      <c r="B1466" t="s">
        <v>1475</v>
      </c>
      <c r="C1466" t="str">
        <f>_xlfn.XLOOKUP(A1466,[1]Affiliations!$J$2:$J$5328,[1]Affiliations!$K$2:$K$5328,0)</f>
        <v>Universidade de São Paulo</v>
      </c>
      <c r="D1466">
        <v>1</v>
      </c>
      <c r="E1466">
        <v>7</v>
      </c>
      <c r="F1466">
        <v>7</v>
      </c>
      <c r="G1466">
        <v>2</v>
      </c>
      <c r="H1466">
        <v>0.12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P1466">
        <v>0</v>
      </c>
      <c r="Q1466">
        <v>0</v>
      </c>
      <c r="R1466">
        <v>0</v>
      </c>
      <c r="S1466">
        <v>0</v>
      </c>
    </row>
    <row r="1467" spans="1:19" x14ac:dyDescent="0.35">
      <c r="A1467">
        <v>6602406756</v>
      </c>
      <c r="B1467" t="s">
        <v>5237</v>
      </c>
      <c r="C1467" t="str">
        <f>_xlfn.XLOOKUP(A1467,[1]Affiliations!$J$2:$J$5328,[1]Affiliations!$K$2:$K$5328,0)</f>
        <v>Universidade de Brasília</v>
      </c>
      <c r="D1467">
        <v>21</v>
      </c>
      <c r="E1467">
        <v>579</v>
      </c>
      <c r="F1467">
        <v>27.571428000000001</v>
      </c>
      <c r="G1467">
        <v>12</v>
      </c>
      <c r="H1467">
        <v>1.1399999999999999</v>
      </c>
      <c r="I1467">
        <v>1</v>
      </c>
      <c r="J1467">
        <v>4</v>
      </c>
      <c r="K1467">
        <v>7</v>
      </c>
      <c r="L1467">
        <v>9</v>
      </c>
      <c r="M1467">
        <v>18</v>
      </c>
      <c r="N1467">
        <v>21</v>
      </c>
      <c r="P1467">
        <v>0</v>
      </c>
      <c r="Q1467">
        <v>1</v>
      </c>
      <c r="R1467">
        <v>4</v>
      </c>
      <c r="S1467">
        <v>8</v>
      </c>
    </row>
    <row r="1468" spans="1:19" x14ac:dyDescent="0.35">
      <c r="A1468">
        <v>18036912200</v>
      </c>
      <c r="B1468" t="s">
        <v>256</v>
      </c>
      <c r="C1468" t="str">
        <f>_xlfn.XLOOKUP(A1468,[1]Affiliations!$J$2:$J$5328,[1]Affiliations!$K$2:$K$5328,0)</f>
        <v>Instituto Nacional de Metrologia, Qualidade e Tecnologia</v>
      </c>
      <c r="D1468">
        <v>127</v>
      </c>
      <c r="E1468">
        <v>3554</v>
      </c>
      <c r="F1468">
        <v>27.984251</v>
      </c>
      <c r="G1468">
        <v>35</v>
      </c>
      <c r="H1468">
        <v>1.1299999999999999</v>
      </c>
      <c r="I1468">
        <v>4</v>
      </c>
      <c r="J1468">
        <v>20</v>
      </c>
      <c r="K1468">
        <v>43</v>
      </c>
      <c r="L1468">
        <v>88</v>
      </c>
      <c r="M1468">
        <v>115</v>
      </c>
      <c r="N1468">
        <v>124</v>
      </c>
      <c r="P1468">
        <v>3</v>
      </c>
      <c r="Q1468">
        <v>11</v>
      </c>
      <c r="R1468">
        <v>23</v>
      </c>
      <c r="S1468">
        <v>60</v>
      </c>
    </row>
    <row r="1469" spans="1:19" x14ac:dyDescent="0.35">
      <c r="A1469">
        <v>56398549700</v>
      </c>
      <c r="B1469" t="s">
        <v>328</v>
      </c>
      <c r="C1469" t="str">
        <f>_xlfn.XLOOKUP(A1469,[1]Affiliations!$J$2:$J$5328,[1]Affiliations!$K$2:$K$5328,0)</f>
        <v>Universidade Federal do Paraná (+1 more)</v>
      </c>
      <c r="D1469">
        <v>26</v>
      </c>
      <c r="E1469">
        <v>521</v>
      </c>
      <c r="F1469">
        <v>20.038461999999999</v>
      </c>
      <c r="G1469">
        <v>10</v>
      </c>
      <c r="H1469">
        <v>1.1299999999999999</v>
      </c>
      <c r="I1469">
        <v>1</v>
      </c>
      <c r="J1469">
        <v>9</v>
      </c>
      <c r="K1469">
        <v>10</v>
      </c>
      <c r="L1469">
        <v>20</v>
      </c>
      <c r="M1469">
        <v>26</v>
      </c>
      <c r="N1469">
        <v>26</v>
      </c>
      <c r="P1469">
        <v>0</v>
      </c>
      <c r="Q1469">
        <v>1</v>
      </c>
      <c r="R1469">
        <v>4</v>
      </c>
      <c r="S1469">
        <v>8</v>
      </c>
    </row>
    <row r="1470" spans="1:19" hidden="1" x14ac:dyDescent="0.35">
      <c r="A1470">
        <v>57504870000</v>
      </c>
      <c r="B1470" t="s">
        <v>1479</v>
      </c>
      <c r="C1470" t="str">
        <f>_xlfn.XLOOKUP(A1470,[1]Affiliations!$J$2:$J$5328,[1]Affiliations!$K$2:$K$5328,0)</f>
        <v>Centro Federal de Educação Tecnológica Celso Suckow da Fonseca (CEFET-RJ)</v>
      </c>
      <c r="D1470">
        <v>5</v>
      </c>
      <c r="E1470">
        <v>81</v>
      </c>
      <c r="F1470">
        <v>16.2</v>
      </c>
      <c r="G1470">
        <v>4</v>
      </c>
      <c r="H1470">
        <v>1.55</v>
      </c>
      <c r="I1470">
        <v>0</v>
      </c>
      <c r="J1470">
        <v>0</v>
      </c>
      <c r="K1470">
        <v>0</v>
      </c>
      <c r="L1470">
        <v>2</v>
      </c>
      <c r="M1470">
        <v>4</v>
      </c>
      <c r="N1470">
        <v>4</v>
      </c>
      <c r="P1470">
        <v>0</v>
      </c>
      <c r="Q1470">
        <v>1</v>
      </c>
      <c r="R1470">
        <v>3</v>
      </c>
      <c r="S1470">
        <v>3</v>
      </c>
    </row>
    <row r="1471" spans="1:19" x14ac:dyDescent="0.35">
      <c r="A1471">
        <v>57120078000</v>
      </c>
      <c r="B1471" t="s">
        <v>980</v>
      </c>
      <c r="C1471" t="str">
        <f>_xlfn.XLOOKUP(A1471,[1]Affiliations!$J$2:$J$5328,[1]Affiliations!$K$2:$K$5328,0)</f>
        <v>University of Campinas</v>
      </c>
      <c r="D1471">
        <v>13</v>
      </c>
      <c r="E1471">
        <v>504</v>
      </c>
      <c r="F1471">
        <v>38.76923</v>
      </c>
      <c r="G1471">
        <v>6</v>
      </c>
      <c r="H1471">
        <v>1.1299999999999999</v>
      </c>
      <c r="I1471">
        <v>1</v>
      </c>
      <c r="J1471">
        <v>5</v>
      </c>
      <c r="K1471">
        <v>7</v>
      </c>
      <c r="L1471">
        <v>8</v>
      </c>
      <c r="M1471">
        <v>11</v>
      </c>
      <c r="N1471">
        <v>12</v>
      </c>
      <c r="P1471">
        <v>1</v>
      </c>
      <c r="Q1471">
        <v>1</v>
      </c>
      <c r="R1471">
        <v>4</v>
      </c>
      <c r="S1471">
        <v>5</v>
      </c>
    </row>
    <row r="1472" spans="1:19" hidden="1" x14ac:dyDescent="0.35">
      <c r="A1472">
        <v>57188709331</v>
      </c>
      <c r="B1472" t="s">
        <v>1481</v>
      </c>
      <c r="C1472" t="str">
        <f>_xlfn.XLOOKUP(A1472,[1]Affiliations!$J$2:$J$5328,[1]Affiliations!$K$2:$K$5328,0)</f>
        <v>Universidade Federal Fluminense (+1 more)</v>
      </c>
      <c r="D1472">
        <v>6</v>
      </c>
      <c r="E1472">
        <v>18</v>
      </c>
      <c r="F1472">
        <v>3</v>
      </c>
      <c r="G1472">
        <v>3</v>
      </c>
      <c r="H1472">
        <v>0.19</v>
      </c>
      <c r="I1472">
        <v>0</v>
      </c>
      <c r="J1472">
        <v>0</v>
      </c>
      <c r="K1472">
        <v>0</v>
      </c>
      <c r="L1472">
        <v>2</v>
      </c>
      <c r="M1472">
        <v>3</v>
      </c>
      <c r="N1472">
        <v>5</v>
      </c>
      <c r="P1472">
        <v>0</v>
      </c>
      <c r="Q1472">
        <v>0</v>
      </c>
      <c r="R1472">
        <v>0</v>
      </c>
      <c r="S1472">
        <v>0</v>
      </c>
    </row>
    <row r="1473" spans="1:19" hidden="1" x14ac:dyDescent="0.35">
      <c r="A1473">
        <v>57006457800</v>
      </c>
      <c r="B1473" t="s">
        <v>1482</v>
      </c>
      <c r="C1473" t="str">
        <f>_xlfn.XLOOKUP(A1473,[1]Affiliations!$J$2:$J$5328,[1]Affiliations!$K$2:$K$5328,0)</f>
        <v>Federal University of Rio de Janeiro</v>
      </c>
      <c r="D1473">
        <v>2</v>
      </c>
      <c r="E1473">
        <v>19</v>
      </c>
      <c r="F1473">
        <v>9.5</v>
      </c>
      <c r="G1473">
        <v>1</v>
      </c>
      <c r="H1473">
        <v>0.25</v>
      </c>
      <c r="I1473">
        <v>0</v>
      </c>
      <c r="J1473">
        <v>0</v>
      </c>
      <c r="K1473">
        <v>0</v>
      </c>
      <c r="L1473">
        <v>2</v>
      </c>
      <c r="M1473">
        <v>2</v>
      </c>
      <c r="N1473">
        <v>2</v>
      </c>
      <c r="P1473">
        <v>0</v>
      </c>
      <c r="Q1473">
        <v>0</v>
      </c>
      <c r="R1473">
        <v>0</v>
      </c>
      <c r="S1473">
        <v>0</v>
      </c>
    </row>
    <row r="1474" spans="1:19" hidden="1" x14ac:dyDescent="0.35">
      <c r="A1474">
        <v>59461009300</v>
      </c>
      <c r="B1474" t="s">
        <v>1483</v>
      </c>
      <c r="C1474" t="str">
        <f>_xlfn.XLOOKUP(A1474,[1]Affiliations!$J$2:$J$5328,[1]Affiliations!$K$2:$K$5328,0)</f>
        <v>Pontifícia Universidade Católica do Rio Grande do Sul</v>
      </c>
      <c r="D1474">
        <v>0</v>
      </c>
      <c r="G1474">
        <v>1</v>
      </c>
    </row>
    <row r="1475" spans="1:19" x14ac:dyDescent="0.35">
      <c r="A1475">
        <v>58093046500</v>
      </c>
      <c r="B1475" t="s">
        <v>1164</v>
      </c>
      <c r="C1475" t="str">
        <f>_xlfn.XLOOKUP(A1475,[1]Affiliations!$J$2:$J$5328,[1]Affiliations!$K$2:$K$5328,0)</f>
        <v>University of Campinas</v>
      </c>
      <c r="D1475">
        <v>7</v>
      </c>
      <c r="E1475">
        <v>79</v>
      </c>
      <c r="F1475">
        <v>11.285714</v>
      </c>
      <c r="G1475">
        <v>4</v>
      </c>
      <c r="H1475">
        <v>1.1299999999999999</v>
      </c>
      <c r="I1475">
        <v>0</v>
      </c>
      <c r="J1475">
        <v>0</v>
      </c>
      <c r="K1475">
        <v>1</v>
      </c>
      <c r="L1475">
        <v>2</v>
      </c>
      <c r="M1475">
        <v>3</v>
      </c>
      <c r="N1475">
        <v>3</v>
      </c>
      <c r="P1475">
        <v>0</v>
      </c>
      <c r="Q1475">
        <v>2</v>
      </c>
      <c r="R1475">
        <v>2</v>
      </c>
      <c r="S1475">
        <v>3</v>
      </c>
    </row>
    <row r="1476" spans="1:19" hidden="1" x14ac:dyDescent="0.35">
      <c r="A1476">
        <v>58195407400</v>
      </c>
      <c r="B1476" t="s">
        <v>1485</v>
      </c>
      <c r="C1476" t="str">
        <f>_xlfn.XLOOKUP(A1476,[1]Affiliations!$J$2:$J$5328,[1]Affiliations!$K$2:$K$5328,0)</f>
        <v>DEMa</v>
      </c>
      <c r="D1476">
        <v>1</v>
      </c>
      <c r="E1476">
        <v>7</v>
      </c>
      <c r="F1476">
        <v>7</v>
      </c>
      <c r="G1476">
        <v>1</v>
      </c>
      <c r="H1476">
        <v>1.19</v>
      </c>
      <c r="I1476">
        <v>0</v>
      </c>
      <c r="J1476">
        <v>0</v>
      </c>
      <c r="K1476">
        <v>0</v>
      </c>
      <c r="L1476">
        <v>0</v>
      </c>
      <c r="M1476">
        <v>1</v>
      </c>
      <c r="N1476">
        <v>1</v>
      </c>
      <c r="P1476">
        <v>0</v>
      </c>
      <c r="Q1476">
        <v>0</v>
      </c>
      <c r="R1476">
        <v>0</v>
      </c>
      <c r="S1476">
        <v>0</v>
      </c>
    </row>
    <row r="1477" spans="1:19" hidden="1" x14ac:dyDescent="0.35">
      <c r="A1477">
        <v>60086627400</v>
      </c>
      <c r="B1477" t="s">
        <v>1486</v>
      </c>
      <c r="C1477" t="str">
        <f>_xlfn.XLOOKUP(A1477,[1]Affiliations!$J$2:$J$5328,[1]Affiliations!$K$2:$K$5328,0)</f>
        <v>Federal University of Rio de Janeiro</v>
      </c>
      <c r="D1477">
        <v>0</v>
      </c>
      <c r="G1477">
        <v>0</v>
      </c>
    </row>
    <row r="1478" spans="1:19" hidden="1" x14ac:dyDescent="0.35">
      <c r="A1478">
        <v>59204242300</v>
      </c>
      <c r="B1478" t="s">
        <v>1487</v>
      </c>
      <c r="C1478" t="str">
        <f>_xlfn.XLOOKUP(A1478,[1]Affiliations!$J$2:$J$5328,[1]Affiliations!$K$2:$K$5328,0)</f>
        <v>Pontifical Catholic University of Rio de Janeiro</v>
      </c>
      <c r="D1478">
        <v>4</v>
      </c>
      <c r="E1478">
        <v>4</v>
      </c>
      <c r="F1478">
        <v>1</v>
      </c>
      <c r="G1478">
        <v>1</v>
      </c>
      <c r="H1478">
        <v>0.1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1</v>
      </c>
      <c r="P1478">
        <v>0</v>
      </c>
      <c r="Q1478">
        <v>0</v>
      </c>
      <c r="R1478">
        <v>0</v>
      </c>
      <c r="S1478">
        <v>0</v>
      </c>
    </row>
    <row r="1479" spans="1:19" hidden="1" x14ac:dyDescent="0.35">
      <c r="A1479">
        <v>58036196400</v>
      </c>
      <c r="B1479" t="s">
        <v>1488</v>
      </c>
      <c r="C1479" t="str">
        <f>_xlfn.XLOOKUP(A1479,[1]Affiliations!$J$2:$J$5328,[1]Affiliations!$K$2:$K$5328,0)</f>
        <v>Federal University of Rio de Janeiro</v>
      </c>
      <c r="D1479">
        <v>1</v>
      </c>
      <c r="E1479">
        <v>10</v>
      </c>
      <c r="F1479">
        <v>10</v>
      </c>
      <c r="G1479">
        <v>1</v>
      </c>
      <c r="H1479">
        <v>0.68</v>
      </c>
      <c r="I1479">
        <v>0</v>
      </c>
      <c r="J1479">
        <v>0</v>
      </c>
      <c r="K1479">
        <v>0</v>
      </c>
      <c r="L1479">
        <v>1</v>
      </c>
      <c r="M1479">
        <v>1</v>
      </c>
      <c r="N1479">
        <v>1</v>
      </c>
      <c r="P1479">
        <v>0</v>
      </c>
      <c r="Q1479">
        <v>0</v>
      </c>
      <c r="R1479">
        <v>0</v>
      </c>
      <c r="S1479">
        <v>0</v>
      </c>
    </row>
    <row r="1480" spans="1:19" hidden="1" x14ac:dyDescent="0.35">
      <c r="A1480">
        <v>59420159400</v>
      </c>
      <c r="B1480" t="s">
        <v>1489</v>
      </c>
      <c r="C1480" t="str">
        <f>_xlfn.XLOOKUP(A1480,[1]Affiliations!$J$2:$J$5328,[1]Affiliations!$K$2:$K$5328,0)</f>
        <v>Federal University of Rio de Janeiro</v>
      </c>
      <c r="D1480">
        <v>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P1480">
        <v>0</v>
      </c>
      <c r="Q1480">
        <v>0</v>
      </c>
      <c r="R1480">
        <v>0</v>
      </c>
      <c r="S1480">
        <v>0</v>
      </c>
    </row>
    <row r="1481" spans="1:19" hidden="1" x14ac:dyDescent="0.35">
      <c r="A1481">
        <v>57673209400</v>
      </c>
      <c r="B1481" t="s">
        <v>1490</v>
      </c>
      <c r="C1481" t="str">
        <f>_xlfn.XLOOKUP(A1481,[1]Affiliations!$J$2:$J$5328,[1]Affiliations!$K$2:$K$5328,0)</f>
        <v>Universidade Federal do Paraná</v>
      </c>
      <c r="D1481">
        <v>1</v>
      </c>
      <c r="E1481">
        <v>2</v>
      </c>
      <c r="F1481">
        <v>2</v>
      </c>
      <c r="G1481">
        <v>1</v>
      </c>
      <c r="H1481">
        <v>0.2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</v>
      </c>
      <c r="P1481">
        <v>0</v>
      </c>
      <c r="Q1481">
        <v>0</v>
      </c>
      <c r="R1481">
        <v>0</v>
      </c>
      <c r="S1481">
        <v>0</v>
      </c>
    </row>
    <row r="1482" spans="1:19" hidden="1" x14ac:dyDescent="0.35">
      <c r="A1482">
        <v>7101778677</v>
      </c>
      <c r="B1482" t="s">
        <v>1491</v>
      </c>
      <c r="C1482" t="str">
        <f>_xlfn.XLOOKUP(A1482,[1]Affiliations!$J$2:$J$5328,[1]Affiliations!$K$2:$K$5328,0)</f>
        <v>Universidade Federal Fluminense</v>
      </c>
      <c r="D1482">
        <v>40</v>
      </c>
      <c r="E1482">
        <v>348</v>
      </c>
      <c r="F1482">
        <v>8.6999999999999993</v>
      </c>
      <c r="G1482">
        <v>23</v>
      </c>
      <c r="H1482">
        <v>0.4</v>
      </c>
      <c r="I1482">
        <v>0</v>
      </c>
      <c r="J1482">
        <v>6</v>
      </c>
      <c r="K1482">
        <v>9</v>
      </c>
      <c r="L1482">
        <v>14</v>
      </c>
      <c r="M1482">
        <v>29</v>
      </c>
      <c r="N1482">
        <v>35</v>
      </c>
      <c r="P1482">
        <v>0</v>
      </c>
      <c r="Q1482">
        <v>0</v>
      </c>
      <c r="R1482">
        <v>0</v>
      </c>
      <c r="S1482">
        <v>6</v>
      </c>
    </row>
    <row r="1483" spans="1:19" hidden="1" x14ac:dyDescent="0.35">
      <c r="A1483">
        <v>8542103600</v>
      </c>
      <c r="B1483" t="s">
        <v>1492</v>
      </c>
      <c r="C1483" t="str">
        <f>_xlfn.XLOOKUP(A1483,[1]Affiliations!$J$2:$J$5328,[1]Affiliations!$K$2:$K$5328,0)</f>
        <v>PUC-Rio</v>
      </c>
      <c r="D1483">
        <v>4</v>
      </c>
      <c r="E1483">
        <v>5</v>
      </c>
      <c r="F1483">
        <v>1.25</v>
      </c>
      <c r="G1483">
        <v>5</v>
      </c>
      <c r="H1483">
        <v>0.13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P1483">
        <v>0</v>
      </c>
      <c r="Q1483">
        <v>0</v>
      </c>
      <c r="R1483">
        <v>0</v>
      </c>
      <c r="S1483">
        <v>0</v>
      </c>
    </row>
    <row r="1484" spans="1:19" hidden="1" x14ac:dyDescent="0.35">
      <c r="A1484">
        <v>56809186700</v>
      </c>
      <c r="B1484" t="s">
        <v>1493</v>
      </c>
      <c r="C1484" t="str">
        <f>_xlfn.XLOOKUP(A1484,[1]Affiliations!$J$2:$J$5328,[1]Affiliations!$K$2:$K$5328,0)</f>
        <v>Pontifical Catholic University of Rio de Janeiro (+1 more)</v>
      </c>
      <c r="D1484">
        <v>1</v>
      </c>
      <c r="E1484">
        <v>11</v>
      </c>
      <c r="F1484">
        <v>11</v>
      </c>
      <c r="G1484">
        <v>1</v>
      </c>
      <c r="H1484">
        <v>0.15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P1484">
        <v>0</v>
      </c>
      <c r="Q1484">
        <v>0</v>
      </c>
      <c r="R1484">
        <v>0</v>
      </c>
      <c r="S1484">
        <v>0</v>
      </c>
    </row>
    <row r="1485" spans="1:19" hidden="1" x14ac:dyDescent="0.35">
      <c r="A1485">
        <v>16646415800</v>
      </c>
      <c r="B1485" t="s">
        <v>1494</v>
      </c>
      <c r="C1485" t="str">
        <f>_xlfn.XLOOKUP(A1485,[1]Affiliations!$J$2:$J$5328,[1]Affiliations!$K$2:$K$5328,0)</f>
        <v>Pontifical Catholic University of Rio de Janeiro</v>
      </c>
      <c r="D1485">
        <v>5</v>
      </c>
      <c r="E1485">
        <v>29</v>
      </c>
      <c r="F1485">
        <v>5.8</v>
      </c>
      <c r="G1485">
        <v>5</v>
      </c>
      <c r="H1485">
        <v>0.26</v>
      </c>
      <c r="I1485">
        <v>0</v>
      </c>
      <c r="J1485">
        <v>0</v>
      </c>
      <c r="K1485">
        <v>0</v>
      </c>
      <c r="L1485">
        <v>0</v>
      </c>
      <c r="M1485">
        <v>2</v>
      </c>
      <c r="N1485">
        <v>3</v>
      </c>
      <c r="P1485">
        <v>0</v>
      </c>
      <c r="Q1485">
        <v>0</v>
      </c>
      <c r="R1485">
        <v>0</v>
      </c>
      <c r="S1485">
        <v>0</v>
      </c>
    </row>
    <row r="1486" spans="1:19" hidden="1" x14ac:dyDescent="0.35">
      <c r="A1486">
        <v>56685751700</v>
      </c>
      <c r="B1486" t="s">
        <v>1495</v>
      </c>
      <c r="C1486" t="str">
        <f>_xlfn.XLOOKUP(A1486,[1]Affiliations!$J$2:$J$5328,[1]Affiliations!$K$2:$K$5328,0)</f>
        <v>Universidade Federal do Espírito Santo</v>
      </c>
      <c r="D1486">
        <v>0</v>
      </c>
      <c r="G1486">
        <v>1</v>
      </c>
    </row>
    <row r="1487" spans="1:19" hidden="1" x14ac:dyDescent="0.35">
      <c r="A1487">
        <v>57216613736</v>
      </c>
      <c r="B1487" t="s">
        <v>1496</v>
      </c>
      <c r="C1487" t="str">
        <f>_xlfn.XLOOKUP(A1487,[1]Affiliations!$J$2:$J$5328,[1]Affiliations!$K$2:$K$5328,0)</f>
        <v>Federal University of Rio de Janeiro</v>
      </c>
      <c r="D1487">
        <v>4</v>
      </c>
      <c r="E1487">
        <v>87</v>
      </c>
      <c r="F1487">
        <v>21.75</v>
      </c>
      <c r="G1487">
        <v>3</v>
      </c>
      <c r="H1487">
        <v>1.07</v>
      </c>
      <c r="I1487">
        <v>0</v>
      </c>
      <c r="J1487">
        <v>0</v>
      </c>
      <c r="K1487">
        <v>0</v>
      </c>
      <c r="L1487">
        <v>2</v>
      </c>
      <c r="M1487">
        <v>2</v>
      </c>
      <c r="N1487">
        <v>3</v>
      </c>
      <c r="P1487">
        <v>0</v>
      </c>
      <c r="Q1487">
        <v>0</v>
      </c>
      <c r="R1487">
        <v>1</v>
      </c>
      <c r="S1487">
        <v>2</v>
      </c>
    </row>
    <row r="1488" spans="1:19" x14ac:dyDescent="0.35">
      <c r="A1488">
        <v>7006919306</v>
      </c>
      <c r="B1488" t="s">
        <v>2080</v>
      </c>
      <c r="C1488" t="str">
        <f>_xlfn.XLOOKUP(A1488,[1]Affiliations!$J$2:$J$5328,[1]Affiliations!$K$2:$K$5328,0)</f>
        <v>Universidade Federal do Rio Grande do Sul</v>
      </c>
      <c r="D1488">
        <v>19</v>
      </c>
      <c r="E1488">
        <v>219</v>
      </c>
      <c r="F1488">
        <v>11.526316</v>
      </c>
      <c r="G1488">
        <v>13</v>
      </c>
      <c r="H1488">
        <v>1.1299999999999999</v>
      </c>
      <c r="I1488">
        <v>2</v>
      </c>
      <c r="J1488">
        <v>3</v>
      </c>
      <c r="K1488">
        <v>6</v>
      </c>
      <c r="L1488">
        <v>16</v>
      </c>
      <c r="M1488">
        <v>16</v>
      </c>
      <c r="N1488">
        <v>18</v>
      </c>
      <c r="P1488">
        <v>1</v>
      </c>
      <c r="Q1488">
        <v>1</v>
      </c>
      <c r="R1488">
        <v>2</v>
      </c>
      <c r="S1488">
        <v>4</v>
      </c>
    </row>
    <row r="1489" spans="1:19" hidden="1" x14ac:dyDescent="0.35">
      <c r="A1489">
        <v>36920036100</v>
      </c>
      <c r="B1489" t="s">
        <v>1498</v>
      </c>
      <c r="C1489" t="str">
        <f>_xlfn.XLOOKUP(A1489,[1]Affiliations!$J$2:$J$5328,[1]Affiliations!$K$2:$K$5328,0)</f>
        <v>Universidade do Estado do Rio de Janeiro</v>
      </c>
      <c r="D1489">
        <v>17</v>
      </c>
      <c r="E1489">
        <v>106</v>
      </c>
      <c r="F1489">
        <v>6.2352942999999996</v>
      </c>
      <c r="G1489">
        <v>7</v>
      </c>
      <c r="H1489">
        <v>0.34</v>
      </c>
      <c r="I1489">
        <v>0</v>
      </c>
      <c r="J1489">
        <v>0</v>
      </c>
      <c r="K1489">
        <v>0</v>
      </c>
      <c r="L1489">
        <v>6</v>
      </c>
      <c r="M1489">
        <v>11</v>
      </c>
      <c r="N1489">
        <v>16</v>
      </c>
      <c r="P1489">
        <v>0</v>
      </c>
      <c r="Q1489">
        <v>0</v>
      </c>
      <c r="R1489">
        <v>0</v>
      </c>
      <c r="S1489">
        <v>4</v>
      </c>
    </row>
    <row r="1490" spans="1:19" hidden="1" x14ac:dyDescent="0.35">
      <c r="A1490">
        <v>58772801600</v>
      </c>
      <c r="B1490" t="s">
        <v>1498</v>
      </c>
      <c r="C1490" t="str">
        <f>_xlfn.XLOOKUP(A1490,[1]Affiliations!$J$2:$J$5328,[1]Affiliations!$K$2:$K$5328,0)</f>
        <v>Universidade do Estado do Rio de Janeiro</v>
      </c>
      <c r="D1490">
        <v>2</v>
      </c>
      <c r="E1490">
        <v>22</v>
      </c>
      <c r="F1490">
        <v>11</v>
      </c>
      <c r="G1490">
        <v>2</v>
      </c>
      <c r="H1490">
        <v>1.56</v>
      </c>
      <c r="I1490">
        <v>0</v>
      </c>
      <c r="J1490">
        <v>0</v>
      </c>
      <c r="K1490">
        <v>1</v>
      </c>
      <c r="L1490">
        <v>2</v>
      </c>
      <c r="M1490">
        <v>2</v>
      </c>
      <c r="N1490">
        <v>2</v>
      </c>
      <c r="P1490">
        <v>0</v>
      </c>
      <c r="Q1490">
        <v>0</v>
      </c>
      <c r="R1490">
        <v>1</v>
      </c>
      <c r="S1490">
        <v>2</v>
      </c>
    </row>
    <row r="1491" spans="1:19" hidden="1" x14ac:dyDescent="0.35">
      <c r="A1491">
        <v>7005705953</v>
      </c>
      <c r="B1491" t="s">
        <v>1499</v>
      </c>
      <c r="C1491" t="str">
        <f>_xlfn.XLOOKUP(A1491,[1]Affiliations!$J$2:$J$5328,[1]Affiliations!$K$2:$K$5328,0)</f>
        <v>Universidade Federal de Ouro Preto</v>
      </c>
      <c r="D1491">
        <v>11</v>
      </c>
      <c r="E1491">
        <v>4</v>
      </c>
      <c r="F1491">
        <v>0.36363636999999999</v>
      </c>
      <c r="G1491">
        <v>4</v>
      </c>
      <c r="H1491">
        <v>0.03</v>
      </c>
      <c r="I1491">
        <v>0</v>
      </c>
      <c r="J1491">
        <v>0</v>
      </c>
      <c r="K1491">
        <v>0</v>
      </c>
      <c r="L1491">
        <v>1</v>
      </c>
      <c r="M1491">
        <v>1</v>
      </c>
      <c r="N1491">
        <v>1</v>
      </c>
      <c r="P1491">
        <v>0</v>
      </c>
      <c r="Q1491">
        <v>0</v>
      </c>
      <c r="R1491">
        <v>0</v>
      </c>
      <c r="S1491">
        <v>0</v>
      </c>
    </row>
    <row r="1492" spans="1:19" hidden="1" x14ac:dyDescent="0.35">
      <c r="A1492">
        <v>57203125887</v>
      </c>
      <c r="B1492" t="s">
        <v>1500</v>
      </c>
      <c r="C1492" t="str">
        <f>_xlfn.XLOOKUP(A1492,[1]Affiliations!$J$2:$J$5328,[1]Affiliations!$K$2:$K$5328,0)</f>
        <v>Vizlab - X-Reality and GeoInformatics Lab (+1 more)</v>
      </c>
      <c r="D1492">
        <v>3</v>
      </c>
      <c r="E1492">
        <v>33</v>
      </c>
      <c r="F1492">
        <v>11</v>
      </c>
      <c r="G1492">
        <v>3</v>
      </c>
      <c r="H1492">
        <v>1.04</v>
      </c>
      <c r="I1492">
        <v>1</v>
      </c>
      <c r="J1492">
        <v>1</v>
      </c>
      <c r="K1492">
        <v>1</v>
      </c>
      <c r="L1492">
        <v>1</v>
      </c>
      <c r="M1492">
        <v>1</v>
      </c>
      <c r="N1492">
        <v>1</v>
      </c>
      <c r="P1492">
        <v>0</v>
      </c>
      <c r="Q1492">
        <v>0</v>
      </c>
      <c r="R1492">
        <v>0</v>
      </c>
      <c r="S1492">
        <v>0</v>
      </c>
    </row>
    <row r="1493" spans="1:19" hidden="1" x14ac:dyDescent="0.35">
      <c r="A1493">
        <v>59795205700</v>
      </c>
      <c r="B1493" t="s">
        <v>1501</v>
      </c>
      <c r="C1493" t="str">
        <f>_xlfn.XLOOKUP(A1493,[1]Affiliations!$J$2:$J$5328,[1]Affiliations!$K$2:$K$5328,0)</f>
        <v>Vizlab - X-Reality and GeoInformatics Lab</v>
      </c>
      <c r="D1493">
        <v>1</v>
      </c>
      <c r="E1493">
        <v>1</v>
      </c>
      <c r="F1493">
        <v>1</v>
      </c>
      <c r="G1493">
        <v>1</v>
      </c>
      <c r="H1493">
        <v>0.39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1</v>
      </c>
      <c r="P1493">
        <v>0</v>
      </c>
      <c r="Q1493">
        <v>0</v>
      </c>
      <c r="R1493">
        <v>0</v>
      </c>
      <c r="S1493">
        <v>0</v>
      </c>
    </row>
    <row r="1494" spans="1:19" hidden="1" x14ac:dyDescent="0.35">
      <c r="A1494">
        <v>57204139228</v>
      </c>
      <c r="B1494" t="s">
        <v>1502</v>
      </c>
      <c r="C1494" t="str">
        <f>_xlfn.XLOOKUP(A1494,[1]Affiliations!$J$2:$J$5328,[1]Affiliations!$K$2:$K$5328,0)</f>
        <v>Federal University of Rio de Janeiro</v>
      </c>
      <c r="D1494">
        <v>2</v>
      </c>
      <c r="E1494">
        <v>130</v>
      </c>
      <c r="F1494">
        <v>65</v>
      </c>
      <c r="G1494">
        <v>2</v>
      </c>
      <c r="H1494">
        <v>2.27</v>
      </c>
      <c r="I1494">
        <v>0</v>
      </c>
      <c r="J1494">
        <v>0</v>
      </c>
      <c r="K1494">
        <v>0</v>
      </c>
      <c r="L1494">
        <v>0</v>
      </c>
      <c r="M1494">
        <v>2</v>
      </c>
      <c r="N1494">
        <v>2</v>
      </c>
      <c r="P1494">
        <v>0</v>
      </c>
      <c r="Q1494">
        <v>1</v>
      </c>
      <c r="R1494">
        <v>2</v>
      </c>
      <c r="S1494">
        <v>2</v>
      </c>
    </row>
    <row r="1495" spans="1:19" hidden="1" x14ac:dyDescent="0.35">
      <c r="A1495">
        <v>57209302838</v>
      </c>
      <c r="B1495" t="s">
        <v>1503</v>
      </c>
      <c r="C1495" t="str">
        <f>_xlfn.XLOOKUP(A1495,[1]Affiliations!$J$2:$J$5328,[1]Affiliations!$K$2:$K$5328,0)</f>
        <v>Universidade Estadual Paulista “Júlio de Mesquita Filho”</v>
      </c>
      <c r="D1495">
        <v>3</v>
      </c>
      <c r="E1495">
        <v>45</v>
      </c>
      <c r="F1495">
        <v>15</v>
      </c>
      <c r="G1495">
        <v>3</v>
      </c>
      <c r="H1495">
        <v>0.64</v>
      </c>
      <c r="I1495">
        <v>0</v>
      </c>
      <c r="J1495">
        <v>0</v>
      </c>
      <c r="K1495">
        <v>0</v>
      </c>
      <c r="L1495">
        <v>1</v>
      </c>
      <c r="M1495">
        <v>3</v>
      </c>
      <c r="N1495">
        <v>3</v>
      </c>
      <c r="P1495">
        <v>0</v>
      </c>
      <c r="Q1495">
        <v>0</v>
      </c>
      <c r="R1495">
        <v>0</v>
      </c>
      <c r="S1495">
        <v>2</v>
      </c>
    </row>
    <row r="1496" spans="1:19" x14ac:dyDescent="0.35">
      <c r="A1496">
        <v>8516327900</v>
      </c>
      <c r="B1496" t="s">
        <v>2569</v>
      </c>
      <c r="C1496" t="str">
        <f>_xlfn.XLOOKUP(A1496,[1]Affiliations!$J$2:$J$5328,[1]Affiliations!$K$2:$K$5328,0)</f>
        <v>Federal University of Rio de Janeiro (+1 more)</v>
      </c>
      <c r="D1496">
        <v>20</v>
      </c>
      <c r="E1496">
        <v>387</v>
      </c>
      <c r="F1496">
        <v>19.350000000000001</v>
      </c>
      <c r="G1496">
        <v>20</v>
      </c>
      <c r="H1496">
        <v>1.1299999999999999</v>
      </c>
      <c r="I1496">
        <v>0</v>
      </c>
      <c r="J1496">
        <v>1</v>
      </c>
      <c r="K1496">
        <v>1</v>
      </c>
      <c r="L1496">
        <v>8</v>
      </c>
      <c r="M1496">
        <v>16</v>
      </c>
      <c r="N1496">
        <v>17</v>
      </c>
      <c r="P1496">
        <v>0</v>
      </c>
      <c r="Q1496">
        <v>0</v>
      </c>
      <c r="R1496">
        <v>3</v>
      </c>
      <c r="S1496">
        <v>8</v>
      </c>
    </row>
    <row r="1497" spans="1:19" x14ac:dyDescent="0.35">
      <c r="A1497">
        <v>7004426962</v>
      </c>
      <c r="B1497" t="s">
        <v>2797</v>
      </c>
      <c r="C1497" t="str">
        <f>_xlfn.XLOOKUP(A1497,[1]Affiliations!$J$2:$J$5328,[1]Affiliations!$K$2:$K$5328,0)</f>
        <v>University of Campinas</v>
      </c>
      <c r="D1497">
        <v>90</v>
      </c>
      <c r="E1497">
        <v>2459</v>
      </c>
      <c r="F1497">
        <v>27.322222</v>
      </c>
      <c r="G1497">
        <v>42</v>
      </c>
      <c r="H1497">
        <v>1.1299999999999999</v>
      </c>
      <c r="I1497">
        <v>2</v>
      </c>
      <c r="J1497">
        <v>18</v>
      </c>
      <c r="K1497">
        <v>34</v>
      </c>
      <c r="L1497">
        <v>66</v>
      </c>
      <c r="M1497">
        <v>86</v>
      </c>
      <c r="N1497">
        <v>89</v>
      </c>
      <c r="P1497">
        <v>0</v>
      </c>
      <c r="Q1497">
        <v>7</v>
      </c>
      <c r="R1497">
        <v>14</v>
      </c>
      <c r="S1497">
        <v>48</v>
      </c>
    </row>
    <row r="1498" spans="1:19" x14ac:dyDescent="0.35">
      <c r="A1498">
        <v>6507632697</v>
      </c>
      <c r="B1498" t="s">
        <v>3769</v>
      </c>
      <c r="C1498" t="str">
        <f>_xlfn.XLOOKUP(A1498,[1]Affiliations!$J$2:$J$5328,[1]Affiliations!$K$2:$K$5328,0)</f>
        <v>Vizlab - X-Reality and GeoInformatics Lab</v>
      </c>
      <c r="D1498">
        <v>29</v>
      </c>
      <c r="E1498">
        <v>506</v>
      </c>
      <c r="F1498">
        <v>17.448277000000001</v>
      </c>
      <c r="G1498">
        <v>16</v>
      </c>
      <c r="H1498">
        <v>1.1299999999999999</v>
      </c>
      <c r="I1498">
        <v>1</v>
      </c>
      <c r="J1498">
        <v>6</v>
      </c>
      <c r="K1498">
        <v>12</v>
      </c>
      <c r="L1498">
        <v>22</v>
      </c>
      <c r="M1498">
        <v>27</v>
      </c>
      <c r="N1498">
        <v>27</v>
      </c>
      <c r="P1498">
        <v>0</v>
      </c>
      <c r="Q1498">
        <v>0</v>
      </c>
      <c r="R1498">
        <v>4</v>
      </c>
      <c r="S1498">
        <v>11</v>
      </c>
    </row>
    <row r="1499" spans="1:19" hidden="1" x14ac:dyDescent="0.35">
      <c r="A1499">
        <v>57205507450</v>
      </c>
      <c r="B1499" t="s">
        <v>1507</v>
      </c>
      <c r="C1499" t="str">
        <f>_xlfn.XLOOKUP(A1499,[1]Affiliations!$J$2:$J$5328,[1]Affiliations!$K$2:$K$5328,0)</f>
        <v>Universidade Federal de Uberlândia</v>
      </c>
      <c r="D1499">
        <v>3</v>
      </c>
      <c r="E1499">
        <v>12</v>
      </c>
      <c r="F1499">
        <v>4</v>
      </c>
      <c r="G1499">
        <v>2</v>
      </c>
      <c r="H1499">
        <v>0.22</v>
      </c>
      <c r="I1499">
        <v>0</v>
      </c>
      <c r="J1499">
        <v>0</v>
      </c>
      <c r="K1499">
        <v>0</v>
      </c>
      <c r="L1499">
        <v>1</v>
      </c>
      <c r="M1499">
        <v>3</v>
      </c>
      <c r="N1499">
        <v>3</v>
      </c>
      <c r="P1499">
        <v>0</v>
      </c>
      <c r="Q1499">
        <v>0</v>
      </c>
      <c r="R1499">
        <v>0</v>
      </c>
      <c r="S1499">
        <v>0</v>
      </c>
    </row>
    <row r="1500" spans="1:19" hidden="1" x14ac:dyDescent="0.35">
      <c r="A1500">
        <v>15836359000</v>
      </c>
      <c r="B1500" t="s">
        <v>1508</v>
      </c>
      <c r="C1500" t="str">
        <f>_xlfn.XLOOKUP(A1500,[1]Affiliations!$J$2:$J$5328,[1]Affiliations!$K$2:$K$5328,0)</f>
        <v>Federal University of Santa Catarina</v>
      </c>
      <c r="D1500">
        <v>9</v>
      </c>
      <c r="E1500">
        <v>34</v>
      </c>
      <c r="F1500">
        <v>3.7777777000000001</v>
      </c>
      <c r="G1500">
        <v>7</v>
      </c>
      <c r="H1500">
        <v>0.33</v>
      </c>
      <c r="I1500">
        <v>0</v>
      </c>
      <c r="J1500">
        <v>1</v>
      </c>
      <c r="K1500">
        <v>1</v>
      </c>
      <c r="L1500">
        <v>1</v>
      </c>
      <c r="M1500">
        <v>4</v>
      </c>
      <c r="N1500">
        <v>7</v>
      </c>
      <c r="P1500">
        <v>0</v>
      </c>
      <c r="Q1500">
        <v>0</v>
      </c>
      <c r="R1500">
        <v>0</v>
      </c>
      <c r="S1500">
        <v>0</v>
      </c>
    </row>
    <row r="1501" spans="1:19" x14ac:dyDescent="0.35">
      <c r="A1501">
        <v>6506051914</v>
      </c>
      <c r="B1501" t="s">
        <v>3827</v>
      </c>
      <c r="C1501" t="str">
        <f>_xlfn.XLOOKUP(A1501,[1]Affiliations!$J$2:$J$5328,[1]Affiliations!$K$2:$K$5328,0)</f>
        <v>URFJ (+1 more)</v>
      </c>
      <c r="D1501">
        <v>35</v>
      </c>
      <c r="E1501">
        <v>626</v>
      </c>
      <c r="F1501">
        <v>17.885714</v>
      </c>
      <c r="G1501">
        <v>17</v>
      </c>
      <c r="H1501">
        <v>1.1299999999999999</v>
      </c>
      <c r="I1501">
        <v>0</v>
      </c>
      <c r="J1501">
        <v>4</v>
      </c>
      <c r="K1501">
        <v>7</v>
      </c>
      <c r="L1501">
        <v>18</v>
      </c>
      <c r="M1501">
        <v>28</v>
      </c>
      <c r="N1501">
        <v>30</v>
      </c>
      <c r="P1501">
        <v>0</v>
      </c>
      <c r="Q1501">
        <v>5</v>
      </c>
      <c r="R1501">
        <v>6</v>
      </c>
      <c r="S1501">
        <v>16</v>
      </c>
    </row>
    <row r="1502" spans="1:19" hidden="1" x14ac:dyDescent="0.35">
      <c r="A1502">
        <v>37560902100</v>
      </c>
      <c r="B1502" t="s">
        <v>1510</v>
      </c>
      <c r="C1502" t="str">
        <f>_xlfn.XLOOKUP(A1502,[1]Affiliations!$J$2:$J$5328,[1]Affiliations!$K$2:$K$5328,0)</f>
        <v>Universidade Federal Rural do Rio de Janeiro (+1 more)</v>
      </c>
      <c r="D1502">
        <v>0</v>
      </c>
      <c r="G1502">
        <v>2</v>
      </c>
    </row>
    <row r="1503" spans="1:19" hidden="1" x14ac:dyDescent="0.35">
      <c r="A1503">
        <v>57414486900</v>
      </c>
      <c r="B1503" t="s">
        <v>1511</v>
      </c>
      <c r="C1503" t="str">
        <f>_xlfn.XLOOKUP(A1503,[1]Affiliations!$J$2:$J$5328,[1]Affiliations!$K$2:$K$5328,0)</f>
        <v>Pontifical Catholic University of Rio de Janeiro</v>
      </c>
      <c r="D1503">
        <v>4</v>
      </c>
      <c r="E1503">
        <v>8</v>
      </c>
      <c r="F1503">
        <v>2</v>
      </c>
      <c r="G1503">
        <v>2</v>
      </c>
      <c r="H1503">
        <v>0.14000000000000001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2</v>
      </c>
      <c r="P1503">
        <v>0</v>
      </c>
      <c r="Q1503">
        <v>0</v>
      </c>
      <c r="R1503">
        <v>0</v>
      </c>
      <c r="S1503">
        <v>0</v>
      </c>
    </row>
    <row r="1504" spans="1:19" hidden="1" x14ac:dyDescent="0.35">
      <c r="A1504">
        <v>57216289727</v>
      </c>
      <c r="B1504" t="s">
        <v>1512</v>
      </c>
      <c r="C1504" t="str">
        <f>_xlfn.XLOOKUP(A1504,[1]Affiliations!$J$2:$J$5328,[1]Affiliations!$K$2:$K$5328,0)</f>
        <v>Vizlab - X-Reality and GeoInformatics Lab</v>
      </c>
      <c r="D1504">
        <v>2</v>
      </c>
      <c r="E1504">
        <v>8</v>
      </c>
      <c r="F1504">
        <v>4</v>
      </c>
      <c r="G1504">
        <v>2</v>
      </c>
      <c r="H1504">
        <v>0.57999999999999996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1</v>
      </c>
      <c r="P1504">
        <v>0</v>
      </c>
      <c r="Q1504">
        <v>0</v>
      </c>
      <c r="R1504">
        <v>0</v>
      </c>
      <c r="S1504">
        <v>0</v>
      </c>
    </row>
    <row r="1505" spans="1:19" hidden="1" x14ac:dyDescent="0.35">
      <c r="A1505">
        <v>57205525666</v>
      </c>
      <c r="B1505" t="s">
        <v>1513</v>
      </c>
      <c r="C1505" t="str">
        <f>_xlfn.XLOOKUP(A1505,[1]Affiliations!$J$2:$J$5328,[1]Affiliations!$K$2:$K$5328,0)</f>
        <v>Federal University of Rio de Janeiro</v>
      </c>
      <c r="D1505">
        <v>2</v>
      </c>
      <c r="E1505">
        <v>0</v>
      </c>
      <c r="F1505">
        <v>0</v>
      </c>
      <c r="G1505">
        <v>0</v>
      </c>
      <c r="H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5">
      <c r="A1506">
        <v>56023378200</v>
      </c>
      <c r="B1506" t="s">
        <v>3892</v>
      </c>
      <c r="C1506" t="str">
        <f>_xlfn.XLOOKUP(A1506,[1]Affiliations!$J$2:$J$5328,[1]Affiliations!$K$2:$K$5328,0)</f>
        <v>Pontifical Catholic University of Rio de Janeiro</v>
      </c>
      <c r="D1506">
        <v>43</v>
      </c>
      <c r="E1506">
        <v>535</v>
      </c>
      <c r="F1506">
        <v>12.44186</v>
      </c>
      <c r="G1506">
        <v>14</v>
      </c>
      <c r="H1506">
        <v>1.1299999999999999</v>
      </c>
      <c r="I1506">
        <v>0</v>
      </c>
      <c r="J1506">
        <v>0</v>
      </c>
      <c r="K1506">
        <v>1</v>
      </c>
      <c r="L1506">
        <v>5</v>
      </c>
      <c r="M1506">
        <v>9</v>
      </c>
      <c r="N1506">
        <v>11</v>
      </c>
      <c r="P1506">
        <v>0</v>
      </c>
      <c r="Q1506">
        <v>1</v>
      </c>
      <c r="R1506">
        <v>3</v>
      </c>
      <c r="S1506">
        <v>14</v>
      </c>
    </row>
    <row r="1507" spans="1:19" x14ac:dyDescent="0.35">
      <c r="A1507">
        <v>35218286800</v>
      </c>
      <c r="B1507" t="s">
        <v>3959</v>
      </c>
      <c r="C1507" t="str">
        <f>_xlfn.XLOOKUP(A1507,[1]Affiliations!$J$2:$J$5328,[1]Affiliations!$K$2:$K$5328,0)</f>
        <v>Universidade de Brasília</v>
      </c>
      <c r="D1507">
        <v>42</v>
      </c>
      <c r="E1507">
        <v>1296</v>
      </c>
      <c r="F1507">
        <v>30.857143000000001</v>
      </c>
      <c r="G1507">
        <v>52</v>
      </c>
      <c r="H1507">
        <v>1.1299999999999999</v>
      </c>
      <c r="I1507">
        <v>1</v>
      </c>
      <c r="J1507">
        <v>2</v>
      </c>
      <c r="K1507">
        <v>8</v>
      </c>
      <c r="L1507">
        <v>13</v>
      </c>
      <c r="M1507">
        <v>37</v>
      </c>
      <c r="N1507">
        <v>42</v>
      </c>
      <c r="P1507">
        <v>0</v>
      </c>
      <c r="Q1507">
        <v>2</v>
      </c>
      <c r="R1507">
        <v>5</v>
      </c>
      <c r="S1507">
        <v>28</v>
      </c>
    </row>
    <row r="1508" spans="1:19" hidden="1" x14ac:dyDescent="0.35">
      <c r="A1508">
        <v>60029460300</v>
      </c>
      <c r="B1508" t="s">
        <v>1516</v>
      </c>
      <c r="C1508" t="str">
        <f>_xlfn.XLOOKUP(A1508,[1]Affiliations!$J$2:$J$5328,[1]Affiliations!$K$2:$K$5328,0)</f>
        <v>Universidade Federal de Alagoas</v>
      </c>
      <c r="D1508">
        <v>0</v>
      </c>
      <c r="G1508">
        <v>1</v>
      </c>
    </row>
    <row r="1509" spans="1:19" hidden="1" x14ac:dyDescent="0.35">
      <c r="A1509">
        <v>57212494638</v>
      </c>
      <c r="B1509" t="s">
        <v>1517</v>
      </c>
      <c r="C1509" t="str">
        <f>_xlfn.XLOOKUP(A1509,[1]Affiliations!$J$2:$J$5328,[1]Affiliations!$K$2:$K$5328,0)</f>
        <v>Federal University of Rio de Janeiro</v>
      </c>
      <c r="D1509">
        <v>2</v>
      </c>
      <c r="E1509">
        <v>23</v>
      </c>
      <c r="F1509">
        <v>11.5</v>
      </c>
      <c r="G1509">
        <v>1</v>
      </c>
      <c r="H1509">
        <v>0.36</v>
      </c>
      <c r="I1509">
        <v>0</v>
      </c>
      <c r="J1509">
        <v>0</v>
      </c>
      <c r="K1509">
        <v>0</v>
      </c>
      <c r="L1509">
        <v>1</v>
      </c>
      <c r="M1509">
        <v>2</v>
      </c>
      <c r="N1509">
        <v>2</v>
      </c>
      <c r="P1509">
        <v>0</v>
      </c>
      <c r="Q1509">
        <v>0</v>
      </c>
      <c r="R1509">
        <v>0</v>
      </c>
      <c r="S1509">
        <v>1</v>
      </c>
    </row>
    <row r="1510" spans="1:19" x14ac:dyDescent="0.35">
      <c r="A1510">
        <v>7006799228</v>
      </c>
      <c r="B1510" t="s">
        <v>3960</v>
      </c>
      <c r="C1510" t="str">
        <f>_xlfn.XLOOKUP(A1510,[1]Affiliations!$J$2:$J$5328,[1]Affiliations!$K$2:$K$5328,0)</f>
        <v>Universidade Federal de Pernambuco</v>
      </c>
      <c r="D1510">
        <v>63</v>
      </c>
      <c r="E1510">
        <v>1686</v>
      </c>
      <c r="F1510">
        <v>26.761906</v>
      </c>
      <c r="G1510">
        <v>35</v>
      </c>
      <c r="H1510">
        <v>1.1299999999999999</v>
      </c>
      <c r="I1510">
        <v>0</v>
      </c>
      <c r="J1510">
        <v>10</v>
      </c>
      <c r="K1510">
        <v>25</v>
      </c>
      <c r="L1510">
        <v>42</v>
      </c>
      <c r="M1510">
        <v>54</v>
      </c>
      <c r="N1510">
        <v>62</v>
      </c>
      <c r="P1510">
        <v>0</v>
      </c>
      <c r="Q1510">
        <v>4</v>
      </c>
      <c r="R1510">
        <v>9</v>
      </c>
      <c r="S1510">
        <v>30</v>
      </c>
    </row>
    <row r="1511" spans="1:19" hidden="1" x14ac:dyDescent="0.35">
      <c r="A1511">
        <v>59823734500</v>
      </c>
      <c r="B1511" t="s">
        <v>1519</v>
      </c>
      <c r="C1511" t="str">
        <f>_xlfn.XLOOKUP(A1511,[1]Affiliations!$J$2:$J$5328,[1]Affiliations!$K$2:$K$5328,0)</f>
        <v>Technology Division of Shell</v>
      </c>
      <c r="D1511">
        <v>1</v>
      </c>
      <c r="E1511">
        <v>3</v>
      </c>
      <c r="F1511">
        <v>3</v>
      </c>
      <c r="G1511">
        <v>1</v>
      </c>
      <c r="H1511">
        <v>0.17</v>
      </c>
      <c r="I1511">
        <v>0</v>
      </c>
      <c r="J1511">
        <v>0</v>
      </c>
      <c r="K1511">
        <v>1</v>
      </c>
      <c r="L1511">
        <v>1</v>
      </c>
      <c r="M1511">
        <v>1</v>
      </c>
      <c r="N1511">
        <v>1</v>
      </c>
      <c r="P1511">
        <v>0</v>
      </c>
      <c r="Q1511">
        <v>0</v>
      </c>
      <c r="R1511">
        <v>0</v>
      </c>
      <c r="S1511">
        <v>0</v>
      </c>
    </row>
    <row r="1512" spans="1:19" hidden="1" x14ac:dyDescent="0.35">
      <c r="A1512">
        <v>57205628818</v>
      </c>
      <c r="B1512" t="s">
        <v>1520</v>
      </c>
      <c r="C1512" t="str">
        <f>_xlfn.XLOOKUP(A1512,[1]Affiliations!$J$2:$J$5328,[1]Affiliations!$K$2:$K$5328,0)</f>
        <v>Pontifical Catholic University of Rio de Janeiro</v>
      </c>
      <c r="D1512">
        <v>2</v>
      </c>
      <c r="E1512">
        <v>8</v>
      </c>
      <c r="F1512">
        <v>4</v>
      </c>
      <c r="G1512">
        <v>2</v>
      </c>
      <c r="H1512">
        <v>0.18</v>
      </c>
      <c r="I1512">
        <v>0</v>
      </c>
      <c r="J1512">
        <v>0</v>
      </c>
      <c r="K1512">
        <v>0</v>
      </c>
      <c r="L1512">
        <v>0</v>
      </c>
      <c r="M1512">
        <v>1</v>
      </c>
      <c r="N1512">
        <v>2</v>
      </c>
      <c r="P1512">
        <v>0</v>
      </c>
      <c r="Q1512">
        <v>0</v>
      </c>
      <c r="R1512">
        <v>0</v>
      </c>
      <c r="S1512">
        <v>0</v>
      </c>
    </row>
    <row r="1513" spans="1:19" hidden="1" x14ac:dyDescent="0.35">
      <c r="A1513">
        <v>6503892297</v>
      </c>
      <c r="B1513" t="s">
        <v>1521</v>
      </c>
      <c r="C1513" t="str">
        <f>_xlfn.XLOOKUP(A1513,[1]Affiliations!$J$2:$J$5328,[1]Affiliations!$K$2:$K$5328,0)</f>
        <v>Universidade Federal Fluminense</v>
      </c>
      <c r="D1513">
        <v>2</v>
      </c>
      <c r="E1513">
        <v>6</v>
      </c>
      <c r="F1513">
        <v>3</v>
      </c>
      <c r="G1513">
        <v>2</v>
      </c>
      <c r="H1513">
        <v>0.25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1</v>
      </c>
      <c r="P1513">
        <v>0</v>
      </c>
      <c r="Q1513">
        <v>0</v>
      </c>
      <c r="R1513">
        <v>0</v>
      </c>
      <c r="S1513">
        <v>0</v>
      </c>
    </row>
    <row r="1514" spans="1:19" hidden="1" x14ac:dyDescent="0.35">
      <c r="A1514">
        <v>7004174827</v>
      </c>
      <c r="B1514" t="s">
        <v>1522</v>
      </c>
      <c r="C1514" t="str">
        <f>_xlfn.XLOOKUP(A1514,[1]Affiliations!$J$2:$J$5328,[1]Affiliations!$K$2:$K$5328,0)</f>
        <v>Federal University of Rio de Janeiro</v>
      </c>
      <c r="D1514">
        <v>7</v>
      </c>
      <c r="E1514">
        <v>64</v>
      </c>
      <c r="F1514">
        <v>9.1428580000000004</v>
      </c>
      <c r="G1514">
        <v>18</v>
      </c>
      <c r="H1514">
        <v>0.38</v>
      </c>
      <c r="I1514">
        <v>0</v>
      </c>
      <c r="J1514">
        <v>0</v>
      </c>
      <c r="K1514">
        <v>0</v>
      </c>
      <c r="L1514">
        <v>2</v>
      </c>
      <c r="M1514">
        <v>4</v>
      </c>
      <c r="N1514">
        <v>7</v>
      </c>
      <c r="P1514">
        <v>0</v>
      </c>
      <c r="Q1514">
        <v>0</v>
      </c>
      <c r="R1514">
        <v>0</v>
      </c>
      <c r="S1514">
        <v>0</v>
      </c>
    </row>
    <row r="1515" spans="1:19" x14ac:dyDescent="0.35">
      <c r="A1515">
        <v>56404242000</v>
      </c>
      <c r="B1515" t="s">
        <v>4352</v>
      </c>
      <c r="C1515" t="str">
        <f>_xlfn.XLOOKUP(A1515,[1]Affiliations!$J$2:$J$5328,[1]Affiliations!$K$2:$K$5328,0)</f>
        <v>Universidade Federal do Rio Grande do Sul (+1 more)</v>
      </c>
      <c r="D1515">
        <v>16</v>
      </c>
      <c r="E1515">
        <v>311</v>
      </c>
      <c r="F1515">
        <v>19.4375</v>
      </c>
      <c r="G1515">
        <v>12</v>
      </c>
      <c r="H1515">
        <v>1.1299999999999999</v>
      </c>
      <c r="I1515">
        <v>0</v>
      </c>
      <c r="J1515">
        <v>1</v>
      </c>
      <c r="K1515">
        <v>4</v>
      </c>
      <c r="L1515">
        <v>12</v>
      </c>
      <c r="M1515">
        <v>16</v>
      </c>
      <c r="N1515">
        <v>16</v>
      </c>
      <c r="P1515">
        <v>0</v>
      </c>
      <c r="Q1515">
        <v>1</v>
      </c>
      <c r="R1515">
        <v>4</v>
      </c>
      <c r="S1515">
        <v>4</v>
      </c>
    </row>
    <row r="1516" spans="1:19" hidden="1" x14ac:dyDescent="0.35">
      <c r="A1516">
        <v>57220748750</v>
      </c>
      <c r="B1516" t="s">
        <v>1524</v>
      </c>
      <c r="C1516" t="str">
        <f>_xlfn.XLOOKUP(A1516,[1]Affiliations!$J$2:$J$5328,[1]Affiliations!$K$2:$K$5328,0)</f>
        <v>Instituto Federal de Educação, Ciência e Tecnologia da Bahia</v>
      </c>
      <c r="D1516">
        <v>1</v>
      </c>
      <c r="E1516">
        <v>0</v>
      </c>
      <c r="F1516">
        <v>0</v>
      </c>
      <c r="G1516">
        <v>0</v>
      </c>
      <c r="H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5">
      <c r="A1517">
        <v>54394184300</v>
      </c>
      <c r="B1517" t="s">
        <v>4539</v>
      </c>
      <c r="C1517" t="str">
        <f>_xlfn.XLOOKUP(A1517,[1]Affiliations!$J$2:$J$5328,[1]Affiliations!$K$2:$K$5328,0)</f>
        <v>Universidade de São Paulo</v>
      </c>
      <c r="D1517">
        <v>11</v>
      </c>
      <c r="E1517">
        <v>108</v>
      </c>
      <c r="F1517">
        <v>9.8181820000000002</v>
      </c>
      <c r="G1517">
        <v>6</v>
      </c>
      <c r="H1517">
        <v>1.1299999999999999</v>
      </c>
      <c r="I1517">
        <v>0</v>
      </c>
      <c r="J1517">
        <v>0</v>
      </c>
      <c r="K1517">
        <v>2</v>
      </c>
      <c r="L1517">
        <v>5</v>
      </c>
      <c r="M1517">
        <v>8</v>
      </c>
      <c r="N1517">
        <v>10</v>
      </c>
      <c r="P1517">
        <v>0</v>
      </c>
      <c r="Q1517">
        <v>0</v>
      </c>
      <c r="R1517">
        <v>1</v>
      </c>
      <c r="S1517">
        <v>5</v>
      </c>
    </row>
    <row r="1518" spans="1:19" hidden="1" x14ac:dyDescent="0.35">
      <c r="A1518">
        <v>58308394500</v>
      </c>
      <c r="B1518" t="s">
        <v>1526</v>
      </c>
      <c r="C1518" t="str">
        <f>_xlfn.XLOOKUP(A1518,[1]Affiliations!$J$2:$J$5328,[1]Affiliations!$K$2:$K$5328,0)</f>
        <v>Pontifical Catholic University of Rio de Janeiro (+1 more)</v>
      </c>
      <c r="D1518">
        <v>2</v>
      </c>
      <c r="E1518">
        <v>4</v>
      </c>
      <c r="F1518">
        <v>2</v>
      </c>
      <c r="G1518">
        <v>1</v>
      </c>
      <c r="H1518">
        <v>0.2</v>
      </c>
      <c r="I1518">
        <v>0</v>
      </c>
      <c r="J1518">
        <v>0</v>
      </c>
      <c r="K1518">
        <v>0</v>
      </c>
      <c r="L1518">
        <v>0</v>
      </c>
      <c r="M1518">
        <v>2</v>
      </c>
      <c r="N1518">
        <v>2</v>
      </c>
      <c r="P1518">
        <v>0</v>
      </c>
      <c r="Q1518">
        <v>0</v>
      </c>
      <c r="R1518">
        <v>0</v>
      </c>
      <c r="S1518">
        <v>0</v>
      </c>
    </row>
    <row r="1519" spans="1:19" hidden="1" x14ac:dyDescent="0.35">
      <c r="A1519">
        <v>36083980000</v>
      </c>
      <c r="B1519" t="s">
        <v>1527</v>
      </c>
      <c r="C1519" t="str">
        <f>_xlfn.XLOOKUP(A1519,[1]Affiliations!$J$2:$J$5328,[1]Affiliations!$K$2:$K$5328,0)</f>
        <v>Federal University of Rio de Janeiro</v>
      </c>
      <c r="D1519">
        <v>4</v>
      </c>
      <c r="E1519">
        <v>14</v>
      </c>
      <c r="F1519">
        <v>3.5</v>
      </c>
      <c r="G1519">
        <v>4</v>
      </c>
      <c r="H1519">
        <v>1.44</v>
      </c>
      <c r="I1519">
        <v>0</v>
      </c>
      <c r="J1519">
        <v>0</v>
      </c>
      <c r="K1519">
        <v>0</v>
      </c>
      <c r="L1519">
        <v>0</v>
      </c>
      <c r="M1519">
        <v>1</v>
      </c>
      <c r="N1519">
        <v>2</v>
      </c>
      <c r="P1519">
        <v>0</v>
      </c>
      <c r="Q1519">
        <v>0</v>
      </c>
      <c r="R1519">
        <v>0</v>
      </c>
      <c r="S1519">
        <v>0</v>
      </c>
    </row>
    <row r="1520" spans="1:19" x14ac:dyDescent="0.35">
      <c r="A1520">
        <v>23569428200</v>
      </c>
      <c r="B1520" t="s">
        <v>100</v>
      </c>
      <c r="C1520" t="str">
        <f>_xlfn.XLOOKUP(A1520,[1]Affiliations!$J$2:$J$5328,[1]Affiliations!$K$2:$K$5328,0)</f>
        <v>Universidade do Estado do Rio de Janeiro</v>
      </c>
      <c r="D1520">
        <v>20</v>
      </c>
      <c r="E1520">
        <v>407</v>
      </c>
      <c r="F1520">
        <v>20.350000000000001</v>
      </c>
      <c r="G1520">
        <v>17</v>
      </c>
      <c r="H1520">
        <v>1.1200000000000001</v>
      </c>
      <c r="I1520">
        <v>0</v>
      </c>
      <c r="J1520">
        <v>3</v>
      </c>
      <c r="K1520">
        <v>3</v>
      </c>
      <c r="L1520">
        <v>8</v>
      </c>
      <c r="M1520">
        <v>17</v>
      </c>
      <c r="N1520">
        <v>18</v>
      </c>
      <c r="P1520">
        <v>0</v>
      </c>
      <c r="Q1520">
        <v>1</v>
      </c>
      <c r="R1520">
        <v>4</v>
      </c>
      <c r="S1520">
        <v>8</v>
      </c>
    </row>
    <row r="1521" spans="1:19" x14ac:dyDescent="0.35">
      <c r="A1521">
        <v>24402429800</v>
      </c>
      <c r="B1521" t="s">
        <v>161</v>
      </c>
      <c r="C1521" t="str">
        <f>_xlfn.XLOOKUP(A1521,[1]Affiliations!$J$2:$J$5328,[1]Affiliations!$K$2:$K$5328,0)</f>
        <v>Universidade Federal de Minas Gerais</v>
      </c>
      <c r="D1521">
        <v>179</v>
      </c>
      <c r="E1521">
        <v>5776</v>
      </c>
      <c r="F1521">
        <v>32.268158</v>
      </c>
      <c r="G1521">
        <v>44</v>
      </c>
      <c r="H1521">
        <v>1.1200000000000001</v>
      </c>
      <c r="I1521">
        <v>19</v>
      </c>
      <c r="J1521">
        <v>75</v>
      </c>
      <c r="K1521">
        <v>97</v>
      </c>
      <c r="L1521">
        <v>135</v>
      </c>
      <c r="M1521">
        <v>173</v>
      </c>
      <c r="N1521">
        <v>173</v>
      </c>
      <c r="P1521">
        <v>4</v>
      </c>
      <c r="Q1521">
        <v>29</v>
      </c>
      <c r="R1521">
        <v>62</v>
      </c>
      <c r="S1521">
        <v>128</v>
      </c>
    </row>
    <row r="1522" spans="1:19" hidden="1" x14ac:dyDescent="0.35">
      <c r="A1522">
        <v>59151524900</v>
      </c>
      <c r="B1522" t="s">
        <v>1530</v>
      </c>
      <c r="C1522" t="str">
        <f>_xlfn.XLOOKUP(A1522,[1]Affiliations!$J$2:$J$5328,[1]Affiliations!$K$2:$K$5328,0)</f>
        <v>Pontifical Catholic University of Rio de Janeiro</v>
      </c>
      <c r="D1522">
        <v>1</v>
      </c>
      <c r="E1522">
        <v>0</v>
      </c>
      <c r="F1522">
        <v>0</v>
      </c>
      <c r="G1522">
        <v>0</v>
      </c>
      <c r="H1522">
        <v>0</v>
      </c>
      <c r="P1522">
        <v>0</v>
      </c>
      <c r="Q1522">
        <v>0</v>
      </c>
      <c r="R1522">
        <v>0</v>
      </c>
      <c r="S1522">
        <v>0</v>
      </c>
    </row>
    <row r="1523" spans="1:19" hidden="1" x14ac:dyDescent="0.35">
      <c r="A1523">
        <v>57225917885</v>
      </c>
      <c r="B1523" t="s">
        <v>1531</v>
      </c>
      <c r="C1523" t="str">
        <f>_xlfn.XLOOKUP(A1523,[1]Affiliations!$J$2:$J$5328,[1]Affiliations!$K$2:$K$5328,0)</f>
        <v>DEMa</v>
      </c>
      <c r="D1523">
        <v>9</v>
      </c>
      <c r="E1523">
        <v>83</v>
      </c>
      <c r="F1523">
        <v>9.2222220000000004</v>
      </c>
      <c r="G1523">
        <v>6</v>
      </c>
      <c r="H1523">
        <v>0.64</v>
      </c>
      <c r="I1523">
        <v>0</v>
      </c>
      <c r="J1523">
        <v>2</v>
      </c>
      <c r="K1523">
        <v>5</v>
      </c>
      <c r="L1523">
        <v>7</v>
      </c>
      <c r="M1523">
        <v>9</v>
      </c>
      <c r="N1523">
        <v>9</v>
      </c>
      <c r="P1523">
        <v>0</v>
      </c>
      <c r="Q1523">
        <v>0</v>
      </c>
      <c r="R1523">
        <v>0</v>
      </c>
      <c r="S1523">
        <v>2</v>
      </c>
    </row>
    <row r="1524" spans="1:19" hidden="1" x14ac:dyDescent="0.35">
      <c r="A1524">
        <v>57200070093</v>
      </c>
      <c r="B1524" t="s">
        <v>1532</v>
      </c>
      <c r="C1524" t="str">
        <f>_xlfn.XLOOKUP(A1524,[1]Affiliations!$J$2:$J$5328,[1]Affiliations!$K$2:$K$5328,0)</f>
        <v>Pontifical Catholic University of Rio de Janeiro</v>
      </c>
      <c r="D1524">
        <v>3</v>
      </c>
      <c r="E1524">
        <v>32</v>
      </c>
      <c r="F1524">
        <v>10.666667</v>
      </c>
      <c r="G1524">
        <v>2</v>
      </c>
      <c r="H1524">
        <v>0.42</v>
      </c>
      <c r="I1524">
        <v>0</v>
      </c>
      <c r="J1524">
        <v>0</v>
      </c>
      <c r="K1524">
        <v>1</v>
      </c>
      <c r="L1524">
        <v>2</v>
      </c>
      <c r="M1524">
        <v>3</v>
      </c>
      <c r="N1524">
        <v>3</v>
      </c>
      <c r="P1524">
        <v>0</v>
      </c>
      <c r="Q1524">
        <v>0</v>
      </c>
      <c r="R1524">
        <v>0</v>
      </c>
      <c r="S1524">
        <v>1</v>
      </c>
    </row>
    <row r="1525" spans="1:19" x14ac:dyDescent="0.35">
      <c r="A1525">
        <v>57208088588</v>
      </c>
      <c r="B1525" t="s">
        <v>766</v>
      </c>
      <c r="C1525" t="str">
        <f>_xlfn.XLOOKUP(A1525,[1]Affiliations!$J$2:$J$5328,[1]Affiliations!$K$2:$K$5328,0)</f>
        <v>Universidade Federal de Goiás</v>
      </c>
      <c r="D1525">
        <v>9</v>
      </c>
      <c r="E1525">
        <v>188</v>
      </c>
      <c r="F1525">
        <v>20.88889</v>
      </c>
      <c r="G1525">
        <v>7</v>
      </c>
      <c r="H1525">
        <v>1.1200000000000001</v>
      </c>
      <c r="I1525">
        <v>0</v>
      </c>
      <c r="J1525">
        <v>3</v>
      </c>
      <c r="K1525">
        <v>3</v>
      </c>
      <c r="L1525">
        <v>8</v>
      </c>
      <c r="M1525">
        <v>9</v>
      </c>
      <c r="N1525">
        <v>9</v>
      </c>
      <c r="P1525">
        <v>0</v>
      </c>
      <c r="Q1525">
        <v>0</v>
      </c>
      <c r="R1525">
        <v>2</v>
      </c>
      <c r="S1525">
        <v>5</v>
      </c>
    </row>
    <row r="1526" spans="1:19" x14ac:dyDescent="0.35">
      <c r="A1526">
        <v>6507119941</v>
      </c>
      <c r="B1526" t="s">
        <v>927</v>
      </c>
      <c r="C1526" t="str">
        <f>_xlfn.XLOOKUP(A1526,[1]Affiliations!$J$2:$J$5328,[1]Affiliations!$K$2:$K$5328,0)</f>
        <v>Universidade Federal da Bahia (+2 more)</v>
      </c>
      <c r="D1526">
        <v>30</v>
      </c>
      <c r="E1526">
        <v>927</v>
      </c>
      <c r="F1526">
        <v>30.9</v>
      </c>
      <c r="G1526">
        <v>23</v>
      </c>
      <c r="H1526">
        <v>1.1200000000000001</v>
      </c>
      <c r="I1526">
        <v>0</v>
      </c>
      <c r="J1526">
        <v>2</v>
      </c>
      <c r="K1526">
        <v>4</v>
      </c>
      <c r="L1526">
        <v>18</v>
      </c>
      <c r="M1526">
        <v>26</v>
      </c>
      <c r="N1526">
        <v>26</v>
      </c>
      <c r="P1526">
        <v>1</v>
      </c>
      <c r="Q1526">
        <v>2</v>
      </c>
      <c r="R1526">
        <v>5</v>
      </c>
      <c r="S1526">
        <v>15</v>
      </c>
    </row>
    <row r="1527" spans="1:19" hidden="1" x14ac:dyDescent="0.35">
      <c r="A1527">
        <v>57203505748</v>
      </c>
      <c r="B1527" t="s">
        <v>1535</v>
      </c>
      <c r="C1527" t="str">
        <f>_xlfn.XLOOKUP(A1527,[1]Affiliations!$J$2:$J$5328,[1]Affiliations!$K$2:$K$5328,0)</f>
        <v>Federal University of Rio de Janeiro</v>
      </c>
      <c r="D1527">
        <v>3</v>
      </c>
      <c r="E1527">
        <v>9</v>
      </c>
      <c r="F1527">
        <v>3</v>
      </c>
      <c r="G1527">
        <v>1</v>
      </c>
      <c r="H1527">
        <v>0.36</v>
      </c>
      <c r="I1527">
        <v>0</v>
      </c>
      <c r="J1527">
        <v>0</v>
      </c>
      <c r="K1527">
        <v>0</v>
      </c>
      <c r="L1527">
        <v>0</v>
      </c>
      <c r="M1527">
        <v>2</v>
      </c>
      <c r="N1527">
        <v>3</v>
      </c>
      <c r="P1527">
        <v>0</v>
      </c>
      <c r="Q1527">
        <v>0</v>
      </c>
      <c r="R1527">
        <v>0</v>
      </c>
      <c r="S1527">
        <v>0</v>
      </c>
    </row>
    <row r="1528" spans="1:19" hidden="1" x14ac:dyDescent="0.35">
      <c r="A1528">
        <v>57796557300</v>
      </c>
      <c r="B1528" t="s">
        <v>1536</v>
      </c>
      <c r="C1528" t="str">
        <f>_xlfn.XLOOKUP(A1528,[1]Affiliations!$J$2:$J$5328,[1]Affiliations!$K$2:$K$5328,0)</f>
        <v>Universidade Federal do Rio Grande do Sul</v>
      </c>
      <c r="D1528">
        <v>1</v>
      </c>
      <c r="E1528">
        <v>2</v>
      </c>
      <c r="F1528">
        <v>2</v>
      </c>
      <c r="G1528">
        <v>1</v>
      </c>
      <c r="H1528">
        <v>0.14000000000000001</v>
      </c>
      <c r="I1528">
        <v>0</v>
      </c>
      <c r="J1528">
        <v>0</v>
      </c>
      <c r="K1528">
        <v>1</v>
      </c>
      <c r="L1528">
        <v>1</v>
      </c>
      <c r="M1528">
        <v>1</v>
      </c>
      <c r="N1528">
        <v>1</v>
      </c>
      <c r="P1528">
        <v>0</v>
      </c>
      <c r="Q1528">
        <v>0</v>
      </c>
      <c r="R1528">
        <v>0</v>
      </c>
      <c r="S1528">
        <v>0</v>
      </c>
    </row>
    <row r="1529" spans="1:19" x14ac:dyDescent="0.35">
      <c r="A1529">
        <v>6602991445</v>
      </c>
      <c r="B1529" t="s">
        <v>1812</v>
      </c>
      <c r="C1529" t="str">
        <f>_xlfn.XLOOKUP(A1529,[1]Affiliations!$J$2:$J$5328,[1]Affiliations!$K$2:$K$5328,0)</f>
        <v>Federal University of Rio de Janeiro</v>
      </c>
      <c r="D1529">
        <v>55</v>
      </c>
      <c r="E1529">
        <v>1567</v>
      </c>
      <c r="F1529">
        <v>28.49091</v>
      </c>
      <c r="G1529">
        <v>42</v>
      </c>
      <c r="H1529">
        <v>1.1200000000000001</v>
      </c>
      <c r="I1529">
        <v>3</v>
      </c>
      <c r="J1529">
        <v>8</v>
      </c>
      <c r="K1529">
        <v>12</v>
      </c>
      <c r="L1529">
        <v>36</v>
      </c>
      <c r="M1529">
        <v>48</v>
      </c>
      <c r="N1529">
        <v>50</v>
      </c>
      <c r="P1529">
        <v>0</v>
      </c>
      <c r="Q1529">
        <v>2</v>
      </c>
      <c r="R1529">
        <v>10</v>
      </c>
      <c r="S1529">
        <v>32</v>
      </c>
    </row>
    <row r="1530" spans="1:19" hidden="1" x14ac:dyDescent="0.35">
      <c r="A1530">
        <v>57218109447</v>
      </c>
      <c r="B1530" t="s">
        <v>1538</v>
      </c>
      <c r="C1530" t="str">
        <f>_xlfn.XLOOKUP(A1530,[1]Affiliations!$J$2:$J$5328,[1]Affiliations!$K$2:$K$5328,0)</f>
        <v>Universidade do Estado do Rio de Janeiro</v>
      </c>
      <c r="D1530">
        <v>3</v>
      </c>
      <c r="E1530">
        <v>57</v>
      </c>
      <c r="F1530">
        <v>19</v>
      </c>
      <c r="G1530">
        <v>3</v>
      </c>
      <c r="H1530">
        <v>1.83</v>
      </c>
      <c r="I1530">
        <v>0</v>
      </c>
      <c r="J1530">
        <v>0</v>
      </c>
      <c r="K1530">
        <v>1</v>
      </c>
      <c r="L1530">
        <v>2</v>
      </c>
      <c r="M1530">
        <v>3</v>
      </c>
      <c r="N1530">
        <v>3</v>
      </c>
      <c r="P1530">
        <v>0</v>
      </c>
      <c r="Q1530">
        <v>0</v>
      </c>
      <c r="R1530">
        <v>1</v>
      </c>
      <c r="S1530">
        <v>3</v>
      </c>
    </row>
    <row r="1531" spans="1:19" x14ac:dyDescent="0.35">
      <c r="A1531">
        <v>57215573161</v>
      </c>
      <c r="B1531" t="s">
        <v>1830</v>
      </c>
      <c r="C1531" t="str">
        <f>_xlfn.XLOOKUP(A1531,[1]Affiliations!$J$2:$J$5328,[1]Affiliations!$K$2:$K$5328,0)</f>
        <v>Centro Brasileiro de Pesquisas Físicas</v>
      </c>
      <c r="D1531">
        <v>8</v>
      </c>
      <c r="E1531">
        <v>139</v>
      </c>
      <c r="F1531">
        <v>17.375</v>
      </c>
      <c r="G1531">
        <v>5</v>
      </c>
      <c r="H1531">
        <v>1.1200000000000001</v>
      </c>
      <c r="I1531">
        <v>0</v>
      </c>
      <c r="J1531">
        <v>1</v>
      </c>
      <c r="K1531">
        <v>3</v>
      </c>
      <c r="L1531">
        <v>5</v>
      </c>
      <c r="M1531">
        <v>6</v>
      </c>
      <c r="N1531">
        <v>6</v>
      </c>
      <c r="P1531">
        <v>0</v>
      </c>
      <c r="Q1531">
        <v>1</v>
      </c>
      <c r="R1531">
        <v>1</v>
      </c>
      <c r="S1531">
        <v>3</v>
      </c>
    </row>
    <row r="1532" spans="1:19" x14ac:dyDescent="0.35">
      <c r="A1532">
        <v>35726591700</v>
      </c>
      <c r="B1532" t="s">
        <v>2241</v>
      </c>
      <c r="C1532" t="str">
        <f>_xlfn.XLOOKUP(A1532,[1]Affiliations!$J$2:$J$5328,[1]Affiliations!$K$2:$K$5328,0)</f>
        <v>Federal University of Rio de Janeiro</v>
      </c>
      <c r="D1532">
        <v>9</v>
      </c>
      <c r="E1532">
        <v>266</v>
      </c>
      <c r="F1532">
        <v>29.555554999999998</v>
      </c>
      <c r="G1532">
        <v>8</v>
      </c>
      <c r="H1532">
        <v>1.1200000000000001</v>
      </c>
      <c r="I1532">
        <v>0</v>
      </c>
      <c r="J1532">
        <v>1</v>
      </c>
      <c r="K1532">
        <v>2</v>
      </c>
      <c r="L1532">
        <v>4</v>
      </c>
      <c r="M1532">
        <v>6</v>
      </c>
      <c r="N1532">
        <v>7</v>
      </c>
      <c r="P1532">
        <v>0</v>
      </c>
      <c r="Q1532">
        <v>1</v>
      </c>
      <c r="R1532">
        <v>2</v>
      </c>
      <c r="S1532">
        <v>4</v>
      </c>
    </row>
    <row r="1533" spans="1:19" hidden="1" x14ac:dyDescent="0.35">
      <c r="A1533">
        <v>57199057080</v>
      </c>
      <c r="B1533" t="s">
        <v>1541</v>
      </c>
      <c r="C1533" t="str">
        <f>_xlfn.XLOOKUP(A1533,[1]Affiliations!$J$2:$J$5328,[1]Affiliations!$K$2:$K$5328,0)</f>
        <v>Federal University of Rio de Janeiro</v>
      </c>
      <c r="D1533">
        <v>1</v>
      </c>
      <c r="E1533">
        <v>3</v>
      </c>
      <c r="F1533">
        <v>3</v>
      </c>
      <c r="G1533">
        <v>1</v>
      </c>
      <c r="H1533">
        <v>0.72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P1533">
        <v>0</v>
      </c>
      <c r="Q1533">
        <v>0</v>
      </c>
      <c r="R1533">
        <v>0</v>
      </c>
      <c r="S1533">
        <v>0</v>
      </c>
    </row>
    <row r="1534" spans="1:19" hidden="1" x14ac:dyDescent="0.35">
      <c r="A1534">
        <v>56055065300</v>
      </c>
      <c r="B1534" t="s">
        <v>1542</v>
      </c>
      <c r="C1534" t="str">
        <f>_xlfn.XLOOKUP(A1534,[1]Affiliations!$J$2:$J$5328,[1]Affiliations!$K$2:$K$5328,0)</f>
        <v>Universidade do Estado do Rio de Janeiro</v>
      </c>
      <c r="D1534">
        <v>6</v>
      </c>
      <c r="E1534">
        <v>106</v>
      </c>
      <c r="F1534">
        <v>17.666665999999999</v>
      </c>
      <c r="G1534">
        <v>5</v>
      </c>
      <c r="H1534">
        <v>0.82</v>
      </c>
      <c r="I1534">
        <v>0</v>
      </c>
      <c r="J1534">
        <v>0</v>
      </c>
      <c r="K1534">
        <v>2</v>
      </c>
      <c r="L1534">
        <v>3</v>
      </c>
      <c r="M1534">
        <v>5</v>
      </c>
      <c r="N1534">
        <v>5</v>
      </c>
      <c r="P1534">
        <v>0</v>
      </c>
      <c r="Q1534">
        <v>0</v>
      </c>
      <c r="R1534">
        <v>0</v>
      </c>
      <c r="S1534">
        <v>3</v>
      </c>
    </row>
    <row r="1535" spans="1:19" hidden="1" x14ac:dyDescent="0.35">
      <c r="A1535">
        <v>57193929155</v>
      </c>
      <c r="B1535" t="s">
        <v>1543</v>
      </c>
      <c r="C1535" t="str">
        <f>_xlfn.XLOOKUP(A1535,[1]Affiliations!$J$2:$J$5328,[1]Affiliations!$K$2:$K$5328,0)</f>
        <v>Universidade Federal de Goiás</v>
      </c>
      <c r="D1535">
        <v>12</v>
      </c>
      <c r="E1535">
        <v>173</v>
      </c>
      <c r="F1535">
        <v>14.416667</v>
      </c>
      <c r="G1535">
        <v>7</v>
      </c>
      <c r="H1535">
        <v>0.73</v>
      </c>
      <c r="I1535">
        <v>0</v>
      </c>
      <c r="J1535">
        <v>2</v>
      </c>
      <c r="K1535">
        <v>3</v>
      </c>
      <c r="L1535">
        <v>7</v>
      </c>
      <c r="M1535">
        <v>12</v>
      </c>
      <c r="N1535">
        <v>12</v>
      </c>
      <c r="P1535">
        <v>0</v>
      </c>
      <c r="Q1535">
        <v>0</v>
      </c>
      <c r="R1535">
        <v>0</v>
      </c>
      <c r="S1535">
        <v>5</v>
      </c>
    </row>
    <row r="1536" spans="1:19" hidden="1" x14ac:dyDescent="0.35">
      <c r="A1536">
        <v>60155221100</v>
      </c>
      <c r="B1536" t="s">
        <v>1544</v>
      </c>
      <c r="C1536" t="str">
        <f>_xlfn.XLOOKUP(A1536,[1]Affiliations!$J$2:$J$5328,[1]Affiliations!$K$2:$K$5328,0)</f>
        <v>Universidade Federal do Pampa</v>
      </c>
      <c r="D1536">
        <v>2</v>
      </c>
      <c r="E1536">
        <v>99</v>
      </c>
      <c r="F1536">
        <v>49.5</v>
      </c>
      <c r="G1536">
        <v>2</v>
      </c>
      <c r="H1536">
        <v>1.18</v>
      </c>
      <c r="I1536">
        <v>0</v>
      </c>
      <c r="J1536">
        <v>0</v>
      </c>
      <c r="K1536">
        <v>0</v>
      </c>
      <c r="L1536">
        <v>0</v>
      </c>
      <c r="M1536">
        <v>1</v>
      </c>
      <c r="N1536">
        <v>1</v>
      </c>
      <c r="P1536">
        <v>0</v>
      </c>
      <c r="Q1536">
        <v>1</v>
      </c>
      <c r="R1536">
        <v>1</v>
      </c>
      <c r="S1536">
        <v>1</v>
      </c>
    </row>
    <row r="1537" spans="1:19" hidden="1" x14ac:dyDescent="0.35">
      <c r="A1537">
        <v>36607604100</v>
      </c>
      <c r="B1537" t="s">
        <v>1545</v>
      </c>
      <c r="C1537" t="str">
        <f>_xlfn.XLOOKUP(A1537,[1]Affiliations!$J$2:$J$5328,[1]Affiliations!$K$2:$K$5328,0)</f>
        <v>Federal University of Rio de Janeiro</v>
      </c>
      <c r="D1537">
        <v>5</v>
      </c>
      <c r="E1537">
        <v>21</v>
      </c>
      <c r="F1537">
        <v>4.2</v>
      </c>
      <c r="G1537">
        <v>5</v>
      </c>
      <c r="H1537">
        <v>0.39</v>
      </c>
      <c r="I1537">
        <v>0</v>
      </c>
      <c r="J1537">
        <v>0</v>
      </c>
      <c r="K1537">
        <v>0</v>
      </c>
      <c r="L1537">
        <v>2</v>
      </c>
      <c r="M1537">
        <v>2</v>
      </c>
      <c r="N1537">
        <v>2</v>
      </c>
      <c r="P1537">
        <v>0</v>
      </c>
      <c r="Q1537">
        <v>0</v>
      </c>
      <c r="R1537">
        <v>0</v>
      </c>
      <c r="S1537">
        <v>0</v>
      </c>
    </row>
    <row r="1538" spans="1:19" hidden="1" x14ac:dyDescent="0.35">
      <c r="A1538">
        <v>59670597100</v>
      </c>
      <c r="B1538" t="s">
        <v>1546</v>
      </c>
      <c r="C1538" t="str">
        <f>_xlfn.XLOOKUP(A1538,[1]Affiliations!$J$2:$J$5328,[1]Affiliations!$K$2:$K$5328,0)</f>
        <v>Universidade Federal Fluminense</v>
      </c>
      <c r="D1538">
        <v>0</v>
      </c>
      <c r="G1538">
        <v>0</v>
      </c>
    </row>
    <row r="1539" spans="1:19" hidden="1" x14ac:dyDescent="0.35">
      <c r="A1539">
        <v>7006431755</v>
      </c>
      <c r="B1539" t="s">
        <v>1547</v>
      </c>
      <c r="C1539" t="str">
        <f>_xlfn.XLOOKUP(A1539,[1]Affiliations!$J$2:$J$5328,[1]Affiliations!$K$2:$K$5328,0)</f>
        <v>Universidade Federal da Bahia</v>
      </c>
      <c r="D1539">
        <v>10</v>
      </c>
      <c r="E1539">
        <v>18</v>
      </c>
      <c r="F1539">
        <v>1.8</v>
      </c>
      <c r="G1539">
        <v>7</v>
      </c>
      <c r="H1539">
        <v>7.0000000000000007E-2</v>
      </c>
      <c r="I1539">
        <v>0</v>
      </c>
      <c r="J1539">
        <v>0</v>
      </c>
      <c r="K1539">
        <v>0</v>
      </c>
      <c r="L1539">
        <v>0</v>
      </c>
      <c r="M1539">
        <v>2</v>
      </c>
      <c r="N1539">
        <v>3</v>
      </c>
      <c r="P1539">
        <v>0</v>
      </c>
      <c r="Q1539">
        <v>0</v>
      </c>
      <c r="R1539">
        <v>0</v>
      </c>
      <c r="S1539">
        <v>0</v>
      </c>
    </row>
    <row r="1540" spans="1:19" x14ac:dyDescent="0.35">
      <c r="A1540">
        <v>56708956300</v>
      </c>
      <c r="B1540" t="s">
        <v>2369</v>
      </c>
      <c r="C1540" t="str">
        <f>_xlfn.XLOOKUP(A1540,[1]Affiliations!$J$2:$J$5328,[1]Affiliations!$K$2:$K$5328,0)</f>
        <v>Company of Agricultural Research and Rural Extension of Santa Catarina (EPAGRI)</v>
      </c>
      <c r="D1540">
        <v>23</v>
      </c>
      <c r="E1540">
        <v>576</v>
      </c>
      <c r="F1540">
        <v>25.043478</v>
      </c>
      <c r="G1540">
        <v>13</v>
      </c>
      <c r="H1540">
        <v>1.1200000000000001</v>
      </c>
      <c r="I1540">
        <v>0</v>
      </c>
      <c r="J1540">
        <v>4</v>
      </c>
      <c r="K1540">
        <v>9</v>
      </c>
      <c r="L1540">
        <v>13</v>
      </c>
      <c r="M1540">
        <v>17</v>
      </c>
      <c r="N1540">
        <v>20</v>
      </c>
      <c r="P1540">
        <v>0</v>
      </c>
      <c r="Q1540">
        <v>2</v>
      </c>
      <c r="R1540">
        <v>3</v>
      </c>
      <c r="S1540">
        <v>12</v>
      </c>
    </row>
    <row r="1541" spans="1:19" hidden="1" x14ac:dyDescent="0.35">
      <c r="A1541">
        <v>57188813366</v>
      </c>
      <c r="B1541" t="s">
        <v>1549</v>
      </c>
      <c r="C1541" t="str">
        <f>_xlfn.XLOOKUP(A1541,[1]Affiliations!$J$2:$J$5328,[1]Affiliations!$K$2:$K$5328,0)</f>
        <v>Universidade Federal do Rio Grande do Sul</v>
      </c>
      <c r="D1541">
        <v>2</v>
      </c>
      <c r="E1541">
        <v>8</v>
      </c>
      <c r="F1541">
        <v>4</v>
      </c>
      <c r="G1541">
        <v>2</v>
      </c>
      <c r="H1541">
        <v>0.34</v>
      </c>
      <c r="I1541">
        <v>0</v>
      </c>
      <c r="J1541">
        <v>0</v>
      </c>
      <c r="K1541">
        <v>0</v>
      </c>
      <c r="L1541">
        <v>0</v>
      </c>
      <c r="M1541">
        <v>2</v>
      </c>
      <c r="N1541">
        <v>2</v>
      </c>
      <c r="P1541">
        <v>0</v>
      </c>
      <c r="Q1541">
        <v>0</v>
      </c>
      <c r="R1541">
        <v>0</v>
      </c>
      <c r="S1541">
        <v>0</v>
      </c>
    </row>
    <row r="1542" spans="1:19" x14ac:dyDescent="0.35">
      <c r="A1542">
        <v>54959275400</v>
      </c>
      <c r="B1542" t="s">
        <v>2517</v>
      </c>
      <c r="C1542" t="str">
        <f>_xlfn.XLOOKUP(A1542,[1]Affiliations!$J$2:$J$5328,[1]Affiliations!$K$2:$K$5328,0)</f>
        <v>Universidade de São Paulo</v>
      </c>
      <c r="D1542">
        <v>12</v>
      </c>
      <c r="E1542">
        <v>186</v>
      </c>
      <c r="F1542">
        <v>15.5</v>
      </c>
      <c r="G1542">
        <v>10</v>
      </c>
      <c r="H1542">
        <v>1.1200000000000001</v>
      </c>
      <c r="I1542">
        <v>0</v>
      </c>
      <c r="J1542">
        <v>2</v>
      </c>
      <c r="K1542">
        <v>2</v>
      </c>
      <c r="L1542">
        <v>4</v>
      </c>
      <c r="M1542">
        <v>5</v>
      </c>
      <c r="N1542">
        <v>12</v>
      </c>
      <c r="P1542">
        <v>0</v>
      </c>
      <c r="Q1542">
        <v>1</v>
      </c>
      <c r="R1542">
        <v>1</v>
      </c>
      <c r="S1542">
        <v>4</v>
      </c>
    </row>
    <row r="1543" spans="1:19" x14ac:dyDescent="0.35">
      <c r="A1543">
        <v>57190125607</v>
      </c>
      <c r="B1543" t="s">
        <v>4138</v>
      </c>
      <c r="C1543" t="str">
        <f>_xlfn.XLOOKUP(A1543,[1]Affiliations!$J$2:$J$5328,[1]Affiliations!$K$2:$K$5328,0)</f>
        <v>Federal University of Rio de Janeiro</v>
      </c>
      <c r="D1543">
        <v>5</v>
      </c>
      <c r="E1543">
        <v>117</v>
      </c>
      <c r="F1543">
        <v>23.4</v>
      </c>
      <c r="G1543">
        <v>3</v>
      </c>
      <c r="H1543">
        <v>1.1200000000000001</v>
      </c>
      <c r="I1543">
        <v>0</v>
      </c>
      <c r="J1543">
        <v>3</v>
      </c>
      <c r="K1543">
        <v>3</v>
      </c>
      <c r="L1543">
        <v>3</v>
      </c>
      <c r="M1543">
        <v>5</v>
      </c>
      <c r="N1543">
        <v>5</v>
      </c>
      <c r="P1543">
        <v>0</v>
      </c>
      <c r="Q1543">
        <v>0</v>
      </c>
      <c r="R1543">
        <v>1</v>
      </c>
      <c r="S1543">
        <v>1</v>
      </c>
    </row>
    <row r="1544" spans="1:19" hidden="1" x14ac:dyDescent="0.35">
      <c r="A1544">
        <v>60122969000</v>
      </c>
      <c r="B1544" t="s">
        <v>1552</v>
      </c>
      <c r="C1544" t="str">
        <f>_xlfn.XLOOKUP(A1544,[1]Affiliations!$J$2:$J$5328,[1]Affiliations!$K$2:$K$5328,0)</f>
        <v>University of Campinas</v>
      </c>
      <c r="D1544">
        <v>0</v>
      </c>
      <c r="G1544">
        <v>0</v>
      </c>
    </row>
    <row r="1545" spans="1:19" x14ac:dyDescent="0.35">
      <c r="A1545">
        <v>6506942528</v>
      </c>
      <c r="B1545" t="s">
        <v>4431</v>
      </c>
      <c r="C1545" t="str">
        <f>_xlfn.XLOOKUP(A1545,[1]Affiliations!$J$2:$J$5328,[1]Affiliations!$K$2:$K$5328,0)</f>
        <v>Universidade de São Paulo</v>
      </c>
      <c r="D1545">
        <v>15</v>
      </c>
      <c r="E1545">
        <v>195</v>
      </c>
      <c r="F1545">
        <v>13</v>
      </c>
      <c r="G1545">
        <v>10</v>
      </c>
      <c r="H1545">
        <v>1.1200000000000001</v>
      </c>
      <c r="I1545">
        <v>2</v>
      </c>
      <c r="J1545">
        <v>3</v>
      </c>
      <c r="K1545">
        <v>8</v>
      </c>
      <c r="L1545">
        <v>12</v>
      </c>
      <c r="M1545">
        <v>15</v>
      </c>
      <c r="N1545">
        <v>15</v>
      </c>
      <c r="P1545">
        <v>0</v>
      </c>
      <c r="Q1545">
        <v>1</v>
      </c>
      <c r="R1545">
        <v>1</v>
      </c>
      <c r="S1545">
        <v>7</v>
      </c>
    </row>
    <row r="1546" spans="1:19" hidden="1" x14ac:dyDescent="0.35">
      <c r="A1546">
        <v>57121412000</v>
      </c>
      <c r="B1546" t="s">
        <v>1554</v>
      </c>
      <c r="C1546" t="str">
        <f>_xlfn.XLOOKUP(A1546,[1]Affiliations!$J$2:$J$5328,[1]Affiliations!$K$2:$K$5328,0)</f>
        <v>Pontifical Catholic University of Rio de Janeiro</v>
      </c>
      <c r="D1546">
        <v>1</v>
      </c>
      <c r="E1546">
        <v>19</v>
      </c>
      <c r="F1546">
        <v>19</v>
      </c>
      <c r="G1546">
        <v>1</v>
      </c>
      <c r="H1546">
        <v>0.57999999999999996</v>
      </c>
      <c r="I1546">
        <v>0</v>
      </c>
      <c r="J1546">
        <v>0</v>
      </c>
      <c r="K1546">
        <v>0</v>
      </c>
      <c r="L1546">
        <v>0</v>
      </c>
      <c r="M1546">
        <v>1</v>
      </c>
      <c r="N1546">
        <v>1</v>
      </c>
      <c r="P1546">
        <v>0</v>
      </c>
      <c r="Q1546">
        <v>0</v>
      </c>
      <c r="R1546">
        <v>0</v>
      </c>
      <c r="S1546">
        <v>0</v>
      </c>
    </row>
    <row r="1547" spans="1:19" hidden="1" x14ac:dyDescent="0.35">
      <c r="A1547">
        <v>56971538900</v>
      </c>
      <c r="B1547" t="s">
        <v>1555</v>
      </c>
      <c r="C1547" t="str">
        <f>_xlfn.XLOOKUP(A1547,[1]Affiliations!$J$2:$J$5328,[1]Affiliations!$K$2:$K$5328,0)</f>
        <v>Tenaris</v>
      </c>
      <c r="D1547">
        <v>3</v>
      </c>
      <c r="E1547">
        <v>3</v>
      </c>
      <c r="F1547">
        <v>1</v>
      </c>
      <c r="G1547">
        <v>1</v>
      </c>
      <c r="H1547">
        <v>0.21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2</v>
      </c>
      <c r="P1547">
        <v>0</v>
      </c>
      <c r="Q1547">
        <v>0</v>
      </c>
      <c r="R1547">
        <v>0</v>
      </c>
      <c r="S1547">
        <v>0</v>
      </c>
    </row>
    <row r="1548" spans="1:19" hidden="1" x14ac:dyDescent="0.35">
      <c r="A1548">
        <v>58332759600</v>
      </c>
      <c r="B1548" t="s">
        <v>1556</v>
      </c>
      <c r="C1548" t="str">
        <f>_xlfn.XLOOKUP(A1548,[1]Affiliations!$J$2:$J$5328,[1]Affiliations!$K$2:$K$5328,0)</f>
        <v>CEFET</v>
      </c>
      <c r="D1548">
        <v>1</v>
      </c>
      <c r="E1548">
        <v>72</v>
      </c>
      <c r="F1548">
        <v>72</v>
      </c>
      <c r="G1548">
        <v>1</v>
      </c>
      <c r="H1548">
        <v>4.45</v>
      </c>
      <c r="I1548">
        <v>0</v>
      </c>
      <c r="J1548">
        <v>1</v>
      </c>
      <c r="K1548">
        <v>1</v>
      </c>
      <c r="L1548">
        <v>1</v>
      </c>
      <c r="M1548">
        <v>1</v>
      </c>
      <c r="N1548">
        <v>1</v>
      </c>
      <c r="P1548">
        <v>0</v>
      </c>
      <c r="Q1548">
        <v>1</v>
      </c>
      <c r="R1548">
        <v>1</v>
      </c>
      <c r="S1548">
        <v>1</v>
      </c>
    </row>
    <row r="1549" spans="1:19" hidden="1" x14ac:dyDescent="0.35">
      <c r="A1549">
        <v>57209026231</v>
      </c>
      <c r="B1549" t="s">
        <v>1557</v>
      </c>
      <c r="C1549" t="str">
        <f>_xlfn.XLOOKUP(A1549,[1]Affiliations!$J$2:$J$5328,[1]Affiliations!$K$2:$K$5328,0)</f>
        <v>Universidade Federal de Mato Grosso</v>
      </c>
      <c r="D1549">
        <v>2</v>
      </c>
      <c r="E1549">
        <v>16</v>
      </c>
      <c r="F1549">
        <v>8</v>
      </c>
      <c r="G1549">
        <v>2</v>
      </c>
      <c r="H1549">
        <v>0.4</v>
      </c>
      <c r="I1549">
        <v>0</v>
      </c>
      <c r="J1549">
        <v>0</v>
      </c>
      <c r="K1549">
        <v>0</v>
      </c>
      <c r="L1549">
        <v>1</v>
      </c>
      <c r="M1549">
        <v>2</v>
      </c>
      <c r="N1549">
        <v>2</v>
      </c>
      <c r="P1549">
        <v>0</v>
      </c>
      <c r="Q1549">
        <v>0</v>
      </c>
      <c r="R1549">
        <v>0</v>
      </c>
      <c r="S1549">
        <v>0</v>
      </c>
    </row>
    <row r="1550" spans="1:19" hidden="1" x14ac:dyDescent="0.35">
      <c r="A1550">
        <v>58654387600</v>
      </c>
      <c r="B1550" t="s">
        <v>1558</v>
      </c>
      <c r="C1550" t="str">
        <f>_xlfn.XLOOKUP(A1550,[1]Affiliations!$J$2:$J$5328,[1]Affiliations!$K$2:$K$5328,0)</f>
        <v>Observatório Nacional</v>
      </c>
      <c r="D1550">
        <v>2</v>
      </c>
      <c r="E1550">
        <v>6</v>
      </c>
      <c r="F1550">
        <v>3</v>
      </c>
      <c r="G1550">
        <v>2</v>
      </c>
      <c r="H1550">
        <v>0.46</v>
      </c>
      <c r="I1550">
        <v>0</v>
      </c>
      <c r="J1550">
        <v>2</v>
      </c>
      <c r="K1550">
        <v>2</v>
      </c>
      <c r="L1550">
        <v>2</v>
      </c>
      <c r="M1550">
        <v>2</v>
      </c>
      <c r="N1550">
        <v>2</v>
      </c>
      <c r="P1550">
        <v>0</v>
      </c>
      <c r="Q1550">
        <v>0</v>
      </c>
      <c r="R1550">
        <v>0</v>
      </c>
      <c r="S1550">
        <v>0</v>
      </c>
    </row>
    <row r="1551" spans="1:19" hidden="1" x14ac:dyDescent="0.35">
      <c r="A1551">
        <v>6602883415</v>
      </c>
      <c r="B1551" t="s">
        <v>1559</v>
      </c>
      <c r="C1551" t="str">
        <f>_xlfn.XLOOKUP(A1551,[1]Affiliations!$J$2:$J$5328,[1]Affiliations!$K$2:$K$5328,0)</f>
        <v>Universidade Federal de Minas Gerais</v>
      </c>
      <c r="D1551">
        <v>14</v>
      </c>
      <c r="E1551">
        <v>69</v>
      </c>
      <c r="F1551">
        <v>4.9285709999999998</v>
      </c>
      <c r="G1551">
        <v>11</v>
      </c>
      <c r="H1551">
        <v>0.22</v>
      </c>
      <c r="I1551">
        <v>1</v>
      </c>
      <c r="J1551">
        <v>1</v>
      </c>
      <c r="K1551">
        <v>1</v>
      </c>
      <c r="L1551">
        <v>5</v>
      </c>
      <c r="M1551">
        <v>8</v>
      </c>
      <c r="N1551">
        <v>10</v>
      </c>
      <c r="P1551">
        <v>0</v>
      </c>
      <c r="Q1551">
        <v>0</v>
      </c>
      <c r="R1551">
        <v>0</v>
      </c>
      <c r="S1551">
        <v>1</v>
      </c>
    </row>
    <row r="1552" spans="1:19" hidden="1" x14ac:dyDescent="0.35">
      <c r="A1552">
        <v>58844204800</v>
      </c>
      <c r="B1552" t="s">
        <v>1560</v>
      </c>
      <c r="C1552" t="str">
        <f>_xlfn.XLOOKUP(A1552,[1]Affiliations!$J$2:$J$5328,[1]Affiliations!$K$2:$K$5328,0)</f>
        <v>Universidade Federal do Rio Grande do Sul</v>
      </c>
      <c r="D1552">
        <v>1</v>
      </c>
      <c r="E1552">
        <v>2</v>
      </c>
      <c r="F1552">
        <v>2</v>
      </c>
      <c r="G1552">
        <v>1</v>
      </c>
      <c r="H1552">
        <v>0.26</v>
      </c>
      <c r="I1552">
        <v>0</v>
      </c>
      <c r="J1552">
        <v>0</v>
      </c>
      <c r="K1552">
        <v>0</v>
      </c>
      <c r="L1552">
        <v>1</v>
      </c>
      <c r="M1552">
        <v>1</v>
      </c>
      <c r="N1552">
        <v>1</v>
      </c>
      <c r="P1552">
        <v>0</v>
      </c>
      <c r="Q1552">
        <v>0</v>
      </c>
      <c r="R1552">
        <v>0</v>
      </c>
      <c r="S1552">
        <v>0</v>
      </c>
    </row>
    <row r="1553" spans="1:19" hidden="1" x14ac:dyDescent="0.35">
      <c r="A1553">
        <v>57212031373</v>
      </c>
      <c r="B1553" t="s">
        <v>1561</v>
      </c>
      <c r="C1553" t="str">
        <f>_xlfn.XLOOKUP(A1553,[1]Affiliations!$J$2:$J$5328,[1]Affiliations!$K$2:$K$5328,0)</f>
        <v>Universidade Federal do Rio Grande do Sul</v>
      </c>
      <c r="D1553">
        <v>2</v>
      </c>
      <c r="E1553">
        <v>11</v>
      </c>
      <c r="F1553">
        <v>5.5</v>
      </c>
      <c r="G1553">
        <v>2</v>
      </c>
      <c r="H1553">
        <v>0.1</v>
      </c>
      <c r="I1553">
        <v>0</v>
      </c>
      <c r="J1553">
        <v>0</v>
      </c>
      <c r="K1553">
        <v>0</v>
      </c>
      <c r="L1553">
        <v>1</v>
      </c>
      <c r="M1553">
        <v>1</v>
      </c>
      <c r="N1553">
        <v>2</v>
      </c>
      <c r="P1553">
        <v>0</v>
      </c>
      <c r="Q1553">
        <v>0</v>
      </c>
      <c r="R1553">
        <v>0</v>
      </c>
      <c r="S1553">
        <v>0</v>
      </c>
    </row>
    <row r="1554" spans="1:19" hidden="1" x14ac:dyDescent="0.35">
      <c r="A1554">
        <v>57249520300</v>
      </c>
      <c r="B1554" t="s">
        <v>1562</v>
      </c>
      <c r="C1554" t="str">
        <f>_xlfn.XLOOKUP(A1554,[1]Affiliations!$J$2:$J$5328,[1]Affiliations!$K$2:$K$5328,0)</f>
        <v>Universidade de São Paulo</v>
      </c>
      <c r="D1554">
        <v>3</v>
      </c>
      <c r="E1554">
        <v>16</v>
      </c>
      <c r="F1554">
        <v>5.3333335000000002</v>
      </c>
      <c r="G1554">
        <v>2</v>
      </c>
      <c r="H1554">
        <v>0.45</v>
      </c>
      <c r="I1554">
        <v>0</v>
      </c>
      <c r="J1554">
        <v>1</v>
      </c>
      <c r="K1554">
        <v>2</v>
      </c>
      <c r="L1554">
        <v>3</v>
      </c>
      <c r="M1554">
        <v>3</v>
      </c>
      <c r="N1554">
        <v>3</v>
      </c>
      <c r="P1554">
        <v>0</v>
      </c>
      <c r="Q1554">
        <v>0</v>
      </c>
      <c r="R1554">
        <v>0</v>
      </c>
      <c r="S1554">
        <v>0</v>
      </c>
    </row>
    <row r="1555" spans="1:19" hidden="1" x14ac:dyDescent="0.35">
      <c r="A1555">
        <v>7201722512</v>
      </c>
      <c r="B1555" t="s">
        <v>1563</v>
      </c>
      <c r="C1555" t="str">
        <f>_xlfn.XLOOKUP(A1555,[1]Affiliations!$J$2:$J$5328,[1]Affiliations!$K$2:$K$5328,0)</f>
        <v>Universidade de São Paulo</v>
      </c>
      <c r="D1555">
        <v>31</v>
      </c>
      <c r="E1555">
        <v>218</v>
      </c>
      <c r="F1555">
        <v>7.0322579999999997</v>
      </c>
      <c r="G1555">
        <v>20</v>
      </c>
      <c r="H1555">
        <v>0.66</v>
      </c>
      <c r="I1555">
        <v>0</v>
      </c>
      <c r="J1555">
        <v>0</v>
      </c>
      <c r="K1555">
        <v>0</v>
      </c>
      <c r="L1555">
        <v>6</v>
      </c>
      <c r="M1555">
        <v>15</v>
      </c>
      <c r="N1555">
        <v>29</v>
      </c>
      <c r="P1555">
        <v>0</v>
      </c>
      <c r="Q1555">
        <v>0</v>
      </c>
      <c r="R1555">
        <v>1</v>
      </c>
      <c r="S1555">
        <v>5</v>
      </c>
    </row>
    <row r="1556" spans="1:19" x14ac:dyDescent="0.35">
      <c r="A1556">
        <v>57194209860</v>
      </c>
      <c r="B1556" t="s">
        <v>4440</v>
      </c>
      <c r="C1556" t="str">
        <f>_xlfn.XLOOKUP(A1556,[1]Affiliations!$J$2:$J$5328,[1]Affiliations!$K$2:$K$5328,0)</f>
        <v>Universidade Federal do Rio Grande do Sul (+1 more)</v>
      </c>
      <c r="D1556">
        <v>6</v>
      </c>
      <c r="E1556">
        <v>71</v>
      </c>
      <c r="F1556">
        <v>11.833333</v>
      </c>
      <c r="G1556">
        <v>4</v>
      </c>
      <c r="H1556">
        <v>1.1200000000000001</v>
      </c>
      <c r="I1556">
        <v>0</v>
      </c>
      <c r="J1556">
        <v>0</v>
      </c>
      <c r="K1556">
        <v>3</v>
      </c>
      <c r="L1556">
        <v>4</v>
      </c>
      <c r="M1556">
        <v>4</v>
      </c>
      <c r="N1556">
        <v>5</v>
      </c>
      <c r="P1556">
        <v>0</v>
      </c>
      <c r="Q1556">
        <v>0</v>
      </c>
      <c r="R1556">
        <v>1</v>
      </c>
      <c r="S1556">
        <v>4</v>
      </c>
    </row>
    <row r="1557" spans="1:19" hidden="1" x14ac:dyDescent="0.35">
      <c r="A1557">
        <v>24170783300</v>
      </c>
      <c r="B1557" t="s">
        <v>1565</v>
      </c>
      <c r="C1557" t="str">
        <f>_xlfn.XLOOKUP(A1557,[1]Affiliations!$J$2:$J$5328,[1]Affiliations!$K$2:$K$5328,0)</f>
        <v>Universidade do Estado do Rio de Janeiro</v>
      </c>
      <c r="D1557">
        <v>3</v>
      </c>
      <c r="E1557">
        <v>34</v>
      </c>
      <c r="F1557">
        <v>11.333333</v>
      </c>
      <c r="G1557">
        <v>3</v>
      </c>
      <c r="H1557">
        <v>0.8</v>
      </c>
      <c r="I1557">
        <v>0</v>
      </c>
      <c r="J1557">
        <v>0</v>
      </c>
      <c r="K1557">
        <v>0</v>
      </c>
      <c r="L1557">
        <v>0</v>
      </c>
      <c r="M1557">
        <v>2</v>
      </c>
      <c r="N1557">
        <v>2</v>
      </c>
      <c r="P1557">
        <v>0</v>
      </c>
      <c r="Q1557">
        <v>0</v>
      </c>
      <c r="R1557">
        <v>0</v>
      </c>
      <c r="S1557">
        <v>1</v>
      </c>
    </row>
    <row r="1558" spans="1:19" hidden="1" x14ac:dyDescent="0.35">
      <c r="A1558">
        <v>55697944600</v>
      </c>
      <c r="B1558" t="s">
        <v>1566</v>
      </c>
      <c r="C1558" t="str">
        <f>_xlfn.XLOOKUP(A1558,[1]Affiliations!$J$2:$J$5328,[1]Affiliations!$K$2:$K$5328,0)</f>
        <v>Pontifícia Universidade Católica do Rio Grande do Sul</v>
      </c>
      <c r="D1558">
        <v>7</v>
      </c>
      <c r="E1558">
        <v>30</v>
      </c>
      <c r="F1558">
        <v>4.2857139999999996</v>
      </c>
      <c r="G1558">
        <v>3</v>
      </c>
      <c r="H1558">
        <v>0.25</v>
      </c>
      <c r="I1558">
        <v>0</v>
      </c>
      <c r="J1558">
        <v>0</v>
      </c>
      <c r="K1558">
        <v>0</v>
      </c>
      <c r="L1558">
        <v>0</v>
      </c>
      <c r="M1558">
        <v>2</v>
      </c>
      <c r="N1558">
        <v>5</v>
      </c>
      <c r="P1558">
        <v>0</v>
      </c>
      <c r="Q1558">
        <v>0</v>
      </c>
      <c r="R1558">
        <v>0</v>
      </c>
      <c r="S1558">
        <v>0</v>
      </c>
    </row>
    <row r="1559" spans="1:19" hidden="1" x14ac:dyDescent="0.35">
      <c r="A1559">
        <v>57194528038</v>
      </c>
      <c r="B1559" t="s">
        <v>1567</v>
      </c>
      <c r="C1559" t="str">
        <f>_xlfn.XLOOKUP(A1559,[1]Affiliations!$J$2:$J$5328,[1]Affiliations!$K$2:$K$5328,0)</f>
        <v>Serviço Nacional de Aprendizagem Industrial</v>
      </c>
      <c r="D1559">
        <v>2</v>
      </c>
      <c r="E1559">
        <v>7</v>
      </c>
      <c r="F1559">
        <v>3.5</v>
      </c>
      <c r="G1559">
        <v>2</v>
      </c>
      <c r="H1559">
        <v>0.54</v>
      </c>
      <c r="I1559">
        <v>0</v>
      </c>
      <c r="J1559">
        <v>0</v>
      </c>
      <c r="K1559">
        <v>0</v>
      </c>
      <c r="L1559">
        <v>1</v>
      </c>
      <c r="M1559">
        <v>2</v>
      </c>
      <c r="N1559">
        <v>2</v>
      </c>
      <c r="P1559">
        <v>0</v>
      </c>
      <c r="Q1559">
        <v>0</v>
      </c>
      <c r="R1559">
        <v>0</v>
      </c>
      <c r="S1559">
        <v>0</v>
      </c>
    </row>
    <row r="1560" spans="1:19" x14ac:dyDescent="0.35">
      <c r="A1560">
        <v>57208781741</v>
      </c>
      <c r="B1560" t="s">
        <v>4452</v>
      </c>
      <c r="C1560" t="str">
        <f>_xlfn.XLOOKUP(A1560,[1]Affiliations!$J$2:$J$5328,[1]Affiliations!$K$2:$K$5328,0)</f>
        <v>Universidade Federal do Ceará</v>
      </c>
      <c r="D1560">
        <v>9</v>
      </c>
      <c r="E1560">
        <v>235</v>
      </c>
      <c r="F1560">
        <v>26.11111</v>
      </c>
      <c r="G1560">
        <v>9</v>
      </c>
      <c r="H1560">
        <v>1.1200000000000001</v>
      </c>
      <c r="I1560">
        <v>0</v>
      </c>
      <c r="J1560">
        <v>0</v>
      </c>
      <c r="K1560">
        <v>2</v>
      </c>
      <c r="L1560">
        <v>6</v>
      </c>
      <c r="M1560">
        <v>9</v>
      </c>
      <c r="N1560">
        <v>9</v>
      </c>
      <c r="P1560">
        <v>0</v>
      </c>
      <c r="Q1560">
        <v>0</v>
      </c>
      <c r="R1560">
        <v>3</v>
      </c>
      <c r="S1560">
        <v>7</v>
      </c>
    </row>
    <row r="1561" spans="1:19" hidden="1" x14ac:dyDescent="0.35">
      <c r="A1561">
        <v>57192278130</v>
      </c>
      <c r="B1561" t="s">
        <v>1569</v>
      </c>
      <c r="C1561" t="str">
        <f>_xlfn.XLOOKUP(A1561,[1]Affiliations!$J$2:$J$5328,[1]Affiliations!$K$2:$K$5328,0)</f>
        <v>Universidade Federal Fluminense</v>
      </c>
      <c r="D1561">
        <v>1</v>
      </c>
      <c r="E1561">
        <v>28</v>
      </c>
      <c r="F1561">
        <v>28</v>
      </c>
      <c r="G1561">
        <v>1</v>
      </c>
      <c r="H1561">
        <v>1.1000000000000001</v>
      </c>
      <c r="I1561">
        <v>0</v>
      </c>
      <c r="J1561">
        <v>0</v>
      </c>
      <c r="K1561">
        <v>0</v>
      </c>
      <c r="L1561">
        <v>0</v>
      </c>
      <c r="M1561">
        <v>1</v>
      </c>
      <c r="N1561">
        <v>1</v>
      </c>
      <c r="P1561">
        <v>0</v>
      </c>
      <c r="Q1561">
        <v>0</v>
      </c>
      <c r="R1561">
        <v>0</v>
      </c>
      <c r="S1561">
        <v>1</v>
      </c>
    </row>
    <row r="1562" spans="1:19" hidden="1" x14ac:dyDescent="0.35">
      <c r="A1562">
        <v>55235365400</v>
      </c>
      <c r="B1562" t="s">
        <v>1570</v>
      </c>
      <c r="C1562" t="str">
        <f>_xlfn.XLOOKUP(A1562,[1]Affiliations!$J$2:$J$5328,[1]Affiliations!$K$2:$K$5328,0)</f>
        <v>Universidade Federal do Rio Grande do Norte (+1 more)</v>
      </c>
      <c r="D1562">
        <v>7</v>
      </c>
      <c r="E1562">
        <v>59</v>
      </c>
      <c r="F1562">
        <v>8.4285720000000008</v>
      </c>
      <c r="G1562">
        <v>6</v>
      </c>
      <c r="H1562">
        <v>1.01</v>
      </c>
      <c r="I1562">
        <v>0</v>
      </c>
      <c r="J1562">
        <v>0</v>
      </c>
      <c r="K1562">
        <v>0</v>
      </c>
      <c r="L1562">
        <v>1</v>
      </c>
      <c r="M1562">
        <v>3</v>
      </c>
      <c r="N1562">
        <v>3</v>
      </c>
      <c r="P1562">
        <v>0</v>
      </c>
      <c r="Q1562">
        <v>0</v>
      </c>
      <c r="R1562">
        <v>0</v>
      </c>
      <c r="S1562">
        <v>3</v>
      </c>
    </row>
    <row r="1563" spans="1:19" x14ac:dyDescent="0.35">
      <c r="A1563">
        <v>57211876682</v>
      </c>
      <c r="B1563" t="s">
        <v>74</v>
      </c>
      <c r="C1563" t="str">
        <f>_xlfn.XLOOKUP(A1563,[1]Affiliations!$J$2:$J$5328,[1]Affiliations!$K$2:$K$5328,0)</f>
        <v>Universidade Federal de Pernambuco</v>
      </c>
      <c r="D1563">
        <v>8</v>
      </c>
      <c r="E1563">
        <v>161</v>
      </c>
      <c r="F1563">
        <v>20.125</v>
      </c>
      <c r="G1563">
        <v>6</v>
      </c>
      <c r="H1563">
        <v>1.1100000000000001</v>
      </c>
      <c r="I1563">
        <v>0</v>
      </c>
      <c r="J1563">
        <v>2</v>
      </c>
      <c r="K1563">
        <v>3</v>
      </c>
      <c r="L1563">
        <v>5</v>
      </c>
      <c r="M1563">
        <v>7</v>
      </c>
      <c r="N1563">
        <v>7</v>
      </c>
      <c r="P1563">
        <v>0</v>
      </c>
      <c r="Q1563">
        <v>0</v>
      </c>
      <c r="R1563">
        <v>2</v>
      </c>
      <c r="S1563">
        <v>4</v>
      </c>
    </row>
    <row r="1564" spans="1:19" x14ac:dyDescent="0.35">
      <c r="A1564">
        <v>57195502745</v>
      </c>
      <c r="B1564" t="s">
        <v>127</v>
      </c>
      <c r="C1564" t="str">
        <f>_xlfn.XLOOKUP(A1564,[1]Affiliations!$J$2:$J$5328,[1]Affiliations!$K$2:$K$5328,0)</f>
        <v>Federal University of Rio de Janeiro</v>
      </c>
      <c r="D1564">
        <v>6</v>
      </c>
      <c r="E1564">
        <v>100</v>
      </c>
      <c r="F1564">
        <v>16.666665999999999</v>
      </c>
      <c r="G1564">
        <v>4</v>
      </c>
      <c r="H1564">
        <v>1.1100000000000001</v>
      </c>
      <c r="I1564">
        <v>0</v>
      </c>
      <c r="J1564">
        <v>3</v>
      </c>
      <c r="K1564">
        <v>4</v>
      </c>
      <c r="L1564">
        <v>4</v>
      </c>
      <c r="M1564">
        <v>4</v>
      </c>
      <c r="N1564">
        <v>5</v>
      </c>
      <c r="P1564">
        <v>0</v>
      </c>
      <c r="Q1564">
        <v>0</v>
      </c>
      <c r="R1564">
        <v>3</v>
      </c>
      <c r="S1564">
        <v>4</v>
      </c>
    </row>
    <row r="1565" spans="1:19" hidden="1" x14ac:dyDescent="0.35">
      <c r="A1565">
        <v>6602483036</v>
      </c>
      <c r="B1565" t="s">
        <v>1573</v>
      </c>
      <c r="C1565" t="str">
        <f>_xlfn.XLOOKUP(A1565,[1]Affiliations!$J$2:$J$5328,[1]Affiliations!$K$2:$K$5328,0)</f>
        <v>Universidade de São Paulo</v>
      </c>
      <c r="D1565">
        <v>37</v>
      </c>
      <c r="E1565">
        <v>359</v>
      </c>
      <c r="F1565">
        <v>9.7027024999999991</v>
      </c>
      <c r="G1565">
        <v>12</v>
      </c>
      <c r="H1565">
        <v>1.05</v>
      </c>
      <c r="I1565">
        <v>0</v>
      </c>
      <c r="J1565">
        <v>0</v>
      </c>
      <c r="K1565">
        <v>0</v>
      </c>
      <c r="L1565">
        <v>10</v>
      </c>
      <c r="M1565">
        <v>19</v>
      </c>
      <c r="N1565">
        <v>30</v>
      </c>
      <c r="P1565">
        <v>0</v>
      </c>
      <c r="Q1565">
        <v>1</v>
      </c>
      <c r="R1565">
        <v>1</v>
      </c>
      <c r="S1565">
        <v>9</v>
      </c>
    </row>
    <row r="1566" spans="1:19" hidden="1" x14ac:dyDescent="0.35">
      <c r="A1566">
        <v>57214931892</v>
      </c>
      <c r="B1566" t="s">
        <v>1574</v>
      </c>
      <c r="C1566" t="str">
        <f>_xlfn.XLOOKUP(A1566,[1]Affiliations!$J$2:$J$5328,[1]Affiliations!$K$2:$K$5328,0)</f>
        <v>Serviço Nacional de Aprendizagem Industrial</v>
      </c>
      <c r="D1566">
        <v>1</v>
      </c>
      <c r="E1566">
        <v>0</v>
      </c>
      <c r="F1566">
        <v>0</v>
      </c>
      <c r="G1566">
        <v>0</v>
      </c>
      <c r="H1566">
        <v>0</v>
      </c>
      <c r="P1566">
        <v>0</v>
      </c>
      <c r="Q1566">
        <v>0</v>
      </c>
      <c r="R1566">
        <v>0</v>
      </c>
      <c r="S1566">
        <v>0</v>
      </c>
    </row>
    <row r="1567" spans="1:19" hidden="1" x14ac:dyDescent="0.35">
      <c r="A1567">
        <v>57296274400</v>
      </c>
      <c r="B1567" t="s">
        <v>1575</v>
      </c>
      <c r="C1567" t="str">
        <f>_xlfn.XLOOKUP(A1567,[1]Affiliations!$J$2:$J$5328,[1]Affiliations!$K$2:$K$5328,0)</f>
        <v>Universidade de São Paulo</v>
      </c>
      <c r="D1567">
        <v>2</v>
      </c>
      <c r="E1567">
        <v>5</v>
      </c>
      <c r="F1567">
        <v>2.5</v>
      </c>
      <c r="G1567">
        <v>2</v>
      </c>
      <c r="H1567">
        <v>2.6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P1567">
        <v>0</v>
      </c>
      <c r="Q1567">
        <v>0</v>
      </c>
      <c r="R1567">
        <v>0</v>
      </c>
      <c r="S1567">
        <v>0</v>
      </c>
    </row>
    <row r="1568" spans="1:19" hidden="1" x14ac:dyDescent="0.35">
      <c r="A1568">
        <v>57223657246</v>
      </c>
      <c r="B1568" t="s">
        <v>1576</v>
      </c>
      <c r="C1568" t="str">
        <f>_xlfn.XLOOKUP(A1568,[1]Affiliations!$J$2:$J$5328,[1]Affiliations!$K$2:$K$5328,0)</f>
        <v>Repsol Sinopec Brasil</v>
      </c>
      <c r="D1568">
        <v>1</v>
      </c>
      <c r="E1568">
        <v>0</v>
      </c>
      <c r="F1568">
        <v>0</v>
      </c>
      <c r="G1568">
        <v>0</v>
      </c>
      <c r="H1568">
        <v>0</v>
      </c>
      <c r="P1568">
        <v>0</v>
      </c>
      <c r="Q1568">
        <v>0</v>
      </c>
      <c r="R1568">
        <v>0</v>
      </c>
      <c r="S1568">
        <v>0</v>
      </c>
    </row>
    <row r="1569" spans="1:19" hidden="1" x14ac:dyDescent="0.35">
      <c r="A1569">
        <v>57423893800</v>
      </c>
      <c r="B1569" t="s">
        <v>1577</v>
      </c>
      <c r="C1569" t="str">
        <f>_xlfn.XLOOKUP(A1569,[1]Affiliations!$J$2:$J$5328,[1]Affiliations!$K$2:$K$5328,0)</f>
        <v>Pontifical Catholic University of Rio de Janeiro</v>
      </c>
      <c r="D1569">
        <v>1</v>
      </c>
      <c r="E1569">
        <v>0</v>
      </c>
      <c r="F1569">
        <v>0</v>
      </c>
      <c r="G1569">
        <v>0</v>
      </c>
      <c r="H1569">
        <v>0</v>
      </c>
      <c r="P1569">
        <v>0</v>
      </c>
      <c r="Q1569">
        <v>0</v>
      </c>
      <c r="R1569">
        <v>0</v>
      </c>
      <c r="S1569">
        <v>0</v>
      </c>
    </row>
    <row r="1570" spans="1:19" hidden="1" x14ac:dyDescent="0.35">
      <c r="A1570">
        <v>57296100600</v>
      </c>
      <c r="B1570" t="s">
        <v>1578</v>
      </c>
      <c r="C1570" t="str">
        <f>_xlfn.XLOOKUP(A1570,[1]Affiliations!$J$2:$J$5328,[1]Affiliations!$K$2:$K$5328,0)</f>
        <v>Universidade de São Paulo</v>
      </c>
      <c r="D1570">
        <v>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P1570">
        <v>0</v>
      </c>
      <c r="Q1570">
        <v>0</v>
      </c>
      <c r="R1570">
        <v>0</v>
      </c>
      <c r="S1570">
        <v>0</v>
      </c>
    </row>
    <row r="1571" spans="1:19" hidden="1" x14ac:dyDescent="0.35">
      <c r="A1571">
        <v>57194153508</v>
      </c>
      <c r="B1571" t="s">
        <v>1579</v>
      </c>
      <c r="C1571" t="str">
        <f>_xlfn.XLOOKUP(A1571,[1]Affiliations!$J$2:$J$5328,[1]Affiliations!$K$2:$K$5328,0)</f>
        <v>Pontifical Catholic University of Rio de Janeiro</v>
      </c>
      <c r="D1571">
        <v>1</v>
      </c>
      <c r="E1571">
        <v>1</v>
      </c>
      <c r="F1571">
        <v>1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1</v>
      </c>
      <c r="P1571">
        <v>0</v>
      </c>
      <c r="Q1571">
        <v>0</v>
      </c>
      <c r="R1571">
        <v>0</v>
      </c>
      <c r="S1571">
        <v>0</v>
      </c>
    </row>
    <row r="1572" spans="1:19" hidden="1" x14ac:dyDescent="0.35">
      <c r="A1572">
        <v>57697373000</v>
      </c>
      <c r="B1572" t="s">
        <v>1580</v>
      </c>
      <c r="C1572" t="str">
        <f>_xlfn.XLOOKUP(A1572,[1]Affiliations!$J$2:$J$5328,[1]Affiliations!$K$2:$K$5328,0)</f>
        <v>Universidade Federal do Rio Grande do Norte</v>
      </c>
      <c r="D1572">
        <v>2</v>
      </c>
      <c r="E1572">
        <v>20</v>
      </c>
      <c r="F1572">
        <v>10</v>
      </c>
      <c r="G1572">
        <v>2</v>
      </c>
      <c r="H1572">
        <v>0.86</v>
      </c>
      <c r="I1572">
        <v>0</v>
      </c>
      <c r="J1572">
        <v>0</v>
      </c>
      <c r="K1572">
        <v>0</v>
      </c>
      <c r="L1572">
        <v>1</v>
      </c>
      <c r="M1572">
        <v>1</v>
      </c>
      <c r="N1572">
        <v>2</v>
      </c>
      <c r="P1572">
        <v>0</v>
      </c>
      <c r="Q1572">
        <v>0</v>
      </c>
      <c r="R1572">
        <v>0</v>
      </c>
      <c r="S1572">
        <v>2</v>
      </c>
    </row>
    <row r="1573" spans="1:19" x14ac:dyDescent="0.35">
      <c r="A1573">
        <v>55538901900</v>
      </c>
      <c r="B1573" t="s">
        <v>159</v>
      </c>
      <c r="C1573" t="str">
        <f>_xlfn.XLOOKUP(A1573,[1]Affiliations!$J$2:$J$5328,[1]Affiliations!$K$2:$K$5328,0)</f>
        <v>Universidade Federal de Minas Gerais (+2 more)</v>
      </c>
      <c r="D1573">
        <v>16</v>
      </c>
      <c r="E1573">
        <v>152</v>
      </c>
      <c r="F1573">
        <v>9.5</v>
      </c>
      <c r="G1573">
        <v>6</v>
      </c>
      <c r="H1573">
        <v>1.1100000000000001</v>
      </c>
      <c r="I1573">
        <v>0</v>
      </c>
      <c r="J1573">
        <v>0</v>
      </c>
      <c r="K1573">
        <v>3</v>
      </c>
      <c r="L1573">
        <v>3</v>
      </c>
      <c r="M1573">
        <v>4</v>
      </c>
      <c r="N1573">
        <v>4</v>
      </c>
      <c r="P1573">
        <v>0</v>
      </c>
      <c r="Q1573">
        <v>0</v>
      </c>
      <c r="R1573">
        <v>1</v>
      </c>
      <c r="S1573">
        <v>2</v>
      </c>
    </row>
    <row r="1574" spans="1:19" x14ac:dyDescent="0.35">
      <c r="A1574">
        <v>57204052305</v>
      </c>
      <c r="B1574" t="s">
        <v>433</v>
      </c>
      <c r="C1574" t="str">
        <f>_xlfn.XLOOKUP(A1574,[1]Affiliations!$J$2:$J$5328,[1]Affiliations!$K$2:$K$5328,0)</f>
        <v>Universidade Federal do Ceará</v>
      </c>
      <c r="D1574">
        <v>60</v>
      </c>
      <c r="E1574">
        <v>1512</v>
      </c>
      <c r="F1574">
        <v>25.2</v>
      </c>
      <c r="G1574">
        <v>27</v>
      </c>
      <c r="H1574">
        <v>1.1100000000000001</v>
      </c>
      <c r="I1574">
        <v>0</v>
      </c>
      <c r="J1574">
        <v>4</v>
      </c>
      <c r="K1574">
        <v>12</v>
      </c>
      <c r="L1574">
        <v>33</v>
      </c>
      <c r="M1574">
        <v>55</v>
      </c>
      <c r="N1574">
        <v>57</v>
      </c>
      <c r="P1574">
        <v>0</v>
      </c>
      <c r="Q1574">
        <v>9</v>
      </c>
      <c r="R1574">
        <v>16</v>
      </c>
      <c r="S1574">
        <v>38</v>
      </c>
    </row>
    <row r="1575" spans="1:19" x14ac:dyDescent="0.35">
      <c r="A1575">
        <v>56137080000</v>
      </c>
      <c r="B1575" t="s">
        <v>471</v>
      </c>
      <c r="C1575" t="str">
        <f>_xlfn.XLOOKUP(A1575,[1]Affiliations!$J$2:$J$5328,[1]Affiliations!$K$2:$K$5328,0)</f>
        <v>Programa de Pós Graduação Em Engenharia e Tecnologia Dos Materiais (PGETEMA) (+2 more)</v>
      </c>
      <c r="D1575">
        <v>40</v>
      </c>
      <c r="E1575">
        <v>859</v>
      </c>
      <c r="F1575">
        <v>21.475000000000001</v>
      </c>
      <c r="G1575">
        <v>21</v>
      </c>
      <c r="H1575">
        <v>1.1100000000000001</v>
      </c>
      <c r="I1575">
        <v>0</v>
      </c>
      <c r="J1575">
        <v>4</v>
      </c>
      <c r="K1575">
        <v>10</v>
      </c>
      <c r="L1575">
        <v>25</v>
      </c>
      <c r="M1575">
        <v>33</v>
      </c>
      <c r="N1575">
        <v>38</v>
      </c>
      <c r="P1575">
        <v>0</v>
      </c>
      <c r="Q1575">
        <v>1</v>
      </c>
      <c r="R1575">
        <v>4</v>
      </c>
      <c r="S1575">
        <v>23</v>
      </c>
    </row>
    <row r="1576" spans="1:19" hidden="1" x14ac:dyDescent="0.35">
      <c r="A1576">
        <v>57474100100</v>
      </c>
      <c r="B1576" t="s">
        <v>1584</v>
      </c>
      <c r="C1576" t="str">
        <f>_xlfn.XLOOKUP(A1576,[1]Affiliations!$J$2:$J$5328,[1]Affiliations!$K$2:$K$5328,0)</f>
        <v>Universidade Federal Fluminense</v>
      </c>
      <c r="D1576">
        <v>1</v>
      </c>
      <c r="E1576">
        <v>2</v>
      </c>
      <c r="F1576">
        <v>2</v>
      </c>
      <c r="G1576">
        <v>1</v>
      </c>
      <c r="H1576">
        <v>0.1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5">
      <c r="A1577">
        <v>7003313441</v>
      </c>
      <c r="B1577" t="s">
        <v>530</v>
      </c>
      <c r="C1577" t="str">
        <f>_xlfn.XLOOKUP(A1577,[1]Affiliations!$J$2:$J$5328,[1]Affiliations!$K$2:$K$5328,0)</f>
        <v>DEMa</v>
      </c>
      <c r="D1577">
        <v>155</v>
      </c>
      <c r="E1577">
        <v>3554</v>
      </c>
      <c r="F1577">
        <v>22.929030999999998</v>
      </c>
      <c r="G1577">
        <v>43</v>
      </c>
      <c r="H1577">
        <v>1.1100000000000001</v>
      </c>
      <c r="I1577">
        <v>0</v>
      </c>
      <c r="J1577">
        <v>16</v>
      </c>
      <c r="K1577">
        <v>59</v>
      </c>
      <c r="L1577">
        <v>110</v>
      </c>
      <c r="M1577">
        <v>144</v>
      </c>
      <c r="N1577">
        <v>149</v>
      </c>
      <c r="P1577">
        <v>0</v>
      </c>
      <c r="Q1577">
        <v>5</v>
      </c>
      <c r="R1577">
        <v>23</v>
      </c>
      <c r="S1577">
        <v>85</v>
      </c>
    </row>
    <row r="1578" spans="1:19" x14ac:dyDescent="0.35">
      <c r="A1578">
        <v>9333156000</v>
      </c>
      <c r="B1578" t="s">
        <v>810</v>
      </c>
      <c r="C1578" t="str">
        <f>_xlfn.XLOOKUP(A1578,[1]Affiliations!$J$2:$J$5328,[1]Affiliations!$K$2:$K$5328,0)</f>
        <v>University of Coimbra (+1 more)</v>
      </c>
      <c r="D1578">
        <v>88</v>
      </c>
      <c r="E1578">
        <v>1326</v>
      </c>
      <c r="F1578">
        <v>15.068182</v>
      </c>
      <c r="G1578">
        <v>32</v>
      </c>
      <c r="H1578">
        <v>1.1100000000000001</v>
      </c>
      <c r="I1578">
        <v>1</v>
      </c>
      <c r="J1578">
        <v>4</v>
      </c>
      <c r="K1578">
        <v>8</v>
      </c>
      <c r="L1578">
        <v>52</v>
      </c>
      <c r="M1578">
        <v>83</v>
      </c>
      <c r="N1578">
        <v>85</v>
      </c>
      <c r="P1578">
        <v>0</v>
      </c>
      <c r="Q1578">
        <v>0</v>
      </c>
      <c r="R1578">
        <v>5</v>
      </c>
      <c r="S1578">
        <v>33</v>
      </c>
    </row>
    <row r="1579" spans="1:19" x14ac:dyDescent="0.35">
      <c r="A1579">
        <v>6603208447</v>
      </c>
      <c r="B1579" t="s">
        <v>1853</v>
      </c>
      <c r="C1579" t="str">
        <f>_xlfn.XLOOKUP(A1579,[1]Affiliations!$J$2:$J$5328,[1]Affiliations!$K$2:$K$5328,0)</f>
        <v>Universidade de Brasília</v>
      </c>
      <c r="D1579">
        <v>37</v>
      </c>
      <c r="E1579">
        <v>675</v>
      </c>
      <c r="F1579">
        <v>18.243244000000001</v>
      </c>
      <c r="G1579">
        <v>18</v>
      </c>
      <c r="H1579">
        <v>1.1100000000000001</v>
      </c>
      <c r="I1579">
        <v>0</v>
      </c>
      <c r="J1579">
        <v>3</v>
      </c>
      <c r="K1579">
        <v>6</v>
      </c>
      <c r="L1579">
        <v>14</v>
      </c>
      <c r="M1579">
        <v>29</v>
      </c>
      <c r="N1579">
        <v>36</v>
      </c>
      <c r="P1579">
        <v>0</v>
      </c>
      <c r="Q1579">
        <v>1</v>
      </c>
      <c r="R1579">
        <v>2</v>
      </c>
      <c r="S1579">
        <v>12</v>
      </c>
    </row>
    <row r="1580" spans="1:19" hidden="1" x14ac:dyDescent="0.35">
      <c r="A1580">
        <v>6603894565</v>
      </c>
      <c r="B1580" t="s">
        <v>1588</v>
      </c>
      <c r="C1580" t="str">
        <f>_xlfn.XLOOKUP(A1580,[1]Affiliations!$J$2:$J$5328,[1]Affiliations!$K$2:$K$5328,0)</f>
        <v>EcoProtec</v>
      </c>
      <c r="D1580">
        <v>4</v>
      </c>
      <c r="E1580">
        <v>10</v>
      </c>
      <c r="F1580">
        <v>2.5</v>
      </c>
      <c r="G1580">
        <v>4</v>
      </c>
      <c r="H1580">
        <v>0.17</v>
      </c>
      <c r="I1580">
        <v>0</v>
      </c>
      <c r="J1580">
        <v>0</v>
      </c>
      <c r="K1580">
        <v>0</v>
      </c>
      <c r="L1580">
        <v>0</v>
      </c>
      <c r="M1580">
        <v>1</v>
      </c>
      <c r="N1580">
        <v>2</v>
      </c>
      <c r="P1580">
        <v>0</v>
      </c>
      <c r="Q1580">
        <v>0</v>
      </c>
      <c r="R1580">
        <v>0</v>
      </c>
      <c r="S1580">
        <v>0</v>
      </c>
    </row>
    <row r="1581" spans="1:19" x14ac:dyDescent="0.35">
      <c r="A1581">
        <v>57191709841</v>
      </c>
      <c r="B1581" t="s">
        <v>2045</v>
      </c>
      <c r="C1581" t="str">
        <f>_xlfn.XLOOKUP(A1581,[1]Affiliations!$J$2:$J$5328,[1]Affiliations!$K$2:$K$5328,0)</f>
        <v>Universidade Federal de Campina Grande</v>
      </c>
      <c r="D1581">
        <v>24</v>
      </c>
      <c r="E1581">
        <v>458</v>
      </c>
      <c r="F1581">
        <v>19.083334000000001</v>
      </c>
      <c r="G1581">
        <v>11</v>
      </c>
      <c r="H1581">
        <v>1.1100000000000001</v>
      </c>
      <c r="I1581">
        <v>0</v>
      </c>
      <c r="J1581">
        <v>2</v>
      </c>
      <c r="K1581">
        <v>13</v>
      </c>
      <c r="L1581">
        <v>17</v>
      </c>
      <c r="M1581">
        <v>20</v>
      </c>
      <c r="N1581">
        <v>24</v>
      </c>
      <c r="P1581">
        <v>1</v>
      </c>
      <c r="Q1581">
        <v>1</v>
      </c>
      <c r="R1581">
        <v>4</v>
      </c>
      <c r="S1581">
        <v>13</v>
      </c>
    </row>
    <row r="1582" spans="1:19" hidden="1" x14ac:dyDescent="0.35">
      <c r="A1582">
        <v>57201197583</v>
      </c>
      <c r="B1582" t="s">
        <v>1590</v>
      </c>
      <c r="C1582" t="str">
        <f>_xlfn.XLOOKUP(A1582,[1]Affiliations!$J$2:$J$5328,[1]Affiliations!$K$2:$K$5328,0)</f>
        <v>Universidade Federal Rural do Rio de Janeiro</v>
      </c>
      <c r="D1582">
        <v>3</v>
      </c>
      <c r="E1582">
        <v>30</v>
      </c>
      <c r="F1582">
        <v>10</v>
      </c>
      <c r="G1582">
        <v>3</v>
      </c>
      <c r="H1582">
        <v>0.39</v>
      </c>
      <c r="I1582">
        <v>0</v>
      </c>
      <c r="J1582">
        <v>0</v>
      </c>
      <c r="K1582">
        <v>0</v>
      </c>
      <c r="L1582">
        <v>2</v>
      </c>
      <c r="M1582">
        <v>2</v>
      </c>
      <c r="N1582">
        <v>3</v>
      </c>
      <c r="P1582">
        <v>0</v>
      </c>
      <c r="Q1582">
        <v>0</v>
      </c>
      <c r="R1582">
        <v>0</v>
      </c>
      <c r="S1582">
        <v>0</v>
      </c>
    </row>
    <row r="1583" spans="1:19" hidden="1" x14ac:dyDescent="0.35">
      <c r="A1583">
        <v>7005891224</v>
      </c>
      <c r="B1583" t="s">
        <v>1591</v>
      </c>
      <c r="C1583" t="str">
        <f>_xlfn.XLOOKUP(A1583,[1]Affiliations!$J$2:$J$5328,[1]Affiliations!$K$2:$K$5328,0)</f>
        <v>Universidade Estadual do Norte Fluminense</v>
      </c>
      <c r="D1583">
        <v>15</v>
      </c>
      <c r="E1583">
        <v>52</v>
      </c>
      <c r="F1583">
        <v>3.4666667000000002</v>
      </c>
      <c r="G1583">
        <v>6</v>
      </c>
      <c r="H1583">
        <v>0.55000000000000004</v>
      </c>
      <c r="I1583">
        <v>0</v>
      </c>
      <c r="J1583">
        <v>0</v>
      </c>
      <c r="K1583">
        <v>0</v>
      </c>
      <c r="L1583">
        <v>1</v>
      </c>
      <c r="M1583">
        <v>3</v>
      </c>
      <c r="N1583">
        <v>6</v>
      </c>
      <c r="P1583">
        <v>0</v>
      </c>
      <c r="Q1583">
        <v>0</v>
      </c>
      <c r="R1583">
        <v>0</v>
      </c>
      <c r="S1583">
        <v>1</v>
      </c>
    </row>
    <row r="1584" spans="1:19" hidden="1" x14ac:dyDescent="0.35">
      <c r="A1584">
        <v>59895287700</v>
      </c>
      <c r="B1584" t="s">
        <v>1592</v>
      </c>
      <c r="C1584" t="str">
        <f>_xlfn.XLOOKUP(A1584,[1]Affiliations!$J$2:$J$5328,[1]Affiliations!$K$2:$K$5328,0)</f>
        <v>Universidade Federal de Uberlândia</v>
      </c>
      <c r="D1584">
        <v>0</v>
      </c>
      <c r="G1584">
        <v>1</v>
      </c>
    </row>
    <row r="1585" spans="1:19" x14ac:dyDescent="0.35">
      <c r="A1585">
        <v>7006342287</v>
      </c>
      <c r="B1585" t="s">
        <v>2739</v>
      </c>
      <c r="C1585" t="str">
        <f>_xlfn.XLOOKUP(A1585,[1]Affiliations!$J$2:$J$5328,[1]Affiliations!$K$2:$K$5328,0)</f>
        <v>DEMa</v>
      </c>
      <c r="D1585">
        <v>129</v>
      </c>
      <c r="E1585">
        <v>3354</v>
      </c>
      <c r="F1585">
        <v>26</v>
      </c>
      <c r="G1585">
        <v>42</v>
      </c>
      <c r="H1585">
        <v>1.1100000000000001</v>
      </c>
      <c r="I1585">
        <v>0</v>
      </c>
      <c r="J1585">
        <v>15</v>
      </c>
      <c r="K1585">
        <v>58</v>
      </c>
      <c r="L1585">
        <v>95</v>
      </c>
      <c r="M1585">
        <v>124</v>
      </c>
      <c r="N1585">
        <v>125</v>
      </c>
      <c r="P1585">
        <v>1</v>
      </c>
      <c r="Q1585">
        <v>5</v>
      </c>
      <c r="R1585">
        <v>17</v>
      </c>
      <c r="S1585">
        <v>73</v>
      </c>
    </row>
    <row r="1586" spans="1:19" hidden="1" x14ac:dyDescent="0.35">
      <c r="A1586">
        <v>57191035007</v>
      </c>
      <c r="B1586" t="s">
        <v>1594</v>
      </c>
      <c r="C1586" t="str">
        <f>_xlfn.XLOOKUP(A1586,[1]Affiliations!$J$2:$J$5328,[1]Affiliations!$K$2:$K$5328,0)</f>
        <v>Universidade Federal de Uberlândia</v>
      </c>
      <c r="D1586">
        <v>1</v>
      </c>
      <c r="E1586">
        <v>1</v>
      </c>
      <c r="F1586">
        <v>1</v>
      </c>
      <c r="G1586">
        <v>1</v>
      </c>
      <c r="H1586">
        <v>0</v>
      </c>
      <c r="I1586">
        <v>0</v>
      </c>
      <c r="J1586">
        <v>0</v>
      </c>
      <c r="K1586">
        <v>1</v>
      </c>
      <c r="L1586">
        <v>1</v>
      </c>
      <c r="M1586">
        <v>1</v>
      </c>
      <c r="N1586">
        <v>1</v>
      </c>
      <c r="P1586">
        <v>0</v>
      </c>
      <c r="Q1586">
        <v>0</v>
      </c>
      <c r="R1586">
        <v>0</v>
      </c>
      <c r="S1586">
        <v>0</v>
      </c>
    </row>
    <row r="1587" spans="1:19" hidden="1" x14ac:dyDescent="0.35">
      <c r="A1587">
        <v>55596837000</v>
      </c>
      <c r="B1587" t="s">
        <v>1595</v>
      </c>
      <c r="C1587" t="str">
        <f>_xlfn.XLOOKUP(A1587,[1]Affiliations!$J$2:$J$5328,[1]Affiliations!$K$2:$K$5328,0)</f>
        <v>Federal University of Rio de Janeiro</v>
      </c>
      <c r="D1587">
        <v>0</v>
      </c>
      <c r="G1587">
        <v>2</v>
      </c>
    </row>
    <row r="1588" spans="1:19" x14ac:dyDescent="0.35">
      <c r="A1588">
        <v>21739684800</v>
      </c>
      <c r="B1588" t="s">
        <v>3274</v>
      </c>
      <c r="C1588" t="str">
        <f>_xlfn.XLOOKUP(A1588,[1]Affiliations!$J$2:$J$5328,[1]Affiliations!$K$2:$K$5328,0)</f>
        <v>Universidade Federal de Santa Maria (+1 more)</v>
      </c>
      <c r="D1588">
        <v>80</v>
      </c>
      <c r="E1588">
        <v>1834</v>
      </c>
      <c r="F1588">
        <v>22.925000000000001</v>
      </c>
      <c r="G1588">
        <v>36</v>
      </c>
      <c r="H1588">
        <v>1.1100000000000001</v>
      </c>
      <c r="I1588">
        <v>0</v>
      </c>
      <c r="J1588">
        <v>16</v>
      </c>
      <c r="K1588">
        <v>26</v>
      </c>
      <c r="L1588">
        <v>56</v>
      </c>
      <c r="M1588">
        <v>72</v>
      </c>
      <c r="N1588">
        <v>75</v>
      </c>
      <c r="P1588">
        <v>0</v>
      </c>
      <c r="Q1588">
        <v>2</v>
      </c>
      <c r="R1588">
        <v>10</v>
      </c>
      <c r="S1588">
        <v>38</v>
      </c>
    </row>
    <row r="1589" spans="1:19" hidden="1" x14ac:dyDescent="0.35">
      <c r="A1589">
        <v>58494070100</v>
      </c>
      <c r="B1589" t="s">
        <v>1597</v>
      </c>
      <c r="C1589" t="str">
        <f>_xlfn.XLOOKUP(A1589,[1]Affiliations!$J$2:$J$5328,[1]Affiliations!$K$2:$K$5328,0)</f>
        <v>Universidade Federal de Minas Gerais</v>
      </c>
      <c r="D1589">
        <v>1</v>
      </c>
      <c r="E1589">
        <v>5</v>
      </c>
      <c r="F1589">
        <v>5</v>
      </c>
      <c r="G1589">
        <v>1</v>
      </c>
      <c r="H1589">
        <v>0.72</v>
      </c>
      <c r="I1589">
        <v>0</v>
      </c>
      <c r="J1589">
        <v>1</v>
      </c>
      <c r="K1589">
        <v>1</v>
      </c>
      <c r="L1589">
        <v>1</v>
      </c>
      <c r="M1589">
        <v>1</v>
      </c>
      <c r="N1589">
        <v>1</v>
      </c>
      <c r="P1589">
        <v>0</v>
      </c>
      <c r="Q1589">
        <v>0</v>
      </c>
      <c r="R1589">
        <v>0</v>
      </c>
      <c r="S1589">
        <v>0</v>
      </c>
    </row>
    <row r="1590" spans="1:19" hidden="1" x14ac:dyDescent="0.35">
      <c r="A1590">
        <v>55926690700</v>
      </c>
      <c r="B1590" t="s">
        <v>1598</v>
      </c>
      <c r="C1590" t="str">
        <f>_xlfn.XLOOKUP(A1590,[1]Affiliations!$J$2:$J$5328,[1]Affiliations!$K$2:$K$5328,0)</f>
        <v>Centro Nacional de Pesquisa em Energia e Materiais</v>
      </c>
      <c r="D1590">
        <v>7</v>
      </c>
      <c r="E1590">
        <v>116</v>
      </c>
      <c r="F1590">
        <v>16.571428000000001</v>
      </c>
      <c r="G1590">
        <v>6</v>
      </c>
      <c r="H1590">
        <v>0.54</v>
      </c>
      <c r="I1590">
        <v>0</v>
      </c>
      <c r="J1590">
        <v>1</v>
      </c>
      <c r="K1590">
        <v>3</v>
      </c>
      <c r="L1590">
        <v>7</v>
      </c>
      <c r="M1590">
        <v>7</v>
      </c>
      <c r="N1590">
        <v>7</v>
      </c>
      <c r="P1590">
        <v>0</v>
      </c>
      <c r="Q1590">
        <v>0</v>
      </c>
      <c r="R1590">
        <v>0</v>
      </c>
      <c r="S1590">
        <v>2</v>
      </c>
    </row>
    <row r="1591" spans="1:19" x14ac:dyDescent="0.35">
      <c r="A1591">
        <v>7103010497</v>
      </c>
      <c r="B1591" t="s">
        <v>3405</v>
      </c>
      <c r="C1591" t="str">
        <f>_xlfn.XLOOKUP(A1591,[1]Affiliations!$J$2:$J$5328,[1]Affiliations!$K$2:$K$5328,0)</f>
        <v>Universidade de São Paulo</v>
      </c>
      <c r="D1591">
        <v>36</v>
      </c>
      <c r="E1591">
        <v>772</v>
      </c>
      <c r="F1591">
        <v>21.444445000000002</v>
      </c>
      <c r="G1591">
        <v>22</v>
      </c>
      <c r="H1591">
        <v>1.1100000000000001</v>
      </c>
      <c r="I1591">
        <v>0</v>
      </c>
      <c r="J1591">
        <v>7</v>
      </c>
      <c r="K1591">
        <v>14</v>
      </c>
      <c r="L1591">
        <v>26</v>
      </c>
      <c r="M1591">
        <v>35</v>
      </c>
      <c r="N1591">
        <v>36</v>
      </c>
      <c r="P1591">
        <v>0</v>
      </c>
      <c r="Q1591">
        <v>2</v>
      </c>
      <c r="R1591">
        <v>6</v>
      </c>
      <c r="S1591">
        <v>16</v>
      </c>
    </row>
    <row r="1592" spans="1:19" hidden="1" x14ac:dyDescent="0.35">
      <c r="A1592">
        <v>59741555000</v>
      </c>
      <c r="B1592" t="s">
        <v>1600</v>
      </c>
      <c r="C1592" t="str">
        <f>_xlfn.XLOOKUP(A1592,[1]Affiliations!$J$2:$J$5328,[1]Affiliations!$K$2:$K$5328,0)</f>
        <v>Universidade de São Paulo</v>
      </c>
      <c r="D1592">
        <v>0</v>
      </c>
      <c r="G1592">
        <v>0</v>
      </c>
    </row>
    <row r="1593" spans="1:19" hidden="1" x14ac:dyDescent="0.35">
      <c r="A1593">
        <v>59997596700</v>
      </c>
      <c r="B1593" t="s">
        <v>1601</v>
      </c>
      <c r="C1593" t="str">
        <f>_xlfn.XLOOKUP(A1593,[1]Affiliations!$J$2:$J$5328,[1]Affiliations!$K$2:$K$5328,0)</f>
        <v>Universidade de Fortaleza (+1 more)</v>
      </c>
      <c r="D1593">
        <v>0</v>
      </c>
      <c r="G1593">
        <v>0</v>
      </c>
    </row>
    <row r="1594" spans="1:19" hidden="1" x14ac:dyDescent="0.35">
      <c r="A1594">
        <v>57201407438</v>
      </c>
      <c r="B1594" t="s">
        <v>1602</v>
      </c>
      <c r="C1594" t="str">
        <f>_xlfn.XLOOKUP(A1594,[1]Affiliations!$J$2:$J$5328,[1]Affiliations!$K$2:$K$5328,0)</f>
        <v>KONGSBERG</v>
      </c>
      <c r="D1594">
        <v>1</v>
      </c>
      <c r="E1594">
        <v>1</v>
      </c>
      <c r="F1594">
        <v>1</v>
      </c>
      <c r="G1594">
        <v>1</v>
      </c>
      <c r="H1594">
        <v>1.19</v>
      </c>
      <c r="P1594">
        <v>0</v>
      </c>
      <c r="Q1594">
        <v>0</v>
      </c>
      <c r="R1594">
        <v>0</v>
      </c>
      <c r="S1594">
        <v>0</v>
      </c>
    </row>
    <row r="1595" spans="1:19" hidden="1" x14ac:dyDescent="0.35">
      <c r="A1595">
        <v>15026211800</v>
      </c>
      <c r="B1595" t="s">
        <v>1603</v>
      </c>
      <c r="C1595" t="str">
        <f>_xlfn.XLOOKUP(A1595,[1]Affiliations!$J$2:$J$5328,[1]Affiliations!$K$2:$K$5328,0)</f>
        <v>Universidade Federal de Goiás</v>
      </c>
      <c r="D1595">
        <v>7</v>
      </c>
      <c r="E1595">
        <v>87</v>
      </c>
      <c r="F1595">
        <v>12.428572000000001</v>
      </c>
      <c r="G1595">
        <v>7</v>
      </c>
      <c r="H1595">
        <v>0.75</v>
      </c>
      <c r="I1595">
        <v>0</v>
      </c>
      <c r="J1595">
        <v>0</v>
      </c>
      <c r="K1595">
        <v>0</v>
      </c>
      <c r="L1595">
        <v>1</v>
      </c>
      <c r="M1595">
        <v>4</v>
      </c>
      <c r="N1595">
        <v>5</v>
      </c>
      <c r="P1595">
        <v>0</v>
      </c>
      <c r="Q1595">
        <v>0</v>
      </c>
      <c r="R1595">
        <v>1</v>
      </c>
      <c r="S1595">
        <v>3</v>
      </c>
    </row>
    <row r="1596" spans="1:19" hidden="1" x14ac:dyDescent="0.35">
      <c r="A1596">
        <v>24483254700</v>
      </c>
      <c r="B1596" t="s">
        <v>1604</v>
      </c>
      <c r="C1596" t="str">
        <f>_xlfn.XLOOKUP(A1596,[1]Affiliations!$J$2:$J$5328,[1]Affiliations!$K$2:$K$5328,0)</f>
        <v>Federal University of Rio de Janeiro</v>
      </c>
      <c r="D1596">
        <v>7</v>
      </c>
      <c r="E1596">
        <v>82</v>
      </c>
      <c r="F1596">
        <v>11.714286</v>
      </c>
      <c r="G1596">
        <v>5</v>
      </c>
      <c r="H1596">
        <v>0.56999999999999995</v>
      </c>
      <c r="I1596">
        <v>0</v>
      </c>
      <c r="J1596">
        <v>0</v>
      </c>
      <c r="K1596">
        <v>1</v>
      </c>
      <c r="L1596">
        <v>1</v>
      </c>
      <c r="M1596">
        <v>1</v>
      </c>
      <c r="N1596">
        <v>4</v>
      </c>
      <c r="P1596">
        <v>0</v>
      </c>
      <c r="Q1596">
        <v>0</v>
      </c>
      <c r="R1596">
        <v>0</v>
      </c>
      <c r="S1596">
        <v>3</v>
      </c>
    </row>
    <row r="1597" spans="1:19" hidden="1" x14ac:dyDescent="0.35">
      <c r="A1597">
        <v>57831314100</v>
      </c>
      <c r="B1597" t="s">
        <v>1605</v>
      </c>
      <c r="C1597" t="str">
        <f>_xlfn.XLOOKUP(A1597,[1]Affiliations!$J$2:$J$5328,[1]Affiliations!$K$2:$K$5328,0)</f>
        <v>Universidade de São Paulo</v>
      </c>
      <c r="D1597">
        <v>3</v>
      </c>
      <c r="E1597">
        <v>5</v>
      </c>
      <c r="F1597">
        <v>1.6666666000000001</v>
      </c>
      <c r="G1597">
        <v>2</v>
      </c>
      <c r="H1597">
        <v>0.75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P1597">
        <v>0</v>
      </c>
      <c r="Q1597">
        <v>0</v>
      </c>
      <c r="R1597">
        <v>0</v>
      </c>
      <c r="S1597">
        <v>0</v>
      </c>
    </row>
    <row r="1598" spans="1:19" x14ac:dyDescent="0.35">
      <c r="A1598">
        <v>56340842600</v>
      </c>
      <c r="B1598" t="s">
        <v>3500</v>
      </c>
      <c r="C1598" t="str">
        <f>_xlfn.XLOOKUP(A1598,[1]Affiliations!$J$2:$J$5328,[1]Affiliations!$K$2:$K$5328,0)</f>
        <v>University of Málaga (+1 more)</v>
      </c>
      <c r="D1598">
        <v>7</v>
      </c>
      <c r="E1598">
        <v>232</v>
      </c>
      <c r="F1598">
        <v>33.142856999999999</v>
      </c>
      <c r="G1598">
        <v>8</v>
      </c>
      <c r="H1598">
        <v>1.1100000000000001</v>
      </c>
      <c r="I1598">
        <v>0</v>
      </c>
      <c r="J1598">
        <v>0</v>
      </c>
      <c r="K1598">
        <v>1</v>
      </c>
      <c r="L1598">
        <v>5</v>
      </c>
      <c r="M1598">
        <v>7</v>
      </c>
      <c r="N1598">
        <v>7</v>
      </c>
      <c r="P1598">
        <v>0</v>
      </c>
      <c r="Q1598">
        <v>1</v>
      </c>
      <c r="R1598">
        <v>2</v>
      </c>
      <c r="S1598">
        <v>7</v>
      </c>
    </row>
    <row r="1599" spans="1:19" x14ac:dyDescent="0.35">
      <c r="A1599">
        <v>6505514703</v>
      </c>
      <c r="B1599" t="s">
        <v>3646</v>
      </c>
      <c r="C1599" t="str">
        <f>_xlfn.XLOOKUP(A1599,[1]Affiliations!$J$2:$J$5328,[1]Affiliations!$K$2:$K$5328,0)</f>
        <v>Universidade Federal de Viçosa</v>
      </c>
      <c r="D1599">
        <v>172</v>
      </c>
      <c r="E1599">
        <v>5973</v>
      </c>
      <c r="F1599">
        <v>34.726745999999999</v>
      </c>
      <c r="G1599">
        <v>74</v>
      </c>
      <c r="H1599">
        <v>1.1100000000000001</v>
      </c>
      <c r="I1599">
        <v>14</v>
      </c>
      <c r="J1599">
        <v>59</v>
      </c>
      <c r="K1599">
        <v>106</v>
      </c>
      <c r="L1599">
        <v>142</v>
      </c>
      <c r="M1599">
        <v>158</v>
      </c>
      <c r="N1599">
        <v>165</v>
      </c>
      <c r="P1599">
        <v>4</v>
      </c>
      <c r="Q1599">
        <v>19</v>
      </c>
      <c r="R1599">
        <v>35</v>
      </c>
      <c r="S1599">
        <v>90</v>
      </c>
    </row>
    <row r="1600" spans="1:19" hidden="1" x14ac:dyDescent="0.35">
      <c r="A1600">
        <v>57191073299</v>
      </c>
      <c r="B1600" t="s">
        <v>1608</v>
      </c>
      <c r="C1600" t="str">
        <f>_xlfn.XLOOKUP(A1600,[1]Affiliations!$J$2:$J$5328,[1]Affiliations!$K$2:$K$5328,0)</f>
        <v>Universidade Federal de Minas Gerais (+1 more)</v>
      </c>
      <c r="D1600">
        <v>13</v>
      </c>
      <c r="E1600">
        <v>98</v>
      </c>
      <c r="F1600">
        <v>7.5384617</v>
      </c>
      <c r="G1600">
        <v>5</v>
      </c>
      <c r="H1600">
        <v>0.6</v>
      </c>
      <c r="I1600">
        <v>0</v>
      </c>
      <c r="J1600">
        <v>0</v>
      </c>
      <c r="K1600">
        <v>0</v>
      </c>
      <c r="L1600">
        <v>2</v>
      </c>
      <c r="M1600">
        <v>8</v>
      </c>
      <c r="N1600">
        <v>13</v>
      </c>
      <c r="P1600">
        <v>0</v>
      </c>
      <c r="Q1600">
        <v>0</v>
      </c>
      <c r="R1600">
        <v>0</v>
      </c>
      <c r="S1600">
        <v>1</v>
      </c>
    </row>
    <row r="1601" spans="1:19" hidden="1" x14ac:dyDescent="0.35">
      <c r="A1601">
        <v>57215927057</v>
      </c>
      <c r="B1601" t="s">
        <v>1609</v>
      </c>
      <c r="C1601" t="str">
        <f>_xlfn.XLOOKUP(A1601,[1]Affiliations!$J$2:$J$5328,[1]Affiliations!$K$2:$K$5328,0)</f>
        <v>Federal University of Santa Catarina</v>
      </c>
      <c r="D1601">
        <v>10</v>
      </c>
      <c r="E1601">
        <v>97</v>
      </c>
      <c r="F1601">
        <v>9.6999999999999993</v>
      </c>
      <c r="G1601">
        <v>6</v>
      </c>
      <c r="H1601">
        <v>0.56000000000000005</v>
      </c>
      <c r="I1601">
        <v>0</v>
      </c>
      <c r="J1601">
        <v>0</v>
      </c>
      <c r="K1601">
        <v>1</v>
      </c>
      <c r="L1601">
        <v>5</v>
      </c>
      <c r="M1601">
        <v>10</v>
      </c>
      <c r="N1601">
        <v>10</v>
      </c>
      <c r="P1601">
        <v>0</v>
      </c>
      <c r="Q1601">
        <v>0</v>
      </c>
      <c r="R1601">
        <v>0</v>
      </c>
      <c r="S1601">
        <v>3</v>
      </c>
    </row>
    <row r="1602" spans="1:19" hidden="1" x14ac:dyDescent="0.35">
      <c r="A1602">
        <v>57207744005</v>
      </c>
      <c r="B1602" t="s">
        <v>1610</v>
      </c>
      <c r="C1602" t="str">
        <f>_xlfn.XLOOKUP(A1602,[1]Affiliations!$J$2:$J$5328,[1]Affiliations!$K$2:$K$5328,0)</f>
        <v>Universidade Federal do Rio Grande do Sul</v>
      </c>
      <c r="D1602">
        <v>14</v>
      </c>
      <c r="E1602">
        <v>71</v>
      </c>
      <c r="F1602">
        <v>5.0714290000000002</v>
      </c>
      <c r="G1602">
        <v>6</v>
      </c>
      <c r="H1602">
        <v>0.34</v>
      </c>
      <c r="I1602">
        <v>0</v>
      </c>
      <c r="J1602">
        <v>2</v>
      </c>
      <c r="K1602">
        <v>2</v>
      </c>
      <c r="L1602">
        <v>3</v>
      </c>
      <c r="M1602">
        <v>7</v>
      </c>
      <c r="N1602">
        <v>8</v>
      </c>
      <c r="P1602">
        <v>0</v>
      </c>
      <c r="Q1602">
        <v>0</v>
      </c>
      <c r="R1602">
        <v>0</v>
      </c>
      <c r="S1602">
        <v>0</v>
      </c>
    </row>
    <row r="1603" spans="1:19" hidden="1" x14ac:dyDescent="0.35">
      <c r="A1603">
        <v>57295918800</v>
      </c>
      <c r="B1603" t="s">
        <v>1611</v>
      </c>
      <c r="C1603" t="str">
        <f>_xlfn.XLOOKUP(A1603,[1]Affiliations!$J$2:$J$5328,[1]Affiliations!$K$2:$K$5328,0)</f>
        <v>Universidade de São Paulo</v>
      </c>
      <c r="D1603">
        <v>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1</v>
      </c>
      <c r="P1603">
        <v>0</v>
      </c>
      <c r="Q1603">
        <v>0</v>
      </c>
      <c r="R1603">
        <v>0</v>
      </c>
      <c r="S1603">
        <v>0</v>
      </c>
    </row>
    <row r="1604" spans="1:19" hidden="1" x14ac:dyDescent="0.35">
      <c r="A1604">
        <v>59367531600</v>
      </c>
      <c r="B1604" t="s">
        <v>1612</v>
      </c>
      <c r="C1604" t="str">
        <f>_xlfn.XLOOKUP(A1604,[1]Affiliations!$J$2:$J$5328,[1]Affiliations!$K$2:$K$5328,0)</f>
        <v>Universidade Federal do Espírito Santo</v>
      </c>
      <c r="D1604">
        <v>16</v>
      </c>
      <c r="E1604">
        <v>108</v>
      </c>
      <c r="F1604">
        <v>6.75</v>
      </c>
      <c r="G1604">
        <v>7</v>
      </c>
      <c r="H1604">
        <v>0.51</v>
      </c>
      <c r="I1604">
        <v>0</v>
      </c>
      <c r="J1604">
        <v>4</v>
      </c>
      <c r="K1604">
        <v>10</v>
      </c>
      <c r="L1604">
        <v>10</v>
      </c>
      <c r="M1604">
        <v>14</v>
      </c>
      <c r="N1604">
        <v>15</v>
      </c>
      <c r="P1604">
        <v>0</v>
      </c>
      <c r="Q1604">
        <v>0</v>
      </c>
      <c r="R1604">
        <v>0</v>
      </c>
      <c r="S1604">
        <v>2</v>
      </c>
    </row>
    <row r="1605" spans="1:19" hidden="1" x14ac:dyDescent="0.35">
      <c r="A1605">
        <v>57214935536</v>
      </c>
      <c r="B1605" t="s">
        <v>1613</v>
      </c>
      <c r="C1605" t="str">
        <f>_xlfn.XLOOKUP(A1605,[1]Affiliations!$J$2:$J$5328,[1]Affiliations!$K$2:$K$5328,0)</f>
        <v>Federal University of Rio de Janeiro</v>
      </c>
      <c r="D1605">
        <v>1</v>
      </c>
      <c r="E1605">
        <v>0</v>
      </c>
      <c r="F1605">
        <v>0</v>
      </c>
      <c r="G1605">
        <v>0</v>
      </c>
      <c r="H1605">
        <v>0</v>
      </c>
      <c r="P1605">
        <v>0</v>
      </c>
      <c r="Q1605">
        <v>0</v>
      </c>
      <c r="R1605">
        <v>0</v>
      </c>
      <c r="S1605">
        <v>0</v>
      </c>
    </row>
    <row r="1606" spans="1:19" hidden="1" x14ac:dyDescent="0.35">
      <c r="A1606">
        <v>57200526821</v>
      </c>
      <c r="B1606" t="s">
        <v>1614</v>
      </c>
      <c r="C1606" t="str">
        <f>_xlfn.XLOOKUP(A1606,[1]Affiliations!$J$2:$J$5328,[1]Affiliations!$K$2:$K$5328,0)</f>
        <v>DEMa</v>
      </c>
      <c r="D1606">
        <v>4</v>
      </c>
      <c r="E1606">
        <v>19</v>
      </c>
      <c r="F1606">
        <v>4.75</v>
      </c>
      <c r="G1606">
        <v>3</v>
      </c>
      <c r="H1606">
        <v>0.53</v>
      </c>
      <c r="I1606">
        <v>0</v>
      </c>
      <c r="J1606">
        <v>0</v>
      </c>
      <c r="K1606">
        <v>0</v>
      </c>
      <c r="L1606">
        <v>0</v>
      </c>
      <c r="M1606">
        <v>4</v>
      </c>
      <c r="N1606">
        <v>4</v>
      </c>
      <c r="P1606">
        <v>0</v>
      </c>
      <c r="Q1606">
        <v>0</v>
      </c>
      <c r="R1606">
        <v>0</v>
      </c>
      <c r="S1606">
        <v>1</v>
      </c>
    </row>
    <row r="1607" spans="1:19" x14ac:dyDescent="0.35">
      <c r="A1607">
        <v>6603447785</v>
      </c>
      <c r="B1607" t="s">
        <v>4253</v>
      </c>
      <c r="C1607" t="str">
        <f>_xlfn.XLOOKUP(A1607,[1]Affiliations!$J$2:$J$5328,[1]Affiliations!$K$2:$K$5328,0)</f>
        <v>Federal University of Rio de Janeiro</v>
      </c>
      <c r="D1607">
        <v>25</v>
      </c>
      <c r="E1607">
        <v>512</v>
      </c>
      <c r="F1607">
        <v>20.48</v>
      </c>
      <c r="G1607">
        <v>17</v>
      </c>
      <c r="H1607">
        <v>1.1100000000000001</v>
      </c>
      <c r="I1607">
        <v>2</v>
      </c>
      <c r="J1607">
        <v>8</v>
      </c>
      <c r="K1607">
        <v>11</v>
      </c>
      <c r="L1607">
        <v>17</v>
      </c>
      <c r="M1607">
        <v>22</v>
      </c>
      <c r="N1607">
        <v>23</v>
      </c>
      <c r="P1607">
        <v>1</v>
      </c>
      <c r="Q1607">
        <v>1</v>
      </c>
      <c r="R1607">
        <v>2</v>
      </c>
      <c r="S1607">
        <v>6</v>
      </c>
    </row>
    <row r="1608" spans="1:19" x14ac:dyDescent="0.35">
      <c r="A1608">
        <v>6505860871</v>
      </c>
      <c r="B1608" t="s">
        <v>4926</v>
      </c>
      <c r="C1608" t="str">
        <f>_xlfn.XLOOKUP(A1608,[1]Affiliations!$J$2:$J$5328,[1]Affiliations!$K$2:$K$5328,0)</f>
        <v>SGAN 603</v>
      </c>
      <c r="D1608">
        <v>9</v>
      </c>
      <c r="E1608">
        <v>213</v>
      </c>
      <c r="F1608">
        <v>23.666665999999999</v>
      </c>
      <c r="G1608">
        <v>6</v>
      </c>
      <c r="H1608">
        <v>1.1100000000000001</v>
      </c>
      <c r="I1608">
        <v>1</v>
      </c>
      <c r="J1608">
        <v>2</v>
      </c>
      <c r="K1608">
        <v>3</v>
      </c>
      <c r="L1608">
        <v>7</v>
      </c>
      <c r="M1608">
        <v>8</v>
      </c>
      <c r="N1608">
        <v>8</v>
      </c>
      <c r="P1608">
        <v>0</v>
      </c>
      <c r="Q1608">
        <v>1</v>
      </c>
      <c r="R1608">
        <v>2</v>
      </c>
      <c r="S1608">
        <v>3</v>
      </c>
    </row>
    <row r="1609" spans="1:19" x14ac:dyDescent="0.35">
      <c r="A1609">
        <v>6603192903</v>
      </c>
      <c r="B1609" t="s">
        <v>5043</v>
      </c>
      <c r="C1609" t="str">
        <f>_xlfn.XLOOKUP(A1609,[1]Affiliations!$J$2:$J$5328,[1]Affiliations!$K$2:$K$5328,0)</f>
        <v>Federal University of Rio de Janeiro</v>
      </c>
      <c r="D1609">
        <v>31</v>
      </c>
      <c r="E1609">
        <v>600</v>
      </c>
      <c r="F1609">
        <v>19.354839999999999</v>
      </c>
      <c r="G1609">
        <v>29</v>
      </c>
      <c r="H1609">
        <v>1.1100000000000001</v>
      </c>
      <c r="I1609">
        <v>3</v>
      </c>
      <c r="J1609">
        <v>9</v>
      </c>
      <c r="K1609">
        <v>10</v>
      </c>
      <c r="L1609">
        <v>15</v>
      </c>
      <c r="M1609">
        <v>28</v>
      </c>
      <c r="N1609">
        <v>30</v>
      </c>
      <c r="P1609">
        <v>0</v>
      </c>
      <c r="Q1609">
        <v>0</v>
      </c>
      <c r="R1609">
        <v>3</v>
      </c>
      <c r="S1609">
        <v>15</v>
      </c>
    </row>
    <row r="1610" spans="1:19" hidden="1" x14ac:dyDescent="0.35">
      <c r="A1610">
        <v>57216911627</v>
      </c>
      <c r="B1610" t="s">
        <v>1618</v>
      </c>
      <c r="C1610" t="str">
        <f>_xlfn.XLOOKUP(A1610,[1]Affiliations!$J$2:$J$5328,[1]Affiliations!$K$2:$K$5328,0)</f>
        <v>Federal University of Rio de Janeiro</v>
      </c>
      <c r="D1610">
        <v>1</v>
      </c>
      <c r="E1610">
        <v>68</v>
      </c>
      <c r="F1610">
        <v>68</v>
      </c>
      <c r="G1610">
        <v>1</v>
      </c>
      <c r="H1610">
        <v>2.92</v>
      </c>
      <c r="I1610">
        <v>0</v>
      </c>
      <c r="J1610">
        <v>0</v>
      </c>
      <c r="K1610">
        <v>0</v>
      </c>
      <c r="L1610">
        <v>0</v>
      </c>
      <c r="M1610">
        <v>1</v>
      </c>
      <c r="N1610">
        <v>1</v>
      </c>
      <c r="P1610">
        <v>0</v>
      </c>
      <c r="Q1610">
        <v>1</v>
      </c>
      <c r="R1610">
        <v>1</v>
      </c>
      <c r="S1610">
        <v>1</v>
      </c>
    </row>
    <row r="1611" spans="1:19" hidden="1" x14ac:dyDescent="0.35">
      <c r="A1611">
        <v>36662356400</v>
      </c>
      <c r="B1611" t="s">
        <v>1619</v>
      </c>
      <c r="C1611" t="str">
        <f>_xlfn.XLOOKUP(A1611,[1]Affiliations!$J$2:$J$5328,[1]Affiliations!$K$2:$K$5328,0)</f>
        <v>Federal University of Rio de Janeiro (+1 more)</v>
      </c>
      <c r="D1611">
        <v>15</v>
      </c>
      <c r="E1611">
        <v>207</v>
      </c>
      <c r="F1611">
        <v>13.8</v>
      </c>
      <c r="G1611">
        <v>12</v>
      </c>
      <c r="H1611">
        <v>0.9</v>
      </c>
      <c r="I1611">
        <v>2</v>
      </c>
      <c r="J1611">
        <v>6</v>
      </c>
      <c r="K1611">
        <v>7</v>
      </c>
      <c r="L1611">
        <v>10</v>
      </c>
      <c r="M1611">
        <v>13</v>
      </c>
      <c r="N1611">
        <v>14</v>
      </c>
      <c r="P1611">
        <v>0</v>
      </c>
      <c r="Q1611">
        <v>0</v>
      </c>
      <c r="R1611">
        <v>0</v>
      </c>
      <c r="S1611">
        <v>5</v>
      </c>
    </row>
    <row r="1612" spans="1:19" hidden="1" x14ac:dyDescent="0.35">
      <c r="A1612">
        <v>57190273534</v>
      </c>
      <c r="B1612" t="s">
        <v>1620</v>
      </c>
      <c r="C1612" t="str">
        <f>_xlfn.XLOOKUP(A1612,[1]Affiliations!$J$2:$J$5328,[1]Affiliations!$K$2:$K$5328,0)</f>
        <v>Universidade Federal Fluminense</v>
      </c>
      <c r="D1612">
        <v>2</v>
      </c>
      <c r="E1612">
        <v>53</v>
      </c>
      <c r="F1612">
        <v>26.5</v>
      </c>
      <c r="G1612">
        <v>2</v>
      </c>
      <c r="H1612">
        <v>0.75</v>
      </c>
      <c r="I1612">
        <v>0</v>
      </c>
      <c r="J1612">
        <v>0</v>
      </c>
      <c r="K1612">
        <v>0</v>
      </c>
      <c r="L1612">
        <v>0</v>
      </c>
      <c r="M1612">
        <v>2</v>
      </c>
      <c r="N1612">
        <v>2</v>
      </c>
      <c r="P1612">
        <v>0</v>
      </c>
      <c r="Q1612">
        <v>0</v>
      </c>
      <c r="R1612">
        <v>0</v>
      </c>
      <c r="S1612">
        <v>2</v>
      </c>
    </row>
    <row r="1613" spans="1:19" hidden="1" x14ac:dyDescent="0.35">
      <c r="A1613">
        <v>36661973300</v>
      </c>
      <c r="B1613" t="s">
        <v>1621</v>
      </c>
      <c r="C1613" t="str">
        <f>_xlfn.XLOOKUP(A1613,[1]Affiliations!$J$2:$J$5328,[1]Affiliations!$K$2:$K$5328,0)</f>
        <v>Federal University of Rio de Janeiro</v>
      </c>
      <c r="D1613">
        <v>1</v>
      </c>
      <c r="E1613">
        <v>2</v>
      </c>
      <c r="F1613">
        <v>2</v>
      </c>
      <c r="G1613">
        <v>2</v>
      </c>
      <c r="H1613">
        <v>0.28999999999999998</v>
      </c>
      <c r="I1613">
        <v>0</v>
      </c>
      <c r="J1613">
        <v>0</v>
      </c>
      <c r="K1613">
        <v>1</v>
      </c>
      <c r="L1613">
        <v>1</v>
      </c>
      <c r="M1613">
        <v>1</v>
      </c>
      <c r="N1613">
        <v>1</v>
      </c>
      <c r="P1613">
        <v>0</v>
      </c>
      <c r="Q1613">
        <v>0</v>
      </c>
      <c r="R1613">
        <v>0</v>
      </c>
      <c r="S1613">
        <v>0</v>
      </c>
    </row>
    <row r="1614" spans="1:19" hidden="1" x14ac:dyDescent="0.35">
      <c r="A1614">
        <v>59139726300</v>
      </c>
      <c r="B1614" t="s">
        <v>1622</v>
      </c>
      <c r="C1614" t="str">
        <f>_xlfn.XLOOKUP(A1614,[1]Affiliations!$J$2:$J$5328,[1]Affiliations!$K$2:$K$5328,0)</f>
        <v>Pontifical Catholic University of Rio de Janeiro</v>
      </c>
      <c r="D1614">
        <v>2</v>
      </c>
      <c r="E1614">
        <v>21</v>
      </c>
      <c r="F1614">
        <v>10.5</v>
      </c>
      <c r="G1614">
        <v>3</v>
      </c>
      <c r="H1614">
        <v>6.41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2</v>
      </c>
      <c r="P1614">
        <v>0</v>
      </c>
      <c r="Q1614">
        <v>0</v>
      </c>
      <c r="R1614">
        <v>1</v>
      </c>
      <c r="S1614">
        <v>2</v>
      </c>
    </row>
    <row r="1615" spans="1:19" hidden="1" x14ac:dyDescent="0.35">
      <c r="A1615">
        <v>34972809000</v>
      </c>
      <c r="B1615" t="s">
        <v>1623</v>
      </c>
      <c r="C1615" t="str">
        <f>_xlfn.XLOOKUP(A1615,[1]Affiliations!$J$2:$J$5328,[1]Affiliations!$K$2:$K$5328,0)</f>
        <v>Universidade Federal de São Paulo</v>
      </c>
      <c r="D1615">
        <v>16</v>
      </c>
      <c r="E1615">
        <v>208</v>
      </c>
      <c r="F1615">
        <v>13</v>
      </c>
      <c r="G1615">
        <v>12</v>
      </c>
      <c r="H1615">
        <v>0.74</v>
      </c>
      <c r="I1615">
        <v>0</v>
      </c>
      <c r="J1615">
        <v>2</v>
      </c>
      <c r="K1615">
        <v>4</v>
      </c>
      <c r="L1615">
        <v>11</v>
      </c>
      <c r="M1615">
        <v>14</v>
      </c>
      <c r="N1615">
        <v>15</v>
      </c>
      <c r="P1615">
        <v>0</v>
      </c>
      <c r="Q1615">
        <v>0</v>
      </c>
      <c r="R1615">
        <v>0</v>
      </c>
      <c r="S1615">
        <v>4</v>
      </c>
    </row>
    <row r="1616" spans="1:19" hidden="1" x14ac:dyDescent="0.35">
      <c r="A1616">
        <v>57220077698</v>
      </c>
      <c r="B1616" t="s">
        <v>1624</v>
      </c>
      <c r="C1616" t="str">
        <f>_xlfn.XLOOKUP(A1616,[1]Affiliations!$J$2:$J$5328,[1]Affiliations!$K$2:$K$5328,0)</f>
        <v>University of Campinas</v>
      </c>
      <c r="D1616">
        <v>4</v>
      </c>
      <c r="E1616">
        <v>39</v>
      </c>
      <c r="F1616">
        <v>9.75</v>
      </c>
      <c r="G1616">
        <v>3</v>
      </c>
      <c r="H1616">
        <v>0.71</v>
      </c>
      <c r="I1616">
        <v>0</v>
      </c>
      <c r="J1616">
        <v>1</v>
      </c>
      <c r="K1616">
        <v>1</v>
      </c>
      <c r="L1616">
        <v>3</v>
      </c>
      <c r="M1616">
        <v>4</v>
      </c>
      <c r="N1616">
        <v>4</v>
      </c>
      <c r="P1616">
        <v>0</v>
      </c>
      <c r="Q1616">
        <v>0</v>
      </c>
      <c r="R1616">
        <v>0</v>
      </c>
      <c r="S1616">
        <v>2</v>
      </c>
    </row>
    <row r="1617" spans="1:19" x14ac:dyDescent="0.35">
      <c r="A1617">
        <v>7101666928</v>
      </c>
      <c r="B1617" t="s">
        <v>952</v>
      </c>
      <c r="C1617" t="str">
        <f>_xlfn.XLOOKUP(A1617,[1]Affiliations!$J$2:$J$5328,[1]Affiliations!$K$2:$K$5328,0)</f>
        <v>Federal University of Rio de Janeiro</v>
      </c>
      <c r="D1617">
        <v>60</v>
      </c>
      <c r="E1617">
        <v>1995</v>
      </c>
      <c r="F1617">
        <v>33.25</v>
      </c>
      <c r="G1617">
        <v>40</v>
      </c>
      <c r="H1617">
        <v>1.1000000000000001</v>
      </c>
      <c r="I1617">
        <v>0</v>
      </c>
      <c r="J1617">
        <v>1</v>
      </c>
      <c r="K1617">
        <v>5</v>
      </c>
      <c r="L1617">
        <v>30</v>
      </c>
      <c r="M1617">
        <v>54</v>
      </c>
      <c r="N1617">
        <v>57</v>
      </c>
      <c r="P1617">
        <v>2</v>
      </c>
      <c r="Q1617">
        <v>6</v>
      </c>
      <c r="R1617">
        <v>15</v>
      </c>
      <c r="S1617">
        <v>37</v>
      </c>
    </row>
    <row r="1618" spans="1:19" hidden="1" x14ac:dyDescent="0.35">
      <c r="A1618">
        <v>57191745041</v>
      </c>
      <c r="B1618" t="s">
        <v>1626</v>
      </c>
      <c r="C1618" t="str">
        <f>_xlfn.XLOOKUP(A1618,[1]Affiliations!$J$2:$J$5328,[1]Affiliations!$K$2:$K$5328,0)</f>
        <v>Empresa Brasileira de Pesquisa Agropecuária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P1618">
        <v>0</v>
      </c>
      <c r="Q1618">
        <v>0</v>
      </c>
      <c r="R1618">
        <v>0</v>
      </c>
      <c r="S1618">
        <v>0</v>
      </c>
    </row>
    <row r="1619" spans="1:19" hidden="1" x14ac:dyDescent="0.35">
      <c r="A1619">
        <v>57199073804</v>
      </c>
      <c r="B1619" t="s">
        <v>1627</v>
      </c>
      <c r="C1619" t="str">
        <f>_xlfn.XLOOKUP(A1619,[1]Affiliations!$J$2:$J$5328,[1]Affiliations!$K$2:$K$5328,0)</f>
        <v>Petróleo Brasileiro S.A. (+1 more)</v>
      </c>
      <c r="D1619">
        <v>4</v>
      </c>
      <c r="E1619">
        <v>3</v>
      </c>
      <c r="F1619">
        <v>0.75</v>
      </c>
      <c r="G1619">
        <v>1</v>
      </c>
      <c r="H1619">
        <v>0.08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1</v>
      </c>
      <c r="P1619">
        <v>0</v>
      </c>
      <c r="Q1619">
        <v>0</v>
      </c>
      <c r="R1619">
        <v>0</v>
      </c>
      <c r="S1619">
        <v>0</v>
      </c>
    </row>
    <row r="1620" spans="1:19" x14ac:dyDescent="0.35">
      <c r="A1620">
        <v>36957070800</v>
      </c>
      <c r="B1620" t="s">
        <v>2051</v>
      </c>
      <c r="C1620" t="str">
        <f>_xlfn.XLOOKUP(A1620,[1]Affiliations!$J$2:$J$5328,[1]Affiliations!$K$2:$K$5328,0)</f>
        <v>Universidade de Brasília</v>
      </c>
      <c r="D1620">
        <v>58</v>
      </c>
      <c r="E1620">
        <v>828</v>
      </c>
      <c r="F1620">
        <v>14.275862</v>
      </c>
      <c r="G1620">
        <v>14</v>
      </c>
      <c r="H1620">
        <v>1.1000000000000001</v>
      </c>
      <c r="I1620">
        <v>2</v>
      </c>
      <c r="J1620">
        <v>5</v>
      </c>
      <c r="K1620">
        <v>18</v>
      </c>
      <c r="L1620">
        <v>25</v>
      </c>
      <c r="M1620">
        <v>35</v>
      </c>
      <c r="N1620">
        <v>37</v>
      </c>
      <c r="P1620">
        <v>0</v>
      </c>
      <c r="Q1620">
        <v>3</v>
      </c>
      <c r="R1620">
        <v>5</v>
      </c>
      <c r="S1620">
        <v>16</v>
      </c>
    </row>
    <row r="1621" spans="1:19" hidden="1" x14ac:dyDescent="0.35">
      <c r="A1621">
        <v>57222026457</v>
      </c>
      <c r="B1621" t="s">
        <v>1629</v>
      </c>
      <c r="C1621" t="str">
        <f>_xlfn.XLOOKUP(A1621,[1]Affiliations!$J$2:$J$5328,[1]Affiliations!$K$2:$K$5328,0)</f>
        <v>Universidade Federal da Paraíba</v>
      </c>
      <c r="D1621">
        <v>11</v>
      </c>
      <c r="E1621">
        <v>157</v>
      </c>
      <c r="F1621">
        <v>14.272727</v>
      </c>
      <c r="G1621">
        <v>7</v>
      </c>
      <c r="H1621">
        <v>1.58</v>
      </c>
      <c r="I1621">
        <v>0</v>
      </c>
      <c r="J1621">
        <v>0</v>
      </c>
      <c r="K1621">
        <v>0</v>
      </c>
      <c r="L1621">
        <v>2</v>
      </c>
      <c r="M1621">
        <v>9</v>
      </c>
      <c r="N1621">
        <v>9</v>
      </c>
      <c r="P1621">
        <v>0</v>
      </c>
      <c r="Q1621">
        <v>0</v>
      </c>
      <c r="R1621">
        <v>2</v>
      </c>
      <c r="S1621">
        <v>5</v>
      </c>
    </row>
    <row r="1622" spans="1:19" hidden="1" x14ac:dyDescent="0.35">
      <c r="A1622">
        <v>36172920300</v>
      </c>
      <c r="B1622" t="s">
        <v>1630</v>
      </c>
      <c r="C1622" t="str">
        <f>_xlfn.XLOOKUP(A1622,[1]Affiliations!$J$2:$J$5328,[1]Affiliations!$K$2:$K$5328,0)</f>
        <v>Laboratório Nacional de Computação Científica</v>
      </c>
      <c r="D1622">
        <v>4</v>
      </c>
      <c r="E1622">
        <v>16</v>
      </c>
      <c r="F1622">
        <v>4</v>
      </c>
      <c r="G1622">
        <v>3</v>
      </c>
      <c r="H1622">
        <v>1.43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2</v>
      </c>
      <c r="P1622">
        <v>0</v>
      </c>
      <c r="Q1622">
        <v>0</v>
      </c>
      <c r="R1622">
        <v>0</v>
      </c>
      <c r="S1622">
        <v>1</v>
      </c>
    </row>
    <row r="1623" spans="1:19" hidden="1" x14ac:dyDescent="0.35">
      <c r="A1623">
        <v>57218199644</v>
      </c>
      <c r="B1623" t="s">
        <v>1631</v>
      </c>
      <c r="C1623" t="str">
        <f>_xlfn.XLOOKUP(A1623,[1]Affiliations!$J$2:$J$5328,[1]Affiliations!$K$2:$K$5328,0)</f>
        <v>Federal University of Rio de Janeiro</v>
      </c>
      <c r="D1623">
        <v>3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P1623">
        <v>0</v>
      </c>
      <c r="Q1623">
        <v>0</v>
      </c>
      <c r="R1623">
        <v>0</v>
      </c>
      <c r="S1623">
        <v>0</v>
      </c>
    </row>
    <row r="1624" spans="1:19" hidden="1" x14ac:dyDescent="0.35">
      <c r="A1624">
        <v>57189357853</v>
      </c>
      <c r="B1624" t="s">
        <v>1632</v>
      </c>
      <c r="C1624" t="str">
        <f>_xlfn.XLOOKUP(A1624,[1]Affiliations!$J$2:$J$5328,[1]Affiliations!$K$2:$K$5328,0)</f>
        <v>Pontifical Catholic University of Rio de Janeiro</v>
      </c>
      <c r="D1624">
        <v>3</v>
      </c>
      <c r="E1624">
        <v>45</v>
      </c>
      <c r="F1624">
        <v>15</v>
      </c>
      <c r="G1624">
        <v>3</v>
      </c>
      <c r="H1624">
        <v>0.48</v>
      </c>
      <c r="I1624">
        <v>0</v>
      </c>
      <c r="J1624">
        <v>0</v>
      </c>
      <c r="K1624">
        <v>0</v>
      </c>
      <c r="L1624">
        <v>0</v>
      </c>
      <c r="M1624">
        <v>3</v>
      </c>
      <c r="N1624">
        <v>3</v>
      </c>
      <c r="P1624">
        <v>0</v>
      </c>
      <c r="Q1624">
        <v>0</v>
      </c>
      <c r="R1624">
        <v>0</v>
      </c>
      <c r="S1624">
        <v>0</v>
      </c>
    </row>
    <row r="1625" spans="1:19" hidden="1" x14ac:dyDescent="0.35">
      <c r="A1625">
        <v>59420176100</v>
      </c>
      <c r="B1625" t="s">
        <v>1633</v>
      </c>
      <c r="C1625" t="str">
        <f>_xlfn.XLOOKUP(A1625,[1]Affiliations!$J$2:$J$5328,[1]Affiliations!$K$2:$K$5328,0)</f>
        <v>Centro de Estudos e Sistemas Avançados do Recife</v>
      </c>
      <c r="D1625">
        <v>1</v>
      </c>
      <c r="E1625">
        <v>1</v>
      </c>
      <c r="F1625">
        <v>1</v>
      </c>
      <c r="G1625">
        <v>1</v>
      </c>
      <c r="H1625">
        <v>1.39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P1625">
        <v>0</v>
      </c>
      <c r="Q1625">
        <v>0</v>
      </c>
      <c r="R1625">
        <v>0</v>
      </c>
      <c r="S1625">
        <v>0</v>
      </c>
    </row>
    <row r="1626" spans="1:19" hidden="1" x14ac:dyDescent="0.35">
      <c r="A1626">
        <v>57189589039</v>
      </c>
      <c r="B1626" t="s">
        <v>1634</v>
      </c>
      <c r="C1626" t="str">
        <f>_xlfn.XLOOKUP(A1626,[1]Affiliations!$J$2:$J$5328,[1]Affiliations!$K$2:$K$5328,0)</f>
        <v>Pontifical Catholic University of Rio de Janeiro</v>
      </c>
      <c r="D1626">
        <v>1</v>
      </c>
      <c r="E1626">
        <v>35</v>
      </c>
      <c r="F1626">
        <v>35</v>
      </c>
      <c r="G1626">
        <v>1</v>
      </c>
      <c r="H1626">
        <v>0.77</v>
      </c>
      <c r="I1626">
        <v>0</v>
      </c>
      <c r="J1626">
        <v>0</v>
      </c>
      <c r="K1626">
        <v>0</v>
      </c>
      <c r="L1626">
        <v>1</v>
      </c>
      <c r="M1626">
        <v>1</v>
      </c>
      <c r="N1626">
        <v>1</v>
      </c>
      <c r="P1626">
        <v>0</v>
      </c>
      <c r="Q1626">
        <v>0</v>
      </c>
      <c r="R1626">
        <v>0</v>
      </c>
      <c r="S1626">
        <v>1</v>
      </c>
    </row>
    <row r="1627" spans="1:19" hidden="1" x14ac:dyDescent="0.35">
      <c r="A1627">
        <v>59388258000</v>
      </c>
      <c r="B1627" t="s">
        <v>1635</v>
      </c>
      <c r="C1627" t="str">
        <f>_xlfn.XLOOKUP(A1627,[1]Affiliations!$J$2:$J$5328,[1]Affiliations!$K$2:$K$5328,0)</f>
        <v>ESSS</v>
      </c>
      <c r="D1627">
        <v>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1</v>
      </c>
      <c r="P1627">
        <v>0</v>
      </c>
      <c r="Q1627">
        <v>0</v>
      </c>
      <c r="R1627">
        <v>0</v>
      </c>
      <c r="S1627">
        <v>0</v>
      </c>
    </row>
    <row r="1628" spans="1:19" hidden="1" x14ac:dyDescent="0.35">
      <c r="A1628">
        <v>57201421456</v>
      </c>
      <c r="B1628" t="s">
        <v>1636</v>
      </c>
      <c r="C1628" t="str">
        <f>_xlfn.XLOOKUP(A1628,[1]Affiliations!$J$2:$J$5328,[1]Affiliations!$K$2:$K$5328,0)</f>
        <v>Universidade Federal do Rio Grande do Sul</v>
      </c>
      <c r="D1628">
        <v>5</v>
      </c>
      <c r="E1628">
        <v>39</v>
      </c>
      <c r="F1628">
        <v>7.8</v>
      </c>
      <c r="G1628">
        <v>3</v>
      </c>
      <c r="H1628">
        <v>0.45</v>
      </c>
      <c r="I1628">
        <v>0</v>
      </c>
      <c r="J1628">
        <v>0</v>
      </c>
      <c r="K1628">
        <v>2</v>
      </c>
      <c r="L1628">
        <v>2</v>
      </c>
      <c r="M1628">
        <v>3</v>
      </c>
      <c r="N1628">
        <v>3</v>
      </c>
      <c r="P1628">
        <v>0</v>
      </c>
      <c r="Q1628">
        <v>0</v>
      </c>
      <c r="R1628">
        <v>0</v>
      </c>
      <c r="S1628">
        <v>0</v>
      </c>
    </row>
    <row r="1629" spans="1:19" hidden="1" x14ac:dyDescent="0.35">
      <c r="A1629">
        <v>58084100600</v>
      </c>
      <c r="B1629" t="s">
        <v>1637</v>
      </c>
      <c r="C1629" t="str">
        <f>_xlfn.XLOOKUP(A1629,[1]Affiliations!$J$2:$J$5328,[1]Affiliations!$K$2:$K$5328,0)</f>
        <v>Federal University of Rio de Janeiro</v>
      </c>
      <c r="D1629">
        <v>4</v>
      </c>
      <c r="E1629">
        <v>28</v>
      </c>
      <c r="F1629">
        <v>7</v>
      </c>
      <c r="G1629">
        <v>2</v>
      </c>
      <c r="H1629">
        <v>0.3</v>
      </c>
      <c r="I1629">
        <v>0</v>
      </c>
      <c r="J1629">
        <v>0</v>
      </c>
      <c r="K1629">
        <v>0</v>
      </c>
      <c r="L1629">
        <v>1</v>
      </c>
      <c r="M1629">
        <v>3</v>
      </c>
      <c r="N1629">
        <v>4</v>
      </c>
      <c r="P1629">
        <v>0</v>
      </c>
      <c r="Q1629">
        <v>0</v>
      </c>
      <c r="R1629">
        <v>0</v>
      </c>
      <c r="S1629">
        <v>0</v>
      </c>
    </row>
    <row r="1630" spans="1:19" hidden="1" x14ac:dyDescent="0.35">
      <c r="A1630">
        <v>55843796700</v>
      </c>
      <c r="B1630" t="s">
        <v>1638</v>
      </c>
      <c r="C1630" t="str">
        <f>_xlfn.XLOOKUP(A1630,[1]Affiliations!$J$2:$J$5328,[1]Affiliations!$K$2:$K$5328,0)</f>
        <v>Universidade Federal Rural do Rio de Janeiro</v>
      </c>
      <c r="D1630">
        <v>0</v>
      </c>
      <c r="G1630">
        <v>2</v>
      </c>
    </row>
    <row r="1631" spans="1:19" hidden="1" x14ac:dyDescent="0.35">
      <c r="A1631">
        <v>57208893232</v>
      </c>
      <c r="B1631" t="s">
        <v>1639</v>
      </c>
      <c r="C1631" t="str">
        <f>_xlfn.XLOOKUP(A1631,[1]Affiliations!$J$2:$J$5328,[1]Affiliations!$K$2:$K$5328,0)</f>
        <v>Universidade Federal de Uberlândia</v>
      </c>
      <c r="D1631">
        <v>38</v>
      </c>
      <c r="E1631">
        <v>134</v>
      </c>
      <c r="F1631">
        <v>3.5263157000000001</v>
      </c>
      <c r="G1631">
        <v>13</v>
      </c>
      <c r="H1631">
        <v>0.22</v>
      </c>
      <c r="I1631">
        <v>0</v>
      </c>
      <c r="J1631">
        <v>0</v>
      </c>
      <c r="K1631">
        <v>2</v>
      </c>
      <c r="L1631">
        <v>6</v>
      </c>
      <c r="M1631">
        <v>15</v>
      </c>
      <c r="N1631">
        <v>22</v>
      </c>
      <c r="P1631">
        <v>0</v>
      </c>
      <c r="Q1631">
        <v>0</v>
      </c>
      <c r="R1631">
        <v>0</v>
      </c>
      <c r="S1631">
        <v>0</v>
      </c>
    </row>
    <row r="1632" spans="1:19" hidden="1" x14ac:dyDescent="0.35">
      <c r="A1632">
        <v>7202554589</v>
      </c>
      <c r="B1632" t="s">
        <v>1640</v>
      </c>
      <c r="C1632" t="str">
        <f>_xlfn.XLOOKUP(A1632,[1]Affiliations!$J$2:$J$5328,[1]Affiliations!$K$2:$K$5328,0)</f>
        <v>Federal University of Rio de Janeiro</v>
      </c>
      <c r="D1632">
        <v>2</v>
      </c>
      <c r="E1632">
        <v>34</v>
      </c>
      <c r="F1632">
        <v>17</v>
      </c>
      <c r="G1632">
        <v>5</v>
      </c>
      <c r="H1632">
        <v>0.94</v>
      </c>
      <c r="I1632">
        <v>1</v>
      </c>
      <c r="J1632">
        <v>2</v>
      </c>
      <c r="K1632">
        <v>2</v>
      </c>
      <c r="L1632">
        <v>2</v>
      </c>
      <c r="M1632">
        <v>2</v>
      </c>
      <c r="N1632">
        <v>2</v>
      </c>
      <c r="P1632">
        <v>0</v>
      </c>
      <c r="Q1632">
        <v>0</v>
      </c>
      <c r="R1632">
        <v>0</v>
      </c>
      <c r="S1632">
        <v>1</v>
      </c>
    </row>
    <row r="1633" spans="1:19" hidden="1" x14ac:dyDescent="0.35">
      <c r="A1633">
        <v>57218704212</v>
      </c>
      <c r="B1633" t="s">
        <v>1641</v>
      </c>
      <c r="C1633" t="str">
        <f>_xlfn.XLOOKUP(A1633,[1]Affiliations!$J$2:$J$5328,[1]Affiliations!$K$2:$K$5328,0)</f>
        <v>Federal University of Rio de Janeiro</v>
      </c>
      <c r="D1633">
        <v>4</v>
      </c>
      <c r="E1633">
        <v>36</v>
      </c>
      <c r="F1633">
        <v>9</v>
      </c>
      <c r="G1633">
        <v>3</v>
      </c>
      <c r="H1633">
        <v>0.56000000000000005</v>
      </c>
      <c r="I1633">
        <v>0</v>
      </c>
      <c r="J1633">
        <v>0</v>
      </c>
      <c r="K1633">
        <v>0</v>
      </c>
      <c r="L1633">
        <v>1</v>
      </c>
      <c r="M1633">
        <v>3</v>
      </c>
      <c r="N1633">
        <v>4</v>
      </c>
      <c r="P1633">
        <v>0</v>
      </c>
      <c r="Q1633">
        <v>0</v>
      </c>
      <c r="R1633">
        <v>0</v>
      </c>
      <c r="S1633">
        <v>1</v>
      </c>
    </row>
    <row r="1634" spans="1:19" hidden="1" x14ac:dyDescent="0.35">
      <c r="A1634">
        <v>57211669412</v>
      </c>
      <c r="B1634" t="s">
        <v>1642</v>
      </c>
      <c r="C1634" t="str">
        <f>_xlfn.XLOOKUP(A1634,[1]Affiliations!$J$2:$J$5328,[1]Affiliations!$K$2:$K$5328,0)</f>
        <v>Universidade Federal do Espírito Santo (+1 more)</v>
      </c>
      <c r="D1634">
        <v>1</v>
      </c>
      <c r="E1634">
        <v>2</v>
      </c>
      <c r="F1634">
        <v>2</v>
      </c>
      <c r="G1634">
        <v>1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1</v>
      </c>
      <c r="P1634">
        <v>0</v>
      </c>
      <c r="Q1634">
        <v>0</v>
      </c>
      <c r="R1634">
        <v>0</v>
      </c>
      <c r="S1634">
        <v>0</v>
      </c>
    </row>
    <row r="1635" spans="1:19" x14ac:dyDescent="0.35">
      <c r="A1635">
        <v>57219163940</v>
      </c>
      <c r="B1635" t="s">
        <v>2574</v>
      </c>
      <c r="C1635" t="str">
        <f>_xlfn.XLOOKUP(A1635,[1]Affiliations!$J$2:$J$5328,[1]Affiliations!$K$2:$K$5328,0)</f>
        <v>Universidade Federal de Pernambuco</v>
      </c>
      <c r="D1635">
        <v>14</v>
      </c>
      <c r="E1635">
        <v>220</v>
      </c>
      <c r="F1635">
        <v>15.714286</v>
      </c>
      <c r="G1635">
        <v>8</v>
      </c>
      <c r="H1635">
        <v>1.1000000000000001</v>
      </c>
      <c r="I1635">
        <v>0</v>
      </c>
      <c r="J1635">
        <v>1</v>
      </c>
      <c r="K1635">
        <v>2</v>
      </c>
      <c r="L1635">
        <v>4</v>
      </c>
      <c r="M1635">
        <v>10</v>
      </c>
      <c r="N1635">
        <v>13</v>
      </c>
      <c r="P1635">
        <v>0</v>
      </c>
      <c r="Q1635">
        <v>2</v>
      </c>
      <c r="R1635">
        <v>2</v>
      </c>
      <c r="S1635">
        <v>4</v>
      </c>
    </row>
    <row r="1636" spans="1:19" hidden="1" x14ac:dyDescent="0.35">
      <c r="A1636">
        <v>59119288500</v>
      </c>
      <c r="B1636" t="s">
        <v>1644</v>
      </c>
      <c r="C1636" t="str">
        <f>_xlfn.XLOOKUP(A1636,[1]Affiliations!$J$2:$J$5328,[1]Affiliations!$K$2:$K$5328,0)</f>
        <v>Instituto Nacional de Pesquisas Espaciais</v>
      </c>
      <c r="D1636">
        <v>1</v>
      </c>
      <c r="E1636">
        <v>1</v>
      </c>
      <c r="F1636">
        <v>1</v>
      </c>
      <c r="G1636">
        <v>1</v>
      </c>
      <c r="H1636">
        <v>0.17</v>
      </c>
      <c r="I1636">
        <v>0</v>
      </c>
      <c r="J1636">
        <v>0</v>
      </c>
      <c r="K1636">
        <v>1</v>
      </c>
      <c r="L1636">
        <v>1</v>
      </c>
      <c r="M1636">
        <v>1</v>
      </c>
      <c r="N1636">
        <v>1</v>
      </c>
      <c r="P1636">
        <v>0</v>
      </c>
      <c r="Q1636">
        <v>0</v>
      </c>
      <c r="R1636">
        <v>0</v>
      </c>
      <c r="S1636">
        <v>0</v>
      </c>
    </row>
    <row r="1637" spans="1:19" x14ac:dyDescent="0.35">
      <c r="A1637">
        <v>23012063300</v>
      </c>
      <c r="B1637" t="s">
        <v>2580</v>
      </c>
      <c r="C1637" t="str">
        <f>_xlfn.XLOOKUP(A1637,[1]Affiliations!$J$2:$J$5328,[1]Affiliations!$K$2:$K$5328,0)</f>
        <v>Universidade de São Paulo (+1 more)</v>
      </c>
      <c r="D1637">
        <v>166</v>
      </c>
      <c r="E1637">
        <v>3396</v>
      </c>
      <c r="F1637">
        <v>20.457830000000001</v>
      </c>
      <c r="G1637">
        <v>31</v>
      </c>
      <c r="H1637">
        <v>1.1000000000000001</v>
      </c>
      <c r="I1637">
        <v>5</v>
      </c>
      <c r="J1637">
        <v>28</v>
      </c>
      <c r="K1637">
        <v>48</v>
      </c>
      <c r="L1637">
        <v>92</v>
      </c>
      <c r="M1637">
        <v>117</v>
      </c>
      <c r="N1637">
        <v>133</v>
      </c>
      <c r="P1637">
        <v>3</v>
      </c>
      <c r="Q1637">
        <v>18</v>
      </c>
      <c r="R1637">
        <v>32</v>
      </c>
      <c r="S1637">
        <v>64</v>
      </c>
    </row>
    <row r="1638" spans="1:19" hidden="1" x14ac:dyDescent="0.35">
      <c r="A1638">
        <v>58078932000</v>
      </c>
      <c r="B1638" t="s">
        <v>1646</v>
      </c>
      <c r="C1638" t="str">
        <f>_xlfn.XLOOKUP(A1638,[1]Affiliations!$J$2:$J$5328,[1]Affiliations!$K$2:$K$5328,0)</f>
        <v>Universidade Federal do Rio Grande do Sul</v>
      </c>
      <c r="D1638">
        <v>3</v>
      </c>
      <c r="E1638">
        <v>24</v>
      </c>
      <c r="F1638">
        <v>8</v>
      </c>
      <c r="G1638">
        <v>2</v>
      </c>
      <c r="H1638">
        <v>1.07</v>
      </c>
      <c r="I1638">
        <v>0</v>
      </c>
      <c r="J1638">
        <v>0</v>
      </c>
      <c r="K1638">
        <v>0</v>
      </c>
      <c r="L1638">
        <v>1</v>
      </c>
      <c r="M1638">
        <v>1</v>
      </c>
      <c r="N1638">
        <v>2</v>
      </c>
      <c r="P1638">
        <v>0</v>
      </c>
      <c r="Q1638">
        <v>0</v>
      </c>
      <c r="R1638">
        <v>0</v>
      </c>
      <c r="S1638">
        <v>1</v>
      </c>
    </row>
    <row r="1639" spans="1:19" hidden="1" x14ac:dyDescent="0.35">
      <c r="A1639">
        <v>35483292300</v>
      </c>
      <c r="B1639" t="s">
        <v>1647</v>
      </c>
      <c r="C1639" t="str">
        <f>_xlfn.XLOOKUP(A1639,[1]Affiliations!$J$2:$J$5328,[1]Affiliations!$K$2:$K$5328,0)</f>
        <v>Universidade Federal dos Vales do Jequitinhonha e Mucuri (+1 more)</v>
      </c>
      <c r="D1639">
        <v>6</v>
      </c>
      <c r="E1639">
        <v>62</v>
      </c>
      <c r="F1639">
        <v>10.333333</v>
      </c>
      <c r="G1639">
        <v>4</v>
      </c>
      <c r="H1639">
        <v>0.39</v>
      </c>
      <c r="I1639">
        <v>0</v>
      </c>
      <c r="J1639">
        <v>1</v>
      </c>
      <c r="K1639">
        <v>1</v>
      </c>
      <c r="L1639">
        <v>2</v>
      </c>
      <c r="M1639">
        <v>4</v>
      </c>
      <c r="N1639">
        <v>6</v>
      </c>
      <c r="P1639">
        <v>0</v>
      </c>
      <c r="Q1639">
        <v>0</v>
      </c>
      <c r="R1639">
        <v>0</v>
      </c>
      <c r="S1639">
        <v>1</v>
      </c>
    </row>
    <row r="1640" spans="1:19" hidden="1" x14ac:dyDescent="0.35">
      <c r="A1640">
        <v>58904169400</v>
      </c>
      <c r="B1640" t="s">
        <v>1648</v>
      </c>
      <c r="C1640" t="str">
        <f>_xlfn.XLOOKUP(A1640,[1]Affiliations!$J$2:$J$5328,[1]Affiliations!$K$2:$K$5328,0)</f>
        <v>SENAI Innovation Institute for Embedded Systems</v>
      </c>
      <c r="D1640">
        <v>1</v>
      </c>
      <c r="E1640">
        <v>0</v>
      </c>
      <c r="F1640">
        <v>0</v>
      </c>
      <c r="G1640">
        <v>0</v>
      </c>
      <c r="H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5">
      <c r="A1641">
        <v>37039716800</v>
      </c>
      <c r="B1641" t="s">
        <v>2750</v>
      </c>
      <c r="C1641" t="str">
        <f>_xlfn.XLOOKUP(A1641,[1]Affiliations!$J$2:$J$5328,[1]Affiliations!$K$2:$K$5328,0)</f>
        <v>Vizlab - X-Reality and GeoInformatics Lab</v>
      </c>
      <c r="D1641">
        <v>33</v>
      </c>
      <c r="E1641">
        <v>822</v>
      </c>
      <c r="F1641">
        <v>24.909089999999999</v>
      </c>
      <c r="G1641">
        <v>14</v>
      </c>
      <c r="H1641">
        <v>1.1000000000000001</v>
      </c>
      <c r="I1641">
        <v>0</v>
      </c>
      <c r="J1641">
        <v>9</v>
      </c>
      <c r="K1641">
        <v>13</v>
      </c>
      <c r="L1641">
        <v>19</v>
      </c>
      <c r="M1641">
        <v>28</v>
      </c>
      <c r="N1641">
        <v>33</v>
      </c>
      <c r="P1641">
        <v>1</v>
      </c>
      <c r="Q1641">
        <v>2</v>
      </c>
      <c r="R1641">
        <v>6</v>
      </c>
      <c r="S1641">
        <v>10</v>
      </c>
    </row>
    <row r="1642" spans="1:19" hidden="1" x14ac:dyDescent="0.35">
      <c r="A1642">
        <v>57212092084</v>
      </c>
      <c r="B1642" t="s">
        <v>1650</v>
      </c>
      <c r="C1642" t="str">
        <f>_xlfn.XLOOKUP(A1642,[1]Affiliations!$J$2:$J$5328,[1]Affiliations!$K$2:$K$5328,0)</f>
        <v>Centro Nacional de Pesquisa em Energia e Materiais</v>
      </c>
      <c r="D1642">
        <v>3</v>
      </c>
      <c r="E1642">
        <v>30</v>
      </c>
      <c r="F1642">
        <v>10</v>
      </c>
      <c r="G1642">
        <v>2</v>
      </c>
      <c r="H1642">
        <v>0.49</v>
      </c>
      <c r="I1642">
        <v>1</v>
      </c>
      <c r="J1642">
        <v>2</v>
      </c>
      <c r="K1642">
        <v>2</v>
      </c>
      <c r="L1642">
        <v>2</v>
      </c>
      <c r="M1642">
        <v>3</v>
      </c>
      <c r="N1642">
        <v>3</v>
      </c>
      <c r="P1642">
        <v>0</v>
      </c>
      <c r="Q1642">
        <v>0</v>
      </c>
      <c r="R1642">
        <v>0</v>
      </c>
      <c r="S1642">
        <v>1</v>
      </c>
    </row>
    <row r="1643" spans="1:19" x14ac:dyDescent="0.35">
      <c r="A1643">
        <v>55557981500</v>
      </c>
      <c r="B1643" t="s">
        <v>3088</v>
      </c>
      <c r="C1643" t="str">
        <f>_xlfn.XLOOKUP(A1643,[1]Affiliations!$J$2:$J$5328,[1]Affiliations!$K$2:$K$5328,0)</f>
        <v>Universidade Federal do Ceará</v>
      </c>
      <c r="D1643">
        <v>48</v>
      </c>
      <c r="E1643">
        <v>696</v>
      </c>
      <c r="F1643">
        <v>14.5</v>
      </c>
      <c r="G1643">
        <v>17</v>
      </c>
      <c r="H1643">
        <v>1.1000000000000001</v>
      </c>
      <c r="I1643">
        <v>0</v>
      </c>
      <c r="J1643">
        <v>8</v>
      </c>
      <c r="K1643">
        <v>12</v>
      </c>
      <c r="L1643">
        <v>18</v>
      </c>
      <c r="M1643">
        <v>20</v>
      </c>
      <c r="N1643">
        <v>36</v>
      </c>
      <c r="P1643">
        <v>0</v>
      </c>
      <c r="Q1643">
        <v>4</v>
      </c>
      <c r="R1643">
        <v>8</v>
      </c>
      <c r="S1643">
        <v>16</v>
      </c>
    </row>
    <row r="1644" spans="1:19" hidden="1" x14ac:dyDescent="0.35">
      <c r="A1644">
        <v>55446690200</v>
      </c>
      <c r="B1644" t="s">
        <v>1652</v>
      </c>
      <c r="C1644" t="str">
        <f>_xlfn.XLOOKUP(A1644,[1]Affiliations!$J$2:$J$5328,[1]Affiliations!$K$2:$K$5328,0)</f>
        <v>Universidade Federal de Viçosa</v>
      </c>
      <c r="D1644">
        <v>4</v>
      </c>
      <c r="E1644">
        <v>118</v>
      </c>
      <c r="F1644">
        <v>29.5</v>
      </c>
      <c r="G1644">
        <v>6</v>
      </c>
      <c r="H1644">
        <v>1.0900000000000001</v>
      </c>
      <c r="I1644">
        <v>0</v>
      </c>
      <c r="J1644">
        <v>1</v>
      </c>
      <c r="K1644">
        <v>1</v>
      </c>
      <c r="L1644">
        <v>4</v>
      </c>
      <c r="M1644">
        <v>4</v>
      </c>
      <c r="N1644">
        <v>4</v>
      </c>
      <c r="P1644">
        <v>0</v>
      </c>
      <c r="Q1644">
        <v>0</v>
      </c>
      <c r="R1644">
        <v>1</v>
      </c>
      <c r="S1644">
        <v>3</v>
      </c>
    </row>
    <row r="1645" spans="1:19" hidden="1" x14ac:dyDescent="0.35">
      <c r="A1645">
        <v>57194613798</v>
      </c>
      <c r="B1645" t="s">
        <v>1653</v>
      </c>
      <c r="C1645" t="str">
        <f>_xlfn.XLOOKUP(A1645,[1]Affiliations!$J$2:$J$5328,[1]Affiliations!$K$2:$K$5328,0)</f>
        <v>Pontifical Catholic University of Rio de Janeiro (+1 more)</v>
      </c>
      <c r="D1645">
        <v>2</v>
      </c>
      <c r="E1645">
        <v>5</v>
      </c>
      <c r="F1645">
        <v>2.5</v>
      </c>
      <c r="G1645">
        <v>1</v>
      </c>
      <c r="H1645">
        <v>0.04</v>
      </c>
      <c r="I1645">
        <v>0</v>
      </c>
      <c r="J1645">
        <v>0</v>
      </c>
      <c r="K1645">
        <v>0</v>
      </c>
      <c r="L1645">
        <v>1</v>
      </c>
      <c r="M1645">
        <v>2</v>
      </c>
      <c r="N1645">
        <v>2</v>
      </c>
      <c r="P1645">
        <v>0</v>
      </c>
      <c r="Q1645">
        <v>0</v>
      </c>
      <c r="R1645">
        <v>0</v>
      </c>
      <c r="S1645">
        <v>0</v>
      </c>
    </row>
    <row r="1646" spans="1:19" hidden="1" x14ac:dyDescent="0.35">
      <c r="A1646">
        <v>57209135749</v>
      </c>
      <c r="B1646" t="s">
        <v>1654</v>
      </c>
      <c r="C1646" t="str">
        <f>_xlfn.XLOOKUP(A1646,[1]Affiliations!$J$2:$J$5328,[1]Affiliations!$K$2:$K$5328,0)</f>
        <v>Universidade Federal de Minas Gerais</v>
      </c>
      <c r="D1646">
        <v>4</v>
      </c>
      <c r="E1646">
        <v>41</v>
      </c>
      <c r="F1646">
        <v>10.25</v>
      </c>
      <c r="G1646">
        <v>3</v>
      </c>
      <c r="H1646">
        <v>0.41</v>
      </c>
      <c r="I1646">
        <v>0</v>
      </c>
      <c r="J1646">
        <v>0</v>
      </c>
      <c r="K1646">
        <v>2</v>
      </c>
      <c r="L1646">
        <v>3</v>
      </c>
      <c r="M1646">
        <v>4</v>
      </c>
      <c r="N1646">
        <v>4</v>
      </c>
      <c r="P1646">
        <v>0</v>
      </c>
      <c r="Q1646">
        <v>0</v>
      </c>
      <c r="R1646">
        <v>0</v>
      </c>
      <c r="S1646">
        <v>1</v>
      </c>
    </row>
    <row r="1647" spans="1:19" hidden="1" x14ac:dyDescent="0.35">
      <c r="A1647">
        <v>59731376800</v>
      </c>
      <c r="B1647" t="s">
        <v>1655</v>
      </c>
      <c r="C1647" t="str">
        <f>_xlfn.XLOOKUP(A1647,[1]Affiliations!$J$2:$J$5328,[1]Affiliations!$K$2:$K$5328,0)</f>
        <v>Universidade Federal de Juiz de Fora</v>
      </c>
      <c r="D1647">
        <v>5</v>
      </c>
      <c r="E1647">
        <v>27</v>
      </c>
      <c r="F1647">
        <v>5.4</v>
      </c>
      <c r="G1647">
        <v>3</v>
      </c>
      <c r="H1647">
        <v>0.43</v>
      </c>
      <c r="I1647">
        <v>0</v>
      </c>
      <c r="J1647">
        <v>0</v>
      </c>
      <c r="K1647">
        <v>1</v>
      </c>
      <c r="L1647">
        <v>2</v>
      </c>
      <c r="M1647">
        <v>3</v>
      </c>
      <c r="N1647">
        <v>3</v>
      </c>
      <c r="P1647">
        <v>0</v>
      </c>
      <c r="Q1647">
        <v>0</v>
      </c>
      <c r="R1647">
        <v>0</v>
      </c>
      <c r="S1647">
        <v>2</v>
      </c>
    </row>
    <row r="1648" spans="1:19" x14ac:dyDescent="0.35">
      <c r="A1648">
        <v>56167554100</v>
      </c>
      <c r="B1648" t="s">
        <v>3251</v>
      </c>
      <c r="C1648" t="str">
        <f>_xlfn.XLOOKUP(A1648,[1]Affiliations!$J$2:$J$5328,[1]Affiliations!$K$2:$K$5328,0)</f>
        <v>Universidade Federal de Minas Gerais</v>
      </c>
      <c r="D1648">
        <v>9</v>
      </c>
      <c r="E1648">
        <v>197</v>
      </c>
      <c r="F1648">
        <v>21.88889</v>
      </c>
      <c r="G1648">
        <v>9</v>
      </c>
      <c r="H1648">
        <v>1.1000000000000001</v>
      </c>
      <c r="I1648">
        <v>0</v>
      </c>
      <c r="J1648">
        <v>3</v>
      </c>
      <c r="K1648">
        <v>3</v>
      </c>
      <c r="L1648">
        <v>6</v>
      </c>
      <c r="M1648">
        <v>9</v>
      </c>
      <c r="N1648">
        <v>9</v>
      </c>
      <c r="P1648">
        <v>0</v>
      </c>
      <c r="Q1648">
        <v>0</v>
      </c>
      <c r="R1648">
        <v>2</v>
      </c>
      <c r="S1648">
        <v>6</v>
      </c>
    </row>
    <row r="1649" spans="1:19" x14ac:dyDescent="0.35">
      <c r="A1649">
        <v>55900714900</v>
      </c>
      <c r="B1649" t="s">
        <v>4523</v>
      </c>
      <c r="C1649" t="str">
        <f>_xlfn.XLOOKUP(A1649,[1]Affiliations!$J$2:$J$5328,[1]Affiliations!$K$2:$K$5328,0)</f>
        <v>Universidade de São Paulo (+2 more)</v>
      </c>
      <c r="D1649">
        <v>29</v>
      </c>
      <c r="E1649">
        <v>389</v>
      </c>
      <c r="F1649">
        <v>13.413793999999999</v>
      </c>
      <c r="G1649">
        <v>13</v>
      </c>
      <c r="H1649">
        <v>1.1000000000000001</v>
      </c>
      <c r="I1649">
        <v>7</v>
      </c>
      <c r="J1649">
        <v>19</v>
      </c>
      <c r="K1649">
        <v>23</v>
      </c>
      <c r="L1649">
        <v>28</v>
      </c>
      <c r="M1649">
        <v>29</v>
      </c>
      <c r="N1649">
        <v>29</v>
      </c>
      <c r="P1649">
        <v>0</v>
      </c>
      <c r="Q1649">
        <v>1</v>
      </c>
      <c r="R1649">
        <v>2</v>
      </c>
      <c r="S1649">
        <v>6</v>
      </c>
    </row>
    <row r="1650" spans="1:19" hidden="1" x14ac:dyDescent="0.35">
      <c r="A1650">
        <v>56781053700</v>
      </c>
      <c r="B1650" t="s">
        <v>1658</v>
      </c>
      <c r="C1650" t="str">
        <f>_xlfn.XLOOKUP(A1650,[1]Affiliations!$J$2:$J$5328,[1]Affiliations!$K$2:$K$5328,0)</f>
        <v>Universidade Federal do Amazonas</v>
      </c>
      <c r="D1650">
        <v>8</v>
      </c>
      <c r="E1650">
        <v>160</v>
      </c>
      <c r="F1650">
        <v>20</v>
      </c>
      <c r="G1650">
        <v>6</v>
      </c>
      <c r="H1650">
        <v>0.52</v>
      </c>
      <c r="I1650">
        <v>0</v>
      </c>
      <c r="J1650">
        <v>0</v>
      </c>
      <c r="K1650">
        <v>0</v>
      </c>
      <c r="L1650">
        <v>0</v>
      </c>
      <c r="M1650">
        <v>4</v>
      </c>
      <c r="N1650">
        <v>5</v>
      </c>
      <c r="P1650">
        <v>0</v>
      </c>
      <c r="Q1650">
        <v>0</v>
      </c>
      <c r="R1650">
        <v>1</v>
      </c>
      <c r="S1650">
        <v>3</v>
      </c>
    </row>
    <row r="1651" spans="1:19" x14ac:dyDescent="0.35">
      <c r="A1651">
        <v>56180791200</v>
      </c>
      <c r="B1651" t="s">
        <v>4852</v>
      </c>
      <c r="C1651" t="str">
        <f>_xlfn.XLOOKUP(A1651,[1]Affiliations!$J$2:$J$5328,[1]Affiliations!$K$2:$K$5328,0)</f>
        <v>Universidade Federal do Espírito Santo</v>
      </c>
      <c r="D1651">
        <v>19</v>
      </c>
      <c r="E1651">
        <v>382</v>
      </c>
      <c r="F1651">
        <v>20.105263000000001</v>
      </c>
      <c r="G1651">
        <v>11</v>
      </c>
      <c r="H1651">
        <v>1.1000000000000001</v>
      </c>
      <c r="I1651">
        <v>0</v>
      </c>
      <c r="J1651">
        <v>6</v>
      </c>
      <c r="K1651">
        <v>8</v>
      </c>
      <c r="L1651">
        <v>13</v>
      </c>
      <c r="M1651">
        <v>16</v>
      </c>
      <c r="N1651">
        <v>17</v>
      </c>
      <c r="P1651">
        <v>0</v>
      </c>
      <c r="Q1651">
        <v>0</v>
      </c>
      <c r="R1651">
        <v>1</v>
      </c>
      <c r="S1651">
        <v>7</v>
      </c>
    </row>
    <row r="1652" spans="1:19" x14ac:dyDescent="0.35">
      <c r="A1652">
        <v>7102039521</v>
      </c>
      <c r="B1652" t="s">
        <v>209</v>
      </c>
      <c r="C1652" t="str">
        <f>_xlfn.XLOOKUP(A1652,[1]Affiliations!$J$2:$J$5328,[1]Affiliations!$K$2:$K$5328,0)</f>
        <v>Universidade de São Paulo</v>
      </c>
      <c r="D1652">
        <v>60</v>
      </c>
      <c r="E1652">
        <v>1089</v>
      </c>
      <c r="F1652">
        <v>18.149999999999999</v>
      </c>
      <c r="G1652">
        <v>30</v>
      </c>
      <c r="H1652">
        <v>1.0900000000000001</v>
      </c>
      <c r="I1652">
        <v>0</v>
      </c>
      <c r="J1652">
        <v>2</v>
      </c>
      <c r="K1652">
        <v>16</v>
      </c>
      <c r="L1652">
        <v>32</v>
      </c>
      <c r="M1652">
        <v>46</v>
      </c>
      <c r="N1652">
        <v>52</v>
      </c>
      <c r="P1652">
        <v>0</v>
      </c>
      <c r="Q1652">
        <v>4</v>
      </c>
      <c r="R1652">
        <v>10</v>
      </c>
      <c r="S1652">
        <v>28</v>
      </c>
    </row>
    <row r="1653" spans="1:19" hidden="1" x14ac:dyDescent="0.35">
      <c r="A1653">
        <v>60104034200</v>
      </c>
      <c r="B1653" t="s">
        <v>1661</v>
      </c>
      <c r="C1653" t="str">
        <f>_xlfn.XLOOKUP(A1653,[1]Affiliations!$J$2:$J$5328,[1]Affiliations!$K$2:$K$5328,0)</f>
        <v>Universidade Federal de Campina Grande</v>
      </c>
      <c r="D1653">
        <v>0</v>
      </c>
      <c r="G1653">
        <v>0</v>
      </c>
    </row>
    <row r="1654" spans="1:19" hidden="1" x14ac:dyDescent="0.35">
      <c r="A1654">
        <v>42261298300</v>
      </c>
      <c r="B1654" t="s">
        <v>1662</v>
      </c>
      <c r="C1654" t="str">
        <f>_xlfn.XLOOKUP(A1654,[1]Affiliations!$J$2:$J$5328,[1]Affiliations!$K$2:$K$5328,0)</f>
        <v>Instituto Nacional de Tecnologia</v>
      </c>
      <c r="D1654">
        <v>3</v>
      </c>
      <c r="E1654">
        <v>2</v>
      </c>
      <c r="F1654">
        <v>0.66666669999999995</v>
      </c>
      <c r="G1654">
        <v>2</v>
      </c>
      <c r="H1654">
        <v>0.25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P1654">
        <v>0</v>
      </c>
      <c r="Q1654">
        <v>0</v>
      </c>
      <c r="R1654">
        <v>0</v>
      </c>
      <c r="S1654">
        <v>0</v>
      </c>
    </row>
    <row r="1655" spans="1:19" hidden="1" x14ac:dyDescent="0.35">
      <c r="A1655">
        <v>59391414300</v>
      </c>
      <c r="B1655" t="s">
        <v>1663</v>
      </c>
      <c r="C1655" t="str">
        <f>_xlfn.XLOOKUP(A1655,[1]Affiliations!$J$2:$J$5328,[1]Affiliations!$K$2:$K$5328,0)</f>
        <v>Pontifícia Universidade Católica do Rio Grande do Sul</v>
      </c>
      <c r="D1655">
        <v>0</v>
      </c>
      <c r="G1655">
        <v>1</v>
      </c>
    </row>
    <row r="1656" spans="1:19" x14ac:dyDescent="0.35">
      <c r="A1656">
        <v>56732915900</v>
      </c>
      <c r="B1656" t="s">
        <v>275</v>
      </c>
      <c r="C1656" t="str">
        <f>_xlfn.XLOOKUP(A1656,[1]Affiliations!$J$2:$J$5328,[1]Affiliations!$K$2:$K$5328,0)</f>
        <v>Universidade Federal Rural do Rio de Janeiro</v>
      </c>
      <c r="D1656">
        <v>14</v>
      </c>
      <c r="E1656">
        <v>319</v>
      </c>
      <c r="F1656">
        <v>22.785715</v>
      </c>
      <c r="G1656">
        <v>11</v>
      </c>
      <c r="H1656">
        <v>1.0900000000000001</v>
      </c>
      <c r="I1656">
        <v>0</v>
      </c>
      <c r="J1656">
        <v>1</v>
      </c>
      <c r="K1656">
        <v>4</v>
      </c>
      <c r="L1656">
        <v>8</v>
      </c>
      <c r="M1656">
        <v>10</v>
      </c>
      <c r="N1656">
        <v>14</v>
      </c>
      <c r="P1656">
        <v>0</v>
      </c>
      <c r="Q1656">
        <v>0</v>
      </c>
      <c r="R1656">
        <v>3</v>
      </c>
      <c r="S1656">
        <v>5</v>
      </c>
    </row>
    <row r="1657" spans="1:19" x14ac:dyDescent="0.35">
      <c r="A1657">
        <v>6603296009</v>
      </c>
      <c r="B1657" t="s">
        <v>830</v>
      </c>
      <c r="C1657" t="str">
        <f>_xlfn.XLOOKUP(A1657,[1]Affiliations!$J$2:$J$5328,[1]Affiliations!$K$2:$K$5328,0)</f>
        <v>Federal University of Rio de Janeiro</v>
      </c>
      <c r="D1657">
        <v>10</v>
      </c>
      <c r="E1657">
        <v>269</v>
      </c>
      <c r="F1657">
        <v>26.9</v>
      </c>
      <c r="G1657">
        <v>24</v>
      </c>
      <c r="H1657">
        <v>1.0900000000000001</v>
      </c>
      <c r="I1657">
        <v>0</v>
      </c>
      <c r="J1657">
        <v>2</v>
      </c>
      <c r="K1657">
        <v>4</v>
      </c>
      <c r="L1657">
        <v>7</v>
      </c>
      <c r="M1657">
        <v>9</v>
      </c>
      <c r="N1657">
        <v>9</v>
      </c>
      <c r="P1657">
        <v>0</v>
      </c>
      <c r="Q1657">
        <v>1</v>
      </c>
      <c r="R1657">
        <v>1</v>
      </c>
      <c r="S1657">
        <v>5</v>
      </c>
    </row>
    <row r="1658" spans="1:19" hidden="1" x14ac:dyDescent="0.35">
      <c r="A1658">
        <v>60015238500</v>
      </c>
      <c r="B1658" t="s">
        <v>1666</v>
      </c>
      <c r="C1658" t="str">
        <f>_xlfn.XLOOKUP(A1658,[1]Affiliations!$J$2:$J$5328,[1]Affiliations!$K$2:$K$5328,0)</f>
        <v>Universidade Federal de Itajubá</v>
      </c>
      <c r="D1658">
        <v>0</v>
      </c>
      <c r="G1658">
        <v>0</v>
      </c>
    </row>
    <row r="1659" spans="1:19" x14ac:dyDescent="0.35">
      <c r="A1659">
        <v>13408166900</v>
      </c>
      <c r="B1659" t="s">
        <v>1667</v>
      </c>
      <c r="C1659" t="str">
        <f>_xlfn.XLOOKUP(A1659,[1]Affiliations!$J$2:$J$5328,[1]Affiliations!$K$2:$K$5328,0)</f>
        <v>Universidade de Brasília</v>
      </c>
      <c r="D1659">
        <v>22</v>
      </c>
      <c r="E1659">
        <v>321</v>
      </c>
      <c r="F1659">
        <v>14.590909</v>
      </c>
      <c r="G1659">
        <v>17</v>
      </c>
      <c r="H1659">
        <v>1.0900000000000001</v>
      </c>
      <c r="I1659">
        <v>1</v>
      </c>
      <c r="J1659">
        <v>3</v>
      </c>
      <c r="K1659">
        <v>6</v>
      </c>
      <c r="L1659">
        <v>12</v>
      </c>
      <c r="M1659">
        <v>17</v>
      </c>
      <c r="N1659">
        <v>17</v>
      </c>
      <c r="P1659">
        <v>0</v>
      </c>
      <c r="Q1659">
        <v>1</v>
      </c>
      <c r="R1659">
        <v>1</v>
      </c>
      <c r="S1659">
        <v>6</v>
      </c>
    </row>
    <row r="1660" spans="1:19" hidden="1" x14ac:dyDescent="0.35">
      <c r="A1660">
        <v>56443713900</v>
      </c>
      <c r="B1660" t="s">
        <v>1668</v>
      </c>
      <c r="C1660" t="str">
        <f>_xlfn.XLOOKUP(A1660,[1]Affiliations!$J$2:$J$5328,[1]Affiliations!$K$2:$K$5328,0)</f>
        <v>TRANSPETRO</v>
      </c>
      <c r="D1660">
        <v>2</v>
      </c>
      <c r="E1660">
        <v>0</v>
      </c>
      <c r="F1660">
        <v>0</v>
      </c>
      <c r="G1660">
        <v>0</v>
      </c>
      <c r="H1660">
        <v>0</v>
      </c>
      <c r="P1660">
        <v>0</v>
      </c>
      <c r="Q1660">
        <v>0</v>
      </c>
      <c r="R1660">
        <v>0</v>
      </c>
      <c r="S1660">
        <v>0</v>
      </c>
    </row>
    <row r="1661" spans="1:19" hidden="1" x14ac:dyDescent="0.35">
      <c r="A1661">
        <v>56346783100</v>
      </c>
      <c r="B1661" t="s">
        <v>1669</v>
      </c>
      <c r="C1661" t="str">
        <f>_xlfn.XLOOKUP(A1661,[1]Affiliations!$J$2:$J$5328,[1]Affiliations!$K$2:$K$5328,0)</f>
        <v>Federal Center for Technological Education of Minas Gerais</v>
      </c>
      <c r="D1661">
        <v>7</v>
      </c>
      <c r="E1661">
        <v>24</v>
      </c>
      <c r="F1661">
        <v>3.4285714999999999</v>
      </c>
      <c r="G1661">
        <v>3</v>
      </c>
      <c r="H1661">
        <v>0.15</v>
      </c>
      <c r="I1661">
        <v>0</v>
      </c>
      <c r="J1661">
        <v>0</v>
      </c>
      <c r="K1661">
        <v>0</v>
      </c>
      <c r="L1661">
        <v>1</v>
      </c>
      <c r="M1661">
        <v>2</v>
      </c>
      <c r="N1661">
        <v>2</v>
      </c>
      <c r="P1661">
        <v>0</v>
      </c>
      <c r="Q1661">
        <v>0</v>
      </c>
      <c r="R1661">
        <v>0</v>
      </c>
      <c r="S1661">
        <v>0</v>
      </c>
    </row>
    <row r="1662" spans="1:19" hidden="1" x14ac:dyDescent="0.35">
      <c r="A1662">
        <v>57211287014</v>
      </c>
      <c r="B1662" t="s">
        <v>1670</v>
      </c>
      <c r="C1662" t="str">
        <f>_xlfn.XLOOKUP(A1662,[1]Affiliations!$J$2:$J$5328,[1]Affiliations!$K$2:$K$5328,0)</f>
        <v>SENAI</v>
      </c>
      <c r="D1662">
        <v>1</v>
      </c>
      <c r="E1662">
        <v>1</v>
      </c>
      <c r="F1662">
        <v>1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</v>
      </c>
      <c r="N1662">
        <v>1</v>
      </c>
      <c r="P1662">
        <v>0</v>
      </c>
      <c r="Q1662">
        <v>0</v>
      </c>
      <c r="R1662">
        <v>0</v>
      </c>
      <c r="S1662">
        <v>0</v>
      </c>
    </row>
    <row r="1663" spans="1:19" x14ac:dyDescent="0.35">
      <c r="A1663">
        <v>56507246600</v>
      </c>
      <c r="B1663" t="s">
        <v>1978</v>
      </c>
      <c r="C1663" t="str">
        <f>_xlfn.XLOOKUP(A1663,[1]Affiliations!$J$2:$J$5328,[1]Affiliations!$K$2:$K$5328,0)</f>
        <v>Pontifícia Universidade Católica do Rio Grande do Sul</v>
      </c>
      <c r="D1663">
        <v>9</v>
      </c>
      <c r="E1663">
        <v>223</v>
      </c>
      <c r="F1663">
        <v>24.777778999999999</v>
      </c>
      <c r="G1663">
        <v>8</v>
      </c>
      <c r="H1663">
        <v>1.0900000000000001</v>
      </c>
      <c r="I1663">
        <v>0</v>
      </c>
      <c r="J1663">
        <v>1</v>
      </c>
      <c r="K1663">
        <v>3</v>
      </c>
      <c r="L1663">
        <v>6</v>
      </c>
      <c r="M1663">
        <v>8</v>
      </c>
      <c r="N1663">
        <v>8</v>
      </c>
      <c r="P1663">
        <v>0</v>
      </c>
      <c r="Q1663">
        <v>0</v>
      </c>
      <c r="R1663">
        <v>1</v>
      </c>
      <c r="S1663">
        <v>8</v>
      </c>
    </row>
    <row r="1664" spans="1:19" x14ac:dyDescent="0.35">
      <c r="A1664">
        <v>7003513775</v>
      </c>
      <c r="B1664" t="s">
        <v>2015</v>
      </c>
      <c r="C1664" t="str">
        <f>_xlfn.XLOOKUP(A1664,[1]Affiliations!$J$2:$J$5328,[1]Affiliations!$K$2:$K$5328,0)</f>
        <v>Universidade de São Paulo</v>
      </c>
      <c r="D1664">
        <v>80</v>
      </c>
      <c r="E1664">
        <v>2202</v>
      </c>
      <c r="F1664">
        <v>27.524999999999999</v>
      </c>
      <c r="G1664">
        <v>46</v>
      </c>
      <c r="H1664">
        <v>1.0900000000000001</v>
      </c>
      <c r="I1664">
        <v>0</v>
      </c>
      <c r="J1664">
        <v>8</v>
      </c>
      <c r="K1664">
        <v>25</v>
      </c>
      <c r="L1664">
        <v>52</v>
      </c>
      <c r="M1664">
        <v>65</v>
      </c>
      <c r="N1664">
        <v>74</v>
      </c>
      <c r="P1664">
        <v>1</v>
      </c>
      <c r="Q1664">
        <v>11</v>
      </c>
      <c r="R1664">
        <v>19</v>
      </c>
      <c r="S1664">
        <v>43</v>
      </c>
    </row>
    <row r="1665" spans="1:19" hidden="1" x14ac:dyDescent="0.35">
      <c r="A1665">
        <v>57218687022</v>
      </c>
      <c r="B1665" t="s">
        <v>1673</v>
      </c>
      <c r="C1665" t="str">
        <f>_xlfn.XLOOKUP(A1665,[1]Affiliations!$J$2:$J$5328,[1]Affiliations!$K$2:$K$5328,0)</f>
        <v>Federal University of Rio de Janeiro</v>
      </c>
      <c r="D1665">
        <v>3</v>
      </c>
      <c r="E1665">
        <v>32</v>
      </c>
      <c r="F1665">
        <v>10.666667</v>
      </c>
      <c r="G1665">
        <v>2</v>
      </c>
      <c r="H1665">
        <v>0.5</v>
      </c>
      <c r="I1665">
        <v>0</v>
      </c>
      <c r="J1665">
        <v>1</v>
      </c>
      <c r="K1665">
        <v>1</v>
      </c>
      <c r="L1665">
        <v>2</v>
      </c>
      <c r="M1665">
        <v>2</v>
      </c>
      <c r="N1665">
        <v>2</v>
      </c>
      <c r="P1665">
        <v>0</v>
      </c>
      <c r="Q1665">
        <v>0</v>
      </c>
      <c r="R1665">
        <v>0</v>
      </c>
      <c r="S1665">
        <v>1</v>
      </c>
    </row>
    <row r="1666" spans="1:19" hidden="1" x14ac:dyDescent="0.35">
      <c r="A1666">
        <v>59397162000</v>
      </c>
      <c r="B1666" t="s">
        <v>1674</v>
      </c>
      <c r="C1666" t="str">
        <f>_xlfn.XLOOKUP(A1666,[1]Affiliations!$J$2:$J$5328,[1]Affiliations!$K$2:$K$5328,0)</f>
        <v>Universidade Tecnológica Federal do Paraná</v>
      </c>
      <c r="D1666">
        <v>1</v>
      </c>
      <c r="E1666">
        <v>1</v>
      </c>
      <c r="F1666">
        <v>1</v>
      </c>
      <c r="G1666">
        <v>1</v>
      </c>
      <c r="H1666">
        <v>1.72</v>
      </c>
      <c r="P1666">
        <v>0</v>
      </c>
      <c r="Q1666">
        <v>0</v>
      </c>
      <c r="R1666">
        <v>0</v>
      </c>
      <c r="S1666">
        <v>0</v>
      </c>
    </row>
    <row r="1667" spans="1:19" hidden="1" x14ac:dyDescent="0.35">
      <c r="A1667">
        <v>59662938500</v>
      </c>
      <c r="B1667" t="s">
        <v>1675</v>
      </c>
      <c r="C1667" t="str">
        <f>_xlfn.XLOOKUP(A1667,[1]Affiliations!$J$2:$J$5328,[1]Affiliations!$K$2:$K$5328,0)</f>
        <v>Universidade do Estado da Bahia</v>
      </c>
      <c r="D1667">
        <v>4</v>
      </c>
      <c r="E1667">
        <v>7</v>
      </c>
      <c r="F1667">
        <v>1.75</v>
      </c>
      <c r="G1667">
        <v>5</v>
      </c>
      <c r="H1667">
        <v>0.25</v>
      </c>
      <c r="I1667">
        <v>0</v>
      </c>
      <c r="J1667">
        <v>0</v>
      </c>
      <c r="K1667">
        <v>0</v>
      </c>
      <c r="L1667">
        <v>1</v>
      </c>
      <c r="M1667">
        <v>1</v>
      </c>
      <c r="N1667">
        <v>2</v>
      </c>
      <c r="P1667">
        <v>0</v>
      </c>
      <c r="Q1667">
        <v>0</v>
      </c>
      <c r="R1667">
        <v>0</v>
      </c>
      <c r="S1667">
        <v>0</v>
      </c>
    </row>
    <row r="1668" spans="1:19" hidden="1" x14ac:dyDescent="0.35">
      <c r="A1668">
        <v>57226303106</v>
      </c>
      <c r="B1668" t="s">
        <v>1676</v>
      </c>
      <c r="C1668" t="str">
        <f>_xlfn.XLOOKUP(A1668,[1]Affiliations!$J$2:$J$5328,[1]Affiliations!$K$2:$K$5328,0)</f>
        <v>Universidade do Estado do Rio de Janeiro</v>
      </c>
      <c r="D1668">
        <v>1</v>
      </c>
      <c r="E1668">
        <v>6</v>
      </c>
      <c r="F1668">
        <v>6</v>
      </c>
      <c r="G1668">
        <v>1</v>
      </c>
      <c r="H1668">
        <v>0.21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P1668">
        <v>0</v>
      </c>
      <c r="Q1668">
        <v>0</v>
      </c>
      <c r="R1668">
        <v>0</v>
      </c>
      <c r="S1668">
        <v>0</v>
      </c>
    </row>
    <row r="1669" spans="1:19" hidden="1" x14ac:dyDescent="0.35">
      <c r="A1669">
        <v>57222383203</v>
      </c>
      <c r="B1669" t="s">
        <v>1677</v>
      </c>
      <c r="C1669" t="str">
        <f>_xlfn.XLOOKUP(A1669,[1]Affiliations!$J$2:$J$5328,[1]Affiliations!$K$2:$K$5328,0)</f>
        <v>Universidade Federal do Ceará</v>
      </c>
      <c r="D1669">
        <v>2</v>
      </c>
      <c r="E1669">
        <v>13</v>
      </c>
      <c r="F1669">
        <v>6.5</v>
      </c>
      <c r="G1669">
        <v>2</v>
      </c>
      <c r="H1669">
        <v>0.8</v>
      </c>
      <c r="I1669">
        <v>0</v>
      </c>
      <c r="J1669">
        <v>0</v>
      </c>
      <c r="K1669">
        <v>0</v>
      </c>
      <c r="L1669">
        <v>0</v>
      </c>
      <c r="M1669">
        <v>2</v>
      </c>
      <c r="N1669">
        <v>2</v>
      </c>
      <c r="P1669">
        <v>0</v>
      </c>
      <c r="Q1669">
        <v>0</v>
      </c>
      <c r="R1669">
        <v>0</v>
      </c>
      <c r="S1669">
        <v>1</v>
      </c>
    </row>
    <row r="1670" spans="1:19" hidden="1" x14ac:dyDescent="0.35">
      <c r="A1670">
        <v>57092527000</v>
      </c>
      <c r="B1670" t="s">
        <v>1678</v>
      </c>
      <c r="C1670" t="str">
        <f>_xlfn.XLOOKUP(A1670,[1]Affiliations!$J$2:$J$5328,[1]Affiliations!$K$2:$K$5328,0)</f>
        <v>Universidade Federal Fluminense</v>
      </c>
      <c r="D1670">
        <v>6</v>
      </c>
      <c r="E1670">
        <v>36</v>
      </c>
      <c r="F1670">
        <v>6</v>
      </c>
      <c r="G1670">
        <v>4</v>
      </c>
      <c r="H1670">
        <v>0.32</v>
      </c>
      <c r="I1670">
        <v>0</v>
      </c>
      <c r="J1670">
        <v>0</v>
      </c>
      <c r="K1670">
        <v>1</v>
      </c>
      <c r="L1670">
        <v>1</v>
      </c>
      <c r="M1670">
        <v>4</v>
      </c>
      <c r="N1670">
        <v>5</v>
      </c>
      <c r="P1670">
        <v>0</v>
      </c>
      <c r="Q1670">
        <v>0</v>
      </c>
      <c r="R1670">
        <v>0</v>
      </c>
      <c r="S1670">
        <v>0</v>
      </c>
    </row>
    <row r="1671" spans="1:19" hidden="1" x14ac:dyDescent="0.35">
      <c r="A1671">
        <v>58676872600</v>
      </c>
      <c r="B1671" t="s">
        <v>1679</v>
      </c>
      <c r="C1671" t="str">
        <f>_xlfn.XLOOKUP(A1671,[1]Affiliations!$J$2:$J$5328,[1]Affiliations!$K$2:$K$5328,0)</f>
        <v>Universidade Federal do Ceará</v>
      </c>
      <c r="D1671">
        <v>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P1671">
        <v>0</v>
      </c>
      <c r="Q1671">
        <v>0</v>
      </c>
      <c r="R1671">
        <v>0</v>
      </c>
      <c r="S1671">
        <v>0</v>
      </c>
    </row>
    <row r="1672" spans="1:19" hidden="1" x14ac:dyDescent="0.35">
      <c r="A1672">
        <v>57130483400</v>
      </c>
      <c r="B1672" t="s">
        <v>1680</v>
      </c>
      <c r="C1672" t="str">
        <f>_xlfn.XLOOKUP(A1672,[1]Affiliations!$J$2:$J$5328,[1]Affiliations!$K$2:$K$5328,0)</f>
        <v>Universidade do Estado do Rio de Janeiro</v>
      </c>
      <c r="D1672">
        <v>3</v>
      </c>
      <c r="E1672">
        <v>62</v>
      </c>
      <c r="F1672">
        <v>20.666665999999999</v>
      </c>
      <c r="G1672">
        <v>3</v>
      </c>
      <c r="H1672">
        <v>0.61</v>
      </c>
      <c r="I1672">
        <v>0</v>
      </c>
      <c r="J1672">
        <v>0</v>
      </c>
      <c r="K1672">
        <v>0</v>
      </c>
      <c r="L1672">
        <v>1</v>
      </c>
      <c r="M1672">
        <v>3</v>
      </c>
      <c r="N1672">
        <v>3</v>
      </c>
      <c r="P1672">
        <v>0</v>
      </c>
      <c r="Q1672">
        <v>0</v>
      </c>
      <c r="R1672">
        <v>0</v>
      </c>
      <c r="S1672">
        <v>1</v>
      </c>
    </row>
    <row r="1673" spans="1:19" x14ac:dyDescent="0.35">
      <c r="A1673">
        <v>7006106283</v>
      </c>
      <c r="B1673" t="s">
        <v>2583</v>
      </c>
      <c r="C1673" t="str">
        <f>_xlfn.XLOOKUP(A1673,[1]Affiliations!$J$2:$J$5328,[1]Affiliations!$K$2:$K$5328,0)</f>
        <v>Universidade Federal do Rio Grande</v>
      </c>
      <c r="D1673">
        <v>56</v>
      </c>
      <c r="E1673">
        <v>1007</v>
      </c>
      <c r="F1673">
        <v>17.982143000000001</v>
      </c>
      <c r="G1673">
        <v>31</v>
      </c>
      <c r="H1673">
        <v>1.0900000000000001</v>
      </c>
      <c r="I1673">
        <v>0</v>
      </c>
      <c r="J1673">
        <v>5</v>
      </c>
      <c r="K1673">
        <v>11</v>
      </c>
      <c r="L1673">
        <v>23</v>
      </c>
      <c r="M1673">
        <v>43</v>
      </c>
      <c r="N1673">
        <v>50</v>
      </c>
      <c r="P1673">
        <v>1</v>
      </c>
      <c r="Q1673">
        <v>3</v>
      </c>
      <c r="R1673">
        <v>4</v>
      </c>
      <c r="S1673">
        <v>20</v>
      </c>
    </row>
    <row r="1674" spans="1:19" x14ac:dyDescent="0.35">
      <c r="A1674">
        <v>23090642200</v>
      </c>
      <c r="B1674" t="s">
        <v>2657</v>
      </c>
      <c r="C1674" t="str">
        <f>_xlfn.XLOOKUP(A1674,[1]Affiliations!$J$2:$J$5328,[1]Affiliations!$K$2:$K$5328,0)</f>
        <v>Universidade de São Paulo (+1 more)</v>
      </c>
      <c r="D1674">
        <v>16</v>
      </c>
      <c r="E1674">
        <v>244</v>
      </c>
      <c r="F1674">
        <v>15.25</v>
      </c>
      <c r="G1674">
        <v>16</v>
      </c>
      <c r="H1674">
        <v>1.0900000000000001</v>
      </c>
      <c r="I1674">
        <v>0</v>
      </c>
      <c r="J1674">
        <v>7</v>
      </c>
      <c r="K1674">
        <v>10</v>
      </c>
      <c r="L1674">
        <v>13</v>
      </c>
      <c r="M1674">
        <v>15</v>
      </c>
      <c r="N1674">
        <v>16</v>
      </c>
      <c r="P1674">
        <v>0</v>
      </c>
      <c r="Q1674">
        <v>1</v>
      </c>
      <c r="R1674">
        <v>2</v>
      </c>
      <c r="S1674">
        <v>5</v>
      </c>
    </row>
    <row r="1675" spans="1:19" hidden="1" x14ac:dyDescent="0.35">
      <c r="A1675">
        <v>8446162600</v>
      </c>
      <c r="B1675" t="s">
        <v>1683</v>
      </c>
      <c r="C1675" t="str">
        <f>_xlfn.XLOOKUP(A1675,[1]Affiliations!$J$2:$J$5328,[1]Affiliations!$K$2:$K$5328,0)</f>
        <v>University of Campinas</v>
      </c>
      <c r="D1675">
        <v>2</v>
      </c>
      <c r="E1675">
        <v>37</v>
      </c>
      <c r="F1675">
        <v>18.5</v>
      </c>
      <c r="G1675">
        <v>11</v>
      </c>
      <c r="H1675">
        <v>0.77</v>
      </c>
      <c r="I1675">
        <v>0</v>
      </c>
      <c r="J1675">
        <v>0</v>
      </c>
      <c r="K1675">
        <v>0</v>
      </c>
      <c r="L1675">
        <v>0</v>
      </c>
      <c r="M1675">
        <v>1</v>
      </c>
      <c r="N1675">
        <v>2</v>
      </c>
      <c r="P1675">
        <v>0</v>
      </c>
      <c r="Q1675">
        <v>0</v>
      </c>
      <c r="R1675">
        <v>0</v>
      </c>
      <c r="S1675">
        <v>0</v>
      </c>
    </row>
    <row r="1676" spans="1:19" hidden="1" x14ac:dyDescent="0.35">
      <c r="A1676">
        <v>58195706600</v>
      </c>
      <c r="B1676" t="s">
        <v>1684</v>
      </c>
      <c r="C1676" t="str">
        <f>_xlfn.XLOOKUP(A1676,[1]Affiliations!$J$2:$J$5328,[1]Affiliations!$K$2:$K$5328,0)</f>
        <v>DEMa</v>
      </c>
      <c r="D1676">
        <v>1</v>
      </c>
      <c r="E1676">
        <v>7</v>
      </c>
      <c r="F1676">
        <v>7</v>
      </c>
      <c r="G1676">
        <v>1</v>
      </c>
      <c r="H1676">
        <v>1.19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1</v>
      </c>
      <c r="P1676">
        <v>0</v>
      </c>
      <c r="Q1676">
        <v>0</v>
      </c>
      <c r="R1676">
        <v>0</v>
      </c>
      <c r="S1676">
        <v>0</v>
      </c>
    </row>
    <row r="1677" spans="1:19" x14ac:dyDescent="0.35">
      <c r="A1677">
        <v>6602555822</v>
      </c>
      <c r="B1677" t="s">
        <v>3229</v>
      </c>
      <c r="C1677" t="str">
        <f>_xlfn.XLOOKUP(A1677,[1]Affiliations!$J$2:$J$5328,[1]Affiliations!$K$2:$K$5328,0)</f>
        <v>Federal University of Rio de Janeiro</v>
      </c>
      <c r="D1677">
        <v>60</v>
      </c>
      <c r="E1677">
        <v>846</v>
      </c>
      <c r="F1677">
        <v>14.1</v>
      </c>
      <c r="G1677">
        <v>25</v>
      </c>
      <c r="H1677">
        <v>1.0900000000000001</v>
      </c>
      <c r="I1677">
        <v>0</v>
      </c>
      <c r="J1677">
        <v>12</v>
      </c>
      <c r="K1677">
        <v>14</v>
      </c>
      <c r="L1677">
        <v>23</v>
      </c>
      <c r="M1677">
        <v>37</v>
      </c>
      <c r="N1677">
        <v>40</v>
      </c>
      <c r="P1677">
        <v>1</v>
      </c>
      <c r="Q1677">
        <v>1</v>
      </c>
      <c r="R1677">
        <v>3</v>
      </c>
      <c r="S1677">
        <v>13</v>
      </c>
    </row>
    <row r="1678" spans="1:19" hidden="1" x14ac:dyDescent="0.35">
      <c r="A1678">
        <v>57219239664</v>
      </c>
      <c r="B1678" t="s">
        <v>1686</v>
      </c>
      <c r="C1678" t="str">
        <f>_xlfn.XLOOKUP(A1678,[1]Affiliations!$J$2:$J$5328,[1]Affiliations!$K$2:$K$5328,0)</f>
        <v>Federal University of Rio de Janeiro</v>
      </c>
      <c r="D1678">
        <v>1</v>
      </c>
      <c r="E1678">
        <v>57</v>
      </c>
      <c r="F1678">
        <v>57</v>
      </c>
      <c r="G1678">
        <v>1</v>
      </c>
      <c r="H1678">
        <v>0.43</v>
      </c>
      <c r="I1678">
        <v>0</v>
      </c>
      <c r="J1678">
        <v>0</v>
      </c>
      <c r="K1678">
        <v>0</v>
      </c>
      <c r="L1678">
        <v>0</v>
      </c>
      <c r="M1678">
        <v>1</v>
      </c>
      <c r="N1678">
        <v>1</v>
      </c>
      <c r="P1678">
        <v>0</v>
      </c>
      <c r="Q1678">
        <v>0</v>
      </c>
      <c r="R1678">
        <v>1</v>
      </c>
      <c r="S1678">
        <v>1</v>
      </c>
    </row>
    <row r="1679" spans="1:19" hidden="1" x14ac:dyDescent="0.35">
      <c r="A1679">
        <v>57191746182</v>
      </c>
      <c r="B1679" t="s">
        <v>1687</v>
      </c>
      <c r="C1679" t="str">
        <f>_xlfn.XLOOKUP(A1679,[1]Affiliations!$J$2:$J$5328,[1]Affiliations!$K$2:$K$5328,0)</f>
        <v>Universidade do Estado da Bahia</v>
      </c>
      <c r="D1679">
        <v>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P1679">
        <v>0</v>
      </c>
      <c r="Q1679">
        <v>0</v>
      </c>
      <c r="R1679">
        <v>0</v>
      </c>
      <c r="S1679">
        <v>0</v>
      </c>
    </row>
    <row r="1680" spans="1:19" hidden="1" x14ac:dyDescent="0.35">
      <c r="A1680">
        <v>56182216900</v>
      </c>
      <c r="B1680" t="s">
        <v>1688</v>
      </c>
      <c r="C1680" t="str">
        <f>_xlfn.XLOOKUP(A1680,[1]Affiliations!$J$2:$J$5328,[1]Affiliations!$K$2:$K$5328,0)</f>
        <v>Pontifical Catholic University of Rio de Janeiro (+1 more)</v>
      </c>
      <c r="D1680">
        <v>0</v>
      </c>
      <c r="G1680">
        <v>1</v>
      </c>
    </row>
    <row r="1681" spans="1:19" hidden="1" x14ac:dyDescent="0.35">
      <c r="A1681">
        <v>57218477864</v>
      </c>
      <c r="B1681" t="s">
        <v>1689</v>
      </c>
      <c r="C1681" t="str">
        <f>_xlfn.XLOOKUP(A1681,[1]Affiliations!$J$2:$J$5328,[1]Affiliations!$K$2:$K$5328,0)</f>
        <v>Pontifical Catholic University of Rio de Janeiro</v>
      </c>
      <c r="D1681">
        <v>3</v>
      </c>
      <c r="E1681">
        <v>32</v>
      </c>
      <c r="F1681">
        <v>10.666667</v>
      </c>
      <c r="G1681">
        <v>1</v>
      </c>
      <c r="H1681">
        <v>0.41</v>
      </c>
      <c r="I1681">
        <v>0</v>
      </c>
      <c r="J1681">
        <v>1</v>
      </c>
      <c r="K1681">
        <v>1</v>
      </c>
      <c r="L1681">
        <v>1</v>
      </c>
      <c r="M1681">
        <v>1</v>
      </c>
      <c r="N1681">
        <v>1</v>
      </c>
      <c r="P1681">
        <v>0</v>
      </c>
      <c r="Q1681">
        <v>0</v>
      </c>
      <c r="R1681">
        <v>0</v>
      </c>
      <c r="S1681">
        <v>1</v>
      </c>
    </row>
    <row r="1682" spans="1:19" x14ac:dyDescent="0.35">
      <c r="A1682">
        <v>6506091008</v>
      </c>
      <c r="B1682" t="s">
        <v>4030</v>
      </c>
      <c r="C1682" t="str">
        <f>_xlfn.XLOOKUP(A1682,[1]Affiliations!$J$2:$J$5328,[1]Affiliations!$K$2:$K$5328,0)</f>
        <v>Universidade Federal Fluminense</v>
      </c>
      <c r="D1682">
        <v>59</v>
      </c>
      <c r="E1682">
        <v>1242</v>
      </c>
      <c r="F1682">
        <v>21.050847999999998</v>
      </c>
      <c r="G1682">
        <v>22</v>
      </c>
      <c r="H1682">
        <v>1.0900000000000001</v>
      </c>
      <c r="I1682">
        <v>1</v>
      </c>
      <c r="J1682">
        <v>3</v>
      </c>
      <c r="K1682">
        <v>11</v>
      </c>
      <c r="L1682">
        <v>28</v>
      </c>
      <c r="M1682">
        <v>37</v>
      </c>
      <c r="N1682">
        <v>43</v>
      </c>
      <c r="P1682">
        <v>1</v>
      </c>
      <c r="Q1682">
        <v>5</v>
      </c>
      <c r="R1682">
        <v>11</v>
      </c>
      <c r="S1682">
        <v>20</v>
      </c>
    </row>
    <row r="1683" spans="1:19" hidden="1" x14ac:dyDescent="0.35">
      <c r="A1683">
        <v>55336983400</v>
      </c>
      <c r="B1683" t="s">
        <v>1691</v>
      </c>
      <c r="C1683" t="str">
        <f>_xlfn.XLOOKUP(A1683,[1]Affiliations!$J$2:$J$5328,[1]Affiliations!$K$2:$K$5328,0)</f>
        <v>Science and Technology of Sao Paulo (IFSP)</v>
      </c>
      <c r="D1683">
        <v>6</v>
      </c>
      <c r="E1683">
        <v>53</v>
      </c>
      <c r="F1683">
        <v>8.8333329999999997</v>
      </c>
      <c r="G1683">
        <v>6</v>
      </c>
      <c r="H1683">
        <v>0.71</v>
      </c>
      <c r="I1683">
        <v>0</v>
      </c>
      <c r="J1683">
        <v>0</v>
      </c>
      <c r="K1683">
        <v>0</v>
      </c>
      <c r="L1683">
        <v>1</v>
      </c>
      <c r="M1683">
        <v>2</v>
      </c>
      <c r="N1683">
        <v>3</v>
      </c>
      <c r="P1683">
        <v>0</v>
      </c>
      <c r="Q1683">
        <v>0</v>
      </c>
      <c r="R1683">
        <v>0</v>
      </c>
      <c r="S1683">
        <v>1</v>
      </c>
    </row>
    <row r="1684" spans="1:19" hidden="1" x14ac:dyDescent="0.35">
      <c r="A1684">
        <v>57200259116</v>
      </c>
      <c r="B1684" t="s">
        <v>1692</v>
      </c>
      <c r="C1684" t="str">
        <f>_xlfn.XLOOKUP(A1684,[1]Affiliations!$J$2:$J$5328,[1]Affiliations!$K$2:$K$5328,0)</f>
        <v>Petróleo Brasileiro S.A. (+1 more)</v>
      </c>
      <c r="D1684">
        <v>4</v>
      </c>
      <c r="E1684">
        <v>12</v>
      </c>
      <c r="F1684">
        <v>3</v>
      </c>
      <c r="G1684">
        <v>2</v>
      </c>
      <c r="H1684">
        <v>0.72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P1684">
        <v>0</v>
      </c>
      <c r="Q1684">
        <v>0</v>
      </c>
      <c r="R1684">
        <v>0</v>
      </c>
      <c r="S1684">
        <v>0</v>
      </c>
    </row>
    <row r="1685" spans="1:19" hidden="1" x14ac:dyDescent="0.35">
      <c r="A1685">
        <v>57189897262</v>
      </c>
      <c r="B1685" t="s">
        <v>1693</v>
      </c>
      <c r="C1685" t="str">
        <f>_xlfn.XLOOKUP(A1685,[1]Affiliations!$J$2:$J$5328,[1]Affiliations!$K$2:$K$5328,0)</f>
        <v>Universidade Federal Fluminense</v>
      </c>
      <c r="D1685">
        <v>1</v>
      </c>
      <c r="E1685">
        <v>19</v>
      </c>
      <c r="F1685">
        <v>19</v>
      </c>
      <c r="G1685">
        <v>1</v>
      </c>
      <c r="H1685">
        <v>0.43</v>
      </c>
      <c r="I1685">
        <v>0</v>
      </c>
      <c r="J1685">
        <v>0</v>
      </c>
      <c r="K1685">
        <v>0</v>
      </c>
      <c r="L1685">
        <v>1</v>
      </c>
      <c r="M1685">
        <v>1</v>
      </c>
      <c r="N1685">
        <v>1</v>
      </c>
      <c r="P1685">
        <v>0</v>
      </c>
      <c r="Q1685">
        <v>0</v>
      </c>
      <c r="R1685">
        <v>0</v>
      </c>
      <c r="S1685">
        <v>0</v>
      </c>
    </row>
    <row r="1686" spans="1:19" hidden="1" x14ac:dyDescent="0.35">
      <c r="A1686">
        <v>57202468695</v>
      </c>
      <c r="B1686" t="s">
        <v>1694</v>
      </c>
      <c r="C1686" t="str">
        <f>_xlfn.XLOOKUP(A1686,[1]Affiliations!$J$2:$J$5328,[1]Affiliations!$K$2:$K$5328,0)</f>
        <v>Universidade Federal do Rio Grande do Norte</v>
      </c>
      <c r="D1686">
        <v>2</v>
      </c>
      <c r="E1686">
        <v>31</v>
      </c>
      <c r="F1686">
        <v>15.5</v>
      </c>
      <c r="G1686">
        <v>2</v>
      </c>
      <c r="H1686">
        <v>0.93</v>
      </c>
      <c r="I1686">
        <v>0</v>
      </c>
      <c r="J1686">
        <v>0</v>
      </c>
      <c r="K1686">
        <v>1</v>
      </c>
      <c r="L1686">
        <v>1</v>
      </c>
      <c r="M1686">
        <v>1</v>
      </c>
      <c r="N1686">
        <v>1</v>
      </c>
      <c r="P1686">
        <v>0</v>
      </c>
      <c r="Q1686">
        <v>0</v>
      </c>
      <c r="R1686">
        <v>0</v>
      </c>
      <c r="S1686">
        <v>1</v>
      </c>
    </row>
    <row r="1687" spans="1:19" x14ac:dyDescent="0.35">
      <c r="A1687">
        <v>57202683043</v>
      </c>
      <c r="B1687" t="s">
        <v>5278</v>
      </c>
      <c r="C1687" t="str">
        <f>_xlfn.XLOOKUP(A1687,[1]Affiliations!$J$2:$J$5328,[1]Affiliations!$K$2:$K$5328,0)</f>
        <v>Universidade Federal do Espírito Santo</v>
      </c>
      <c r="D1687">
        <v>12</v>
      </c>
      <c r="E1687">
        <v>289</v>
      </c>
      <c r="F1687">
        <v>24.083334000000001</v>
      </c>
      <c r="G1687">
        <v>9</v>
      </c>
      <c r="H1687">
        <v>1.0900000000000001</v>
      </c>
      <c r="I1687">
        <v>1</v>
      </c>
      <c r="J1687">
        <v>4</v>
      </c>
      <c r="K1687">
        <v>6</v>
      </c>
      <c r="L1687">
        <v>9</v>
      </c>
      <c r="M1687">
        <v>11</v>
      </c>
      <c r="N1687">
        <v>12</v>
      </c>
      <c r="P1687">
        <v>0</v>
      </c>
      <c r="Q1687">
        <v>1</v>
      </c>
      <c r="R1687">
        <v>1</v>
      </c>
      <c r="S1687">
        <v>6</v>
      </c>
    </row>
    <row r="1688" spans="1:19" hidden="1" x14ac:dyDescent="0.35">
      <c r="A1688">
        <v>36894526400</v>
      </c>
      <c r="B1688" t="s">
        <v>1696</v>
      </c>
      <c r="C1688" t="str">
        <f>_xlfn.XLOOKUP(A1688,[1]Affiliations!$J$2:$J$5328,[1]Affiliations!$K$2:$K$5328,0)</f>
        <v>Standardization and Industrial Quality (+3 more)</v>
      </c>
      <c r="D1688">
        <v>11</v>
      </c>
      <c r="E1688">
        <v>47</v>
      </c>
      <c r="F1688">
        <v>4.2727275000000002</v>
      </c>
      <c r="G1688">
        <v>6</v>
      </c>
      <c r="H1688">
        <v>0.25</v>
      </c>
      <c r="I1688">
        <v>0</v>
      </c>
      <c r="J1688">
        <v>0</v>
      </c>
      <c r="K1688">
        <v>1</v>
      </c>
      <c r="L1688">
        <v>6</v>
      </c>
      <c r="M1688">
        <v>7</v>
      </c>
      <c r="N1688">
        <v>11</v>
      </c>
      <c r="P1688">
        <v>0</v>
      </c>
      <c r="Q1688">
        <v>0</v>
      </c>
      <c r="R1688">
        <v>0</v>
      </c>
      <c r="S1688">
        <v>1</v>
      </c>
    </row>
    <row r="1689" spans="1:19" hidden="1" x14ac:dyDescent="0.35">
      <c r="A1689">
        <v>57193629302</v>
      </c>
      <c r="B1689" t="s">
        <v>1697</v>
      </c>
      <c r="C1689" t="str">
        <f>_xlfn.XLOOKUP(A1689,[1]Affiliations!$J$2:$J$5328,[1]Affiliations!$K$2:$K$5328,0)</f>
        <v>Pontifical Catholic University of Rio de Janeiro</v>
      </c>
      <c r="D1689">
        <v>4</v>
      </c>
      <c r="E1689">
        <v>97</v>
      </c>
      <c r="F1689">
        <v>24.25</v>
      </c>
      <c r="G1689">
        <v>3</v>
      </c>
      <c r="H1689">
        <v>1.27</v>
      </c>
      <c r="I1689">
        <v>0</v>
      </c>
      <c r="J1689">
        <v>2</v>
      </c>
      <c r="K1689">
        <v>2</v>
      </c>
      <c r="L1689">
        <v>3</v>
      </c>
      <c r="M1689">
        <v>3</v>
      </c>
      <c r="N1689">
        <v>3</v>
      </c>
      <c r="P1689">
        <v>0</v>
      </c>
      <c r="Q1689">
        <v>0</v>
      </c>
      <c r="R1689">
        <v>1</v>
      </c>
      <c r="S1689">
        <v>2</v>
      </c>
    </row>
    <row r="1690" spans="1:19" x14ac:dyDescent="0.35">
      <c r="A1690">
        <v>7003389119</v>
      </c>
      <c r="B1690" t="s">
        <v>34</v>
      </c>
      <c r="C1690" t="str">
        <f>_xlfn.XLOOKUP(A1690,[1]Affiliations!$J$2:$J$5328,[1]Affiliations!$K$2:$K$5328,0)</f>
        <v>Instituto Nacional de Metrologia, Qualidade e Tecnologia</v>
      </c>
      <c r="D1690">
        <v>64</v>
      </c>
      <c r="E1690">
        <v>1961</v>
      </c>
      <c r="F1690">
        <v>30.640625</v>
      </c>
      <c r="G1690">
        <v>44</v>
      </c>
      <c r="H1690">
        <v>1.08</v>
      </c>
      <c r="I1690">
        <v>2</v>
      </c>
      <c r="J1690">
        <v>12</v>
      </c>
      <c r="K1690">
        <v>29</v>
      </c>
      <c r="L1690">
        <v>45</v>
      </c>
      <c r="M1690">
        <v>57</v>
      </c>
      <c r="N1690">
        <v>62</v>
      </c>
      <c r="P1690">
        <v>1</v>
      </c>
      <c r="Q1690">
        <v>6</v>
      </c>
      <c r="R1690">
        <v>11</v>
      </c>
      <c r="S1690">
        <v>26</v>
      </c>
    </row>
    <row r="1691" spans="1:19" hidden="1" x14ac:dyDescent="0.35">
      <c r="A1691">
        <v>18635529300</v>
      </c>
      <c r="B1691" t="s">
        <v>1699</v>
      </c>
      <c r="C1691" t="str">
        <f>_xlfn.XLOOKUP(A1691,[1]Affiliations!$J$2:$J$5328,[1]Affiliations!$K$2:$K$5328,0)</f>
        <v>Universidade Estadual do Norte Fluminense</v>
      </c>
      <c r="D1691">
        <v>4</v>
      </c>
      <c r="E1691">
        <v>107</v>
      </c>
      <c r="F1691">
        <v>26.75</v>
      </c>
      <c r="G1691">
        <v>7</v>
      </c>
      <c r="H1691">
        <v>1.23</v>
      </c>
      <c r="I1691">
        <v>0</v>
      </c>
      <c r="J1691">
        <v>0</v>
      </c>
      <c r="K1691">
        <v>0</v>
      </c>
      <c r="L1691">
        <v>2</v>
      </c>
      <c r="M1691">
        <v>2</v>
      </c>
      <c r="N1691">
        <v>2</v>
      </c>
      <c r="P1691">
        <v>0</v>
      </c>
      <c r="Q1691">
        <v>1</v>
      </c>
      <c r="R1691">
        <v>1</v>
      </c>
      <c r="S1691">
        <v>1</v>
      </c>
    </row>
    <row r="1692" spans="1:19" hidden="1" x14ac:dyDescent="0.35">
      <c r="A1692">
        <v>55665137300</v>
      </c>
      <c r="B1692" t="s">
        <v>1700</v>
      </c>
      <c r="C1692" t="str">
        <f>_xlfn.XLOOKUP(A1692,[1]Affiliations!$J$2:$J$5328,[1]Affiliations!$K$2:$K$5328,0)</f>
        <v>Federal University of Rio de Janeiro</v>
      </c>
      <c r="D1692">
        <v>5</v>
      </c>
      <c r="E1692">
        <v>4</v>
      </c>
      <c r="F1692">
        <v>0.8</v>
      </c>
      <c r="G1692">
        <v>6</v>
      </c>
      <c r="H1692">
        <v>0.62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3</v>
      </c>
      <c r="P1692">
        <v>0</v>
      </c>
      <c r="Q1692">
        <v>0</v>
      </c>
      <c r="R1692">
        <v>0</v>
      </c>
      <c r="S1692">
        <v>0</v>
      </c>
    </row>
    <row r="1693" spans="1:19" hidden="1" x14ac:dyDescent="0.35">
      <c r="A1693">
        <v>57506249100</v>
      </c>
      <c r="B1693" t="s">
        <v>1701</v>
      </c>
      <c r="C1693" t="str">
        <f>_xlfn.XLOOKUP(A1693,[1]Affiliations!$J$2:$J$5328,[1]Affiliations!$K$2:$K$5328,0)</f>
        <v>Federal University of Rio de Janeiro</v>
      </c>
      <c r="D1693">
        <v>1</v>
      </c>
      <c r="E1693">
        <v>6</v>
      </c>
      <c r="F1693">
        <v>6</v>
      </c>
      <c r="G1693">
        <v>1</v>
      </c>
      <c r="H1693">
        <v>0.08</v>
      </c>
      <c r="I1693">
        <v>0</v>
      </c>
      <c r="J1693">
        <v>0</v>
      </c>
      <c r="K1693">
        <v>0</v>
      </c>
      <c r="L1693">
        <v>1</v>
      </c>
      <c r="M1693">
        <v>1</v>
      </c>
      <c r="N1693">
        <v>1</v>
      </c>
      <c r="P1693">
        <v>0</v>
      </c>
      <c r="Q1693">
        <v>0</v>
      </c>
      <c r="R1693">
        <v>0</v>
      </c>
      <c r="S1693">
        <v>0</v>
      </c>
    </row>
    <row r="1694" spans="1:19" hidden="1" x14ac:dyDescent="0.35">
      <c r="A1694">
        <v>57207252990</v>
      </c>
      <c r="B1694" t="s">
        <v>1702</v>
      </c>
      <c r="C1694" t="str">
        <f>_xlfn.XLOOKUP(A1694,[1]Affiliations!$J$2:$J$5328,[1]Affiliations!$K$2:$K$5328,0)</f>
        <v>Federal University of Rio de Janeiro</v>
      </c>
      <c r="D1694">
        <v>3</v>
      </c>
      <c r="E1694">
        <v>59</v>
      </c>
      <c r="F1694">
        <v>19.666665999999999</v>
      </c>
      <c r="G1694">
        <v>2</v>
      </c>
      <c r="H1694">
        <v>0.62</v>
      </c>
      <c r="I1694">
        <v>0</v>
      </c>
      <c r="J1694">
        <v>0</v>
      </c>
      <c r="K1694">
        <v>0</v>
      </c>
      <c r="L1694">
        <v>2</v>
      </c>
      <c r="M1694">
        <v>2</v>
      </c>
      <c r="N1694">
        <v>3</v>
      </c>
      <c r="P1694">
        <v>0</v>
      </c>
      <c r="Q1694">
        <v>0</v>
      </c>
      <c r="R1694">
        <v>0</v>
      </c>
      <c r="S1694">
        <v>2</v>
      </c>
    </row>
    <row r="1695" spans="1:19" hidden="1" x14ac:dyDescent="0.35">
      <c r="A1695">
        <v>57200079360</v>
      </c>
      <c r="B1695" t="s">
        <v>1703</v>
      </c>
      <c r="C1695" t="str">
        <f>_xlfn.XLOOKUP(A1695,[1]Affiliations!$J$2:$J$5328,[1]Affiliations!$K$2:$K$5328,0)</f>
        <v>Universidade Federal do Piauí</v>
      </c>
      <c r="D1695">
        <v>4</v>
      </c>
      <c r="E1695">
        <v>34</v>
      </c>
      <c r="F1695">
        <v>8.5</v>
      </c>
      <c r="G1695">
        <v>3</v>
      </c>
      <c r="H1695">
        <v>0.53</v>
      </c>
      <c r="I1695">
        <v>0</v>
      </c>
      <c r="J1695">
        <v>0</v>
      </c>
      <c r="K1695">
        <v>0</v>
      </c>
      <c r="L1695">
        <v>0</v>
      </c>
      <c r="M1695">
        <v>3</v>
      </c>
      <c r="N1695">
        <v>4</v>
      </c>
      <c r="P1695">
        <v>0</v>
      </c>
      <c r="Q1695">
        <v>0</v>
      </c>
      <c r="R1695">
        <v>0</v>
      </c>
      <c r="S1695">
        <v>0</v>
      </c>
    </row>
    <row r="1696" spans="1:19" hidden="1" x14ac:dyDescent="0.35">
      <c r="A1696">
        <v>57218310791</v>
      </c>
      <c r="B1696" t="s">
        <v>1704</v>
      </c>
      <c r="C1696" t="str">
        <f>_xlfn.XLOOKUP(A1696,[1]Affiliations!$J$2:$J$5328,[1]Affiliations!$K$2:$K$5328,0)</f>
        <v>Pontifical Catholic University of Rio de Janeiro</v>
      </c>
      <c r="D1696">
        <v>2</v>
      </c>
      <c r="E1696">
        <v>2</v>
      </c>
      <c r="F1696">
        <v>1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1</v>
      </c>
      <c r="P1696">
        <v>0</v>
      </c>
      <c r="Q1696">
        <v>0</v>
      </c>
      <c r="R1696">
        <v>0</v>
      </c>
      <c r="S1696">
        <v>0</v>
      </c>
    </row>
    <row r="1697" spans="1:19" hidden="1" x14ac:dyDescent="0.35">
      <c r="A1697">
        <v>15064001800</v>
      </c>
      <c r="B1697" t="s">
        <v>1705</v>
      </c>
      <c r="C1697" t="str">
        <f>_xlfn.XLOOKUP(A1697,[1]Affiliations!$J$2:$J$5328,[1]Affiliations!$K$2:$K$5328,0)</f>
        <v>Universidade de São Paulo</v>
      </c>
      <c r="D1697">
        <v>10</v>
      </c>
      <c r="E1697">
        <v>47</v>
      </c>
      <c r="F1697">
        <v>4.7</v>
      </c>
      <c r="G1697">
        <v>8</v>
      </c>
      <c r="H1697">
        <v>0.68</v>
      </c>
      <c r="I1697">
        <v>0</v>
      </c>
      <c r="J1697">
        <v>0</v>
      </c>
      <c r="K1697">
        <v>0</v>
      </c>
      <c r="L1697">
        <v>2</v>
      </c>
      <c r="M1697">
        <v>4</v>
      </c>
      <c r="N1697">
        <v>6</v>
      </c>
      <c r="P1697">
        <v>0</v>
      </c>
      <c r="Q1697">
        <v>0</v>
      </c>
      <c r="R1697">
        <v>0</v>
      </c>
      <c r="S1697">
        <v>1</v>
      </c>
    </row>
    <row r="1698" spans="1:19" hidden="1" x14ac:dyDescent="0.35">
      <c r="A1698">
        <v>18834519400</v>
      </c>
      <c r="B1698" t="s">
        <v>1706</v>
      </c>
      <c r="C1698" t="str">
        <f>_xlfn.XLOOKUP(A1698,[1]Affiliations!$J$2:$J$5328,[1]Affiliations!$K$2:$K$5328,0)</f>
        <v>Federal University of Rio de Janeiro</v>
      </c>
      <c r="D1698">
        <v>7</v>
      </c>
      <c r="E1698">
        <v>30</v>
      </c>
      <c r="F1698">
        <v>4.2857139999999996</v>
      </c>
      <c r="G1698">
        <v>7</v>
      </c>
      <c r="H1698">
        <v>0.41</v>
      </c>
      <c r="I1698">
        <v>0</v>
      </c>
      <c r="J1698">
        <v>0</v>
      </c>
      <c r="K1698">
        <v>1</v>
      </c>
      <c r="L1698">
        <v>4</v>
      </c>
      <c r="M1698">
        <v>4</v>
      </c>
      <c r="N1698">
        <v>5</v>
      </c>
      <c r="P1698">
        <v>0</v>
      </c>
      <c r="Q1698">
        <v>0</v>
      </c>
      <c r="R1698">
        <v>0</v>
      </c>
      <c r="S1698">
        <v>0</v>
      </c>
    </row>
    <row r="1699" spans="1:19" hidden="1" x14ac:dyDescent="0.35">
      <c r="A1699">
        <v>9240701900</v>
      </c>
      <c r="B1699" t="s">
        <v>1707</v>
      </c>
      <c r="C1699" t="str">
        <f>_xlfn.XLOOKUP(A1699,[1]Affiliations!$J$2:$J$5328,[1]Affiliations!$K$2:$K$5328,0)</f>
        <v>Federal University of Rio de Janeiro</v>
      </c>
      <c r="D1699">
        <v>15</v>
      </c>
      <c r="E1699">
        <v>80</v>
      </c>
      <c r="F1699">
        <v>5.3333335000000002</v>
      </c>
      <c r="G1699">
        <v>6</v>
      </c>
      <c r="H1699">
        <v>0.56999999999999995</v>
      </c>
      <c r="I1699">
        <v>0</v>
      </c>
      <c r="J1699">
        <v>1</v>
      </c>
      <c r="K1699">
        <v>1</v>
      </c>
      <c r="L1699">
        <v>6</v>
      </c>
      <c r="M1699">
        <v>8</v>
      </c>
      <c r="N1699">
        <v>11</v>
      </c>
      <c r="P1699">
        <v>0</v>
      </c>
      <c r="Q1699">
        <v>0</v>
      </c>
      <c r="R1699">
        <v>0</v>
      </c>
      <c r="S1699">
        <v>1</v>
      </c>
    </row>
    <row r="1700" spans="1:19" hidden="1" x14ac:dyDescent="0.35">
      <c r="A1700">
        <v>57216433864</v>
      </c>
      <c r="B1700" t="s">
        <v>1708</v>
      </c>
      <c r="C1700" t="str">
        <f>_xlfn.XLOOKUP(A1700,[1]Affiliations!$J$2:$J$5328,[1]Affiliations!$K$2:$K$5328,0)</f>
        <v>Universidade Estadual Paulista “Júlio de Mesquita Filho”</v>
      </c>
      <c r="D1700">
        <v>4</v>
      </c>
      <c r="E1700">
        <v>28</v>
      </c>
      <c r="F1700">
        <v>7</v>
      </c>
      <c r="G1700">
        <v>3</v>
      </c>
      <c r="H1700">
        <v>0.59</v>
      </c>
      <c r="I1700">
        <v>0</v>
      </c>
      <c r="J1700">
        <v>1</v>
      </c>
      <c r="K1700">
        <v>1</v>
      </c>
      <c r="L1700">
        <v>1</v>
      </c>
      <c r="M1700">
        <v>1</v>
      </c>
      <c r="N1700">
        <v>2</v>
      </c>
      <c r="P1700">
        <v>0</v>
      </c>
      <c r="Q1700">
        <v>0</v>
      </c>
      <c r="R1700">
        <v>0</v>
      </c>
      <c r="S1700">
        <v>0</v>
      </c>
    </row>
    <row r="1701" spans="1:19" hidden="1" x14ac:dyDescent="0.35">
      <c r="A1701">
        <v>7102811997</v>
      </c>
      <c r="B1701" t="s">
        <v>1709</v>
      </c>
      <c r="C1701" t="str">
        <f>_xlfn.XLOOKUP(A1701,[1]Affiliations!$J$2:$J$5328,[1]Affiliations!$K$2:$K$5328,0)</f>
        <v>Federal University of Rio de Janeiro</v>
      </c>
      <c r="D1701">
        <v>37</v>
      </c>
      <c r="E1701">
        <v>191</v>
      </c>
      <c r="F1701">
        <v>5.1621623000000003</v>
      </c>
      <c r="G1701">
        <v>17</v>
      </c>
      <c r="H1701">
        <v>0.78</v>
      </c>
      <c r="I1701">
        <v>0</v>
      </c>
      <c r="J1701">
        <v>0</v>
      </c>
      <c r="K1701">
        <v>3</v>
      </c>
      <c r="L1701">
        <v>11</v>
      </c>
      <c r="M1701">
        <v>16</v>
      </c>
      <c r="N1701">
        <v>26</v>
      </c>
      <c r="P1701">
        <v>0</v>
      </c>
      <c r="Q1701">
        <v>0</v>
      </c>
      <c r="R1701">
        <v>0</v>
      </c>
      <c r="S1701">
        <v>2</v>
      </c>
    </row>
    <row r="1702" spans="1:19" hidden="1" x14ac:dyDescent="0.35">
      <c r="A1702">
        <v>57212009658</v>
      </c>
      <c r="B1702" t="s">
        <v>1710</v>
      </c>
      <c r="C1702" t="str">
        <f>_xlfn.XLOOKUP(A1702,[1]Affiliations!$J$2:$J$5328,[1]Affiliations!$K$2:$K$5328,0)</f>
        <v>Pontifical Catholic University of Rio de Janeiro</v>
      </c>
      <c r="D1702">
        <v>3</v>
      </c>
      <c r="E1702">
        <v>11</v>
      </c>
      <c r="F1702">
        <v>3.6666666999999999</v>
      </c>
      <c r="G1702">
        <v>2</v>
      </c>
      <c r="H1702">
        <v>0.49</v>
      </c>
      <c r="I1702">
        <v>0</v>
      </c>
      <c r="J1702">
        <v>0</v>
      </c>
      <c r="K1702">
        <v>0</v>
      </c>
      <c r="L1702">
        <v>0</v>
      </c>
      <c r="M1702">
        <v>2</v>
      </c>
      <c r="N1702">
        <v>2</v>
      </c>
      <c r="P1702">
        <v>0</v>
      </c>
      <c r="Q1702">
        <v>0</v>
      </c>
      <c r="R1702">
        <v>0</v>
      </c>
      <c r="S1702">
        <v>0</v>
      </c>
    </row>
    <row r="1703" spans="1:19" x14ac:dyDescent="0.35">
      <c r="A1703">
        <v>26643795900</v>
      </c>
      <c r="B1703" t="s">
        <v>509</v>
      </c>
      <c r="C1703" t="str">
        <f>_xlfn.XLOOKUP(A1703,[1]Affiliations!$J$2:$J$5328,[1]Affiliations!$K$2:$K$5328,0)</f>
        <v>Universidade Federal de Santa Maria</v>
      </c>
      <c r="D1703">
        <v>57</v>
      </c>
      <c r="E1703">
        <v>1378</v>
      </c>
      <c r="F1703">
        <v>24.175438</v>
      </c>
      <c r="G1703">
        <v>29</v>
      </c>
      <c r="H1703">
        <v>1.08</v>
      </c>
      <c r="I1703">
        <v>1</v>
      </c>
      <c r="J1703">
        <v>14</v>
      </c>
      <c r="K1703">
        <v>22</v>
      </c>
      <c r="L1703">
        <v>39</v>
      </c>
      <c r="M1703">
        <v>52</v>
      </c>
      <c r="N1703">
        <v>55</v>
      </c>
      <c r="P1703">
        <v>0</v>
      </c>
      <c r="Q1703">
        <v>3</v>
      </c>
      <c r="R1703">
        <v>10</v>
      </c>
      <c r="S1703">
        <v>26</v>
      </c>
    </row>
    <row r="1704" spans="1:19" hidden="1" x14ac:dyDescent="0.35">
      <c r="A1704">
        <v>57545831800</v>
      </c>
      <c r="B1704" t="s">
        <v>1712</v>
      </c>
      <c r="C1704" t="str">
        <f>_xlfn.XLOOKUP(A1704,[1]Affiliations!$J$2:$J$5328,[1]Affiliations!$K$2:$K$5328,0)</f>
        <v>Federal University of Santa Catarina</v>
      </c>
      <c r="D1704">
        <v>1</v>
      </c>
      <c r="E1704">
        <v>14</v>
      </c>
      <c r="F1704">
        <v>14</v>
      </c>
      <c r="G1704">
        <v>1</v>
      </c>
      <c r="H1704">
        <v>0.81</v>
      </c>
      <c r="I1704">
        <v>0</v>
      </c>
      <c r="J1704">
        <v>1</v>
      </c>
      <c r="K1704">
        <v>1</v>
      </c>
      <c r="L1704">
        <v>1</v>
      </c>
      <c r="M1704">
        <v>1</v>
      </c>
      <c r="N1704">
        <v>1</v>
      </c>
      <c r="P1704">
        <v>0</v>
      </c>
      <c r="Q1704">
        <v>0</v>
      </c>
      <c r="R1704">
        <v>0</v>
      </c>
      <c r="S1704">
        <v>1</v>
      </c>
    </row>
    <row r="1705" spans="1:19" hidden="1" x14ac:dyDescent="0.35">
      <c r="A1705">
        <v>57545066700</v>
      </c>
      <c r="B1705" t="s">
        <v>1713</v>
      </c>
      <c r="C1705" t="str">
        <f>_xlfn.XLOOKUP(A1705,[1]Affiliations!$J$2:$J$5328,[1]Affiliations!$K$2:$K$5328,0)</f>
        <v>Federal University of Santa Catarina</v>
      </c>
      <c r="D1705">
        <v>1</v>
      </c>
      <c r="E1705">
        <v>14</v>
      </c>
      <c r="F1705">
        <v>14</v>
      </c>
      <c r="G1705">
        <v>1</v>
      </c>
      <c r="H1705">
        <v>0.81</v>
      </c>
      <c r="I1705">
        <v>0</v>
      </c>
      <c r="J1705">
        <v>1</v>
      </c>
      <c r="K1705">
        <v>1</v>
      </c>
      <c r="L1705">
        <v>1</v>
      </c>
      <c r="M1705">
        <v>1</v>
      </c>
      <c r="N1705">
        <v>1</v>
      </c>
      <c r="P1705">
        <v>0</v>
      </c>
      <c r="Q1705">
        <v>0</v>
      </c>
      <c r="R1705">
        <v>0</v>
      </c>
      <c r="S1705">
        <v>1</v>
      </c>
    </row>
    <row r="1706" spans="1:19" hidden="1" x14ac:dyDescent="0.35">
      <c r="A1706">
        <v>57200692793</v>
      </c>
      <c r="B1706" t="s">
        <v>1714</v>
      </c>
      <c r="C1706" t="str">
        <f>_xlfn.XLOOKUP(A1706,[1]Affiliations!$J$2:$J$5328,[1]Affiliations!$K$2:$K$5328,0)</f>
        <v>Pontifical Catholic University of Rio de Janeiro</v>
      </c>
      <c r="D1706">
        <v>1</v>
      </c>
      <c r="E1706">
        <v>11</v>
      </c>
      <c r="F1706">
        <v>11</v>
      </c>
      <c r="G1706">
        <v>1</v>
      </c>
      <c r="H1706">
        <v>0.36</v>
      </c>
      <c r="I1706">
        <v>0</v>
      </c>
      <c r="J1706">
        <v>0</v>
      </c>
      <c r="K1706">
        <v>0</v>
      </c>
      <c r="L1706">
        <v>0</v>
      </c>
      <c r="M1706">
        <v>1</v>
      </c>
      <c r="N1706">
        <v>1</v>
      </c>
      <c r="P1706">
        <v>0</v>
      </c>
      <c r="Q1706">
        <v>0</v>
      </c>
      <c r="R1706">
        <v>0</v>
      </c>
      <c r="S1706">
        <v>0</v>
      </c>
    </row>
    <row r="1707" spans="1:19" x14ac:dyDescent="0.35">
      <c r="A1707">
        <v>57197711912</v>
      </c>
      <c r="B1707" t="s">
        <v>613</v>
      </c>
      <c r="C1707" t="str">
        <f>_xlfn.XLOOKUP(A1707,[1]Affiliations!$J$2:$J$5328,[1]Affiliations!$K$2:$K$5328,0)</f>
        <v>Federal University of Santa Catarina</v>
      </c>
      <c r="D1707">
        <v>14</v>
      </c>
      <c r="E1707">
        <v>324</v>
      </c>
      <c r="F1707">
        <v>23.142856999999999</v>
      </c>
      <c r="G1707">
        <v>10</v>
      </c>
      <c r="H1707">
        <v>1.08</v>
      </c>
      <c r="I1707">
        <v>0</v>
      </c>
      <c r="J1707">
        <v>2</v>
      </c>
      <c r="K1707">
        <v>5</v>
      </c>
      <c r="L1707">
        <v>8</v>
      </c>
      <c r="M1707">
        <v>13</v>
      </c>
      <c r="N1707">
        <v>14</v>
      </c>
      <c r="P1707">
        <v>0</v>
      </c>
      <c r="Q1707">
        <v>0</v>
      </c>
      <c r="R1707">
        <v>4</v>
      </c>
      <c r="S1707">
        <v>8</v>
      </c>
    </row>
    <row r="1708" spans="1:19" hidden="1" x14ac:dyDescent="0.35">
      <c r="A1708">
        <v>55826649000</v>
      </c>
      <c r="B1708" t="s">
        <v>1716</v>
      </c>
      <c r="C1708" t="str">
        <f>_xlfn.XLOOKUP(A1708,[1]Affiliations!$J$2:$J$5328,[1]Affiliations!$K$2:$K$5328,0)</f>
        <v>Engineering Simulation and Scientific Software</v>
      </c>
      <c r="D1708">
        <v>3</v>
      </c>
      <c r="E1708">
        <v>11</v>
      </c>
      <c r="F1708">
        <v>3.6666666999999999</v>
      </c>
      <c r="G1708">
        <v>2</v>
      </c>
      <c r="H1708">
        <v>1.1599999999999999</v>
      </c>
      <c r="P1708">
        <v>0</v>
      </c>
      <c r="Q1708">
        <v>0</v>
      </c>
      <c r="R1708">
        <v>0</v>
      </c>
      <c r="S1708">
        <v>0</v>
      </c>
    </row>
    <row r="1709" spans="1:19" hidden="1" x14ac:dyDescent="0.35">
      <c r="A1709">
        <v>57427552100</v>
      </c>
      <c r="B1709" t="s">
        <v>1717</v>
      </c>
      <c r="C1709" t="str">
        <f>_xlfn.XLOOKUP(A1709,[1]Affiliations!$J$2:$J$5328,[1]Affiliations!$K$2:$K$5328,0)</f>
        <v>Universidade Federal Fluminense</v>
      </c>
      <c r="D1709">
        <v>3</v>
      </c>
      <c r="E1709">
        <v>61</v>
      </c>
      <c r="F1709">
        <v>20.333334000000001</v>
      </c>
      <c r="G1709">
        <v>2</v>
      </c>
      <c r="H1709">
        <v>0.44</v>
      </c>
      <c r="I1709">
        <v>0</v>
      </c>
      <c r="J1709">
        <v>0</v>
      </c>
      <c r="K1709">
        <v>0</v>
      </c>
      <c r="L1709">
        <v>1</v>
      </c>
      <c r="M1709">
        <v>1</v>
      </c>
      <c r="N1709">
        <v>2</v>
      </c>
      <c r="P1709">
        <v>0</v>
      </c>
      <c r="Q1709">
        <v>1</v>
      </c>
      <c r="R1709">
        <v>1</v>
      </c>
      <c r="S1709">
        <v>1</v>
      </c>
    </row>
    <row r="1710" spans="1:19" hidden="1" x14ac:dyDescent="0.35">
      <c r="A1710">
        <v>57406660700</v>
      </c>
      <c r="B1710" t="s">
        <v>1718</v>
      </c>
      <c r="C1710" t="str">
        <f>_xlfn.XLOOKUP(A1710,[1]Affiliations!$J$2:$J$5328,[1]Affiliations!$K$2:$K$5328,0)</f>
        <v>Universidade Estadual do Norte Fluminense (+1 more)</v>
      </c>
      <c r="D1710">
        <v>2</v>
      </c>
      <c r="E1710">
        <v>0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1</v>
      </c>
      <c r="P1710">
        <v>0</v>
      </c>
      <c r="Q1710">
        <v>0</v>
      </c>
      <c r="R1710">
        <v>0</v>
      </c>
      <c r="S1710">
        <v>0</v>
      </c>
    </row>
    <row r="1711" spans="1:19" hidden="1" x14ac:dyDescent="0.35">
      <c r="A1711">
        <v>57221935971</v>
      </c>
      <c r="B1711" t="s">
        <v>1719</v>
      </c>
      <c r="C1711" t="str">
        <f>_xlfn.XLOOKUP(A1711,[1]Affiliations!$J$2:$J$5328,[1]Affiliations!$K$2:$K$5328,0)</f>
        <v>Pontifical Catholic University of Rio de Janeiro (+1 more)</v>
      </c>
      <c r="D1711">
        <v>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2</v>
      </c>
      <c r="K1711">
        <v>2</v>
      </c>
      <c r="L1711">
        <v>2</v>
      </c>
      <c r="M1711">
        <v>2</v>
      </c>
      <c r="N1711">
        <v>2</v>
      </c>
      <c r="P1711">
        <v>0</v>
      </c>
      <c r="Q1711">
        <v>0</v>
      </c>
      <c r="R1711">
        <v>0</v>
      </c>
      <c r="S1711">
        <v>0</v>
      </c>
    </row>
    <row r="1712" spans="1:19" x14ac:dyDescent="0.35">
      <c r="A1712">
        <v>8278386900</v>
      </c>
      <c r="B1712" t="s">
        <v>1506</v>
      </c>
      <c r="C1712" t="str">
        <f>_xlfn.XLOOKUP(A1712,[1]Affiliations!$J$2:$J$5328,[1]Affiliations!$K$2:$K$5328,0)</f>
        <v>Universidade do Estado do Rio de Janeiro</v>
      </c>
      <c r="D1712">
        <v>31</v>
      </c>
      <c r="E1712">
        <v>824</v>
      </c>
      <c r="F1712">
        <v>26.580645000000001</v>
      </c>
      <c r="G1712">
        <v>36</v>
      </c>
      <c r="H1712">
        <v>1.08</v>
      </c>
      <c r="I1712">
        <v>0</v>
      </c>
      <c r="J1712">
        <v>3</v>
      </c>
      <c r="K1712">
        <v>13</v>
      </c>
      <c r="L1712">
        <v>21</v>
      </c>
      <c r="M1712">
        <v>28</v>
      </c>
      <c r="N1712">
        <v>30</v>
      </c>
      <c r="P1712">
        <v>0</v>
      </c>
      <c r="Q1712">
        <v>1</v>
      </c>
      <c r="R1712">
        <v>5</v>
      </c>
      <c r="S1712">
        <v>14</v>
      </c>
    </row>
    <row r="1713" spans="1:19" x14ac:dyDescent="0.35">
      <c r="A1713">
        <v>58348324400</v>
      </c>
      <c r="B1713" t="s">
        <v>1843</v>
      </c>
      <c r="C1713" t="str">
        <f>_xlfn.XLOOKUP(A1713,[1]Affiliations!$J$2:$J$5328,[1]Affiliations!$K$2:$K$5328,0)</f>
        <v>Universidade Federal de Santa Maria</v>
      </c>
      <c r="D1713">
        <v>6</v>
      </c>
      <c r="E1713">
        <v>128</v>
      </c>
      <c r="F1713">
        <v>21.333334000000001</v>
      </c>
      <c r="G1713">
        <v>5</v>
      </c>
      <c r="H1713">
        <v>1.08</v>
      </c>
      <c r="I1713">
        <v>0</v>
      </c>
      <c r="J1713">
        <v>3</v>
      </c>
      <c r="K1713">
        <v>3</v>
      </c>
      <c r="L1713">
        <v>3</v>
      </c>
      <c r="M1713">
        <v>6</v>
      </c>
      <c r="N1713">
        <v>6</v>
      </c>
      <c r="P1713">
        <v>0</v>
      </c>
      <c r="Q1713">
        <v>0</v>
      </c>
      <c r="R1713">
        <v>1</v>
      </c>
      <c r="S1713">
        <v>3</v>
      </c>
    </row>
    <row r="1714" spans="1:19" hidden="1" x14ac:dyDescent="0.35">
      <c r="A1714">
        <v>57218580185</v>
      </c>
      <c r="B1714" t="s">
        <v>1722</v>
      </c>
      <c r="C1714" t="str">
        <f>_xlfn.XLOOKUP(A1714,[1]Affiliations!$J$2:$J$5328,[1]Affiliations!$K$2:$K$5328,0)</f>
        <v>University of Campinas</v>
      </c>
      <c r="D1714">
        <v>2</v>
      </c>
      <c r="E1714">
        <v>3</v>
      </c>
      <c r="F1714">
        <v>1.5</v>
      </c>
      <c r="G1714">
        <v>1</v>
      </c>
      <c r="H1714">
        <v>0.28000000000000003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1</v>
      </c>
      <c r="P1714">
        <v>0</v>
      </c>
      <c r="Q1714">
        <v>0</v>
      </c>
      <c r="R1714">
        <v>0</v>
      </c>
      <c r="S1714">
        <v>0</v>
      </c>
    </row>
    <row r="1715" spans="1:19" hidden="1" x14ac:dyDescent="0.35">
      <c r="A1715">
        <v>57224895647</v>
      </c>
      <c r="B1715" t="s">
        <v>1723</v>
      </c>
      <c r="C1715" t="str">
        <f>_xlfn.XLOOKUP(A1715,[1]Affiliations!$J$2:$J$5328,[1]Affiliations!$K$2:$K$5328,0)</f>
        <v>Universidade Federal Fluminense</v>
      </c>
      <c r="D1715">
        <v>1</v>
      </c>
      <c r="E1715">
        <v>3</v>
      </c>
      <c r="F1715">
        <v>3</v>
      </c>
      <c r="G1715">
        <v>1</v>
      </c>
      <c r="H1715">
        <v>0.11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P1715">
        <v>0</v>
      </c>
      <c r="Q1715">
        <v>0</v>
      </c>
      <c r="R1715">
        <v>0</v>
      </c>
      <c r="S1715">
        <v>0</v>
      </c>
    </row>
    <row r="1716" spans="1:19" hidden="1" x14ac:dyDescent="0.35">
      <c r="A1716">
        <v>57219659757</v>
      </c>
      <c r="B1716" t="s">
        <v>1724</v>
      </c>
      <c r="C1716" t="str">
        <f>_xlfn.XLOOKUP(A1716,[1]Affiliations!$J$2:$J$5328,[1]Affiliations!$K$2:$K$5328,0)</f>
        <v>Serviço Nacional de Aprendizagem Industrial</v>
      </c>
      <c r="D1716">
        <v>5</v>
      </c>
      <c r="E1716">
        <v>10</v>
      </c>
      <c r="F1716">
        <v>2</v>
      </c>
      <c r="G1716">
        <v>2</v>
      </c>
      <c r="H1716">
        <v>0.32</v>
      </c>
      <c r="I1716">
        <v>0</v>
      </c>
      <c r="J1716">
        <v>0</v>
      </c>
      <c r="K1716">
        <v>0</v>
      </c>
      <c r="L1716">
        <v>2</v>
      </c>
      <c r="M1716">
        <v>2</v>
      </c>
      <c r="N1716">
        <v>3</v>
      </c>
      <c r="P1716">
        <v>0</v>
      </c>
      <c r="Q1716">
        <v>0</v>
      </c>
      <c r="R1716">
        <v>0</v>
      </c>
      <c r="S1716">
        <v>0</v>
      </c>
    </row>
    <row r="1717" spans="1:19" hidden="1" x14ac:dyDescent="0.35">
      <c r="A1717">
        <v>57210455169</v>
      </c>
      <c r="B1717" t="s">
        <v>1725</v>
      </c>
      <c r="C1717" t="str">
        <f>_xlfn.XLOOKUP(A1717,[1]Affiliations!$J$2:$J$5328,[1]Affiliations!$K$2:$K$5328,0)</f>
        <v>Federal University of Rio de Janeiro</v>
      </c>
      <c r="D1717">
        <v>2</v>
      </c>
      <c r="E1717">
        <v>21</v>
      </c>
      <c r="F1717">
        <v>10.5</v>
      </c>
      <c r="G1717">
        <v>3</v>
      </c>
      <c r="H1717">
        <v>0.36</v>
      </c>
      <c r="I1717">
        <v>0</v>
      </c>
      <c r="J1717">
        <v>0</v>
      </c>
      <c r="K1717">
        <v>0</v>
      </c>
      <c r="L1717">
        <v>1</v>
      </c>
      <c r="M1717">
        <v>2</v>
      </c>
      <c r="N1717">
        <v>2</v>
      </c>
      <c r="P1717">
        <v>0</v>
      </c>
      <c r="Q1717">
        <v>0</v>
      </c>
      <c r="R1717">
        <v>0</v>
      </c>
      <c r="S1717">
        <v>0</v>
      </c>
    </row>
    <row r="1718" spans="1:19" hidden="1" x14ac:dyDescent="0.35">
      <c r="A1718">
        <v>57194093538</v>
      </c>
      <c r="B1718" t="s">
        <v>1726</v>
      </c>
      <c r="C1718" t="str">
        <f>_xlfn.XLOOKUP(A1718,[1]Affiliations!$J$2:$J$5328,[1]Affiliations!$K$2:$K$5328,0)</f>
        <v>Universidade Federal do Ceará</v>
      </c>
      <c r="D1718">
        <v>13</v>
      </c>
      <c r="E1718">
        <v>148</v>
      </c>
      <c r="F1718">
        <v>11.384615</v>
      </c>
      <c r="G1718">
        <v>8</v>
      </c>
      <c r="H1718">
        <v>0.88</v>
      </c>
      <c r="I1718">
        <v>0</v>
      </c>
      <c r="J1718">
        <v>4</v>
      </c>
      <c r="K1718">
        <v>5</v>
      </c>
      <c r="L1718">
        <v>9</v>
      </c>
      <c r="M1718">
        <v>12</v>
      </c>
      <c r="N1718">
        <v>13</v>
      </c>
      <c r="P1718">
        <v>0</v>
      </c>
      <c r="Q1718">
        <v>0</v>
      </c>
      <c r="R1718">
        <v>0</v>
      </c>
      <c r="S1718">
        <v>4</v>
      </c>
    </row>
    <row r="1719" spans="1:19" hidden="1" x14ac:dyDescent="0.35">
      <c r="A1719">
        <v>57207727982</v>
      </c>
      <c r="B1719" t="s">
        <v>1727</v>
      </c>
      <c r="C1719" t="str">
        <f>_xlfn.XLOOKUP(A1719,[1]Affiliations!$J$2:$J$5328,[1]Affiliations!$K$2:$K$5328,0)</f>
        <v>Federal University of Rio de Janeiro (+1 more)</v>
      </c>
      <c r="D1719">
        <v>2</v>
      </c>
      <c r="E1719">
        <v>4</v>
      </c>
      <c r="F1719">
        <v>2</v>
      </c>
      <c r="G1719">
        <v>2</v>
      </c>
      <c r="H1719">
        <v>1.1599999999999999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2</v>
      </c>
      <c r="P1719">
        <v>0</v>
      </c>
      <c r="Q1719">
        <v>0</v>
      </c>
      <c r="R1719">
        <v>0</v>
      </c>
      <c r="S1719">
        <v>0</v>
      </c>
    </row>
    <row r="1720" spans="1:19" hidden="1" x14ac:dyDescent="0.35">
      <c r="A1720">
        <v>57203003882</v>
      </c>
      <c r="B1720" t="s">
        <v>1728</v>
      </c>
      <c r="C1720" t="str">
        <f>_xlfn.XLOOKUP(A1720,[1]Affiliations!$J$2:$J$5328,[1]Affiliations!$K$2:$K$5328,0)</f>
        <v>Instituto Federal de Educação Ciência e Tecnologia da Paraíba</v>
      </c>
      <c r="D1720">
        <v>1</v>
      </c>
      <c r="E1720">
        <v>13</v>
      </c>
      <c r="F1720">
        <v>13</v>
      </c>
      <c r="G1720">
        <v>1</v>
      </c>
      <c r="H1720">
        <v>0.68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1</v>
      </c>
      <c r="P1720">
        <v>0</v>
      </c>
      <c r="Q1720">
        <v>0</v>
      </c>
      <c r="R1720">
        <v>0</v>
      </c>
      <c r="S1720">
        <v>0</v>
      </c>
    </row>
    <row r="1721" spans="1:19" x14ac:dyDescent="0.35">
      <c r="A1721">
        <v>57209534855</v>
      </c>
      <c r="B1721" t="s">
        <v>2231</v>
      </c>
      <c r="C1721" t="str">
        <f>_xlfn.XLOOKUP(A1721,[1]Affiliations!$J$2:$J$5328,[1]Affiliations!$K$2:$K$5328,0)</f>
        <v>Universidade Federal do Espírito Santo</v>
      </c>
      <c r="D1721">
        <v>21</v>
      </c>
      <c r="E1721">
        <v>368</v>
      </c>
      <c r="F1721">
        <v>17.523810000000001</v>
      </c>
      <c r="G1721">
        <v>12</v>
      </c>
      <c r="H1721">
        <v>1.08</v>
      </c>
      <c r="I1721">
        <v>0</v>
      </c>
      <c r="J1721">
        <v>5</v>
      </c>
      <c r="K1721">
        <v>8</v>
      </c>
      <c r="L1721">
        <v>14</v>
      </c>
      <c r="M1721">
        <v>17</v>
      </c>
      <c r="N1721">
        <v>19</v>
      </c>
      <c r="P1721">
        <v>0</v>
      </c>
      <c r="Q1721">
        <v>1</v>
      </c>
      <c r="R1721">
        <v>5</v>
      </c>
      <c r="S1721">
        <v>10</v>
      </c>
    </row>
    <row r="1722" spans="1:19" x14ac:dyDescent="0.35">
      <c r="A1722">
        <v>55402323600</v>
      </c>
      <c r="B1722" t="s">
        <v>2262</v>
      </c>
      <c r="C1722" t="str">
        <f>_xlfn.XLOOKUP(A1722,[1]Affiliations!$J$2:$J$5328,[1]Affiliations!$K$2:$K$5328,0)</f>
        <v>Universidade Federal Fluminense</v>
      </c>
      <c r="D1722">
        <v>60</v>
      </c>
      <c r="E1722">
        <v>1139</v>
      </c>
      <c r="F1722">
        <v>18.983333999999999</v>
      </c>
      <c r="G1722">
        <v>35</v>
      </c>
      <c r="H1722">
        <v>1.08</v>
      </c>
      <c r="I1722">
        <v>0</v>
      </c>
      <c r="J1722">
        <v>1</v>
      </c>
      <c r="K1722">
        <v>14</v>
      </c>
      <c r="L1722">
        <v>36</v>
      </c>
      <c r="M1722">
        <v>47</v>
      </c>
      <c r="N1722">
        <v>52</v>
      </c>
      <c r="P1722">
        <v>0</v>
      </c>
      <c r="Q1722">
        <v>1</v>
      </c>
      <c r="R1722">
        <v>10</v>
      </c>
      <c r="S1722">
        <v>19</v>
      </c>
    </row>
    <row r="1723" spans="1:19" hidden="1" x14ac:dyDescent="0.35">
      <c r="A1723">
        <v>36197856200</v>
      </c>
      <c r="B1723" t="s">
        <v>1731</v>
      </c>
      <c r="C1723" t="str">
        <f>_xlfn.XLOOKUP(A1723,[1]Affiliations!$J$2:$J$5328,[1]Affiliations!$K$2:$K$5328,0)</f>
        <v>Universidade Federal de Itajubá</v>
      </c>
      <c r="D1723">
        <v>33</v>
      </c>
      <c r="E1723">
        <v>167</v>
      </c>
      <c r="F1723">
        <v>5.0606059999999999</v>
      </c>
      <c r="G1723">
        <v>7</v>
      </c>
      <c r="H1723">
        <v>0.49</v>
      </c>
      <c r="I1723">
        <v>0</v>
      </c>
      <c r="J1723">
        <v>1</v>
      </c>
      <c r="K1723">
        <v>1</v>
      </c>
      <c r="L1723">
        <v>11</v>
      </c>
      <c r="M1723">
        <v>15</v>
      </c>
      <c r="N1723">
        <v>15</v>
      </c>
      <c r="P1723">
        <v>0</v>
      </c>
      <c r="Q1723">
        <v>0</v>
      </c>
      <c r="R1723">
        <v>0</v>
      </c>
      <c r="S1723">
        <v>5</v>
      </c>
    </row>
    <row r="1724" spans="1:19" x14ac:dyDescent="0.35">
      <c r="A1724">
        <v>56392485500</v>
      </c>
      <c r="B1724" t="s">
        <v>2452</v>
      </c>
      <c r="C1724" t="str">
        <f>_xlfn.XLOOKUP(A1724,[1]Affiliations!$J$2:$J$5328,[1]Affiliations!$K$2:$K$5328,0)</f>
        <v>Universidade Federal do Rio Grande do Sul</v>
      </c>
      <c r="D1724">
        <v>10</v>
      </c>
      <c r="E1724">
        <v>273</v>
      </c>
      <c r="F1724">
        <v>27.3</v>
      </c>
      <c r="G1724">
        <v>8</v>
      </c>
      <c r="H1724">
        <v>1.08</v>
      </c>
      <c r="I1724">
        <v>0</v>
      </c>
      <c r="J1724">
        <v>2</v>
      </c>
      <c r="K1724">
        <v>2</v>
      </c>
      <c r="L1724">
        <v>4</v>
      </c>
      <c r="M1724">
        <v>6</v>
      </c>
      <c r="N1724">
        <v>10</v>
      </c>
      <c r="P1724">
        <v>0</v>
      </c>
      <c r="Q1724">
        <v>1</v>
      </c>
      <c r="R1724">
        <v>2</v>
      </c>
      <c r="S1724">
        <v>4</v>
      </c>
    </row>
    <row r="1725" spans="1:19" hidden="1" x14ac:dyDescent="0.35">
      <c r="A1725">
        <v>57211654199</v>
      </c>
      <c r="B1725" t="s">
        <v>1733</v>
      </c>
      <c r="C1725" t="str">
        <f>_xlfn.XLOOKUP(A1725,[1]Affiliations!$J$2:$J$5328,[1]Affiliations!$K$2:$K$5328,0)</f>
        <v>Federal University of Rio de Janeiro</v>
      </c>
      <c r="D1725">
        <v>4</v>
      </c>
      <c r="E1725">
        <v>57</v>
      </c>
      <c r="F1725">
        <v>14.25</v>
      </c>
      <c r="G1725">
        <v>3</v>
      </c>
      <c r="H1725">
        <v>0.85</v>
      </c>
      <c r="I1725">
        <v>0</v>
      </c>
      <c r="J1725">
        <v>0</v>
      </c>
      <c r="K1725">
        <v>1</v>
      </c>
      <c r="L1725">
        <v>3</v>
      </c>
      <c r="M1725">
        <v>4</v>
      </c>
      <c r="N1725">
        <v>4</v>
      </c>
      <c r="P1725">
        <v>0</v>
      </c>
      <c r="Q1725">
        <v>0</v>
      </c>
      <c r="R1725">
        <v>0</v>
      </c>
      <c r="S1725">
        <v>2</v>
      </c>
    </row>
    <row r="1726" spans="1:19" hidden="1" x14ac:dyDescent="0.35">
      <c r="A1726">
        <v>59000376300</v>
      </c>
      <c r="B1726" t="s">
        <v>1734</v>
      </c>
      <c r="C1726" t="str">
        <f>_xlfn.XLOOKUP(A1726,[1]Affiliations!$J$2:$J$5328,[1]Affiliations!$K$2:$K$5328,0)</f>
        <v>VERDE ÁGUA SERVIÇOS DE APOIO LTDA</v>
      </c>
      <c r="D1726">
        <v>1</v>
      </c>
      <c r="E1726">
        <v>7</v>
      </c>
      <c r="F1726">
        <v>7</v>
      </c>
      <c r="G1726">
        <v>1</v>
      </c>
      <c r="H1726">
        <v>12.83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P1726">
        <v>0</v>
      </c>
      <c r="Q1726">
        <v>0</v>
      </c>
      <c r="R1726">
        <v>0</v>
      </c>
      <c r="S1726">
        <v>1</v>
      </c>
    </row>
    <row r="1727" spans="1:19" hidden="1" x14ac:dyDescent="0.35">
      <c r="A1727">
        <v>57683818000</v>
      </c>
      <c r="B1727" t="s">
        <v>1735</v>
      </c>
      <c r="C1727" t="str">
        <f>_xlfn.XLOOKUP(A1727,[1]Affiliations!$J$2:$J$5328,[1]Affiliations!$K$2:$K$5328,0)</f>
        <v>Universidade Federal do Rio Grande do Norte</v>
      </c>
      <c r="D1727">
        <v>1</v>
      </c>
      <c r="E1727">
        <v>23</v>
      </c>
      <c r="F1727">
        <v>23</v>
      </c>
      <c r="G1727">
        <v>1</v>
      </c>
      <c r="H1727">
        <v>2.0499999999999998</v>
      </c>
      <c r="I1727">
        <v>0</v>
      </c>
      <c r="J1727">
        <v>0</v>
      </c>
      <c r="K1727">
        <v>0</v>
      </c>
      <c r="L1727">
        <v>1</v>
      </c>
      <c r="M1727">
        <v>1</v>
      </c>
      <c r="N1727">
        <v>1</v>
      </c>
      <c r="P1727">
        <v>0</v>
      </c>
      <c r="Q1727">
        <v>0</v>
      </c>
      <c r="R1727">
        <v>0</v>
      </c>
      <c r="S1727">
        <v>1</v>
      </c>
    </row>
    <row r="1728" spans="1:19" hidden="1" x14ac:dyDescent="0.35">
      <c r="A1728">
        <v>58639482900</v>
      </c>
      <c r="B1728" t="s">
        <v>1736</v>
      </c>
      <c r="C1728" t="str">
        <f>_xlfn.XLOOKUP(A1728,[1]Affiliations!$J$2:$J$5328,[1]Affiliations!$K$2:$K$5328,0)</f>
        <v>Universidade Federal do Rio Grande do Sul</v>
      </c>
      <c r="D1728">
        <v>1</v>
      </c>
      <c r="E1728">
        <v>2</v>
      </c>
      <c r="F1728">
        <v>2</v>
      </c>
      <c r="G1728">
        <v>1</v>
      </c>
      <c r="H1728">
        <v>1.59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P1728">
        <v>0</v>
      </c>
      <c r="Q1728">
        <v>0</v>
      </c>
      <c r="R1728">
        <v>0</v>
      </c>
      <c r="S1728">
        <v>0</v>
      </c>
    </row>
    <row r="1729" spans="1:19" hidden="1" x14ac:dyDescent="0.35">
      <c r="A1729">
        <v>56340116500</v>
      </c>
      <c r="B1729" t="s">
        <v>1737</v>
      </c>
      <c r="C1729" t="str">
        <f>_xlfn.XLOOKUP(A1729,[1]Affiliations!$J$2:$J$5328,[1]Affiliations!$K$2:$K$5328,0)</f>
        <v>University of Campinas</v>
      </c>
      <c r="D1729">
        <v>1</v>
      </c>
      <c r="E1729">
        <v>1</v>
      </c>
      <c r="F1729">
        <v>1</v>
      </c>
      <c r="G1729">
        <v>1</v>
      </c>
      <c r="H1729">
        <v>0.08</v>
      </c>
      <c r="I1729">
        <v>0</v>
      </c>
      <c r="J1729">
        <v>0</v>
      </c>
      <c r="K1729">
        <v>0</v>
      </c>
      <c r="L1729">
        <v>0</v>
      </c>
      <c r="M1729">
        <v>1</v>
      </c>
      <c r="N1729">
        <v>1</v>
      </c>
      <c r="P1729">
        <v>0</v>
      </c>
      <c r="Q1729">
        <v>0</v>
      </c>
      <c r="R1729">
        <v>0</v>
      </c>
      <c r="S1729">
        <v>0</v>
      </c>
    </row>
    <row r="1730" spans="1:19" hidden="1" x14ac:dyDescent="0.35">
      <c r="A1730">
        <v>36605890400</v>
      </c>
      <c r="B1730" t="s">
        <v>1738</v>
      </c>
      <c r="C1730" t="str">
        <f>_xlfn.XLOOKUP(A1730,[1]Affiliations!$J$2:$J$5328,[1]Affiliations!$K$2:$K$5328,0)</f>
        <v>Federal University of Rio de Janeiro</v>
      </c>
      <c r="D1730">
        <v>8</v>
      </c>
      <c r="E1730">
        <v>55</v>
      </c>
      <c r="F1730">
        <v>6.875</v>
      </c>
      <c r="G1730">
        <v>4</v>
      </c>
      <c r="H1730">
        <v>0.43</v>
      </c>
      <c r="I1730">
        <v>0</v>
      </c>
      <c r="J1730">
        <v>0</v>
      </c>
      <c r="K1730">
        <v>0</v>
      </c>
      <c r="L1730">
        <v>3</v>
      </c>
      <c r="M1730">
        <v>4</v>
      </c>
      <c r="N1730">
        <v>7</v>
      </c>
      <c r="P1730">
        <v>0</v>
      </c>
      <c r="Q1730">
        <v>0</v>
      </c>
      <c r="R1730">
        <v>0</v>
      </c>
      <c r="S1730">
        <v>1</v>
      </c>
    </row>
    <row r="1731" spans="1:19" hidden="1" x14ac:dyDescent="0.35">
      <c r="A1731">
        <v>57194004281</v>
      </c>
      <c r="B1731" t="s">
        <v>1739</v>
      </c>
      <c r="C1731" t="str">
        <f>_xlfn.XLOOKUP(A1731,[1]Affiliations!$J$2:$J$5328,[1]Affiliations!$K$2:$K$5328,0)</f>
        <v>Federal University of Santa Catarina</v>
      </c>
      <c r="D1731">
        <v>7</v>
      </c>
      <c r="E1731">
        <v>79</v>
      </c>
      <c r="F1731">
        <v>11.285714</v>
      </c>
      <c r="G1731">
        <v>6</v>
      </c>
      <c r="H1731">
        <v>0.67</v>
      </c>
      <c r="I1731">
        <v>0</v>
      </c>
      <c r="J1731">
        <v>0</v>
      </c>
      <c r="K1731">
        <v>0</v>
      </c>
      <c r="L1731">
        <v>1</v>
      </c>
      <c r="M1731">
        <v>6</v>
      </c>
      <c r="N1731">
        <v>7</v>
      </c>
      <c r="P1731">
        <v>0</v>
      </c>
      <c r="Q1731">
        <v>0</v>
      </c>
      <c r="R1731">
        <v>0</v>
      </c>
      <c r="S1731">
        <v>4</v>
      </c>
    </row>
    <row r="1732" spans="1:19" hidden="1" x14ac:dyDescent="0.35">
      <c r="A1732">
        <v>22633706100</v>
      </c>
      <c r="B1732" t="s">
        <v>1740</v>
      </c>
      <c r="C1732" t="str">
        <f>_xlfn.XLOOKUP(A1732,[1]Affiliations!$J$2:$J$5328,[1]Affiliations!$K$2:$K$5328,0)</f>
        <v>Federal University of Pará</v>
      </c>
      <c r="D1732">
        <v>2</v>
      </c>
      <c r="E1732">
        <v>6</v>
      </c>
      <c r="F1732">
        <v>3</v>
      </c>
      <c r="G1732">
        <v>3</v>
      </c>
      <c r="H1732">
        <v>0.33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1</v>
      </c>
      <c r="P1732">
        <v>0</v>
      </c>
      <c r="Q1732">
        <v>0</v>
      </c>
      <c r="R1732">
        <v>0</v>
      </c>
      <c r="S1732">
        <v>0</v>
      </c>
    </row>
    <row r="1733" spans="1:19" hidden="1" x14ac:dyDescent="0.35">
      <c r="A1733">
        <v>57222551274</v>
      </c>
      <c r="B1733" t="s">
        <v>1741</v>
      </c>
      <c r="C1733" t="str">
        <f>_xlfn.XLOOKUP(A1733,[1]Affiliations!$J$2:$J$5328,[1]Affiliations!$K$2:$K$5328,0)</f>
        <v>Pontifical Catholic University of Rio de Janeiro (+1 more)</v>
      </c>
      <c r="D1733">
        <v>7</v>
      </c>
      <c r="E1733">
        <v>17</v>
      </c>
      <c r="F1733">
        <v>2.4285714999999999</v>
      </c>
      <c r="G1733">
        <v>3</v>
      </c>
      <c r="H1733">
        <v>0.33</v>
      </c>
      <c r="I1733">
        <v>0</v>
      </c>
      <c r="J1733">
        <v>1</v>
      </c>
      <c r="K1733">
        <v>2</v>
      </c>
      <c r="L1733">
        <v>3</v>
      </c>
      <c r="M1733">
        <v>3</v>
      </c>
      <c r="N1733">
        <v>4</v>
      </c>
      <c r="P1733">
        <v>0</v>
      </c>
      <c r="Q1733">
        <v>0</v>
      </c>
      <c r="R1733">
        <v>0</v>
      </c>
      <c r="S1733">
        <v>1</v>
      </c>
    </row>
    <row r="1734" spans="1:19" x14ac:dyDescent="0.35">
      <c r="A1734">
        <v>8337108300</v>
      </c>
      <c r="B1734" t="s">
        <v>2678</v>
      </c>
      <c r="C1734" t="str">
        <f>_xlfn.XLOOKUP(A1734,[1]Affiliations!$J$2:$J$5328,[1]Affiliations!$K$2:$K$5328,0)</f>
        <v>Universidade de São Paulo</v>
      </c>
      <c r="D1734">
        <v>32</v>
      </c>
      <c r="E1734">
        <v>614</v>
      </c>
      <c r="F1734">
        <v>19.1875</v>
      </c>
      <c r="G1734">
        <v>23</v>
      </c>
      <c r="H1734">
        <v>1.08</v>
      </c>
      <c r="I1734">
        <v>2</v>
      </c>
      <c r="J1734">
        <v>8</v>
      </c>
      <c r="K1734">
        <v>15</v>
      </c>
      <c r="L1734">
        <v>25</v>
      </c>
      <c r="M1734">
        <v>30</v>
      </c>
      <c r="N1734">
        <v>31</v>
      </c>
      <c r="P1734">
        <v>0</v>
      </c>
      <c r="Q1734">
        <v>0</v>
      </c>
      <c r="R1734">
        <v>2</v>
      </c>
      <c r="S1734">
        <v>13</v>
      </c>
    </row>
    <row r="1735" spans="1:19" hidden="1" x14ac:dyDescent="0.35">
      <c r="A1735">
        <v>57192869775</v>
      </c>
      <c r="B1735" t="s">
        <v>1743</v>
      </c>
      <c r="C1735" t="str">
        <f>_xlfn.XLOOKUP(A1735,[1]Affiliations!$J$2:$J$5328,[1]Affiliations!$K$2:$K$5328,0)</f>
        <v>Universidade Federal do Rio Grande do Sul (+1 more)</v>
      </c>
      <c r="D1735">
        <v>14</v>
      </c>
      <c r="E1735">
        <v>188</v>
      </c>
      <c r="F1735">
        <v>13.428572000000001</v>
      </c>
      <c r="G1735">
        <v>9</v>
      </c>
      <c r="H1735">
        <v>1.03</v>
      </c>
      <c r="I1735">
        <v>0</v>
      </c>
      <c r="J1735">
        <v>1</v>
      </c>
      <c r="K1735">
        <v>3</v>
      </c>
      <c r="L1735">
        <v>8</v>
      </c>
      <c r="M1735">
        <v>14</v>
      </c>
      <c r="N1735">
        <v>14</v>
      </c>
      <c r="P1735">
        <v>0</v>
      </c>
      <c r="Q1735">
        <v>0</v>
      </c>
      <c r="R1735">
        <v>0</v>
      </c>
      <c r="S1735">
        <v>6</v>
      </c>
    </row>
    <row r="1736" spans="1:19" hidden="1" x14ac:dyDescent="0.35">
      <c r="A1736">
        <v>35098536500</v>
      </c>
      <c r="B1736" t="s">
        <v>1744</v>
      </c>
      <c r="C1736" t="str">
        <f>_xlfn.XLOOKUP(A1736,[1]Affiliations!$J$2:$J$5328,[1]Affiliations!$K$2:$K$5328,0)</f>
        <v>Instituto Federal de Educação, Ciência e Tecnologia do Rio de Janeiro (+1 more)</v>
      </c>
      <c r="D1736">
        <v>5</v>
      </c>
      <c r="E1736">
        <v>56</v>
      </c>
      <c r="F1736">
        <v>11.2</v>
      </c>
      <c r="G1736">
        <v>7</v>
      </c>
      <c r="H1736">
        <v>0.31</v>
      </c>
      <c r="I1736">
        <v>0</v>
      </c>
      <c r="J1736">
        <v>0</v>
      </c>
      <c r="K1736">
        <v>0</v>
      </c>
      <c r="L1736">
        <v>1</v>
      </c>
      <c r="M1736">
        <v>2</v>
      </c>
      <c r="N1736">
        <v>3</v>
      </c>
      <c r="P1736">
        <v>0</v>
      </c>
      <c r="Q1736">
        <v>0</v>
      </c>
      <c r="R1736">
        <v>0</v>
      </c>
      <c r="S1736">
        <v>1</v>
      </c>
    </row>
    <row r="1737" spans="1:19" hidden="1" x14ac:dyDescent="0.35">
      <c r="A1737">
        <v>57435370200</v>
      </c>
      <c r="B1737" t="s">
        <v>1745</v>
      </c>
      <c r="C1737" t="str">
        <f>_xlfn.XLOOKUP(A1737,[1]Affiliations!$J$2:$J$5328,[1]Affiliations!$K$2:$K$5328,0)</f>
        <v>Universidade Federal de Goiás</v>
      </c>
      <c r="D1737">
        <v>1</v>
      </c>
      <c r="E1737">
        <v>42</v>
      </c>
      <c r="F1737">
        <v>42</v>
      </c>
      <c r="G1737">
        <v>1</v>
      </c>
      <c r="H1737">
        <v>3.92</v>
      </c>
      <c r="I1737">
        <v>0</v>
      </c>
      <c r="J1737">
        <v>1</v>
      </c>
      <c r="K1737">
        <v>1</v>
      </c>
      <c r="L1737">
        <v>1</v>
      </c>
      <c r="M1737">
        <v>1</v>
      </c>
      <c r="N1737">
        <v>1</v>
      </c>
      <c r="P1737">
        <v>0</v>
      </c>
      <c r="Q1737">
        <v>1</v>
      </c>
      <c r="R1737">
        <v>1</v>
      </c>
      <c r="S1737">
        <v>1</v>
      </c>
    </row>
    <row r="1738" spans="1:19" x14ac:dyDescent="0.35">
      <c r="A1738">
        <v>7103022316</v>
      </c>
      <c r="B1738" t="s">
        <v>2942</v>
      </c>
      <c r="C1738" t="str">
        <f>_xlfn.XLOOKUP(A1738,[1]Affiliations!$J$2:$J$5328,[1]Affiliations!$K$2:$K$5328,0)</f>
        <v>DEMa</v>
      </c>
      <c r="D1738">
        <v>535</v>
      </c>
      <c r="E1738">
        <v>12913</v>
      </c>
      <c r="F1738">
        <v>24.136448000000001</v>
      </c>
      <c r="G1738">
        <v>95</v>
      </c>
      <c r="H1738">
        <v>1.08</v>
      </c>
      <c r="I1738">
        <v>6</v>
      </c>
      <c r="J1738">
        <v>43</v>
      </c>
      <c r="K1738">
        <v>155</v>
      </c>
      <c r="L1738">
        <v>356</v>
      </c>
      <c r="M1738">
        <v>461</v>
      </c>
      <c r="N1738">
        <v>499</v>
      </c>
      <c r="P1738">
        <v>1</v>
      </c>
      <c r="Q1738">
        <v>26</v>
      </c>
      <c r="R1738">
        <v>89</v>
      </c>
      <c r="S1738">
        <v>295</v>
      </c>
    </row>
    <row r="1739" spans="1:19" hidden="1" x14ac:dyDescent="0.35">
      <c r="A1739">
        <v>57546525600</v>
      </c>
      <c r="B1739" t="s">
        <v>1747</v>
      </c>
      <c r="C1739" t="str">
        <f>_xlfn.XLOOKUP(A1739,[1]Affiliations!$J$2:$J$5328,[1]Affiliations!$K$2:$K$5328,0)</f>
        <v>Universidade de São Paulo</v>
      </c>
      <c r="D1739">
        <v>1</v>
      </c>
      <c r="E1739">
        <v>1</v>
      </c>
      <c r="F1739">
        <v>1</v>
      </c>
      <c r="G1739">
        <v>1</v>
      </c>
      <c r="H1739">
        <v>0.08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1</v>
      </c>
      <c r="P1739">
        <v>0</v>
      </c>
      <c r="Q1739">
        <v>0</v>
      </c>
      <c r="R1739">
        <v>0</v>
      </c>
      <c r="S1739">
        <v>0</v>
      </c>
    </row>
    <row r="1740" spans="1:19" hidden="1" x14ac:dyDescent="0.35">
      <c r="A1740">
        <v>60104476400</v>
      </c>
      <c r="B1740" t="s">
        <v>1748</v>
      </c>
      <c r="C1740" t="str">
        <f>_xlfn.XLOOKUP(A1740,[1]Affiliations!$J$2:$J$5328,[1]Affiliations!$K$2:$K$5328,0)</f>
        <v>Universidade Federal de Campina Grande</v>
      </c>
      <c r="D1740">
        <v>0</v>
      </c>
      <c r="G1740">
        <v>0</v>
      </c>
    </row>
    <row r="1741" spans="1:19" hidden="1" x14ac:dyDescent="0.35">
      <c r="A1741">
        <v>58813039200</v>
      </c>
      <c r="B1741" t="s">
        <v>1749</v>
      </c>
      <c r="C1741" t="str">
        <f>_xlfn.XLOOKUP(A1741,[1]Affiliations!$J$2:$J$5328,[1]Affiliations!$K$2:$K$5328,0)</f>
        <v>Universidade de Brasília</v>
      </c>
      <c r="D1741">
        <v>1</v>
      </c>
      <c r="E1741">
        <v>1</v>
      </c>
      <c r="F1741">
        <v>1</v>
      </c>
      <c r="G1741">
        <v>1</v>
      </c>
      <c r="H1741">
        <v>0.1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P1741">
        <v>0</v>
      </c>
      <c r="Q1741">
        <v>0</v>
      </c>
      <c r="R1741">
        <v>0</v>
      </c>
      <c r="S1741">
        <v>0</v>
      </c>
    </row>
    <row r="1742" spans="1:19" hidden="1" x14ac:dyDescent="0.35">
      <c r="A1742">
        <v>59115372700</v>
      </c>
      <c r="B1742" t="s">
        <v>1750</v>
      </c>
      <c r="C1742" t="str">
        <f>_xlfn.XLOOKUP(A1742,[1]Affiliations!$J$2:$J$5328,[1]Affiliations!$K$2:$K$5328,0)</f>
        <v>Universidade Federal Rural do Rio de Janeiro</v>
      </c>
      <c r="D1742">
        <v>1</v>
      </c>
      <c r="E1742">
        <v>2</v>
      </c>
      <c r="F1742">
        <v>2</v>
      </c>
      <c r="G1742">
        <v>1</v>
      </c>
      <c r="H1742">
        <v>0.27</v>
      </c>
      <c r="I1742">
        <v>0</v>
      </c>
      <c r="J1742">
        <v>0</v>
      </c>
      <c r="K1742">
        <v>0</v>
      </c>
      <c r="L1742">
        <v>1</v>
      </c>
      <c r="M1742">
        <v>1</v>
      </c>
      <c r="N1742">
        <v>1</v>
      </c>
      <c r="P1742">
        <v>0</v>
      </c>
      <c r="Q1742">
        <v>0</v>
      </c>
      <c r="R1742">
        <v>0</v>
      </c>
      <c r="S1742">
        <v>0</v>
      </c>
    </row>
    <row r="1743" spans="1:19" hidden="1" x14ac:dyDescent="0.35">
      <c r="A1743">
        <v>57200308338</v>
      </c>
      <c r="B1743" t="s">
        <v>1751</v>
      </c>
      <c r="C1743" t="str">
        <f>_xlfn.XLOOKUP(A1743,[1]Affiliations!$J$2:$J$5328,[1]Affiliations!$K$2:$K$5328,0)</f>
        <v>Vizlab - X-Reality and GeoInformatics Lab (+2 more)</v>
      </c>
      <c r="D1743">
        <v>12</v>
      </c>
      <c r="E1743">
        <v>69</v>
      </c>
      <c r="F1743">
        <v>5.75</v>
      </c>
      <c r="G1743">
        <v>5</v>
      </c>
      <c r="H1743">
        <v>0.54</v>
      </c>
      <c r="I1743">
        <v>1</v>
      </c>
      <c r="J1743">
        <v>2</v>
      </c>
      <c r="K1743">
        <v>2</v>
      </c>
      <c r="L1743">
        <v>5</v>
      </c>
      <c r="M1743">
        <v>8</v>
      </c>
      <c r="N1743">
        <v>11</v>
      </c>
      <c r="P1743">
        <v>0</v>
      </c>
      <c r="Q1743">
        <v>0</v>
      </c>
      <c r="R1743">
        <v>0</v>
      </c>
      <c r="S1743">
        <v>1</v>
      </c>
    </row>
    <row r="1744" spans="1:19" hidden="1" x14ac:dyDescent="0.35">
      <c r="A1744">
        <v>57155879400</v>
      </c>
      <c r="B1744" t="s">
        <v>1752</v>
      </c>
      <c r="C1744" t="str">
        <f>_xlfn.XLOOKUP(A1744,[1]Affiliations!$J$2:$J$5328,[1]Affiliations!$K$2:$K$5328,0)</f>
        <v>Universidade Federal do Espírito Santo</v>
      </c>
      <c r="D1744">
        <v>5</v>
      </c>
      <c r="E1744">
        <v>75</v>
      </c>
      <c r="F1744">
        <v>15</v>
      </c>
      <c r="G1744">
        <v>5</v>
      </c>
      <c r="H1744">
        <v>0.95</v>
      </c>
      <c r="I1744">
        <v>0</v>
      </c>
      <c r="J1744">
        <v>1</v>
      </c>
      <c r="K1744">
        <v>1</v>
      </c>
      <c r="L1744">
        <v>3</v>
      </c>
      <c r="M1744">
        <v>5</v>
      </c>
      <c r="N1744">
        <v>5</v>
      </c>
      <c r="P1744">
        <v>0</v>
      </c>
      <c r="Q1744">
        <v>0</v>
      </c>
      <c r="R1744">
        <v>0</v>
      </c>
      <c r="S1744">
        <v>3</v>
      </c>
    </row>
    <row r="1745" spans="1:19" hidden="1" x14ac:dyDescent="0.35">
      <c r="A1745">
        <v>60105583900</v>
      </c>
      <c r="B1745" t="s">
        <v>1753</v>
      </c>
      <c r="C1745" t="str">
        <f>_xlfn.XLOOKUP(A1745,[1]Affiliations!$J$2:$J$5328,[1]Affiliations!$K$2:$K$5328,0)</f>
        <v>Universidade Federal do Espírito Santo</v>
      </c>
      <c r="D1745">
        <v>0</v>
      </c>
      <c r="G1745">
        <v>1</v>
      </c>
    </row>
    <row r="1746" spans="1:19" x14ac:dyDescent="0.35">
      <c r="A1746">
        <v>57218297976</v>
      </c>
      <c r="B1746" t="s">
        <v>2966</v>
      </c>
      <c r="C1746" t="str">
        <f>_xlfn.XLOOKUP(A1746,[1]Affiliations!$J$2:$J$5328,[1]Affiliations!$K$2:$K$5328,0)</f>
        <v>Geological Survey of Brazil</v>
      </c>
      <c r="D1746">
        <v>7</v>
      </c>
      <c r="E1746">
        <v>132</v>
      </c>
      <c r="F1746">
        <v>18.857143000000001</v>
      </c>
      <c r="G1746">
        <v>6</v>
      </c>
      <c r="H1746">
        <v>1.08</v>
      </c>
      <c r="I1746">
        <v>0</v>
      </c>
      <c r="J1746">
        <v>1</v>
      </c>
      <c r="K1746">
        <v>4</v>
      </c>
      <c r="L1746">
        <v>5</v>
      </c>
      <c r="M1746">
        <v>7</v>
      </c>
      <c r="N1746">
        <v>7</v>
      </c>
      <c r="P1746">
        <v>0</v>
      </c>
      <c r="Q1746">
        <v>1</v>
      </c>
      <c r="R1746">
        <v>1</v>
      </c>
      <c r="S1746">
        <v>3</v>
      </c>
    </row>
    <row r="1747" spans="1:19" hidden="1" x14ac:dyDescent="0.35">
      <c r="A1747">
        <v>59714259100</v>
      </c>
      <c r="B1747" t="s">
        <v>1755</v>
      </c>
      <c r="C1747" t="str">
        <f>_xlfn.XLOOKUP(A1747,[1]Affiliations!$J$2:$J$5328,[1]Affiliations!$K$2:$K$5328,0)</f>
        <v>Federal University of Rio de Janeiro</v>
      </c>
      <c r="D1747">
        <v>0</v>
      </c>
      <c r="G1747">
        <v>1</v>
      </c>
    </row>
    <row r="1748" spans="1:19" x14ac:dyDescent="0.35">
      <c r="A1748">
        <v>54886224000</v>
      </c>
      <c r="B1748" t="s">
        <v>3030</v>
      </c>
      <c r="C1748" t="str">
        <f>_xlfn.XLOOKUP(A1748,[1]Affiliations!$J$2:$J$5328,[1]Affiliations!$K$2:$K$5328,0)</f>
        <v>Universidade Federal do Rio Grande do Norte</v>
      </c>
      <c r="D1748">
        <v>20</v>
      </c>
      <c r="E1748">
        <v>443</v>
      </c>
      <c r="F1748">
        <v>22.15</v>
      </c>
      <c r="G1748">
        <v>12</v>
      </c>
      <c r="H1748">
        <v>1.08</v>
      </c>
      <c r="I1748">
        <v>0</v>
      </c>
      <c r="J1748">
        <v>1</v>
      </c>
      <c r="K1748">
        <v>8</v>
      </c>
      <c r="L1748">
        <v>13</v>
      </c>
      <c r="M1748">
        <v>15</v>
      </c>
      <c r="N1748">
        <v>16</v>
      </c>
      <c r="P1748">
        <v>0</v>
      </c>
      <c r="Q1748">
        <v>1</v>
      </c>
      <c r="R1748">
        <v>4</v>
      </c>
      <c r="S1748">
        <v>10</v>
      </c>
    </row>
    <row r="1749" spans="1:19" hidden="1" x14ac:dyDescent="0.35">
      <c r="A1749">
        <v>36092476600</v>
      </c>
      <c r="B1749" t="s">
        <v>1757</v>
      </c>
      <c r="C1749" t="str">
        <f>_xlfn.XLOOKUP(A1749,[1]Affiliations!$J$2:$J$5328,[1]Affiliations!$K$2:$K$5328,0)</f>
        <v>Federal University of Rio de Janeiro</v>
      </c>
      <c r="D1749">
        <v>6</v>
      </c>
      <c r="E1749">
        <v>30</v>
      </c>
      <c r="F1749">
        <v>5</v>
      </c>
      <c r="G1749">
        <v>4</v>
      </c>
      <c r="H1749">
        <v>0.37</v>
      </c>
      <c r="I1749">
        <v>0</v>
      </c>
      <c r="J1749">
        <v>1</v>
      </c>
      <c r="K1749">
        <v>1</v>
      </c>
      <c r="L1749">
        <v>3</v>
      </c>
      <c r="M1749">
        <v>3</v>
      </c>
      <c r="N1749">
        <v>5</v>
      </c>
      <c r="P1749">
        <v>0</v>
      </c>
      <c r="Q1749">
        <v>0</v>
      </c>
      <c r="R1749">
        <v>0</v>
      </c>
      <c r="S1749">
        <v>0</v>
      </c>
    </row>
    <row r="1750" spans="1:19" hidden="1" x14ac:dyDescent="0.35">
      <c r="A1750">
        <v>56237612800</v>
      </c>
      <c r="B1750" t="s">
        <v>1758</v>
      </c>
      <c r="C1750" t="str">
        <f>_xlfn.XLOOKUP(A1750,[1]Affiliations!$J$2:$J$5328,[1]Affiliations!$K$2:$K$5328,0)</f>
        <v>Federal University of Rio de Janeiro</v>
      </c>
      <c r="D1750">
        <v>3</v>
      </c>
      <c r="E1750">
        <v>28</v>
      </c>
      <c r="F1750">
        <v>9.3333329999999997</v>
      </c>
      <c r="G1750">
        <v>4</v>
      </c>
      <c r="H1750">
        <v>0.33</v>
      </c>
      <c r="I1750">
        <v>0</v>
      </c>
      <c r="J1750">
        <v>0</v>
      </c>
      <c r="K1750">
        <v>2</v>
      </c>
      <c r="L1750">
        <v>3</v>
      </c>
      <c r="M1750">
        <v>3</v>
      </c>
      <c r="N1750">
        <v>3</v>
      </c>
      <c r="P1750">
        <v>0</v>
      </c>
      <c r="Q1750">
        <v>0</v>
      </c>
      <c r="R1750">
        <v>0</v>
      </c>
      <c r="S1750">
        <v>0</v>
      </c>
    </row>
    <row r="1751" spans="1:19" x14ac:dyDescent="0.35">
      <c r="A1751">
        <v>56234856100</v>
      </c>
      <c r="B1751" t="s">
        <v>3186</v>
      </c>
      <c r="C1751" t="str">
        <f>_xlfn.XLOOKUP(A1751,[1]Affiliations!$J$2:$J$5328,[1]Affiliations!$K$2:$K$5328,0)</f>
        <v>Universidade Federal do Espírito Santo</v>
      </c>
      <c r="D1751">
        <v>33</v>
      </c>
      <c r="E1751">
        <v>922</v>
      </c>
      <c r="F1751">
        <v>27.939394</v>
      </c>
      <c r="G1751">
        <v>24</v>
      </c>
      <c r="H1751">
        <v>1.08</v>
      </c>
      <c r="I1751">
        <v>0</v>
      </c>
      <c r="J1751">
        <v>3</v>
      </c>
      <c r="K1751">
        <v>12</v>
      </c>
      <c r="L1751">
        <v>18</v>
      </c>
      <c r="M1751">
        <v>29</v>
      </c>
      <c r="N1751">
        <v>32</v>
      </c>
      <c r="P1751">
        <v>0</v>
      </c>
      <c r="Q1751">
        <v>3</v>
      </c>
      <c r="R1751">
        <v>6</v>
      </c>
      <c r="S1751">
        <v>14</v>
      </c>
    </row>
    <row r="1752" spans="1:19" hidden="1" x14ac:dyDescent="0.35">
      <c r="A1752">
        <v>56818606800</v>
      </c>
      <c r="B1752" t="s">
        <v>1760</v>
      </c>
      <c r="C1752" t="str">
        <f>_xlfn.XLOOKUP(A1752,[1]Affiliations!$J$2:$J$5328,[1]Affiliations!$K$2:$K$5328,0)</f>
        <v>Federal University of Rio de Janeiro</v>
      </c>
      <c r="D1752">
        <v>4</v>
      </c>
      <c r="E1752">
        <v>115</v>
      </c>
      <c r="F1752">
        <v>28.75</v>
      </c>
      <c r="G1752">
        <v>4</v>
      </c>
      <c r="H1752">
        <v>0.66</v>
      </c>
      <c r="I1752">
        <v>0</v>
      </c>
      <c r="J1752">
        <v>0</v>
      </c>
      <c r="K1752">
        <v>0</v>
      </c>
      <c r="L1752">
        <v>2</v>
      </c>
      <c r="M1752">
        <v>4</v>
      </c>
      <c r="N1752">
        <v>4</v>
      </c>
      <c r="P1752">
        <v>0</v>
      </c>
      <c r="Q1752">
        <v>0</v>
      </c>
      <c r="R1752">
        <v>1</v>
      </c>
      <c r="S1752">
        <v>2</v>
      </c>
    </row>
    <row r="1753" spans="1:19" hidden="1" x14ac:dyDescent="0.35">
      <c r="A1753">
        <v>57204938478</v>
      </c>
      <c r="B1753" t="s">
        <v>1761</v>
      </c>
      <c r="C1753" t="str">
        <f>_xlfn.XLOOKUP(A1753,[1]Affiliations!$J$2:$J$5328,[1]Affiliations!$K$2:$K$5328,0)</f>
        <v>LAMEMO - Modelling Methods in Engineering and Geophysics Laboratory (+1 more)</v>
      </c>
      <c r="D1753">
        <v>2</v>
      </c>
      <c r="E1753">
        <v>4</v>
      </c>
      <c r="F1753">
        <v>2</v>
      </c>
      <c r="G1753">
        <v>1</v>
      </c>
      <c r="H1753">
        <v>0.19</v>
      </c>
      <c r="I1753">
        <v>0</v>
      </c>
      <c r="J1753">
        <v>0</v>
      </c>
      <c r="K1753">
        <v>0</v>
      </c>
      <c r="L1753">
        <v>1</v>
      </c>
      <c r="M1753">
        <v>2</v>
      </c>
      <c r="N1753">
        <v>2</v>
      </c>
      <c r="P1753">
        <v>0</v>
      </c>
      <c r="Q1753">
        <v>0</v>
      </c>
      <c r="R1753">
        <v>0</v>
      </c>
      <c r="S1753">
        <v>0</v>
      </c>
    </row>
    <row r="1754" spans="1:19" hidden="1" x14ac:dyDescent="0.35">
      <c r="A1754">
        <v>57218327989</v>
      </c>
      <c r="B1754" t="s">
        <v>1762</v>
      </c>
      <c r="C1754" t="str">
        <f>_xlfn.XLOOKUP(A1754,[1]Affiliations!$J$2:$J$5328,[1]Affiliations!$K$2:$K$5328,0)</f>
        <v>Pontifical Catholic University of Rio de Janeiro</v>
      </c>
      <c r="D1754">
        <v>1</v>
      </c>
      <c r="E1754">
        <v>9</v>
      </c>
      <c r="F1754">
        <v>9</v>
      </c>
      <c r="G1754">
        <v>1</v>
      </c>
      <c r="H1754">
        <v>0.33</v>
      </c>
      <c r="I1754">
        <v>0</v>
      </c>
      <c r="J1754">
        <v>1</v>
      </c>
      <c r="K1754">
        <v>1</v>
      </c>
      <c r="L1754">
        <v>1</v>
      </c>
      <c r="M1754">
        <v>1</v>
      </c>
      <c r="N1754">
        <v>1</v>
      </c>
      <c r="P1754">
        <v>0</v>
      </c>
      <c r="Q1754">
        <v>0</v>
      </c>
      <c r="R1754">
        <v>0</v>
      </c>
      <c r="S1754">
        <v>0</v>
      </c>
    </row>
    <row r="1755" spans="1:19" hidden="1" x14ac:dyDescent="0.35">
      <c r="A1755">
        <v>56957702700</v>
      </c>
      <c r="B1755" t="s">
        <v>1763</v>
      </c>
      <c r="C1755" t="str">
        <f>_xlfn.XLOOKUP(A1755,[1]Affiliations!$J$2:$J$5328,[1]Affiliations!$K$2:$K$5328,0)</f>
        <v>University of Campinas</v>
      </c>
      <c r="D1755">
        <v>6</v>
      </c>
      <c r="E1755">
        <v>59</v>
      </c>
      <c r="F1755">
        <v>9.8333329999999997</v>
      </c>
      <c r="G1755">
        <v>5</v>
      </c>
      <c r="H1755">
        <v>0.41</v>
      </c>
      <c r="I1755">
        <v>0</v>
      </c>
      <c r="J1755">
        <v>0</v>
      </c>
      <c r="K1755">
        <v>3</v>
      </c>
      <c r="L1755">
        <v>6</v>
      </c>
      <c r="M1755">
        <v>6</v>
      </c>
      <c r="N1755">
        <v>6</v>
      </c>
      <c r="P1755">
        <v>0</v>
      </c>
      <c r="Q1755">
        <v>0</v>
      </c>
      <c r="R1755">
        <v>0</v>
      </c>
      <c r="S1755">
        <v>0</v>
      </c>
    </row>
    <row r="1756" spans="1:19" hidden="1" x14ac:dyDescent="0.35">
      <c r="A1756">
        <v>57416048100</v>
      </c>
      <c r="B1756" t="s">
        <v>1764</v>
      </c>
      <c r="C1756" t="str">
        <f>_xlfn.XLOOKUP(A1756,[1]Affiliations!$J$2:$J$5328,[1]Affiliations!$K$2:$K$5328,0)</f>
        <v>Federal University of Santa Catarina</v>
      </c>
      <c r="D1756">
        <v>1</v>
      </c>
      <c r="E1756">
        <v>37</v>
      </c>
      <c r="F1756">
        <v>37</v>
      </c>
      <c r="G1756">
        <v>1</v>
      </c>
      <c r="H1756">
        <v>0.87</v>
      </c>
      <c r="I1756">
        <v>0</v>
      </c>
      <c r="J1756">
        <v>0</v>
      </c>
      <c r="K1756">
        <v>1</v>
      </c>
      <c r="L1756">
        <v>1</v>
      </c>
      <c r="M1756">
        <v>1</v>
      </c>
      <c r="N1756">
        <v>1</v>
      </c>
      <c r="P1756">
        <v>0</v>
      </c>
      <c r="Q1756">
        <v>0</v>
      </c>
      <c r="R1756">
        <v>1</v>
      </c>
      <c r="S1756">
        <v>1</v>
      </c>
    </row>
    <row r="1757" spans="1:19" x14ac:dyDescent="0.35">
      <c r="A1757">
        <v>6701901312</v>
      </c>
      <c r="B1757" t="s">
        <v>3206</v>
      </c>
      <c r="C1757" t="str">
        <f>_xlfn.XLOOKUP(A1757,[1]Affiliations!$J$2:$J$5328,[1]Affiliations!$K$2:$K$5328,0)</f>
        <v>University of Campinas</v>
      </c>
      <c r="D1757">
        <v>42</v>
      </c>
      <c r="E1757">
        <v>528</v>
      </c>
      <c r="F1757">
        <v>12.571427999999999</v>
      </c>
      <c r="G1757">
        <v>17</v>
      </c>
      <c r="H1757">
        <v>1.08</v>
      </c>
      <c r="I1757">
        <v>0</v>
      </c>
      <c r="J1757">
        <v>1</v>
      </c>
      <c r="K1757">
        <v>7</v>
      </c>
      <c r="L1757">
        <v>22</v>
      </c>
      <c r="M1757">
        <v>32</v>
      </c>
      <c r="N1757">
        <v>33</v>
      </c>
      <c r="P1757">
        <v>0</v>
      </c>
      <c r="Q1757">
        <v>1</v>
      </c>
      <c r="R1757">
        <v>2</v>
      </c>
      <c r="S1757">
        <v>7</v>
      </c>
    </row>
    <row r="1758" spans="1:19" x14ac:dyDescent="0.35">
      <c r="A1758">
        <v>36053028000</v>
      </c>
      <c r="B1758" t="s">
        <v>3455</v>
      </c>
      <c r="C1758" t="str">
        <f>_xlfn.XLOOKUP(A1758,[1]Affiliations!$J$2:$J$5328,[1]Affiliations!$K$2:$K$5328,0)</f>
        <v>Universidade Federal Fluminense</v>
      </c>
      <c r="D1758">
        <v>29</v>
      </c>
      <c r="E1758">
        <v>112</v>
      </c>
      <c r="F1758">
        <v>3.862069</v>
      </c>
      <c r="G1758">
        <v>8</v>
      </c>
      <c r="H1758">
        <v>1.08</v>
      </c>
      <c r="I1758">
        <v>0</v>
      </c>
      <c r="J1758">
        <v>3</v>
      </c>
      <c r="K1758">
        <v>5</v>
      </c>
      <c r="L1758">
        <v>6</v>
      </c>
      <c r="M1758">
        <v>12</v>
      </c>
      <c r="N1758">
        <v>17</v>
      </c>
      <c r="P1758">
        <v>0</v>
      </c>
      <c r="Q1758">
        <v>0</v>
      </c>
      <c r="R1758">
        <v>1</v>
      </c>
      <c r="S1758">
        <v>3</v>
      </c>
    </row>
    <row r="1759" spans="1:19" x14ac:dyDescent="0.35">
      <c r="A1759">
        <v>6602947855</v>
      </c>
      <c r="B1759" t="s">
        <v>3801</v>
      </c>
      <c r="C1759" t="str">
        <f>_xlfn.XLOOKUP(A1759,[1]Affiliations!$J$2:$J$5328,[1]Affiliations!$K$2:$K$5328,0)</f>
        <v>Federal University of Rio de Janeiro</v>
      </c>
      <c r="D1759">
        <v>69</v>
      </c>
      <c r="E1759">
        <v>2192</v>
      </c>
      <c r="F1759">
        <v>31.768115999999999</v>
      </c>
      <c r="G1759">
        <v>35</v>
      </c>
      <c r="H1759">
        <v>1.08</v>
      </c>
      <c r="I1759">
        <v>5</v>
      </c>
      <c r="J1759">
        <v>10</v>
      </c>
      <c r="K1759">
        <v>23</v>
      </c>
      <c r="L1759">
        <v>48</v>
      </c>
      <c r="M1759">
        <v>63</v>
      </c>
      <c r="N1759">
        <v>67</v>
      </c>
      <c r="P1759">
        <v>0</v>
      </c>
      <c r="Q1759">
        <v>6</v>
      </c>
      <c r="R1759">
        <v>13</v>
      </c>
      <c r="S1759">
        <v>46</v>
      </c>
    </row>
    <row r="1760" spans="1:19" hidden="1" x14ac:dyDescent="0.35">
      <c r="A1760">
        <v>7102117031</v>
      </c>
      <c r="B1760" t="s">
        <v>1768</v>
      </c>
      <c r="C1760" t="str">
        <f>_xlfn.XLOOKUP(A1760,[1]Affiliations!$J$2:$J$5328,[1]Affiliations!$K$2:$K$5328,0)</f>
        <v>Universidade Federal Rural do Rio de Janeiro</v>
      </c>
      <c r="D1760">
        <v>18</v>
      </c>
      <c r="E1760">
        <v>248</v>
      </c>
      <c r="F1760">
        <v>13.777778</v>
      </c>
      <c r="G1760">
        <v>14</v>
      </c>
      <c r="H1760">
        <v>0.52</v>
      </c>
      <c r="I1760">
        <v>0</v>
      </c>
      <c r="J1760">
        <v>0</v>
      </c>
      <c r="K1760">
        <v>2</v>
      </c>
      <c r="L1760">
        <v>4</v>
      </c>
      <c r="M1760">
        <v>10</v>
      </c>
      <c r="N1760">
        <v>16</v>
      </c>
      <c r="P1760">
        <v>0</v>
      </c>
      <c r="Q1760">
        <v>0</v>
      </c>
      <c r="R1760">
        <v>0</v>
      </c>
      <c r="S1760">
        <v>5</v>
      </c>
    </row>
    <row r="1761" spans="1:19" x14ac:dyDescent="0.35">
      <c r="A1761">
        <v>55427792800</v>
      </c>
      <c r="B1761" t="s">
        <v>3985</v>
      </c>
      <c r="C1761" t="str">
        <f>_xlfn.XLOOKUP(A1761,[1]Affiliations!$J$2:$J$5328,[1]Affiliations!$K$2:$K$5328,0)</f>
        <v>Federal University of Rio de Janeiro</v>
      </c>
      <c r="D1761">
        <v>31</v>
      </c>
      <c r="E1761">
        <v>580</v>
      </c>
      <c r="F1761">
        <v>18.709676999999999</v>
      </c>
      <c r="G1761">
        <v>15</v>
      </c>
      <c r="H1761">
        <v>1.08</v>
      </c>
      <c r="I1761">
        <v>1</v>
      </c>
      <c r="J1761">
        <v>2</v>
      </c>
      <c r="K1761">
        <v>4</v>
      </c>
      <c r="L1761">
        <v>15</v>
      </c>
      <c r="M1761">
        <v>22</v>
      </c>
      <c r="N1761">
        <v>28</v>
      </c>
      <c r="P1761">
        <v>0</v>
      </c>
      <c r="Q1761">
        <v>1</v>
      </c>
      <c r="R1761">
        <v>4</v>
      </c>
      <c r="S1761">
        <v>15</v>
      </c>
    </row>
    <row r="1762" spans="1:19" hidden="1" x14ac:dyDescent="0.35">
      <c r="A1762">
        <v>57219355150</v>
      </c>
      <c r="B1762" t="s">
        <v>1770</v>
      </c>
      <c r="C1762" t="str">
        <f>_xlfn.XLOOKUP(A1762,[1]Affiliations!$J$2:$J$5328,[1]Affiliations!$K$2:$K$5328,0)</f>
        <v>Universidade do Estado do Rio de Janeiro</v>
      </c>
      <c r="D1762">
        <v>2</v>
      </c>
      <c r="E1762">
        <v>3</v>
      </c>
      <c r="F1762">
        <v>1.5</v>
      </c>
      <c r="G1762">
        <v>1</v>
      </c>
      <c r="H1762">
        <v>0.03</v>
      </c>
      <c r="I1762">
        <v>0</v>
      </c>
      <c r="J1762">
        <v>0</v>
      </c>
      <c r="K1762">
        <v>0</v>
      </c>
      <c r="L1762">
        <v>0</v>
      </c>
      <c r="M1762">
        <v>1</v>
      </c>
      <c r="N1762">
        <v>2</v>
      </c>
      <c r="P1762">
        <v>0</v>
      </c>
      <c r="Q1762">
        <v>0</v>
      </c>
      <c r="R1762">
        <v>0</v>
      </c>
      <c r="S1762">
        <v>0</v>
      </c>
    </row>
    <row r="1763" spans="1:19" x14ac:dyDescent="0.35">
      <c r="A1763">
        <v>6602114865</v>
      </c>
      <c r="B1763" t="s">
        <v>4308</v>
      </c>
      <c r="C1763" t="str">
        <f>_xlfn.XLOOKUP(A1763,[1]Affiliations!$J$2:$J$5328,[1]Affiliations!$K$2:$K$5328,0)</f>
        <v>Pontifical Catholic University of Rio de Janeiro (+1 more)</v>
      </c>
      <c r="D1763">
        <v>115</v>
      </c>
      <c r="E1763">
        <v>1518</v>
      </c>
      <c r="F1763">
        <v>13.2</v>
      </c>
      <c r="G1763">
        <v>23</v>
      </c>
      <c r="H1763">
        <v>1.08</v>
      </c>
      <c r="I1763">
        <v>1</v>
      </c>
      <c r="J1763">
        <v>17</v>
      </c>
      <c r="K1763">
        <v>41</v>
      </c>
      <c r="L1763">
        <v>59</v>
      </c>
      <c r="M1763">
        <v>60</v>
      </c>
      <c r="N1763">
        <v>62</v>
      </c>
      <c r="P1763">
        <v>0</v>
      </c>
      <c r="Q1763">
        <v>4</v>
      </c>
      <c r="R1763">
        <v>11</v>
      </c>
      <c r="S1763">
        <v>36</v>
      </c>
    </row>
    <row r="1764" spans="1:19" hidden="1" x14ac:dyDescent="0.35">
      <c r="A1764">
        <v>59420159500</v>
      </c>
      <c r="B1764" t="s">
        <v>1772</v>
      </c>
      <c r="C1764" t="str">
        <f>_xlfn.XLOOKUP(A1764,[1]Affiliations!$J$2:$J$5328,[1]Affiliations!$K$2:$K$5328,0)</f>
        <v>Federal University of Rio de Janeiro</v>
      </c>
      <c r="D1764">
        <v>1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P1764">
        <v>0</v>
      </c>
      <c r="Q1764">
        <v>0</v>
      </c>
      <c r="R1764">
        <v>0</v>
      </c>
      <c r="S1764">
        <v>0</v>
      </c>
    </row>
    <row r="1765" spans="1:19" hidden="1" x14ac:dyDescent="0.35">
      <c r="A1765">
        <v>57192275098</v>
      </c>
      <c r="B1765" t="s">
        <v>1773</v>
      </c>
      <c r="C1765" t="str">
        <f>_xlfn.XLOOKUP(A1765,[1]Affiliations!$J$2:$J$5328,[1]Affiliations!$K$2:$K$5328,0)</f>
        <v>Federal University of Santa Catarina</v>
      </c>
      <c r="D1765">
        <v>6</v>
      </c>
      <c r="E1765">
        <v>83</v>
      </c>
      <c r="F1765">
        <v>13.833333</v>
      </c>
      <c r="G1765">
        <v>5</v>
      </c>
      <c r="H1765">
        <v>0.57999999999999996</v>
      </c>
      <c r="I1765">
        <v>0</v>
      </c>
      <c r="J1765">
        <v>1</v>
      </c>
      <c r="K1765">
        <v>3</v>
      </c>
      <c r="L1765">
        <v>4</v>
      </c>
      <c r="M1765">
        <v>4</v>
      </c>
      <c r="N1765">
        <v>4</v>
      </c>
      <c r="P1765">
        <v>0</v>
      </c>
      <c r="Q1765">
        <v>0</v>
      </c>
      <c r="R1765">
        <v>0</v>
      </c>
      <c r="S1765">
        <v>3</v>
      </c>
    </row>
    <row r="1766" spans="1:19" hidden="1" x14ac:dyDescent="0.35">
      <c r="A1766">
        <v>59158678000</v>
      </c>
      <c r="B1766" t="s">
        <v>1774</v>
      </c>
      <c r="C1766" t="str">
        <f>_xlfn.XLOOKUP(A1766,[1]Affiliations!$J$2:$J$5328,[1]Affiliations!$K$2:$K$5328,0)</f>
        <v>Universidade Tecnológica Federal do Paraná</v>
      </c>
      <c r="D1766">
        <v>4</v>
      </c>
      <c r="E1766">
        <v>14</v>
      </c>
      <c r="F1766">
        <v>3.5</v>
      </c>
      <c r="G1766">
        <v>2</v>
      </c>
      <c r="H1766">
        <v>0.43</v>
      </c>
      <c r="I1766">
        <v>1</v>
      </c>
      <c r="J1766">
        <v>1</v>
      </c>
      <c r="K1766">
        <v>2</v>
      </c>
      <c r="L1766">
        <v>2</v>
      </c>
      <c r="M1766">
        <v>2</v>
      </c>
      <c r="N1766">
        <v>2</v>
      </c>
      <c r="P1766">
        <v>0</v>
      </c>
      <c r="Q1766">
        <v>0</v>
      </c>
      <c r="R1766">
        <v>0</v>
      </c>
      <c r="S1766">
        <v>1</v>
      </c>
    </row>
    <row r="1767" spans="1:19" x14ac:dyDescent="0.35">
      <c r="A1767">
        <v>57217155322</v>
      </c>
      <c r="B1767" t="s">
        <v>4531</v>
      </c>
      <c r="C1767" t="str">
        <f>_xlfn.XLOOKUP(A1767,[1]Affiliations!$J$2:$J$5328,[1]Affiliations!$K$2:$K$5328,0)</f>
        <v>University of Campinas</v>
      </c>
      <c r="D1767">
        <v>6</v>
      </c>
      <c r="E1767">
        <v>124</v>
      </c>
      <c r="F1767">
        <v>20.666665999999999</v>
      </c>
      <c r="G1767">
        <v>3</v>
      </c>
      <c r="H1767">
        <v>1.08</v>
      </c>
      <c r="I1767">
        <v>0</v>
      </c>
      <c r="J1767">
        <v>0</v>
      </c>
      <c r="K1767">
        <v>1</v>
      </c>
      <c r="L1767">
        <v>4</v>
      </c>
      <c r="M1767">
        <v>4</v>
      </c>
      <c r="N1767">
        <v>5</v>
      </c>
      <c r="P1767">
        <v>0</v>
      </c>
      <c r="Q1767">
        <v>1</v>
      </c>
      <c r="R1767">
        <v>1</v>
      </c>
      <c r="S1767">
        <v>2</v>
      </c>
    </row>
    <row r="1768" spans="1:19" x14ac:dyDescent="0.35">
      <c r="A1768">
        <v>57188711784</v>
      </c>
      <c r="B1768" t="s">
        <v>4548</v>
      </c>
      <c r="C1768" t="str">
        <f>_xlfn.XLOOKUP(A1768,[1]Affiliations!$J$2:$J$5328,[1]Affiliations!$K$2:$K$5328,0)</f>
        <v>University of Campinas</v>
      </c>
      <c r="D1768">
        <v>14</v>
      </c>
      <c r="E1768">
        <v>285</v>
      </c>
      <c r="F1768">
        <v>20.357143000000001</v>
      </c>
      <c r="G1768">
        <v>9</v>
      </c>
      <c r="H1768">
        <v>1.08</v>
      </c>
      <c r="I1768">
        <v>4</v>
      </c>
      <c r="J1768">
        <v>9</v>
      </c>
      <c r="K1768">
        <v>11</v>
      </c>
      <c r="L1768">
        <v>12</v>
      </c>
      <c r="M1768">
        <v>12</v>
      </c>
      <c r="N1768">
        <v>14</v>
      </c>
      <c r="P1768">
        <v>0</v>
      </c>
      <c r="Q1768">
        <v>1</v>
      </c>
      <c r="R1768">
        <v>3</v>
      </c>
      <c r="S1768">
        <v>7</v>
      </c>
    </row>
    <row r="1769" spans="1:19" x14ac:dyDescent="0.35">
      <c r="A1769">
        <v>6507709088</v>
      </c>
      <c r="B1769" t="s">
        <v>4831</v>
      </c>
      <c r="C1769" t="str">
        <f>_xlfn.XLOOKUP(A1769,[1]Affiliations!$J$2:$J$5328,[1]Affiliations!$K$2:$K$5328,0)</f>
        <v>Universidade de São Paulo</v>
      </c>
      <c r="D1769">
        <v>35</v>
      </c>
      <c r="E1769">
        <v>523</v>
      </c>
      <c r="F1769">
        <v>14.942857</v>
      </c>
      <c r="G1769">
        <v>25</v>
      </c>
      <c r="H1769">
        <v>1.08</v>
      </c>
      <c r="I1769">
        <v>3</v>
      </c>
      <c r="J1769">
        <v>9</v>
      </c>
      <c r="K1769">
        <v>14</v>
      </c>
      <c r="L1769">
        <v>18</v>
      </c>
      <c r="M1769">
        <v>30</v>
      </c>
      <c r="N1769">
        <v>35</v>
      </c>
      <c r="P1769">
        <v>0</v>
      </c>
      <c r="Q1769">
        <v>1</v>
      </c>
      <c r="R1769">
        <v>4</v>
      </c>
      <c r="S1769">
        <v>14</v>
      </c>
    </row>
    <row r="1770" spans="1:19" hidden="1" x14ac:dyDescent="0.35">
      <c r="A1770">
        <v>59520553600</v>
      </c>
      <c r="B1770" t="s">
        <v>1778</v>
      </c>
      <c r="C1770" t="str">
        <f>_xlfn.XLOOKUP(A1770,[1]Affiliations!$J$2:$J$5328,[1]Affiliations!$K$2:$K$5328,0)</f>
        <v>Universidade Federal de Campina Grande</v>
      </c>
      <c r="D1770">
        <v>1</v>
      </c>
      <c r="E1770">
        <v>0</v>
      </c>
      <c r="F1770">
        <v>0</v>
      </c>
      <c r="G1770">
        <v>0</v>
      </c>
      <c r="H1770">
        <v>0</v>
      </c>
      <c r="P1770">
        <v>0</v>
      </c>
      <c r="Q1770">
        <v>0</v>
      </c>
      <c r="R1770">
        <v>0</v>
      </c>
      <c r="S1770">
        <v>0</v>
      </c>
    </row>
    <row r="1771" spans="1:19" hidden="1" x14ac:dyDescent="0.35">
      <c r="A1771">
        <v>59895495500</v>
      </c>
      <c r="B1771" t="s">
        <v>1779</v>
      </c>
      <c r="C1771" t="str">
        <f>_xlfn.XLOOKUP(A1771,[1]Affiliations!$J$2:$J$5328,[1]Affiliations!$K$2:$K$5328,0)</f>
        <v>Universidade Federal de Alagoas</v>
      </c>
      <c r="D1771">
        <v>0</v>
      </c>
      <c r="G1771">
        <v>1</v>
      </c>
    </row>
    <row r="1772" spans="1:19" x14ac:dyDescent="0.35">
      <c r="A1772">
        <v>56898940400</v>
      </c>
      <c r="B1772" t="s">
        <v>5052</v>
      </c>
      <c r="C1772" t="str">
        <f>_xlfn.XLOOKUP(A1772,[1]Affiliations!$J$2:$J$5328,[1]Affiliations!$K$2:$K$5328,0)</f>
        <v>Universidade de São Paulo</v>
      </c>
      <c r="D1772">
        <v>9</v>
      </c>
      <c r="E1772">
        <v>197</v>
      </c>
      <c r="F1772">
        <v>21.88889</v>
      </c>
      <c r="G1772">
        <v>6</v>
      </c>
      <c r="H1772">
        <v>1.08</v>
      </c>
      <c r="I1772">
        <v>1</v>
      </c>
      <c r="J1772">
        <v>1</v>
      </c>
      <c r="K1772">
        <v>2</v>
      </c>
      <c r="L1772">
        <v>5</v>
      </c>
      <c r="M1772">
        <v>6</v>
      </c>
      <c r="N1772">
        <v>9</v>
      </c>
      <c r="P1772">
        <v>0</v>
      </c>
      <c r="Q1772">
        <v>0</v>
      </c>
      <c r="R1772">
        <v>3</v>
      </c>
      <c r="S1772">
        <v>5</v>
      </c>
    </row>
    <row r="1773" spans="1:19" hidden="1" x14ac:dyDescent="0.35">
      <c r="A1773">
        <v>35232967400</v>
      </c>
      <c r="B1773" t="s">
        <v>1781</v>
      </c>
      <c r="C1773" t="str">
        <f>_xlfn.XLOOKUP(A1773,[1]Affiliations!$J$2:$J$5328,[1]Affiliations!$K$2:$K$5328,0)</f>
        <v>Regional University of Blumenau - FURB</v>
      </c>
      <c r="D1773">
        <v>18</v>
      </c>
      <c r="E1773">
        <v>256</v>
      </c>
      <c r="F1773">
        <v>14.222222</v>
      </c>
      <c r="G1773">
        <v>9</v>
      </c>
      <c r="H1773">
        <v>0.48</v>
      </c>
      <c r="I1773">
        <v>0</v>
      </c>
      <c r="J1773">
        <v>0</v>
      </c>
      <c r="K1773">
        <v>0</v>
      </c>
      <c r="L1773">
        <v>7</v>
      </c>
      <c r="M1773">
        <v>12</v>
      </c>
      <c r="N1773">
        <v>12</v>
      </c>
      <c r="P1773">
        <v>0</v>
      </c>
      <c r="Q1773">
        <v>1</v>
      </c>
      <c r="R1773">
        <v>2</v>
      </c>
      <c r="S1773">
        <v>4</v>
      </c>
    </row>
    <row r="1774" spans="1:19" hidden="1" x14ac:dyDescent="0.35">
      <c r="A1774">
        <v>57226445554</v>
      </c>
      <c r="B1774" t="s">
        <v>1782</v>
      </c>
      <c r="C1774" t="str">
        <f>_xlfn.XLOOKUP(A1774,[1]Affiliations!$J$2:$J$5328,[1]Affiliations!$K$2:$K$5328,0)</f>
        <v>Universidade Federal do Espírito Santo</v>
      </c>
      <c r="D1774">
        <v>5</v>
      </c>
      <c r="E1774">
        <v>36</v>
      </c>
      <c r="F1774">
        <v>7.2</v>
      </c>
      <c r="G1774">
        <v>4</v>
      </c>
      <c r="H1774">
        <v>0.48</v>
      </c>
      <c r="I1774">
        <v>0</v>
      </c>
      <c r="J1774">
        <v>2</v>
      </c>
      <c r="K1774">
        <v>3</v>
      </c>
      <c r="L1774">
        <v>4</v>
      </c>
      <c r="M1774">
        <v>5</v>
      </c>
      <c r="N1774">
        <v>5</v>
      </c>
      <c r="P1774">
        <v>0</v>
      </c>
      <c r="Q1774">
        <v>0</v>
      </c>
      <c r="R1774">
        <v>0</v>
      </c>
      <c r="S1774">
        <v>1</v>
      </c>
    </row>
    <row r="1775" spans="1:19" hidden="1" x14ac:dyDescent="0.35">
      <c r="A1775">
        <v>57329135700</v>
      </c>
      <c r="B1775" t="s">
        <v>1783</v>
      </c>
      <c r="C1775" t="str">
        <f>_xlfn.XLOOKUP(A1775,[1]Affiliations!$J$2:$J$5328,[1]Affiliations!$K$2:$K$5328,0)</f>
        <v>University of Campinas</v>
      </c>
      <c r="D1775">
        <v>1</v>
      </c>
      <c r="E1775">
        <v>2</v>
      </c>
      <c r="F1775">
        <v>2</v>
      </c>
      <c r="G1775">
        <v>1</v>
      </c>
      <c r="H1775">
        <v>1.88</v>
      </c>
      <c r="P1775">
        <v>0</v>
      </c>
      <c r="Q1775">
        <v>0</v>
      </c>
      <c r="R1775">
        <v>0</v>
      </c>
      <c r="S1775">
        <v>0</v>
      </c>
    </row>
    <row r="1776" spans="1:19" x14ac:dyDescent="0.35">
      <c r="A1776">
        <v>37010327600</v>
      </c>
      <c r="B1776" t="s">
        <v>182</v>
      </c>
      <c r="C1776" t="str">
        <f>_xlfn.XLOOKUP(A1776,[1]Affiliations!$J$2:$J$5328,[1]Affiliations!$K$2:$K$5328,0)</f>
        <v>Universidade Federal do Rio Grande do Sul</v>
      </c>
      <c r="D1776">
        <v>18</v>
      </c>
      <c r="E1776">
        <v>418</v>
      </c>
      <c r="F1776">
        <v>23.222221000000001</v>
      </c>
      <c r="G1776">
        <v>13</v>
      </c>
      <c r="H1776">
        <v>1.07</v>
      </c>
      <c r="I1776">
        <v>0</v>
      </c>
      <c r="J1776">
        <v>1</v>
      </c>
      <c r="K1776">
        <v>4</v>
      </c>
      <c r="L1776">
        <v>15</v>
      </c>
      <c r="M1776">
        <v>18</v>
      </c>
      <c r="N1776">
        <v>18</v>
      </c>
      <c r="P1776">
        <v>0</v>
      </c>
      <c r="Q1776">
        <v>1</v>
      </c>
      <c r="R1776">
        <v>2</v>
      </c>
      <c r="S1776">
        <v>9</v>
      </c>
    </row>
    <row r="1777" spans="1:19" hidden="1" x14ac:dyDescent="0.35">
      <c r="A1777">
        <v>58677903400</v>
      </c>
      <c r="B1777" t="s">
        <v>1785</v>
      </c>
      <c r="C1777" t="str">
        <f>_xlfn.XLOOKUP(A1777,[1]Affiliations!$J$2:$J$5328,[1]Affiliations!$K$2:$K$5328,0)</f>
        <v>Instituto de Pesquisas Tecnologicas</v>
      </c>
      <c r="D1777">
        <v>1</v>
      </c>
      <c r="E1777">
        <v>0</v>
      </c>
      <c r="F1777">
        <v>0</v>
      </c>
      <c r="G1777">
        <v>0</v>
      </c>
      <c r="H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5">
      <c r="A1778">
        <v>17033793100</v>
      </c>
      <c r="B1778" t="s">
        <v>535</v>
      </c>
      <c r="C1778" t="str">
        <f>_xlfn.XLOOKUP(A1778,[1]Affiliations!$J$2:$J$5328,[1]Affiliations!$K$2:$K$5328,0)</f>
        <v>Pontifícia Universidade Católica do Rio Grande do Sul</v>
      </c>
      <c r="D1778">
        <v>48</v>
      </c>
      <c r="E1778">
        <v>918</v>
      </c>
      <c r="F1778">
        <v>19.125</v>
      </c>
      <c r="G1778">
        <v>41</v>
      </c>
      <c r="H1778">
        <v>1.07</v>
      </c>
      <c r="I1778">
        <v>1</v>
      </c>
      <c r="J1778">
        <v>7</v>
      </c>
      <c r="K1778">
        <v>13</v>
      </c>
      <c r="L1778">
        <v>30</v>
      </c>
      <c r="M1778">
        <v>40</v>
      </c>
      <c r="N1778">
        <v>48</v>
      </c>
      <c r="P1778">
        <v>0</v>
      </c>
      <c r="Q1778">
        <v>2</v>
      </c>
      <c r="R1778">
        <v>4</v>
      </c>
      <c r="S1778">
        <v>19</v>
      </c>
    </row>
    <row r="1779" spans="1:19" hidden="1" x14ac:dyDescent="0.35">
      <c r="A1779">
        <v>58677544700</v>
      </c>
      <c r="B1779" t="s">
        <v>1787</v>
      </c>
      <c r="C1779" t="str">
        <f>_xlfn.XLOOKUP(A1779,[1]Affiliations!$J$2:$J$5328,[1]Affiliations!$K$2:$K$5328,0)</f>
        <v>Shell Brasil</v>
      </c>
      <c r="D1779">
        <v>1</v>
      </c>
      <c r="E1779">
        <v>0</v>
      </c>
      <c r="F1779">
        <v>0</v>
      </c>
      <c r="G1779">
        <v>0</v>
      </c>
      <c r="H1779">
        <v>0</v>
      </c>
      <c r="P1779">
        <v>0</v>
      </c>
      <c r="Q1779">
        <v>0</v>
      </c>
      <c r="R1779">
        <v>0</v>
      </c>
      <c r="S1779">
        <v>0</v>
      </c>
    </row>
    <row r="1780" spans="1:19" hidden="1" x14ac:dyDescent="0.35">
      <c r="A1780">
        <v>37161188500</v>
      </c>
      <c r="B1780" t="s">
        <v>1788</v>
      </c>
      <c r="C1780" t="str">
        <f>_xlfn.XLOOKUP(A1780,[1]Affiliations!$J$2:$J$5328,[1]Affiliations!$K$2:$K$5328,0)</f>
        <v>Universidade do Estado do Rio de Janeiro (+2 more)</v>
      </c>
      <c r="D1780">
        <v>3</v>
      </c>
      <c r="E1780">
        <v>21</v>
      </c>
      <c r="F1780">
        <v>7</v>
      </c>
      <c r="G1780">
        <v>2</v>
      </c>
      <c r="H1780">
        <v>0.35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3</v>
      </c>
      <c r="P1780">
        <v>0</v>
      </c>
      <c r="Q1780">
        <v>0</v>
      </c>
      <c r="R1780">
        <v>0</v>
      </c>
      <c r="S1780">
        <v>0</v>
      </c>
    </row>
    <row r="1781" spans="1:19" x14ac:dyDescent="0.35">
      <c r="A1781">
        <v>55921136200</v>
      </c>
      <c r="B1781" t="s">
        <v>711</v>
      </c>
      <c r="C1781" t="str">
        <f>_xlfn.XLOOKUP(A1781,[1]Affiliations!$J$2:$J$5328,[1]Affiliations!$K$2:$K$5328,0)</f>
        <v>Federal University of Santa Catarina</v>
      </c>
      <c r="D1781">
        <v>103</v>
      </c>
      <c r="E1781">
        <v>1404</v>
      </c>
      <c r="F1781">
        <v>13.631068000000001</v>
      </c>
      <c r="G1781">
        <v>27</v>
      </c>
      <c r="H1781">
        <v>1.07</v>
      </c>
      <c r="I1781">
        <v>3</v>
      </c>
      <c r="J1781">
        <v>22</v>
      </c>
      <c r="K1781">
        <v>40</v>
      </c>
      <c r="L1781">
        <v>65</v>
      </c>
      <c r="M1781">
        <v>75</v>
      </c>
      <c r="N1781">
        <v>83</v>
      </c>
      <c r="P1781">
        <v>2</v>
      </c>
      <c r="Q1781">
        <v>3</v>
      </c>
      <c r="R1781">
        <v>10</v>
      </c>
      <c r="S1781">
        <v>34</v>
      </c>
    </row>
    <row r="1782" spans="1:19" x14ac:dyDescent="0.35">
      <c r="A1782">
        <v>22939933900</v>
      </c>
      <c r="B1782" t="s">
        <v>1320</v>
      </c>
      <c r="C1782" t="str">
        <f>_xlfn.XLOOKUP(A1782,[1]Affiliations!$J$2:$J$5328,[1]Affiliations!$K$2:$K$5328,0)</f>
        <v>Grupo de Estudos de Mamíferos Aquáticos Do RS (GEMARS)</v>
      </c>
      <c r="D1782">
        <v>41</v>
      </c>
      <c r="E1782">
        <v>609</v>
      </c>
      <c r="F1782">
        <v>14.853659</v>
      </c>
      <c r="G1782">
        <v>21</v>
      </c>
      <c r="H1782">
        <v>1.07</v>
      </c>
      <c r="I1782">
        <v>1</v>
      </c>
      <c r="J1782">
        <v>2</v>
      </c>
      <c r="K1782">
        <v>5</v>
      </c>
      <c r="L1782">
        <v>20</v>
      </c>
      <c r="M1782">
        <v>27</v>
      </c>
      <c r="N1782">
        <v>35</v>
      </c>
      <c r="P1782">
        <v>0</v>
      </c>
      <c r="Q1782">
        <v>0</v>
      </c>
      <c r="R1782">
        <v>1</v>
      </c>
      <c r="S1782">
        <v>16</v>
      </c>
    </row>
    <row r="1783" spans="1:19" x14ac:dyDescent="0.35">
      <c r="A1783">
        <v>50960926700</v>
      </c>
      <c r="B1783" t="s">
        <v>1342</v>
      </c>
      <c r="C1783" t="str">
        <f>_xlfn.XLOOKUP(A1783,[1]Affiliations!$J$2:$J$5328,[1]Affiliations!$K$2:$K$5328,0)</f>
        <v>University of Campinas</v>
      </c>
      <c r="D1783">
        <v>76</v>
      </c>
      <c r="E1783">
        <v>507</v>
      </c>
      <c r="F1783">
        <v>6.6710525000000001</v>
      </c>
      <c r="G1783">
        <v>13</v>
      </c>
      <c r="H1783">
        <v>1.07</v>
      </c>
      <c r="I1783">
        <v>0</v>
      </c>
      <c r="J1783">
        <v>3</v>
      </c>
      <c r="K1783">
        <v>17</v>
      </c>
      <c r="L1783">
        <v>25</v>
      </c>
      <c r="M1783">
        <v>38</v>
      </c>
      <c r="N1783">
        <v>43</v>
      </c>
      <c r="P1783">
        <v>0</v>
      </c>
      <c r="Q1783">
        <v>1</v>
      </c>
      <c r="R1783">
        <v>1</v>
      </c>
      <c r="S1783">
        <v>5</v>
      </c>
    </row>
    <row r="1784" spans="1:19" x14ac:dyDescent="0.35">
      <c r="A1784">
        <v>58806437100</v>
      </c>
      <c r="B1784" t="s">
        <v>2042</v>
      </c>
      <c r="C1784" t="str">
        <f>_xlfn.XLOOKUP(A1784,[1]Affiliations!$J$2:$J$5328,[1]Affiliations!$K$2:$K$5328,0)</f>
        <v>Federal University of Rio de Janeiro</v>
      </c>
      <c r="D1784">
        <v>30</v>
      </c>
      <c r="E1784">
        <v>422</v>
      </c>
      <c r="F1784">
        <v>14.066667000000001</v>
      </c>
      <c r="G1784">
        <v>13</v>
      </c>
      <c r="H1784">
        <v>1.07</v>
      </c>
      <c r="I1784">
        <v>0</v>
      </c>
      <c r="J1784">
        <v>0</v>
      </c>
      <c r="K1784">
        <v>3</v>
      </c>
      <c r="L1784">
        <v>21</v>
      </c>
      <c r="M1784">
        <v>27</v>
      </c>
      <c r="N1784">
        <v>29</v>
      </c>
      <c r="P1784">
        <v>0</v>
      </c>
      <c r="Q1784">
        <v>3</v>
      </c>
      <c r="R1784">
        <v>6</v>
      </c>
      <c r="S1784">
        <v>20</v>
      </c>
    </row>
    <row r="1785" spans="1:19" hidden="1" x14ac:dyDescent="0.35">
      <c r="A1785">
        <v>57221616045</v>
      </c>
      <c r="B1785" t="s">
        <v>1793</v>
      </c>
      <c r="C1785" t="str">
        <f>_xlfn.XLOOKUP(A1785,[1]Affiliations!$J$2:$J$5328,[1]Affiliations!$K$2:$K$5328,0)</f>
        <v>Universidade Federal do Rio Grande do Norte</v>
      </c>
      <c r="D1785">
        <v>3</v>
      </c>
      <c r="E1785">
        <v>26</v>
      </c>
      <c r="F1785">
        <v>8.6666670000000003</v>
      </c>
      <c r="G1785">
        <v>3</v>
      </c>
      <c r="H1785">
        <v>0.65</v>
      </c>
      <c r="I1785">
        <v>0</v>
      </c>
      <c r="J1785">
        <v>1</v>
      </c>
      <c r="K1785">
        <v>2</v>
      </c>
      <c r="L1785">
        <v>3</v>
      </c>
      <c r="M1785">
        <v>3</v>
      </c>
      <c r="N1785">
        <v>3</v>
      </c>
      <c r="P1785">
        <v>0</v>
      </c>
      <c r="Q1785">
        <v>0</v>
      </c>
      <c r="R1785">
        <v>0</v>
      </c>
      <c r="S1785">
        <v>0</v>
      </c>
    </row>
    <row r="1786" spans="1:19" hidden="1" x14ac:dyDescent="0.35">
      <c r="A1786">
        <v>57219840748</v>
      </c>
      <c r="B1786" t="s">
        <v>1794</v>
      </c>
      <c r="C1786" t="str">
        <f>_xlfn.XLOOKUP(A1786,[1]Affiliations!$J$2:$J$5328,[1]Affiliations!$K$2:$K$5328,0)</f>
        <v>Federal University of Rio de Janeiro</v>
      </c>
      <c r="D1786">
        <v>10</v>
      </c>
      <c r="E1786">
        <v>58</v>
      </c>
      <c r="F1786">
        <v>5.8</v>
      </c>
      <c r="G1786">
        <v>6</v>
      </c>
      <c r="H1786">
        <v>0.84</v>
      </c>
      <c r="I1786">
        <v>0</v>
      </c>
      <c r="J1786">
        <v>0</v>
      </c>
      <c r="K1786">
        <v>2</v>
      </c>
      <c r="L1786">
        <v>3</v>
      </c>
      <c r="M1786">
        <v>4</v>
      </c>
      <c r="N1786">
        <v>8</v>
      </c>
      <c r="P1786">
        <v>0</v>
      </c>
      <c r="Q1786">
        <v>0</v>
      </c>
      <c r="R1786">
        <v>0</v>
      </c>
      <c r="S1786">
        <v>2</v>
      </c>
    </row>
    <row r="1787" spans="1:19" x14ac:dyDescent="0.35">
      <c r="A1787">
        <v>57200139488</v>
      </c>
      <c r="B1787" t="s">
        <v>2067</v>
      </c>
      <c r="C1787" t="str">
        <f>_xlfn.XLOOKUP(A1787,[1]Affiliations!$J$2:$J$5328,[1]Affiliations!$K$2:$K$5328,0)</f>
        <v>Centro Brasileiro de Pesquisas Físicas</v>
      </c>
      <c r="D1787">
        <v>15</v>
      </c>
      <c r="E1787">
        <v>330</v>
      </c>
      <c r="F1787">
        <v>22</v>
      </c>
      <c r="G1787">
        <v>10</v>
      </c>
      <c r="H1787">
        <v>1.07</v>
      </c>
      <c r="I1787">
        <v>0</v>
      </c>
      <c r="J1787">
        <v>1</v>
      </c>
      <c r="K1787">
        <v>4</v>
      </c>
      <c r="L1787">
        <v>11</v>
      </c>
      <c r="M1787">
        <v>12</v>
      </c>
      <c r="N1787">
        <v>12</v>
      </c>
      <c r="P1787">
        <v>0</v>
      </c>
      <c r="Q1787">
        <v>2</v>
      </c>
      <c r="R1787">
        <v>3</v>
      </c>
      <c r="S1787">
        <v>8</v>
      </c>
    </row>
    <row r="1788" spans="1:19" hidden="1" x14ac:dyDescent="0.35">
      <c r="A1788">
        <v>58102562200</v>
      </c>
      <c r="B1788" t="s">
        <v>1796</v>
      </c>
      <c r="C1788" t="str">
        <f>_xlfn.XLOOKUP(A1788,[1]Affiliations!$J$2:$J$5328,[1]Affiliations!$K$2:$K$5328,0)</f>
        <v>Niterói Municipality Civil Defense and Geotechnics Department</v>
      </c>
      <c r="D1788">
        <v>1</v>
      </c>
      <c r="E1788">
        <v>2</v>
      </c>
      <c r="F1788">
        <v>2</v>
      </c>
      <c r="G1788">
        <v>1</v>
      </c>
      <c r="H1788">
        <v>0.26</v>
      </c>
      <c r="I1788">
        <v>0</v>
      </c>
      <c r="J1788">
        <v>0</v>
      </c>
      <c r="K1788">
        <v>0</v>
      </c>
      <c r="L1788">
        <v>0</v>
      </c>
      <c r="M1788">
        <v>1</v>
      </c>
      <c r="N1788">
        <v>1</v>
      </c>
      <c r="P1788">
        <v>0</v>
      </c>
      <c r="Q1788">
        <v>0</v>
      </c>
      <c r="R1788">
        <v>0</v>
      </c>
      <c r="S1788">
        <v>0</v>
      </c>
    </row>
    <row r="1789" spans="1:19" x14ac:dyDescent="0.35">
      <c r="A1789">
        <v>7005972802</v>
      </c>
      <c r="B1789" t="s">
        <v>2722</v>
      </c>
      <c r="C1789" t="str">
        <f>_xlfn.XLOOKUP(A1789,[1]Affiliations!$J$2:$J$5328,[1]Affiliations!$K$2:$K$5328,0)</f>
        <v>Universidade Federal de Viçosa</v>
      </c>
      <c r="D1789">
        <v>64</v>
      </c>
      <c r="E1789">
        <v>984</v>
      </c>
      <c r="F1789">
        <v>15.375</v>
      </c>
      <c r="G1789">
        <v>29</v>
      </c>
      <c r="H1789">
        <v>1.07</v>
      </c>
      <c r="I1789">
        <v>0</v>
      </c>
      <c r="J1789">
        <v>3</v>
      </c>
      <c r="K1789">
        <v>16</v>
      </c>
      <c r="L1789">
        <v>36</v>
      </c>
      <c r="M1789">
        <v>49</v>
      </c>
      <c r="N1789">
        <v>60</v>
      </c>
      <c r="P1789">
        <v>0</v>
      </c>
      <c r="Q1789">
        <v>1</v>
      </c>
      <c r="R1789">
        <v>4</v>
      </c>
      <c r="S1789">
        <v>25</v>
      </c>
    </row>
    <row r="1790" spans="1:19" hidden="1" x14ac:dyDescent="0.35">
      <c r="A1790">
        <v>57092639600</v>
      </c>
      <c r="B1790" t="s">
        <v>1798</v>
      </c>
      <c r="C1790" t="str">
        <f>_xlfn.XLOOKUP(A1790,[1]Affiliations!$J$2:$J$5328,[1]Affiliations!$K$2:$K$5328,0)</f>
        <v>Universidade Federal Fluminense (+1 more)</v>
      </c>
      <c r="D1790">
        <v>7</v>
      </c>
      <c r="E1790">
        <v>44</v>
      </c>
      <c r="F1790">
        <v>6.2857139999999996</v>
      </c>
      <c r="G1790">
        <v>4</v>
      </c>
      <c r="H1790">
        <v>0.35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5</v>
      </c>
      <c r="P1790">
        <v>0</v>
      </c>
      <c r="Q1790">
        <v>0</v>
      </c>
      <c r="R1790">
        <v>0</v>
      </c>
      <c r="S1790">
        <v>0</v>
      </c>
    </row>
    <row r="1791" spans="1:19" hidden="1" x14ac:dyDescent="0.35">
      <c r="A1791">
        <v>57211001830</v>
      </c>
      <c r="B1791" t="s">
        <v>1799</v>
      </c>
      <c r="C1791" t="str">
        <f>_xlfn.XLOOKUP(A1791,[1]Affiliations!$J$2:$J$5328,[1]Affiliations!$K$2:$K$5328,0)</f>
        <v>Universidade Federal da Bahia (+2 more)</v>
      </c>
      <c r="D1791">
        <v>6</v>
      </c>
      <c r="E1791">
        <v>18</v>
      </c>
      <c r="F1791">
        <v>3</v>
      </c>
      <c r="G1791">
        <v>3</v>
      </c>
      <c r="H1791">
        <v>2.19</v>
      </c>
      <c r="I1791">
        <v>0</v>
      </c>
      <c r="J1791">
        <v>0</v>
      </c>
      <c r="K1791">
        <v>0</v>
      </c>
      <c r="L1791">
        <v>1</v>
      </c>
      <c r="M1791">
        <v>2</v>
      </c>
      <c r="N1791">
        <v>2</v>
      </c>
      <c r="P1791">
        <v>0</v>
      </c>
      <c r="Q1791">
        <v>0</v>
      </c>
      <c r="R1791">
        <v>0</v>
      </c>
      <c r="S1791">
        <v>1</v>
      </c>
    </row>
    <row r="1792" spans="1:19" hidden="1" x14ac:dyDescent="0.35">
      <c r="A1792">
        <v>6508252127</v>
      </c>
      <c r="B1792" t="s">
        <v>1800</v>
      </c>
      <c r="C1792" t="str">
        <f>_xlfn.XLOOKUP(A1792,[1]Affiliations!$J$2:$J$5328,[1]Affiliations!$K$2:$K$5328,0)</f>
        <v>Universidade Federal de Pernambuco</v>
      </c>
      <c r="D1792">
        <v>5</v>
      </c>
      <c r="E1792">
        <v>6</v>
      </c>
      <c r="F1792">
        <v>1.2</v>
      </c>
      <c r="G1792">
        <v>3</v>
      </c>
      <c r="H1792">
        <v>0.13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P1792">
        <v>0</v>
      </c>
      <c r="Q1792">
        <v>0</v>
      </c>
      <c r="R1792">
        <v>0</v>
      </c>
      <c r="S1792">
        <v>0</v>
      </c>
    </row>
    <row r="1793" spans="1:19" x14ac:dyDescent="0.35">
      <c r="A1793">
        <v>7007056906</v>
      </c>
      <c r="B1793" t="s">
        <v>3584</v>
      </c>
      <c r="C1793" t="str">
        <f>_xlfn.XLOOKUP(A1793,[1]Affiliations!$J$2:$J$5328,[1]Affiliations!$K$2:$K$5328,0)</f>
        <v>Federal University of Rio de Janeiro</v>
      </c>
      <c r="D1793">
        <v>15</v>
      </c>
      <c r="E1793">
        <v>554</v>
      </c>
      <c r="F1793">
        <v>36.933334000000002</v>
      </c>
      <c r="G1793">
        <v>16</v>
      </c>
      <c r="H1793">
        <v>1.07</v>
      </c>
      <c r="I1793">
        <v>0</v>
      </c>
      <c r="J1793">
        <v>2</v>
      </c>
      <c r="K1793">
        <v>4</v>
      </c>
      <c r="L1793">
        <v>9</v>
      </c>
      <c r="M1793">
        <v>13</v>
      </c>
      <c r="N1793">
        <v>15</v>
      </c>
      <c r="P1793">
        <v>0</v>
      </c>
      <c r="Q1793">
        <v>2</v>
      </c>
      <c r="R1793">
        <v>4</v>
      </c>
      <c r="S1793">
        <v>9</v>
      </c>
    </row>
    <row r="1794" spans="1:19" hidden="1" x14ac:dyDescent="0.35">
      <c r="A1794">
        <v>57191573514</v>
      </c>
      <c r="B1794" t="s">
        <v>1802</v>
      </c>
      <c r="C1794" t="str">
        <f>_xlfn.XLOOKUP(A1794,[1]Affiliations!$J$2:$J$5328,[1]Affiliations!$K$2:$K$5328,0)</f>
        <v>Universidade de Brasília</v>
      </c>
      <c r="D1794">
        <v>15</v>
      </c>
      <c r="E1794">
        <v>191</v>
      </c>
      <c r="F1794">
        <v>12.733333999999999</v>
      </c>
      <c r="G1794">
        <v>8</v>
      </c>
      <c r="H1794">
        <v>0.99</v>
      </c>
      <c r="I1794">
        <v>0</v>
      </c>
      <c r="J1794">
        <v>3</v>
      </c>
      <c r="K1794">
        <v>4</v>
      </c>
      <c r="L1794">
        <v>4</v>
      </c>
      <c r="M1794">
        <v>12</v>
      </c>
      <c r="N1794">
        <v>15</v>
      </c>
      <c r="P1794">
        <v>0</v>
      </c>
      <c r="Q1794">
        <v>0</v>
      </c>
      <c r="R1794">
        <v>0</v>
      </c>
      <c r="S1794">
        <v>5</v>
      </c>
    </row>
    <row r="1795" spans="1:19" hidden="1" x14ac:dyDescent="0.35">
      <c r="A1795">
        <v>59539028600</v>
      </c>
      <c r="B1795" t="s">
        <v>1803</v>
      </c>
      <c r="C1795" t="str">
        <f>_xlfn.XLOOKUP(A1795,[1]Affiliations!$J$2:$J$5328,[1]Affiliations!$K$2:$K$5328,0)</f>
        <v>Transbet Transporte e Logistica Ltda.</v>
      </c>
      <c r="D1795">
        <v>1</v>
      </c>
      <c r="E1795">
        <v>0</v>
      </c>
      <c r="F1795">
        <v>0</v>
      </c>
      <c r="G1795">
        <v>0</v>
      </c>
      <c r="H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5">
      <c r="A1796">
        <v>56370817700</v>
      </c>
      <c r="B1796" t="s">
        <v>3759</v>
      </c>
      <c r="C1796" t="str">
        <f>_xlfn.XLOOKUP(A1796,[1]Affiliations!$J$2:$J$5328,[1]Affiliations!$K$2:$K$5328,0)</f>
        <v>Universidade Federal de Pernambuco</v>
      </c>
      <c r="D1796">
        <v>47</v>
      </c>
      <c r="E1796">
        <v>892</v>
      </c>
      <c r="F1796">
        <v>18.978724</v>
      </c>
      <c r="G1796">
        <v>20</v>
      </c>
      <c r="H1796">
        <v>1.07</v>
      </c>
      <c r="I1796">
        <v>1</v>
      </c>
      <c r="J1796">
        <v>7</v>
      </c>
      <c r="K1796">
        <v>16</v>
      </c>
      <c r="L1796">
        <v>37</v>
      </c>
      <c r="M1796">
        <v>44</v>
      </c>
      <c r="N1796">
        <v>47</v>
      </c>
      <c r="P1796">
        <v>0</v>
      </c>
      <c r="Q1796">
        <v>3</v>
      </c>
      <c r="R1796">
        <v>6</v>
      </c>
      <c r="S1796">
        <v>27</v>
      </c>
    </row>
    <row r="1797" spans="1:19" hidden="1" x14ac:dyDescent="0.35">
      <c r="A1797">
        <v>6504271051</v>
      </c>
      <c r="B1797" t="s">
        <v>1805</v>
      </c>
      <c r="C1797" t="str">
        <f>_xlfn.XLOOKUP(A1797,[1]Affiliations!$J$2:$J$5328,[1]Affiliations!$K$2:$K$5328,0)</f>
        <v>Universidade Federal Fluminense (+2 more)</v>
      </c>
      <c r="D1797">
        <v>4</v>
      </c>
      <c r="E1797">
        <v>8</v>
      </c>
      <c r="F1797">
        <v>2</v>
      </c>
      <c r="G1797">
        <v>4</v>
      </c>
      <c r="H1797">
        <v>1.32</v>
      </c>
      <c r="P1797">
        <v>0</v>
      </c>
      <c r="Q1797">
        <v>0</v>
      </c>
      <c r="R1797">
        <v>0</v>
      </c>
      <c r="S1797">
        <v>0</v>
      </c>
    </row>
    <row r="1798" spans="1:19" x14ac:dyDescent="0.35">
      <c r="A1798">
        <v>7005220413</v>
      </c>
      <c r="B1798" t="s">
        <v>3907</v>
      </c>
      <c r="C1798" t="str">
        <f>_xlfn.XLOOKUP(A1798,[1]Affiliations!$J$2:$J$5328,[1]Affiliations!$K$2:$K$5328,0)</f>
        <v>White Martins Gases Industriais LTDA (+1 more)</v>
      </c>
      <c r="D1798">
        <v>42</v>
      </c>
      <c r="E1798">
        <v>1431</v>
      </c>
      <c r="F1798">
        <v>34.071429999999999</v>
      </c>
      <c r="G1798">
        <v>39</v>
      </c>
      <c r="H1798">
        <v>1.07</v>
      </c>
      <c r="I1798">
        <v>1</v>
      </c>
      <c r="J1798">
        <v>4</v>
      </c>
      <c r="K1798">
        <v>5</v>
      </c>
      <c r="L1798">
        <v>11</v>
      </c>
      <c r="M1798">
        <v>36</v>
      </c>
      <c r="N1798">
        <v>41</v>
      </c>
      <c r="P1798">
        <v>1</v>
      </c>
      <c r="Q1798">
        <v>7</v>
      </c>
      <c r="R1798">
        <v>11</v>
      </c>
      <c r="S1798">
        <v>23</v>
      </c>
    </row>
    <row r="1799" spans="1:19" hidden="1" x14ac:dyDescent="0.35">
      <c r="A1799">
        <v>57191699059</v>
      </c>
      <c r="B1799" t="s">
        <v>1807</v>
      </c>
      <c r="C1799" t="str">
        <f>_xlfn.XLOOKUP(A1799,[1]Affiliations!$J$2:$J$5328,[1]Affiliations!$K$2:$K$5328,0)</f>
        <v>Statoti Brasil Óleo e Gás Ltda. (+1 more)</v>
      </c>
      <c r="D1799">
        <v>4</v>
      </c>
      <c r="E1799">
        <v>85</v>
      </c>
      <c r="F1799">
        <v>21.25</v>
      </c>
      <c r="G1799">
        <v>4</v>
      </c>
      <c r="H1799">
        <v>1.92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2</v>
      </c>
      <c r="P1799">
        <v>0</v>
      </c>
      <c r="Q1799">
        <v>0</v>
      </c>
      <c r="R1799">
        <v>0</v>
      </c>
      <c r="S1799">
        <v>2</v>
      </c>
    </row>
    <row r="1800" spans="1:19" hidden="1" x14ac:dyDescent="0.35">
      <c r="A1800">
        <v>60106158100</v>
      </c>
      <c r="B1800" t="s">
        <v>1808</v>
      </c>
      <c r="C1800" t="str">
        <f>_xlfn.XLOOKUP(A1800,[1]Affiliations!$J$2:$J$5328,[1]Affiliations!$K$2:$K$5328,0)</f>
        <v>Science and Technology of Espírito Santo</v>
      </c>
      <c r="D1800">
        <v>0</v>
      </c>
      <c r="G1800">
        <v>1</v>
      </c>
    </row>
    <row r="1801" spans="1:19" hidden="1" x14ac:dyDescent="0.35">
      <c r="A1801">
        <v>57937967200</v>
      </c>
      <c r="B1801" t="s">
        <v>1809</v>
      </c>
      <c r="C1801" t="str">
        <f>_xlfn.XLOOKUP(A1801,[1]Affiliations!$J$2:$J$5328,[1]Affiliations!$K$2:$K$5328,0)</f>
        <v>Universidade Federal do Rio Grande</v>
      </c>
      <c r="D1801">
        <v>1</v>
      </c>
      <c r="E1801">
        <v>3</v>
      </c>
      <c r="F1801">
        <v>3</v>
      </c>
      <c r="G1801">
        <v>1</v>
      </c>
      <c r="H1801">
        <v>0.24</v>
      </c>
      <c r="I1801">
        <v>0</v>
      </c>
      <c r="J1801">
        <v>0</v>
      </c>
      <c r="K1801">
        <v>0</v>
      </c>
      <c r="L1801">
        <v>1</v>
      </c>
      <c r="M1801">
        <v>1</v>
      </c>
      <c r="N1801">
        <v>1</v>
      </c>
      <c r="P1801">
        <v>0</v>
      </c>
      <c r="Q1801">
        <v>0</v>
      </c>
      <c r="R1801">
        <v>0</v>
      </c>
      <c r="S1801">
        <v>0</v>
      </c>
    </row>
    <row r="1802" spans="1:19" hidden="1" x14ac:dyDescent="0.35">
      <c r="A1802">
        <v>57203996370</v>
      </c>
      <c r="B1802" t="s">
        <v>1810</v>
      </c>
      <c r="C1802" t="str">
        <f>_xlfn.XLOOKUP(A1802,[1]Affiliations!$J$2:$J$5328,[1]Affiliations!$K$2:$K$5328,0)</f>
        <v>Universidade Federal do Rio Grande</v>
      </c>
      <c r="D1802">
        <v>5</v>
      </c>
      <c r="E1802">
        <v>34</v>
      </c>
      <c r="F1802">
        <v>6.8</v>
      </c>
      <c r="G1802">
        <v>4</v>
      </c>
      <c r="H1802">
        <v>0.28000000000000003</v>
      </c>
      <c r="I1802">
        <v>0</v>
      </c>
      <c r="J1802">
        <v>1</v>
      </c>
      <c r="K1802">
        <v>1</v>
      </c>
      <c r="L1802">
        <v>3</v>
      </c>
      <c r="M1802">
        <v>4</v>
      </c>
      <c r="N1802">
        <v>5</v>
      </c>
      <c r="P1802">
        <v>0</v>
      </c>
      <c r="Q1802">
        <v>0</v>
      </c>
      <c r="R1802">
        <v>0</v>
      </c>
      <c r="S1802">
        <v>0</v>
      </c>
    </row>
    <row r="1803" spans="1:19" x14ac:dyDescent="0.35">
      <c r="A1803">
        <v>55915692000</v>
      </c>
      <c r="B1803" t="s">
        <v>4411</v>
      </c>
      <c r="C1803" t="str">
        <f>_xlfn.XLOOKUP(A1803,[1]Affiliations!$J$2:$J$5328,[1]Affiliations!$K$2:$K$5328,0)</f>
        <v>Universidade Estadual Paulista “Júlio de Mesquita Filho”</v>
      </c>
      <c r="D1803">
        <v>110</v>
      </c>
      <c r="E1803">
        <v>2009</v>
      </c>
      <c r="F1803">
        <v>18.263636000000002</v>
      </c>
      <c r="G1803">
        <v>38</v>
      </c>
      <c r="H1803">
        <v>1.07</v>
      </c>
      <c r="I1803">
        <v>0</v>
      </c>
      <c r="J1803">
        <v>4</v>
      </c>
      <c r="K1803">
        <v>19</v>
      </c>
      <c r="L1803">
        <v>71</v>
      </c>
      <c r="M1803">
        <v>98</v>
      </c>
      <c r="N1803">
        <v>106</v>
      </c>
      <c r="P1803">
        <v>0</v>
      </c>
      <c r="Q1803">
        <v>5</v>
      </c>
      <c r="R1803">
        <v>12</v>
      </c>
      <c r="S1803">
        <v>63</v>
      </c>
    </row>
    <row r="1804" spans="1:19" x14ac:dyDescent="0.35">
      <c r="A1804">
        <v>7004904250</v>
      </c>
      <c r="B1804" t="s">
        <v>4447</v>
      </c>
      <c r="C1804" t="str">
        <f>_xlfn.XLOOKUP(A1804,[1]Affiliations!$J$2:$J$5328,[1]Affiliations!$K$2:$K$5328,0)</f>
        <v>Federal University of Rio de Janeiro</v>
      </c>
      <c r="D1804">
        <v>7</v>
      </c>
      <c r="E1804">
        <v>229</v>
      </c>
      <c r="F1804">
        <v>32.714286999999999</v>
      </c>
      <c r="G1804">
        <v>30</v>
      </c>
      <c r="H1804">
        <v>1.07</v>
      </c>
      <c r="I1804">
        <v>0</v>
      </c>
      <c r="J1804">
        <v>0</v>
      </c>
      <c r="K1804">
        <v>1</v>
      </c>
      <c r="L1804">
        <v>3</v>
      </c>
      <c r="M1804">
        <v>7</v>
      </c>
      <c r="N1804">
        <v>7</v>
      </c>
      <c r="P1804">
        <v>0</v>
      </c>
      <c r="Q1804">
        <v>0</v>
      </c>
      <c r="R1804">
        <v>1</v>
      </c>
      <c r="S1804">
        <v>5</v>
      </c>
    </row>
    <row r="1805" spans="1:19" hidden="1" x14ac:dyDescent="0.35">
      <c r="A1805">
        <v>57201405016</v>
      </c>
      <c r="B1805" t="s">
        <v>1813</v>
      </c>
      <c r="C1805" t="str">
        <f>_xlfn.XLOOKUP(A1805,[1]Affiliations!$J$2:$J$5328,[1]Affiliations!$K$2:$K$5328,0)</f>
        <v>IMC Saste</v>
      </c>
      <c r="D1805">
        <v>1</v>
      </c>
      <c r="E1805">
        <v>1</v>
      </c>
      <c r="F1805">
        <v>1</v>
      </c>
      <c r="G1805">
        <v>1</v>
      </c>
      <c r="H1805">
        <v>1.19</v>
      </c>
      <c r="P1805">
        <v>0</v>
      </c>
      <c r="Q1805">
        <v>0</v>
      </c>
      <c r="R1805">
        <v>0</v>
      </c>
      <c r="S1805">
        <v>0</v>
      </c>
    </row>
    <row r="1806" spans="1:19" x14ac:dyDescent="0.35">
      <c r="A1806">
        <v>24077235900</v>
      </c>
      <c r="B1806" t="s">
        <v>4461</v>
      </c>
      <c r="C1806" t="str">
        <f>_xlfn.XLOOKUP(A1806,[1]Affiliations!$J$2:$J$5328,[1]Affiliations!$K$2:$K$5328,0)</f>
        <v>Universidade Santa Cecília</v>
      </c>
      <c r="D1806">
        <v>12</v>
      </c>
      <c r="E1806">
        <v>432</v>
      </c>
      <c r="F1806">
        <v>36</v>
      </c>
      <c r="G1806">
        <v>12</v>
      </c>
      <c r="H1806">
        <v>1.07</v>
      </c>
      <c r="I1806">
        <v>0</v>
      </c>
      <c r="J1806">
        <v>1</v>
      </c>
      <c r="K1806">
        <v>4</v>
      </c>
      <c r="L1806">
        <v>9</v>
      </c>
      <c r="M1806">
        <v>10</v>
      </c>
      <c r="N1806">
        <v>11</v>
      </c>
      <c r="P1806">
        <v>0</v>
      </c>
      <c r="Q1806">
        <v>1</v>
      </c>
      <c r="R1806">
        <v>3</v>
      </c>
      <c r="S1806">
        <v>4</v>
      </c>
    </row>
    <row r="1807" spans="1:19" x14ac:dyDescent="0.35">
      <c r="A1807">
        <v>57199153990</v>
      </c>
      <c r="B1807" t="s">
        <v>4795</v>
      </c>
      <c r="C1807" t="str">
        <f>_xlfn.XLOOKUP(A1807,[1]Affiliations!$J$2:$J$5328,[1]Affiliations!$K$2:$K$5328,0)</f>
        <v>Universidade Federal de Viçosa</v>
      </c>
      <c r="D1807">
        <v>15</v>
      </c>
      <c r="E1807">
        <v>556</v>
      </c>
      <c r="F1807">
        <v>37.066665999999998</v>
      </c>
      <c r="G1807">
        <v>11</v>
      </c>
      <c r="H1807">
        <v>1.07</v>
      </c>
      <c r="I1807">
        <v>2</v>
      </c>
      <c r="J1807">
        <v>5</v>
      </c>
      <c r="K1807">
        <v>7</v>
      </c>
      <c r="L1807">
        <v>8</v>
      </c>
      <c r="M1807">
        <v>14</v>
      </c>
      <c r="N1807">
        <v>15</v>
      </c>
      <c r="P1807">
        <v>1</v>
      </c>
      <c r="Q1807">
        <v>1</v>
      </c>
      <c r="R1807">
        <v>3</v>
      </c>
      <c r="S1807">
        <v>10</v>
      </c>
    </row>
    <row r="1808" spans="1:19" x14ac:dyDescent="0.35">
      <c r="A1808">
        <v>36448722700</v>
      </c>
      <c r="B1808" t="s">
        <v>4901</v>
      </c>
      <c r="C1808" t="str">
        <f>_xlfn.XLOOKUP(A1808,[1]Affiliations!$J$2:$J$5328,[1]Affiliations!$K$2:$K$5328,0)</f>
        <v>Universidade Tecnológica Federal do Paraná</v>
      </c>
      <c r="D1808">
        <v>16</v>
      </c>
      <c r="E1808">
        <v>406</v>
      </c>
      <c r="F1808">
        <v>25.375</v>
      </c>
      <c r="G1808">
        <v>14</v>
      </c>
      <c r="H1808">
        <v>1.07</v>
      </c>
      <c r="I1808">
        <v>0</v>
      </c>
      <c r="J1808">
        <v>1</v>
      </c>
      <c r="K1808">
        <v>6</v>
      </c>
      <c r="L1808">
        <v>12</v>
      </c>
      <c r="M1808">
        <v>14</v>
      </c>
      <c r="N1808">
        <v>14</v>
      </c>
      <c r="P1808">
        <v>0</v>
      </c>
      <c r="Q1808">
        <v>2</v>
      </c>
      <c r="R1808">
        <v>2</v>
      </c>
      <c r="S1808">
        <v>8</v>
      </c>
    </row>
    <row r="1809" spans="1:19" hidden="1" x14ac:dyDescent="0.35">
      <c r="A1809">
        <v>57194217889</v>
      </c>
      <c r="B1809" t="s">
        <v>1817</v>
      </c>
      <c r="C1809" t="str">
        <f>_xlfn.XLOOKUP(A1809,[1]Affiliations!$J$2:$J$5328,[1]Affiliations!$K$2:$K$5328,0)</f>
        <v>Federal University of Rio de Janeiro</v>
      </c>
      <c r="D1809">
        <v>3</v>
      </c>
      <c r="E1809">
        <v>38</v>
      </c>
      <c r="F1809">
        <v>12.666667</v>
      </c>
      <c r="G1809">
        <v>3</v>
      </c>
      <c r="H1809">
        <v>0.41</v>
      </c>
      <c r="I1809">
        <v>0</v>
      </c>
      <c r="J1809">
        <v>1</v>
      </c>
      <c r="K1809">
        <v>1</v>
      </c>
      <c r="L1809">
        <v>1</v>
      </c>
      <c r="M1809">
        <v>2</v>
      </c>
      <c r="N1809">
        <v>3</v>
      </c>
      <c r="P1809">
        <v>0</v>
      </c>
      <c r="Q1809">
        <v>0</v>
      </c>
      <c r="R1809">
        <v>0</v>
      </c>
      <c r="S1809">
        <v>0</v>
      </c>
    </row>
    <row r="1810" spans="1:19" hidden="1" x14ac:dyDescent="0.35">
      <c r="A1810">
        <v>7202192544</v>
      </c>
      <c r="B1810" t="s">
        <v>1818</v>
      </c>
      <c r="C1810" t="str">
        <f>_xlfn.XLOOKUP(A1810,[1]Affiliations!$J$2:$J$5328,[1]Affiliations!$K$2:$K$5328,0)</f>
        <v>Universidade do Estado do Rio de Janeiro</v>
      </c>
      <c r="D1810">
        <v>11</v>
      </c>
      <c r="E1810">
        <v>78</v>
      </c>
      <c r="F1810">
        <v>7.0909089999999999</v>
      </c>
      <c r="G1810">
        <v>12</v>
      </c>
      <c r="H1810">
        <v>0.31</v>
      </c>
      <c r="I1810">
        <v>0</v>
      </c>
      <c r="J1810">
        <v>0</v>
      </c>
      <c r="K1810">
        <v>0</v>
      </c>
      <c r="L1810">
        <v>5</v>
      </c>
      <c r="M1810">
        <v>10</v>
      </c>
      <c r="N1810">
        <v>11</v>
      </c>
      <c r="P1810">
        <v>0</v>
      </c>
      <c r="Q1810">
        <v>0</v>
      </c>
      <c r="R1810">
        <v>0</v>
      </c>
      <c r="S1810">
        <v>0</v>
      </c>
    </row>
    <row r="1811" spans="1:19" hidden="1" x14ac:dyDescent="0.35">
      <c r="A1811">
        <v>57192817482</v>
      </c>
      <c r="B1811" t="s">
        <v>1819</v>
      </c>
      <c r="C1811" t="str">
        <f>_xlfn.XLOOKUP(A1811,[1]Affiliations!$J$2:$J$5328,[1]Affiliations!$K$2:$K$5328,0)</f>
        <v>Federal University of Rio de Janeiro</v>
      </c>
      <c r="D1811">
        <v>2</v>
      </c>
      <c r="E1811">
        <v>31</v>
      </c>
      <c r="F1811">
        <v>15.5</v>
      </c>
      <c r="G1811">
        <v>2</v>
      </c>
      <c r="H1811">
        <v>0.5</v>
      </c>
      <c r="I1811">
        <v>0</v>
      </c>
      <c r="J1811">
        <v>0</v>
      </c>
      <c r="K1811">
        <v>0</v>
      </c>
      <c r="L1811">
        <v>2</v>
      </c>
      <c r="M1811">
        <v>2</v>
      </c>
      <c r="N1811">
        <v>2</v>
      </c>
      <c r="P1811">
        <v>0</v>
      </c>
      <c r="Q1811">
        <v>0</v>
      </c>
      <c r="R1811">
        <v>0</v>
      </c>
      <c r="S1811">
        <v>1</v>
      </c>
    </row>
    <row r="1812" spans="1:19" hidden="1" x14ac:dyDescent="0.35">
      <c r="A1812">
        <v>55765000676</v>
      </c>
      <c r="B1812" t="s">
        <v>1820</v>
      </c>
      <c r="C1812" t="str">
        <f>_xlfn.XLOOKUP(A1812,[1]Affiliations!$J$2:$J$5328,[1]Affiliations!$K$2:$K$5328,0)</f>
        <v>Universidade Estadual do Norte Fluminense</v>
      </c>
      <c r="D1812">
        <v>1</v>
      </c>
      <c r="E1812">
        <v>3</v>
      </c>
      <c r="F1812">
        <v>3</v>
      </c>
      <c r="G1812">
        <v>4</v>
      </c>
      <c r="H1812">
        <v>0.19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1</v>
      </c>
      <c r="P1812">
        <v>0</v>
      </c>
      <c r="Q1812">
        <v>0</v>
      </c>
      <c r="R1812">
        <v>0</v>
      </c>
      <c r="S1812">
        <v>0</v>
      </c>
    </row>
    <row r="1813" spans="1:19" x14ac:dyDescent="0.35">
      <c r="A1813">
        <v>56583919500</v>
      </c>
      <c r="B1813" t="s">
        <v>4929</v>
      </c>
      <c r="C1813" t="str">
        <f>_xlfn.XLOOKUP(A1813,[1]Affiliations!$J$2:$J$5328,[1]Affiliations!$K$2:$K$5328,0)</f>
        <v>Universidade de São Paulo</v>
      </c>
      <c r="D1813">
        <v>78</v>
      </c>
      <c r="E1813">
        <v>1200</v>
      </c>
      <c r="F1813">
        <v>15.384615</v>
      </c>
      <c r="G1813">
        <v>21</v>
      </c>
      <c r="H1813">
        <v>1.07</v>
      </c>
      <c r="I1813">
        <v>0</v>
      </c>
      <c r="J1813">
        <v>18</v>
      </c>
      <c r="K1813">
        <v>29</v>
      </c>
      <c r="L1813">
        <v>55</v>
      </c>
      <c r="M1813">
        <v>65</v>
      </c>
      <c r="N1813">
        <v>71</v>
      </c>
      <c r="P1813">
        <v>0</v>
      </c>
      <c r="Q1813">
        <v>0</v>
      </c>
      <c r="R1813">
        <v>5</v>
      </c>
      <c r="S1813">
        <v>27</v>
      </c>
    </row>
    <row r="1814" spans="1:19" x14ac:dyDescent="0.35">
      <c r="A1814">
        <v>57204349370</v>
      </c>
      <c r="B1814" t="s">
        <v>4956</v>
      </c>
      <c r="C1814" t="str">
        <f>_xlfn.XLOOKUP(A1814,[1]Affiliations!$J$2:$J$5328,[1]Affiliations!$K$2:$K$5328,0)</f>
        <v>University of Campinas (+2 more)</v>
      </c>
      <c r="D1814">
        <v>12</v>
      </c>
      <c r="E1814">
        <v>185</v>
      </c>
      <c r="F1814">
        <v>15.416667</v>
      </c>
      <c r="G1814">
        <v>7</v>
      </c>
      <c r="H1814">
        <v>1.07</v>
      </c>
      <c r="I1814">
        <v>0</v>
      </c>
      <c r="J1814">
        <v>2</v>
      </c>
      <c r="K1814">
        <v>3</v>
      </c>
      <c r="L1814">
        <v>8</v>
      </c>
      <c r="M1814">
        <v>10</v>
      </c>
      <c r="N1814">
        <v>10</v>
      </c>
      <c r="P1814">
        <v>0</v>
      </c>
      <c r="Q1814">
        <v>1</v>
      </c>
      <c r="R1814">
        <v>1</v>
      </c>
      <c r="S1814">
        <v>5</v>
      </c>
    </row>
    <row r="1815" spans="1:19" hidden="1" x14ac:dyDescent="0.35">
      <c r="A1815">
        <v>58221278800</v>
      </c>
      <c r="B1815" t="s">
        <v>1823</v>
      </c>
      <c r="C1815" t="str">
        <f>_xlfn.XLOOKUP(A1815,[1]Affiliations!$J$2:$J$5328,[1]Affiliations!$K$2:$K$5328,0)</f>
        <v>Pontifical Catholic University of Rio de Janeiro</v>
      </c>
      <c r="D1815">
        <v>2</v>
      </c>
      <c r="E1815">
        <v>9</v>
      </c>
      <c r="F1815">
        <v>4.5</v>
      </c>
      <c r="G1815">
        <v>2</v>
      </c>
      <c r="H1815">
        <v>3.76</v>
      </c>
      <c r="I1815">
        <v>0</v>
      </c>
      <c r="J1815">
        <v>1</v>
      </c>
      <c r="K1815">
        <v>1</v>
      </c>
      <c r="L1815">
        <v>1</v>
      </c>
      <c r="M1815">
        <v>1</v>
      </c>
      <c r="N1815">
        <v>1</v>
      </c>
      <c r="P1815">
        <v>0</v>
      </c>
      <c r="Q1815">
        <v>0</v>
      </c>
      <c r="R1815">
        <v>0</v>
      </c>
      <c r="S1815">
        <v>0</v>
      </c>
    </row>
    <row r="1816" spans="1:19" hidden="1" x14ac:dyDescent="0.35">
      <c r="A1816">
        <v>58978150900</v>
      </c>
      <c r="B1816" t="s">
        <v>1824</v>
      </c>
      <c r="C1816" t="str">
        <f>_xlfn.XLOOKUP(A1816,[1]Affiliations!$J$2:$J$5328,[1]Affiliations!$K$2:$K$5328,0)</f>
        <v>Evonik Brasil Ltda</v>
      </c>
      <c r="D1816">
        <v>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1</v>
      </c>
      <c r="N1816">
        <v>1</v>
      </c>
      <c r="P1816">
        <v>0</v>
      </c>
      <c r="Q1816">
        <v>0</v>
      </c>
      <c r="R1816">
        <v>0</v>
      </c>
      <c r="S1816">
        <v>0</v>
      </c>
    </row>
    <row r="1817" spans="1:19" hidden="1" x14ac:dyDescent="0.35">
      <c r="A1817">
        <v>57732184700</v>
      </c>
      <c r="B1817" t="s">
        <v>1825</v>
      </c>
      <c r="C1817" t="str">
        <f>_xlfn.XLOOKUP(A1817,[1]Affiliations!$J$2:$J$5328,[1]Affiliations!$K$2:$K$5328,0)</f>
        <v>Universidade de São Paulo</v>
      </c>
      <c r="D1817">
        <v>3</v>
      </c>
      <c r="E1817">
        <v>33</v>
      </c>
      <c r="F1817">
        <v>11</v>
      </c>
      <c r="G1817">
        <v>2</v>
      </c>
      <c r="H1817">
        <v>0.47</v>
      </c>
      <c r="I1817">
        <v>0</v>
      </c>
      <c r="J1817">
        <v>1</v>
      </c>
      <c r="K1817">
        <v>2</v>
      </c>
      <c r="L1817">
        <v>3</v>
      </c>
      <c r="M1817">
        <v>3</v>
      </c>
      <c r="N1817">
        <v>3</v>
      </c>
      <c r="P1817">
        <v>0</v>
      </c>
      <c r="Q1817">
        <v>0</v>
      </c>
      <c r="R1817">
        <v>0</v>
      </c>
      <c r="S1817">
        <v>1</v>
      </c>
    </row>
    <row r="1818" spans="1:19" hidden="1" x14ac:dyDescent="0.35">
      <c r="A1818">
        <v>37055379700</v>
      </c>
      <c r="B1818" t="s">
        <v>1826</v>
      </c>
      <c r="C1818" t="str">
        <f>_xlfn.XLOOKUP(A1818,[1]Affiliations!$J$2:$J$5328,[1]Affiliations!$K$2:$K$5328,0)</f>
        <v>Federal University of Rio de Janeiro</v>
      </c>
      <c r="D1818">
        <v>9</v>
      </c>
      <c r="E1818">
        <v>94</v>
      </c>
      <c r="F1818">
        <v>10.444445</v>
      </c>
      <c r="G1818">
        <v>11</v>
      </c>
      <c r="H1818">
        <v>0.51</v>
      </c>
      <c r="I1818">
        <v>0</v>
      </c>
      <c r="J1818">
        <v>0</v>
      </c>
      <c r="K1818">
        <v>0</v>
      </c>
      <c r="L1818">
        <v>5</v>
      </c>
      <c r="M1818">
        <v>7</v>
      </c>
      <c r="N1818">
        <v>8</v>
      </c>
      <c r="P1818">
        <v>0</v>
      </c>
      <c r="Q1818">
        <v>0</v>
      </c>
      <c r="R1818">
        <v>0</v>
      </c>
      <c r="S1818">
        <v>3</v>
      </c>
    </row>
    <row r="1819" spans="1:19" x14ac:dyDescent="0.35">
      <c r="A1819">
        <v>57208083947</v>
      </c>
      <c r="B1819" t="s">
        <v>5008</v>
      </c>
      <c r="C1819" t="str">
        <f>_xlfn.XLOOKUP(A1819,[1]Affiliations!$J$2:$J$5328,[1]Affiliations!$K$2:$K$5328,0)</f>
        <v>Universidade Federal de Pernambuco</v>
      </c>
      <c r="D1819">
        <v>5</v>
      </c>
      <c r="E1819">
        <v>76</v>
      </c>
      <c r="F1819">
        <v>15.2</v>
      </c>
      <c r="G1819">
        <v>3</v>
      </c>
      <c r="H1819">
        <v>1.07</v>
      </c>
      <c r="I1819">
        <v>0</v>
      </c>
      <c r="J1819">
        <v>1</v>
      </c>
      <c r="K1819">
        <v>1</v>
      </c>
      <c r="L1819">
        <v>2</v>
      </c>
      <c r="M1819">
        <v>4</v>
      </c>
      <c r="N1819">
        <v>4</v>
      </c>
      <c r="P1819">
        <v>0</v>
      </c>
      <c r="Q1819">
        <v>0</v>
      </c>
      <c r="R1819">
        <v>1</v>
      </c>
      <c r="S1819">
        <v>2</v>
      </c>
    </row>
    <row r="1820" spans="1:19" hidden="1" x14ac:dyDescent="0.35">
      <c r="A1820">
        <v>56071517400</v>
      </c>
      <c r="B1820" t="s">
        <v>1828</v>
      </c>
      <c r="C1820" t="str">
        <f>_xlfn.XLOOKUP(A1820,[1]Affiliations!$J$2:$J$5328,[1]Affiliations!$K$2:$K$5328,0)</f>
        <v>Universidade Federal do Espírito Santo (+1 more)</v>
      </c>
      <c r="D1820">
        <v>9</v>
      </c>
      <c r="E1820">
        <v>208</v>
      </c>
      <c r="F1820">
        <v>23.11111</v>
      </c>
      <c r="G1820">
        <v>8</v>
      </c>
      <c r="H1820">
        <v>0.88</v>
      </c>
      <c r="I1820">
        <v>0</v>
      </c>
      <c r="J1820">
        <v>3</v>
      </c>
      <c r="K1820">
        <v>4</v>
      </c>
      <c r="L1820">
        <v>7</v>
      </c>
      <c r="M1820">
        <v>9</v>
      </c>
      <c r="N1820">
        <v>9</v>
      </c>
      <c r="P1820">
        <v>0</v>
      </c>
      <c r="Q1820">
        <v>0</v>
      </c>
      <c r="R1820">
        <v>0</v>
      </c>
      <c r="S1820">
        <v>5</v>
      </c>
    </row>
    <row r="1821" spans="1:19" hidden="1" x14ac:dyDescent="0.35">
      <c r="A1821">
        <v>57986258000</v>
      </c>
      <c r="B1821" t="s">
        <v>1829</v>
      </c>
      <c r="C1821" t="str">
        <f>_xlfn.XLOOKUP(A1821,[1]Affiliations!$J$2:$J$5328,[1]Affiliations!$K$2:$K$5328,0)</f>
        <v>Federal University of Rio de Janeiro</v>
      </c>
      <c r="D1821">
        <v>2</v>
      </c>
      <c r="E1821">
        <v>1</v>
      </c>
      <c r="F1821">
        <v>0.5</v>
      </c>
      <c r="G1821">
        <v>1</v>
      </c>
      <c r="H1821">
        <v>0.05</v>
      </c>
      <c r="I1821">
        <v>0</v>
      </c>
      <c r="J1821">
        <v>0</v>
      </c>
      <c r="K1821">
        <v>0</v>
      </c>
      <c r="L1821">
        <v>0</v>
      </c>
      <c r="M1821">
        <v>1</v>
      </c>
      <c r="N1821">
        <v>1</v>
      </c>
      <c r="P1821">
        <v>0</v>
      </c>
      <c r="Q1821">
        <v>0</v>
      </c>
      <c r="R1821">
        <v>0</v>
      </c>
      <c r="S1821">
        <v>0</v>
      </c>
    </row>
    <row r="1822" spans="1:19" x14ac:dyDescent="0.35">
      <c r="A1822">
        <v>56435670600</v>
      </c>
      <c r="B1822" t="s">
        <v>5101</v>
      </c>
      <c r="C1822" t="str">
        <f>_xlfn.XLOOKUP(A1822,[1]Affiliations!$J$2:$J$5328,[1]Affiliations!$K$2:$K$5328,0)</f>
        <v>Pontifical Catholic University of Rio de Janeiro</v>
      </c>
      <c r="D1822">
        <v>25</v>
      </c>
      <c r="E1822">
        <v>334</v>
      </c>
      <c r="F1822">
        <v>13.36</v>
      </c>
      <c r="G1822">
        <v>9</v>
      </c>
      <c r="H1822">
        <v>1.07</v>
      </c>
      <c r="I1822">
        <v>6</v>
      </c>
      <c r="J1822">
        <v>11</v>
      </c>
      <c r="K1822">
        <v>12</v>
      </c>
      <c r="L1822">
        <v>14</v>
      </c>
      <c r="M1822">
        <v>16</v>
      </c>
      <c r="N1822">
        <v>16</v>
      </c>
      <c r="P1822">
        <v>0</v>
      </c>
      <c r="Q1822">
        <v>0</v>
      </c>
      <c r="R1822">
        <v>4</v>
      </c>
      <c r="S1822">
        <v>9</v>
      </c>
    </row>
    <row r="1823" spans="1:19" x14ac:dyDescent="0.35">
      <c r="A1823">
        <v>6507619874</v>
      </c>
      <c r="B1823" t="s">
        <v>283</v>
      </c>
      <c r="C1823" t="str">
        <f>_xlfn.XLOOKUP(A1823,[1]Affiliations!$J$2:$J$5328,[1]Affiliations!$K$2:$K$5328,0)</f>
        <v>Universidade Federal de Uberlândia</v>
      </c>
      <c r="D1823">
        <v>63</v>
      </c>
      <c r="E1823">
        <v>1430</v>
      </c>
      <c r="F1823">
        <v>22.698412000000001</v>
      </c>
      <c r="G1823">
        <v>34</v>
      </c>
      <c r="H1823">
        <v>1.06</v>
      </c>
      <c r="I1823">
        <v>0</v>
      </c>
      <c r="J1823">
        <v>7</v>
      </c>
      <c r="K1823">
        <v>17</v>
      </c>
      <c r="L1823">
        <v>40</v>
      </c>
      <c r="M1823">
        <v>49</v>
      </c>
      <c r="N1823">
        <v>52</v>
      </c>
      <c r="P1823">
        <v>0</v>
      </c>
      <c r="Q1823">
        <v>3</v>
      </c>
      <c r="R1823">
        <v>7</v>
      </c>
      <c r="S1823">
        <v>26</v>
      </c>
    </row>
    <row r="1824" spans="1:19" x14ac:dyDescent="0.35">
      <c r="A1824">
        <v>57073517200</v>
      </c>
      <c r="B1824" t="s">
        <v>926</v>
      </c>
      <c r="C1824" t="str">
        <f>_xlfn.XLOOKUP(A1824,[1]Affiliations!$J$2:$J$5328,[1]Affiliations!$K$2:$K$5328,0)</f>
        <v>Universidade Federal do Espírito Santo</v>
      </c>
      <c r="D1824">
        <v>37</v>
      </c>
      <c r="E1824">
        <v>849</v>
      </c>
      <c r="F1824">
        <v>22.945945999999999</v>
      </c>
      <c r="G1824">
        <v>16</v>
      </c>
      <c r="H1824">
        <v>1.06</v>
      </c>
      <c r="I1824">
        <v>0</v>
      </c>
      <c r="J1824">
        <v>5</v>
      </c>
      <c r="K1824">
        <v>10</v>
      </c>
      <c r="L1824">
        <v>27</v>
      </c>
      <c r="M1824">
        <v>28</v>
      </c>
      <c r="N1824">
        <v>36</v>
      </c>
      <c r="P1824">
        <v>0</v>
      </c>
      <c r="Q1824">
        <v>4</v>
      </c>
      <c r="R1824">
        <v>6</v>
      </c>
      <c r="S1824">
        <v>19</v>
      </c>
    </row>
    <row r="1825" spans="1:19" hidden="1" x14ac:dyDescent="0.35">
      <c r="A1825">
        <v>57205779861</v>
      </c>
      <c r="B1825" t="s">
        <v>1833</v>
      </c>
      <c r="C1825" t="str">
        <f>_xlfn.XLOOKUP(A1825,[1]Affiliations!$J$2:$J$5328,[1]Affiliations!$K$2:$K$5328,0)</f>
        <v>WIKKI Brasil LTDA (+2 more)</v>
      </c>
      <c r="D1825">
        <v>10</v>
      </c>
      <c r="E1825">
        <v>68</v>
      </c>
      <c r="F1825">
        <v>6.8</v>
      </c>
      <c r="G1825">
        <v>5</v>
      </c>
      <c r="H1825">
        <v>1.23</v>
      </c>
      <c r="I1825">
        <v>0</v>
      </c>
      <c r="J1825">
        <v>1</v>
      </c>
      <c r="K1825">
        <v>2</v>
      </c>
      <c r="L1825">
        <v>6</v>
      </c>
      <c r="M1825">
        <v>10</v>
      </c>
      <c r="N1825">
        <v>10</v>
      </c>
      <c r="P1825">
        <v>0</v>
      </c>
      <c r="Q1825">
        <v>0</v>
      </c>
      <c r="R1825">
        <v>0</v>
      </c>
      <c r="S1825">
        <v>1</v>
      </c>
    </row>
    <row r="1826" spans="1:19" hidden="1" x14ac:dyDescent="0.35">
      <c r="A1826">
        <v>57819697600</v>
      </c>
      <c r="B1826" t="s">
        <v>1834</v>
      </c>
      <c r="C1826" t="str">
        <f>_xlfn.XLOOKUP(A1826,[1]Affiliations!$J$2:$J$5328,[1]Affiliations!$K$2:$K$5328,0)</f>
        <v>University of Campinas</v>
      </c>
      <c r="D1826">
        <v>1</v>
      </c>
      <c r="E1826">
        <v>21</v>
      </c>
      <c r="F1826">
        <v>21</v>
      </c>
      <c r="G1826">
        <v>1</v>
      </c>
      <c r="H1826">
        <v>2.34</v>
      </c>
      <c r="P1826">
        <v>0</v>
      </c>
      <c r="Q1826">
        <v>0</v>
      </c>
      <c r="R1826">
        <v>0</v>
      </c>
      <c r="S1826">
        <v>1</v>
      </c>
    </row>
    <row r="1827" spans="1:19" hidden="1" x14ac:dyDescent="0.35">
      <c r="A1827">
        <v>58180151100</v>
      </c>
      <c r="B1827" t="s">
        <v>1835</v>
      </c>
      <c r="C1827" t="str">
        <f>_xlfn.XLOOKUP(A1827,[1]Affiliations!$J$2:$J$5328,[1]Affiliations!$K$2:$K$5328,0)</f>
        <v>Pontifical Catholic University of Rio de Janeiro</v>
      </c>
      <c r="D1827">
        <v>2</v>
      </c>
      <c r="E1827">
        <v>33</v>
      </c>
      <c r="F1827">
        <v>16.5</v>
      </c>
      <c r="G1827">
        <v>2</v>
      </c>
      <c r="H1827">
        <v>1.51</v>
      </c>
      <c r="I1827">
        <v>0</v>
      </c>
      <c r="J1827">
        <v>1</v>
      </c>
      <c r="K1827">
        <v>2</v>
      </c>
      <c r="L1827">
        <v>2</v>
      </c>
      <c r="M1827">
        <v>2</v>
      </c>
      <c r="N1827">
        <v>2</v>
      </c>
      <c r="P1827">
        <v>0</v>
      </c>
      <c r="Q1827">
        <v>0</v>
      </c>
      <c r="R1827">
        <v>1</v>
      </c>
      <c r="S1827">
        <v>2</v>
      </c>
    </row>
    <row r="1828" spans="1:19" hidden="1" x14ac:dyDescent="0.35">
      <c r="A1828">
        <v>22633781700</v>
      </c>
      <c r="B1828" t="s">
        <v>1836</v>
      </c>
      <c r="C1828" t="str">
        <f>_xlfn.XLOOKUP(A1828,[1]Affiliations!$J$2:$J$5328,[1]Affiliations!$K$2:$K$5328,0)</f>
        <v>Universidade Estadual Paulista “Júlio de Mesquita Filho”</v>
      </c>
      <c r="D1828">
        <v>11</v>
      </c>
      <c r="E1828">
        <v>177</v>
      </c>
      <c r="F1828">
        <v>16.090910000000001</v>
      </c>
      <c r="G1828">
        <v>16</v>
      </c>
      <c r="H1828">
        <v>1.04</v>
      </c>
      <c r="I1828">
        <v>0</v>
      </c>
      <c r="J1828">
        <v>0</v>
      </c>
      <c r="K1828">
        <v>1</v>
      </c>
      <c r="L1828">
        <v>4</v>
      </c>
      <c r="M1828">
        <v>7</v>
      </c>
      <c r="N1828">
        <v>9</v>
      </c>
      <c r="P1828">
        <v>0</v>
      </c>
      <c r="Q1828">
        <v>0</v>
      </c>
      <c r="R1828">
        <v>0</v>
      </c>
      <c r="S1828">
        <v>4</v>
      </c>
    </row>
    <row r="1829" spans="1:19" hidden="1" x14ac:dyDescent="0.35">
      <c r="A1829">
        <v>56543795600</v>
      </c>
      <c r="B1829" t="s">
        <v>1837</v>
      </c>
      <c r="C1829" t="str">
        <f>_xlfn.XLOOKUP(A1829,[1]Affiliations!$J$2:$J$5328,[1]Affiliations!$K$2:$K$5328,0)</f>
        <v>Universidade Federal de Minas Gerais</v>
      </c>
      <c r="D1829">
        <v>27</v>
      </c>
      <c r="E1829">
        <v>281</v>
      </c>
      <c r="F1829">
        <v>10.407408</v>
      </c>
      <c r="G1829">
        <v>12</v>
      </c>
      <c r="H1829">
        <v>0.54</v>
      </c>
      <c r="I1829">
        <v>0</v>
      </c>
      <c r="J1829">
        <v>0</v>
      </c>
      <c r="K1829">
        <v>2</v>
      </c>
      <c r="L1829">
        <v>5</v>
      </c>
      <c r="M1829">
        <v>10</v>
      </c>
      <c r="N1829">
        <v>16</v>
      </c>
      <c r="P1829">
        <v>0</v>
      </c>
      <c r="Q1829">
        <v>0</v>
      </c>
      <c r="R1829">
        <v>0</v>
      </c>
      <c r="S1829">
        <v>4</v>
      </c>
    </row>
    <row r="1830" spans="1:19" hidden="1" x14ac:dyDescent="0.35">
      <c r="A1830">
        <v>55467994200</v>
      </c>
      <c r="B1830" t="s">
        <v>1838</v>
      </c>
      <c r="C1830" t="str">
        <f>_xlfn.XLOOKUP(A1830,[1]Affiliations!$J$2:$J$5328,[1]Affiliations!$K$2:$K$5328,0)</f>
        <v>Universidade Federal Fluminense (+1 more)</v>
      </c>
      <c r="D1830">
        <v>15</v>
      </c>
      <c r="E1830">
        <v>137</v>
      </c>
      <c r="F1830">
        <v>9.1333330000000004</v>
      </c>
      <c r="G1830">
        <v>6</v>
      </c>
      <c r="H1830">
        <v>0.61</v>
      </c>
      <c r="I1830">
        <v>0</v>
      </c>
      <c r="J1830">
        <v>5</v>
      </c>
      <c r="K1830">
        <v>7</v>
      </c>
      <c r="L1830">
        <v>12</v>
      </c>
      <c r="M1830">
        <v>12</v>
      </c>
      <c r="N1830">
        <v>12</v>
      </c>
      <c r="P1830">
        <v>0</v>
      </c>
      <c r="Q1830">
        <v>0</v>
      </c>
      <c r="R1830">
        <v>0</v>
      </c>
      <c r="S1830">
        <v>2</v>
      </c>
    </row>
    <row r="1831" spans="1:19" hidden="1" x14ac:dyDescent="0.35">
      <c r="A1831">
        <v>57613207900</v>
      </c>
      <c r="B1831" t="s">
        <v>1839</v>
      </c>
      <c r="C1831" t="str">
        <f>_xlfn.XLOOKUP(A1831,[1]Affiliations!$J$2:$J$5328,[1]Affiliations!$K$2:$K$5328,0)</f>
        <v>LNDC-COPPE-UFRJ</v>
      </c>
      <c r="D1831">
        <v>1</v>
      </c>
      <c r="E1831">
        <v>0</v>
      </c>
      <c r="F1831">
        <v>0</v>
      </c>
      <c r="G1831">
        <v>0</v>
      </c>
      <c r="H1831">
        <v>0</v>
      </c>
      <c r="P1831">
        <v>0</v>
      </c>
      <c r="Q1831">
        <v>0</v>
      </c>
      <c r="R1831">
        <v>0</v>
      </c>
      <c r="S1831">
        <v>0</v>
      </c>
    </row>
    <row r="1832" spans="1:19" hidden="1" x14ac:dyDescent="0.35">
      <c r="A1832">
        <v>54985026200</v>
      </c>
      <c r="B1832" t="s">
        <v>1840</v>
      </c>
      <c r="C1832" t="str">
        <f>_xlfn.XLOOKUP(A1832,[1]Affiliations!$J$2:$J$5328,[1]Affiliations!$K$2:$K$5328,0)</f>
        <v>Universidade Federal do Rio Grande do Sul (+1 more)</v>
      </c>
      <c r="D1832">
        <v>5</v>
      </c>
      <c r="E1832">
        <v>27</v>
      </c>
      <c r="F1832">
        <v>5.4</v>
      </c>
      <c r="G1832">
        <v>4</v>
      </c>
      <c r="H1832">
        <v>0.33</v>
      </c>
      <c r="I1832">
        <v>0</v>
      </c>
      <c r="J1832">
        <v>0</v>
      </c>
      <c r="K1832">
        <v>0</v>
      </c>
      <c r="L1832">
        <v>0</v>
      </c>
      <c r="M1832">
        <v>3</v>
      </c>
      <c r="N1832">
        <v>5</v>
      </c>
      <c r="P1832">
        <v>0</v>
      </c>
      <c r="Q1832">
        <v>0</v>
      </c>
      <c r="R1832">
        <v>0</v>
      </c>
      <c r="S1832">
        <v>0</v>
      </c>
    </row>
    <row r="1833" spans="1:19" hidden="1" x14ac:dyDescent="0.35">
      <c r="A1833">
        <v>57195973674</v>
      </c>
      <c r="B1833" t="s">
        <v>1841</v>
      </c>
      <c r="C1833" t="str">
        <f>_xlfn.XLOOKUP(A1833,[1]Affiliations!$J$2:$J$5328,[1]Affiliations!$K$2:$K$5328,0)</f>
        <v>Universidade Federal do Rio Grande do Sul</v>
      </c>
      <c r="D1833">
        <v>9</v>
      </c>
      <c r="E1833">
        <v>43</v>
      </c>
      <c r="F1833">
        <v>4.7777776999999997</v>
      </c>
      <c r="G1833">
        <v>4</v>
      </c>
      <c r="H1833">
        <v>0.31</v>
      </c>
      <c r="I1833">
        <v>0</v>
      </c>
      <c r="J1833">
        <v>0</v>
      </c>
      <c r="K1833">
        <v>0</v>
      </c>
      <c r="L1833">
        <v>1</v>
      </c>
      <c r="M1833">
        <v>5</v>
      </c>
      <c r="N1833">
        <v>8</v>
      </c>
      <c r="P1833">
        <v>0</v>
      </c>
      <c r="Q1833">
        <v>0</v>
      </c>
      <c r="R1833">
        <v>0</v>
      </c>
      <c r="S1833">
        <v>0</v>
      </c>
    </row>
    <row r="1834" spans="1:19" hidden="1" x14ac:dyDescent="0.35">
      <c r="A1834">
        <v>25631965400</v>
      </c>
      <c r="B1834" t="s">
        <v>1842</v>
      </c>
      <c r="C1834" t="str">
        <f>_xlfn.XLOOKUP(A1834,[1]Affiliations!$J$2:$J$5328,[1]Affiliations!$K$2:$K$5328,0)</f>
        <v>Universidade Federal de Santa Maria (+2 more)</v>
      </c>
      <c r="D1834">
        <v>3</v>
      </c>
      <c r="E1834">
        <v>175</v>
      </c>
      <c r="F1834">
        <v>58.333331999999999</v>
      </c>
      <c r="G1834">
        <v>8</v>
      </c>
      <c r="H1834">
        <v>1.93</v>
      </c>
      <c r="I1834">
        <v>0</v>
      </c>
      <c r="J1834">
        <v>2</v>
      </c>
      <c r="K1834">
        <v>2</v>
      </c>
      <c r="L1834">
        <v>2</v>
      </c>
      <c r="M1834">
        <v>3</v>
      </c>
      <c r="N1834">
        <v>3</v>
      </c>
      <c r="P1834">
        <v>0</v>
      </c>
      <c r="Q1834">
        <v>1</v>
      </c>
      <c r="R1834">
        <v>2</v>
      </c>
      <c r="S1834">
        <v>2</v>
      </c>
    </row>
    <row r="1835" spans="1:19" x14ac:dyDescent="0.35">
      <c r="A1835">
        <v>57183722000</v>
      </c>
      <c r="B1835" t="s">
        <v>1079</v>
      </c>
      <c r="C1835" t="str">
        <f>_xlfn.XLOOKUP(A1835,[1]Affiliations!$J$2:$J$5328,[1]Affiliations!$K$2:$K$5328,0)</f>
        <v>Federal University of Rio de Janeiro</v>
      </c>
      <c r="D1835">
        <v>5</v>
      </c>
      <c r="E1835">
        <v>141</v>
      </c>
      <c r="F1835">
        <v>28.2</v>
      </c>
      <c r="G1835">
        <v>7</v>
      </c>
      <c r="H1835">
        <v>1.06</v>
      </c>
      <c r="I1835">
        <v>0</v>
      </c>
      <c r="J1835">
        <v>0</v>
      </c>
      <c r="K1835">
        <v>2</v>
      </c>
      <c r="L1835">
        <v>4</v>
      </c>
      <c r="M1835">
        <v>5</v>
      </c>
      <c r="N1835">
        <v>5</v>
      </c>
      <c r="P1835">
        <v>0</v>
      </c>
      <c r="Q1835">
        <v>0</v>
      </c>
      <c r="R1835">
        <v>1</v>
      </c>
      <c r="S1835">
        <v>3</v>
      </c>
    </row>
    <row r="1836" spans="1:19" x14ac:dyDescent="0.35">
      <c r="A1836">
        <v>7003857761</v>
      </c>
      <c r="B1836" t="s">
        <v>1289</v>
      </c>
      <c r="C1836" t="str">
        <f>_xlfn.XLOOKUP(A1836,[1]Affiliations!$J$2:$J$5328,[1]Affiliations!$K$2:$K$5328,0)</f>
        <v>University of São Paulo (+2 more)</v>
      </c>
      <c r="D1836">
        <v>34</v>
      </c>
      <c r="E1836">
        <v>414</v>
      </c>
      <c r="F1836">
        <v>12.176470999999999</v>
      </c>
      <c r="G1836">
        <v>25</v>
      </c>
      <c r="H1836">
        <v>1.06</v>
      </c>
      <c r="I1836">
        <v>0</v>
      </c>
      <c r="J1836">
        <v>1</v>
      </c>
      <c r="K1836">
        <v>7</v>
      </c>
      <c r="L1836">
        <v>19</v>
      </c>
      <c r="M1836">
        <v>27</v>
      </c>
      <c r="N1836">
        <v>32</v>
      </c>
      <c r="P1836">
        <v>0</v>
      </c>
      <c r="Q1836">
        <v>0</v>
      </c>
      <c r="R1836">
        <v>2</v>
      </c>
      <c r="S1836">
        <v>13</v>
      </c>
    </row>
    <row r="1837" spans="1:19" hidden="1" x14ac:dyDescent="0.35">
      <c r="A1837">
        <v>59573913400</v>
      </c>
      <c r="B1837" t="s">
        <v>1845</v>
      </c>
      <c r="C1837" t="str">
        <f>_xlfn.XLOOKUP(A1837,[1]Affiliations!$J$2:$J$5328,[1]Affiliations!$K$2:$K$5328,0)</f>
        <v>Pontifical Catholic University of Rio de Janeiro</v>
      </c>
      <c r="D1837">
        <v>2</v>
      </c>
      <c r="E1837">
        <v>3</v>
      </c>
      <c r="F1837">
        <v>1.5</v>
      </c>
      <c r="G1837">
        <v>1</v>
      </c>
      <c r="H1837">
        <v>0.5</v>
      </c>
      <c r="P1837">
        <v>0</v>
      </c>
      <c r="Q1837">
        <v>0</v>
      </c>
      <c r="R1837">
        <v>0</v>
      </c>
      <c r="S1837">
        <v>0</v>
      </c>
    </row>
    <row r="1838" spans="1:19" hidden="1" x14ac:dyDescent="0.35">
      <c r="A1838">
        <v>7005040563</v>
      </c>
      <c r="B1838" t="s">
        <v>1846</v>
      </c>
      <c r="C1838" t="str">
        <f>_xlfn.XLOOKUP(A1838,[1]Affiliations!$J$2:$J$5328,[1]Affiliations!$K$2:$K$5328,0)</f>
        <v>Pontifical Catholic University of Rio de Janeiro</v>
      </c>
      <c r="D1838">
        <v>9</v>
      </c>
      <c r="E1838">
        <v>23</v>
      </c>
      <c r="F1838">
        <v>2.5555555999999999</v>
      </c>
      <c r="G1838">
        <v>7</v>
      </c>
      <c r="H1838">
        <v>0.24</v>
      </c>
      <c r="I1838">
        <v>0</v>
      </c>
      <c r="J1838">
        <v>0</v>
      </c>
      <c r="K1838">
        <v>0</v>
      </c>
      <c r="L1838">
        <v>1</v>
      </c>
      <c r="M1838">
        <v>2</v>
      </c>
      <c r="N1838">
        <v>5</v>
      </c>
      <c r="P1838">
        <v>0</v>
      </c>
      <c r="Q1838">
        <v>0</v>
      </c>
      <c r="R1838">
        <v>0</v>
      </c>
      <c r="S1838">
        <v>0</v>
      </c>
    </row>
    <row r="1839" spans="1:19" hidden="1" x14ac:dyDescent="0.35">
      <c r="A1839">
        <v>58313714000</v>
      </c>
      <c r="B1839" t="s">
        <v>1847</v>
      </c>
      <c r="C1839" t="str">
        <f>_xlfn.XLOOKUP(A1839,[1]Affiliations!$J$2:$J$5328,[1]Affiliations!$K$2:$K$5328,0)</f>
        <v>Instituto de Pesquisas da Marinha</v>
      </c>
      <c r="D1839">
        <v>1</v>
      </c>
      <c r="E1839">
        <v>9</v>
      </c>
      <c r="F1839">
        <v>9</v>
      </c>
      <c r="G1839">
        <v>1</v>
      </c>
      <c r="H1839">
        <v>1.5</v>
      </c>
      <c r="I1839">
        <v>0</v>
      </c>
      <c r="J1839">
        <v>0</v>
      </c>
      <c r="K1839">
        <v>0</v>
      </c>
      <c r="L1839">
        <v>1</v>
      </c>
      <c r="M1839">
        <v>1</v>
      </c>
      <c r="N1839">
        <v>1</v>
      </c>
      <c r="P1839">
        <v>0</v>
      </c>
      <c r="Q1839">
        <v>0</v>
      </c>
      <c r="R1839">
        <v>0</v>
      </c>
      <c r="S1839">
        <v>1</v>
      </c>
    </row>
    <row r="1840" spans="1:19" x14ac:dyDescent="0.35">
      <c r="A1840">
        <v>6508379578</v>
      </c>
      <c r="B1840" t="s">
        <v>1358</v>
      </c>
      <c r="C1840" t="str">
        <f>_xlfn.XLOOKUP(A1840,[1]Affiliations!$J$2:$J$5328,[1]Affiliations!$K$2:$K$5328,0)</f>
        <v>Centro Brasileiro de Pesquisas Físicas</v>
      </c>
      <c r="D1840">
        <v>26</v>
      </c>
      <c r="E1840">
        <v>375</v>
      </c>
      <c r="F1840">
        <v>14.423076999999999</v>
      </c>
      <c r="G1840">
        <v>14</v>
      </c>
      <c r="H1840">
        <v>1.06</v>
      </c>
      <c r="I1840">
        <v>0</v>
      </c>
      <c r="J1840">
        <v>1</v>
      </c>
      <c r="K1840">
        <v>4</v>
      </c>
      <c r="L1840">
        <v>13</v>
      </c>
      <c r="M1840">
        <v>14</v>
      </c>
      <c r="N1840">
        <v>14</v>
      </c>
      <c r="P1840">
        <v>0</v>
      </c>
      <c r="Q1840">
        <v>2</v>
      </c>
      <c r="R1840">
        <v>3</v>
      </c>
      <c r="S1840">
        <v>9</v>
      </c>
    </row>
    <row r="1841" spans="1:19" hidden="1" x14ac:dyDescent="0.35">
      <c r="A1841">
        <v>57219122522</v>
      </c>
      <c r="B1841" t="s">
        <v>1849</v>
      </c>
      <c r="C1841" t="str">
        <f>_xlfn.XLOOKUP(A1841,[1]Affiliations!$J$2:$J$5328,[1]Affiliations!$K$2:$K$5328,0)</f>
        <v>Universidade Federal Rural do Rio de Janeiro</v>
      </c>
      <c r="D1841">
        <v>6</v>
      </c>
      <c r="E1841">
        <v>52</v>
      </c>
      <c r="F1841">
        <v>8.6666670000000003</v>
      </c>
      <c r="G1841">
        <v>5</v>
      </c>
      <c r="H1841">
        <v>0.76</v>
      </c>
      <c r="I1841">
        <v>1</v>
      </c>
      <c r="J1841">
        <v>3</v>
      </c>
      <c r="K1841">
        <v>3</v>
      </c>
      <c r="L1841">
        <v>4</v>
      </c>
      <c r="M1841">
        <v>6</v>
      </c>
      <c r="N1841">
        <v>6</v>
      </c>
      <c r="P1841">
        <v>0</v>
      </c>
      <c r="Q1841">
        <v>0</v>
      </c>
      <c r="R1841">
        <v>0</v>
      </c>
      <c r="S1841">
        <v>1</v>
      </c>
    </row>
    <row r="1842" spans="1:19" x14ac:dyDescent="0.35">
      <c r="A1842">
        <v>57196727105</v>
      </c>
      <c r="B1842" t="s">
        <v>1582</v>
      </c>
      <c r="C1842" t="str">
        <f>_xlfn.XLOOKUP(A1842,[1]Affiliations!$J$2:$J$5328,[1]Affiliations!$K$2:$K$5328,0)</f>
        <v>Federal University of Rio de Janeiro</v>
      </c>
      <c r="D1842">
        <v>7</v>
      </c>
      <c r="E1842">
        <v>221</v>
      </c>
      <c r="F1842">
        <v>31.571428000000001</v>
      </c>
      <c r="G1842">
        <v>6</v>
      </c>
      <c r="H1842">
        <v>1.06</v>
      </c>
      <c r="I1842">
        <v>0</v>
      </c>
      <c r="J1842">
        <v>1</v>
      </c>
      <c r="K1842">
        <v>3</v>
      </c>
      <c r="L1842">
        <v>6</v>
      </c>
      <c r="M1842">
        <v>6</v>
      </c>
      <c r="N1842">
        <v>7</v>
      </c>
      <c r="P1842">
        <v>0</v>
      </c>
      <c r="Q1842">
        <v>1</v>
      </c>
      <c r="R1842">
        <v>1</v>
      </c>
      <c r="S1842">
        <v>3</v>
      </c>
    </row>
    <row r="1843" spans="1:19" hidden="1" x14ac:dyDescent="0.35">
      <c r="A1843">
        <v>57452302300</v>
      </c>
      <c r="B1843" t="s">
        <v>1851</v>
      </c>
      <c r="C1843" t="str">
        <f>_xlfn.XLOOKUP(A1843,[1]Affiliations!$J$2:$J$5328,[1]Affiliations!$K$2:$K$5328,0)</f>
        <v>Universidade Federal do Rio Grande do Sul</v>
      </c>
      <c r="D1843">
        <v>1</v>
      </c>
      <c r="E1843">
        <v>11</v>
      </c>
      <c r="F1843">
        <v>11</v>
      </c>
      <c r="G1843">
        <v>1</v>
      </c>
      <c r="H1843">
        <v>0.57999999999999996</v>
      </c>
      <c r="I1843">
        <v>0</v>
      </c>
      <c r="J1843">
        <v>1</v>
      </c>
      <c r="K1843">
        <v>1</v>
      </c>
      <c r="L1843">
        <v>1</v>
      </c>
      <c r="M1843">
        <v>1</v>
      </c>
      <c r="N1843">
        <v>1</v>
      </c>
      <c r="P1843">
        <v>0</v>
      </c>
      <c r="Q1843">
        <v>0</v>
      </c>
      <c r="R1843">
        <v>0</v>
      </c>
      <c r="S1843">
        <v>0</v>
      </c>
    </row>
    <row r="1844" spans="1:19" hidden="1" x14ac:dyDescent="0.35">
      <c r="A1844">
        <v>35728267100</v>
      </c>
      <c r="B1844" t="s">
        <v>1852</v>
      </c>
      <c r="C1844" t="str">
        <f>_xlfn.XLOOKUP(A1844,[1]Affiliations!$J$2:$J$5328,[1]Affiliations!$K$2:$K$5328,0)</f>
        <v>Federal University of Rio de Janeiro</v>
      </c>
      <c r="D1844">
        <v>12</v>
      </c>
      <c r="E1844">
        <v>71</v>
      </c>
      <c r="F1844">
        <v>5.9166664999999998</v>
      </c>
      <c r="G1844">
        <v>4</v>
      </c>
      <c r="H1844">
        <v>0.27</v>
      </c>
      <c r="I1844">
        <v>0</v>
      </c>
      <c r="J1844">
        <v>0</v>
      </c>
      <c r="K1844">
        <v>0</v>
      </c>
      <c r="L1844">
        <v>0</v>
      </c>
      <c r="M1844">
        <v>3</v>
      </c>
      <c r="N1844">
        <v>7</v>
      </c>
      <c r="P1844">
        <v>0</v>
      </c>
      <c r="Q1844">
        <v>0</v>
      </c>
      <c r="R1844">
        <v>1</v>
      </c>
      <c r="S1844">
        <v>1</v>
      </c>
    </row>
    <row r="1845" spans="1:19" x14ac:dyDescent="0.35">
      <c r="A1845">
        <v>6603188726</v>
      </c>
      <c r="B1845" t="s">
        <v>1814</v>
      </c>
      <c r="C1845" t="str">
        <f>_xlfn.XLOOKUP(A1845,[1]Affiliations!$J$2:$J$5328,[1]Affiliations!$K$2:$K$5328,0)</f>
        <v>Universidade Regional Integrada do Alto Uruguai e das Missões (+1 more)</v>
      </c>
      <c r="D1845">
        <v>89</v>
      </c>
      <c r="E1845">
        <v>2413</v>
      </c>
      <c r="F1845">
        <v>27.112359999999999</v>
      </c>
      <c r="G1845">
        <v>42</v>
      </c>
      <c r="H1845">
        <v>1.06</v>
      </c>
      <c r="I1845">
        <v>2</v>
      </c>
      <c r="J1845">
        <v>16</v>
      </c>
      <c r="K1845">
        <v>38</v>
      </c>
      <c r="L1845">
        <v>62</v>
      </c>
      <c r="M1845">
        <v>83</v>
      </c>
      <c r="N1845">
        <v>86</v>
      </c>
      <c r="P1845">
        <v>0</v>
      </c>
      <c r="Q1845">
        <v>14</v>
      </c>
      <c r="R1845">
        <v>21</v>
      </c>
      <c r="S1845">
        <v>47</v>
      </c>
    </row>
    <row r="1846" spans="1:19" hidden="1" x14ac:dyDescent="0.35">
      <c r="A1846">
        <v>57195637919</v>
      </c>
      <c r="B1846" t="s">
        <v>1854</v>
      </c>
      <c r="C1846" t="str">
        <f>_xlfn.XLOOKUP(A1846,[1]Affiliations!$J$2:$J$5328,[1]Affiliations!$K$2:$K$5328,0)</f>
        <v>Federal University of Rio de Janeiro</v>
      </c>
      <c r="D1846">
        <v>6</v>
      </c>
      <c r="E1846">
        <v>26</v>
      </c>
      <c r="F1846">
        <v>4.3333335000000002</v>
      </c>
      <c r="G1846">
        <v>4</v>
      </c>
      <c r="H1846">
        <v>0.21</v>
      </c>
      <c r="I1846">
        <v>0</v>
      </c>
      <c r="J1846">
        <v>1</v>
      </c>
      <c r="K1846">
        <v>1</v>
      </c>
      <c r="L1846">
        <v>5</v>
      </c>
      <c r="M1846">
        <v>5</v>
      </c>
      <c r="N1846">
        <v>5</v>
      </c>
      <c r="P1846">
        <v>0</v>
      </c>
      <c r="Q1846">
        <v>0</v>
      </c>
      <c r="R1846">
        <v>0</v>
      </c>
      <c r="S1846">
        <v>0</v>
      </c>
    </row>
    <row r="1847" spans="1:19" hidden="1" x14ac:dyDescent="0.35">
      <c r="A1847">
        <v>38861369000</v>
      </c>
      <c r="B1847" t="s">
        <v>1855</v>
      </c>
      <c r="C1847" t="str">
        <f>_xlfn.XLOOKUP(A1847,[1]Affiliations!$J$2:$J$5328,[1]Affiliations!$K$2:$K$5328,0)</f>
        <v>Universidade Federal de Juiz de Fora</v>
      </c>
      <c r="D1847">
        <v>4</v>
      </c>
      <c r="E1847">
        <v>78</v>
      </c>
      <c r="F1847">
        <v>19.5</v>
      </c>
      <c r="G1847">
        <v>5</v>
      </c>
      <c r="H1847">
        <v>0.44</v>
      </c>
      <c r="I1847">
        <v>0</v>
      </c>
      <c r="J1847">
        <v>0</v>
      </c>
      <c r="K1847">
        <v>1</v>
      </c>
      <c r="L1847">
        <v>2</v>
      </c>
      <c r="M1847">
        <v>3</v>
      </c>
      <c r="N1847">
        <v>3</v>
      </c>
      <c r="P1847">
        <v>0</v>
      </c>
      <c r="Q1847">
        <v>0</v>
      </c>
      <c r="R1847">
        <v>1</v>
      </c>
      <c r="S1847">
        <v>1</v>
      </c>
    </row>
    <row r="1848" spans="1:19" hidden="1" x14ac:dyDescent="0.35">
      <c r="A1848">
        <v>60124649000</v>
      </c>
      <c r="B1848" t="s">
        <v>1856</v>
      </c>
      <c r="C1848" t="str">
        <f>_xlfn.XLOOKUP(A1848,[1]Affiliations!$J$2:$J$5328,[1]Affiliations!$K$2:$K$5328,0)</f>
        <v>SENAI</v>
      </c>
      <c r="D1848">
        <v>0</v>
      </c>
      <c r="G1848">
        <v>0</v>
      </c>
    </row>
    <row r="1849" spans="1:19" x14ac:dyDescent="0.35">
      <c r="A1849">
        <v>11739487200</v>
      </c>
      <c r="B1849" t="s">
        <v>2651</v>
      </c>
      <c r="C1849" t="str">
        <f>_xlfn.XLOOKUP(A1849,[1]Affiliations!$J$2:$J$5328,[1]Affiliations!$K$2:$K$5328,0)</f>
        <v>Universidade Federal do Rio Grande do Sul</v>
      </c>
      <c r="D1849">
        <v>29</v>
      </c>
      <c r="E1849">
        <v>759</v>
      </c>
      <c r="F1849">
        <v>26.172412999999999</v>
      </c>
      <c r="G1849">
        <v>30</v>
      </c>
      <c r="H1849">
        <v>1.06</v>
      </c>
      <c r="I1849">
        <v>0</v>
      </c>
      <c r="J1849">
        <v>5</v>
      </c>
      <c r="K1849">
        <v>6</v>
      </c>
      <c r="L1849">
        <v>19</v>
      </c>
      <c r="M1849">
        <v>24</v>
      </c>
      <c r="N1849">
        <v>28</v>
      </c>
      <c r="P1849">
        <v>0</v>
      </c>
      <c r="Q1849">
        <v>1</v>
      </c>
      <c r="R1849">
        <v>6</v>
      </c>
      <c r="S1849">
        <v>13</v>
      </c>
    </row>
    <row r="1850" spans="1:19" x14ac:dyDescent="0.35">
      <c r="A1850">
        <v>57193160547</v>
      </c>
      <c r="B1850" t="s">
        <v>2858</v>
      </c>
      <c r="C1850" t="str">
        <f>_xlfn.XLOOKUP(A1850,[1]Affiliations!$J$2:$J$5328,[1]Affiliations!$K$2:$K$5328,0)</f>
        <v>Universidade Federal Fluminense</v>
      </c>
      <c r="D1850">
        <v>22</v>
      </c>
      <c r="E1850">
        <v>356</v>
      </c>
      <c r="F1850">
        <v>16.181818</v>
      </c>
      <c r="G1850">
        <v>11</v>
      </c>
      <c r="H1850">
        <v>1.06</v>
      </c>
      <c r="I1850">
        <v>4</v>
      </c>
      <c r="J1850">
        <v>15</v>
      </c>
      <c r="K1850">
        <v>20</v>
      </c>
      <c r="L1850">
        <v>21</v>
      </c>
      <c r="M1850">
        <v>22</v>
      </c>
      <c r="N1850">
        <v>22</v>
      </c>
      <c r="P1850">
        <v>0</v>
      </c>
      <c r="Q1850">
        <v>0</v>
      </c>
      <c r="R1850">
        <v>1</v>
      </c>
      <c r="S1850">
        <v>6</v>
      </c>
    </row>
    <row r="1851" spans="1:19" hidden="1" x14ac:dyDescent="0.35">
      <c r="A1851">
        <v>57224442143</v>
      </c>
      <c r="B1851" t="s">
        <v>1859</v>
      </c>
      <c r="C1851" t="str">
        <f>_xlfn.XLOOKUP(A1851,[1]Affiliations!$J$2:$J$5328,[1]Affiliations!$K$2:$K$5328,0)</f>
        <v>Universidade Federal de Pernambuco</v>
      </c>
      <c r="D1851">
        <v>4</v>
      </c>
      <c r="E1851">
        <v>9</v>
      </c>
      <c r="F1851">
        <v>2.25</v>
      </c>
      <c r="G1851">
        <v>2</v>
      </c>
      <c r="H1851">
        <v>0.14000000000000001</v>
      </c>
      <c r="I1851">
        <v>0</v>
      </c>
      <c r="J1851">
        <v>0</v>
      </c>
      <c r="K1851">
        <v>0</v>
      </c>
      <c r="L1851">
        <v>2</v>
      </c>
      <c r="M1851">
        <v>2</v>
      </c>
      <c r="N1851">
        <v>3</v>
      </c>
      <c r="P1851">
        <v>0</v>
      </c>
      <c r="Q1851">
        <v>0</v>
      </c>
      <c r="R1851">
        <v>0</v>
      </c>
      <c r="S1851">
        <v>0</v>
      </c>
    </row>
    <row r="1852" spans="1:19" hidden="1" x14ac:dyDescent="0.35">
      <c r="A1852">
        <v>6603672519</v>
      </c>
      <c r="B1852" t="s">
        <v>1860</v>
      </c>
      <c r="C1852" t="str">
        <f>_xlfn.XLOOKUP(A1852,[1]Affiliations!$J$2:$J$5328,[1]Affiliations!$K$2:$K$5328,0)</f>
        <v>Universidade Federal do Ceará</v>
      </c>
      <c r="D1852">
        <v>13</v>
      </c>
      <c r="E1852">
        <v>201</v>
      </c>
      <c r="F1852">
        <v>15.461537999999999</v>
      </c>
      <c r="G1852">
        <v>15</v>
      </c>
      <c r="H1852">
        <v>0.64</v>
      </c>
      <c r="I1852">
        <v>1</v>
      </c>
      <c r="J1852">
        <v>2</v>
      </c>
      <c r="K1852">
        <v>3</v>
      </c>
      <c r="L1852">
        <v>4</v>
      </c>
      <c r="M1852">
        <v>9</v>
      </c>
      <c r="N1852">
        <v>10</v>
      </c>
      <c r="P1852">
        <v>0</v>
      </c>
      <c r="Q1852">
        <v>0</v>
      </c>
      <c r="R1852">
        <v>0</v>
      </c>
      <c r="S1852">
        <v>4</v>
      </c>
    </row>
    <row r="1853" spans="1:19" hidden="1" x14ac:dyDescent="0.35">
      <c r="A1853">
        <v>57535995600</v>
      </c>
      <c r="B1853" t="s">
        <v>1861</v>
      </c>
      <c r="C1853" t="str">
        <f>_xlfn.XLOOKUP(A1853,[1]Affiliations!$J$2:$J$5328,[1]Affiliations!$K$2:$K$5328,0)</f>
        <v>Universidade Federal do Rio Grande do Norte</v>
      </c>
      <c r="D1853">
        <v>3</v>
      </c>
      <c r="E1853">
        <v>23</v>
      </c>
      <c r="F1853">
        <v>7.6666664999999998</v>
      </c>
      <c r="G1853">
        <v>3</v>
      </c>
      <c r="H1853">
        <v>1.49</v>
      </c>
      <c r="I1853">
        <v>0</v>
      </c>
      <c r="J1853">
        <v>0</v>
      </c>
      <c r="K1853">
        <v>1</v>
      </c>
      <c r="L1853">
        <v>2</v>
      </c>
      <c r="M1853">
        <v>2</v>
      </c>
      <c r="N1853">
        <v>2</v>
      </c>
      <c r="P1853">
        <v>0</v>
      </c>
      <c r="Q1853">
        <v>0</v>
      </c>
      <c r="R1853">
        <v>0</v>
      </c>
      <c r="S1853">
        <v>0</v>
      </c>
    </row>
    <row r="1854" spans="1:19" hidden="1" x14ac:dyDescent="0.35">
      <c r="A1854">
        <v>57224544053</v>
      </c>
      <c r="B1854" t="s">
        <v>1862</v>
      </c>
      <c r="C1854" t="str">
        <f>_xlfn.XLOOKUP(A1854,[1]Affiliations!$J$2:$J$5328,[1]Affiliations!$K$2:$K$5328,0)</f>
        <v>Universidade de São Paulo</v>
      </c>
      <c r="D1854">
        <v>2</v>
      </c>
      <c r="E1854">
        <v>1</v>
      </c>
      <c r="F1854">
        <v>0.5</v>
      </c>
      <c r="G1854">
        <v>1</v>
      </c>
      <c r="H1854">
        <v>0.04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2</v>
      </c>
      <c r="P1854">
        <v>0</v>
      </c>
      <c r="Q1854">
        <v>0</v>
      </c>
      <c r="R1854">
        <v>0</v>
      </c>
      <c r="S1854">
        <v>0</v>
      </c>
    </row>
    <row r="1855" spans="1:19" hidden="1" x14ac:dyDescent="0.35">
      <c r="A1855">
        <v>57191755987</v>
      </c>
      <c r="B1855" t="s">
        <v>1863</v>
      </c>
      <c r="C1855" t="str">
        <f>_xlfn.XLOOKUP(A1855,[1]Affiliations!$J$2:$J$5328,[1]Affiliations!$K$2:$K$5328,0)</f>
        <v>Federal University of Rio de Janeiro</v>
      </c>
      <c r="D1855">
        <v>1</v>
      </c>
      <c r="E1855">
        <v>30</v>
      </c>
      <c r="F1855">
        <v>30</v>
      </c>
      <c r="G1855">
        <v>1</v>
      </c>
      <c r="H1855">
        <v>1.1399999999999999</v>
      </c>
      <c r="I1855">
        <v>0</v>
      </c>
      <c r="J1855">
        <v>0</v>
      </c>
      <c r="K1855">
        <v>0</v>
      </c>
      <c r="L1855">
        <v>0</v>
      </c>
      <c r="M1855">
        <v>1</v>
      </c>
      <c r="N1855">
        <v>1</v>
      </c>
      <c r="P1855">
        <v>0</v>
      </c>
      <c r="Q1855">
        <v>0</v>
      </c>
      <c r="R1855">
        <v>0</v>
      </c>
      <c r="S1855">
        <v>1</v>
      </c>
    </row>
    <row r="1856" spans="1:19" hidden="1" x14ac:dyDescent="0.35">
      <c r="A1856">
        <v>57198899417</v>
      </c>
      <c r="B1856" t="s">
        <v>1864</v>
      </c>
      <c r="C1856" t="str">
        <f>_xlfn.XLOOKUP(A1856,[1]Affiliations!$J$2:$J$5328,[1]Affiliations!$K$2:$K$5328,0)</f>
        <v>Universidade Federal do Ceará</v>
      </c>
      <c r="D1856">
        <v>3</v>
      </c>
      <c r="E1856">
        <v>32</v>
      </c>
      <c r="F1856">
        <v>10.666667</v>
      </c>
      <c r="G1856">
        <v>3</v>
      </c>
      <c r="H1856">
        <v>0.51</v>
      </c>
      <c r="I1856">
        <v>0</v>
      </c>
      <c r="J1856">
        <v>0</v>
      </c>
      <c r="K1856">
        <v>0</v>
      </c>
      <c r="L1856">
        <v>1</v>
      </c>
      <c r="M1856">
        <v>2</v>
      </c>
      <c r="N1856">
        <v>3</v>
      </c>
      <c r="P1856">
        <v>0</v>
      </c>
      <c r="Q1856">
        <v>0</v>
      </c>
      <c r="R1856">
        <v>0</v>
      </c>
      <c r="S1856">
        <v>0</v>
      </c>
    </row>
    <row r="1857" spans="1:19" hidden="1" x14ac:dyDescent="0.35">
      <c r="A1857">
        <v>57215701063</v>
      </c>
      <c r="B1857" t="s">
        <v>1865</v>
      </c>
      <c r="C1857" t="str">
        <f>_xlfn.XLOOKUP(A1857,[1]Affiliations!$J$2:$J$5328,[1]Affiliations!$K$2:$K$5328,0)</f>
        <v>Universidade Federal de Santa Maria</v>
      </c>
      <c r="D1857">
        <v>1</v>
      </c>
      <c r="E1857">
        <v>8</v>
      </c>
      <c r="F1857">
        <v>8</v>
      </c>
      <c r="G1857">
        <v>1</v>
      </c>
      <c r="H1857">
        <v>0.39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1</v>
      </c>
      <c r="P1857">
        <v>0</v>
      </c>
      <c r="Q1857">
        <v>0</v>
      </c>
      <c r="R1857">
        <v>0</v>
      </c>
      <c r="S1857">
        <v>0</v>
      </c>
    </row>
    <row r="1858" spans="1:19" hidden="1" x14ac:dyDescent="0.35">
      <c r="A1858">
        <v>57188537045</v>
      </c>
      <c r="B1858" t="s">
        <v>1866</v>
      </c>
      <c r="C1858" t="str">
        <f>_xlfn.XLOOKUP(A1858,[1]Affiliations!$J$2:$J$5328,[1]Affiliations!$K$2:$K$5328,0)</f>
        <v>Federal University of Rio de Janeiro</v>
      </c>
      <c r="D1858">
        <v>4</v>
      </c>
      <c r="E1858">
        <v>72</v>
      </c>
      <c r="F1858">
        <v>18</v>
      </c>
      <c r="G1858">
        <v>4</v>
      </c>
      <c r="H1858">
        <v>0.86</v>
      </c>
      <c r="I1858">
        <v>0</v>
      </c>
      <c r="J1858">
        <v>0</v>
      </c>
      <c r="K1858">
        <v>0</v>
      </c>
      <c r="L1858">
        <v>3</v>
      </c>
      <c r="M1858">
        <v>4</v>
      </c>
      <c r="N1858">
        <v>4</v>
      </c>
      <c r="P1858">
        <v>0</v>
      </c>
      <c r="Q1858">
        <v>0</v>
      </c>
      <c r="R1858">
        <v>1</v>
      </c>
      <c r="S1858">
        <v>3</v>
      </c>
    </row>
    <row r="1859" spans="1:19" hidden="1" x14ac:dyDescent="0.35">
      <c r="A1859">
        <v>57193666919</v>
      </c>
      <c r="B1859" t="s">
        <v>1867</v>
      </c>
      <c r="C1859" t="str">
        <f>_xlfn.XLOOKUP(A1859,[1]Affiliations!$J$2:$J$5328,[1]Affiliations!$K$2:$K$5328,0)</f>
        <v>Universidade Federal de Pernambuco</v>
      </c>
      <c r="D1859">
        <v>2</v>
      </c>
      <c r="E1859">
        <v>13</v>
      </c>
      <c r="F1859">
        <v>6.5</v>
      </c>
      <c r="G1859">
        <v>2</v>
      </c>
      <c r="H1859">
        <v>0.57999999999999996</v>
      </c>
      <c r="I1859">
        <v>0</v>
      </c>
      <c r="J1859">
        <v>0</v>
      </c>
      <c r="K1859">
        <v>0</v>
      </c>
      <c r="L1859">
        <v>0</v>
      </c>
      <c r="M1859">
        <v>1</v>
      </c>
      <c r="N1859">
        <v>1</v>
      </c>
      <c r="P1859">
        <v>0</v>
      </c>
      <c r="Q1859">
        <v>0</v>
      </c>
      <c r="R1859">
        <v>0</v>
      </c>
      <c r="S1859">
        <v>1</v>
      </c>
    </row>
    <row r="1860" spans="1:19" x14ac:dyDescent="0.35">
      <c r="A1860">
        <v>6701851869</v>
      </c>
      <c r="B1860" t="s">
        <v>2916</v>
      </c>
      <c r="C1860" t="str">
        <f>_xlfn.XLOOKUP(A1860,[1]Affiliations!$J$2:$J$5328,[1]Affiliations!$K$2:$K$5328,0)</f>
        <v>Federal University of Rio de Janeiro</v>
      </c>
      <c r="D1860">
        <v>23</v>
      </c>
      <c r="E1860">
        <v>533</v>
      </c>
      <c r="F1860">
        <v>23.173914</v>
      </c>
      <c r="G1860">
        <v>39</v>
      </c>
      <c r="H1860">
        <v>1.06</v>
      </c>
      <c r="I1860">
        <v>0</v>
      </c>
      <c r="J1860">
        <v>7</v>
      </c>
      <c r="K1860">
        <v>11</v>
      </c>
      <c r="L1860">
        <v>14</v>
      </c>
      <c r="M1860">
        <v>19</v>
      </c>
      <c r="N1860">
        <v>20</v>
      </c>
      <c r="P1860">
        <v>0</v>
      </c>
      <c r="Q1860">
        <v>0</v>
      </c>
      <c r="R1860">
        <v>4</v>
      </c>
      <c r="S1860">
        <v>11</v>
      </c>
    </row>
    <row r="1861" spans="1:19" hidden="1" x14ac:dyDescent="0.35">
      <c r="A1861">
        <v>59918251700</v>
      </c>
      <c r="B1861" t="s">
        <v>1869</v>
      </c>
      <c r="C1861" t="str">
        <f>_xlfn.XLOOKUP(A1861,[1]Affiliations!$J$2:$J$5328,[1]Affiliations!$K$2:$K$5328,0)</f>
        <v>Universidade Federal do Ceará</v>
      </c>
      <c r="D1861">
        <v>0</v>
      </c>
      <c r="G1861">
        <v>1</v>
      </c>
    </row>
    <row r="1862" spans="1:19" hidden="1" x14ac:dyDescent="0.35">
      <c r="A1862">
        <v>7003392914</v>
      </c>
      <c r="B1862" t="s">
        <v>1870</v>
      </c>
      <c r="C1862" t="str">
        <f>_xlfn.XLOOKUP(A1862,[1]Affiliations!$J$2:$J$5328,[1]Affiliations!$K$2:$K$5328,0)</f>
        <v>Universidade Federal de Santa Maria</v>
      </c>
      <c r="D1862">
        <v>39</v>
      </c>
      <c r="E1862">
        <v>525</v>
      </c>
      <c r="F1862">
        <v>13.461537999999999</v>
      </c>
      <c r="G1862">
        <v>21</v>
      </c>
      <c r="H1862">
        <v>0.59</v>
      </c>
      <c r="I1862">
        <v>0</v>
      </c>
      <c r="J1862">
        <v>2</v>
      </c>
      <c r="K1862">
        <v>10</v>
      </c>
      <c r="L1862">
        <v>23</v>
      </c>
      <c r="M1862">
        <v>33</v>
      </c>
      <c r="N1862">
        <v>37</v>
      </c>
      <c r="P1862">
        <v>0</v>
      </c>
      <c r="Q1862">
        <v>0</v>
      </c>
      <c r="R1862">
        <v>0</v>
      </c>
      <c r="S1862">
        <v>10</v>
      </c>
    </row>
    <row r="1863" spans="1:19" hidden="1" x14ac:dyDescent="0.35">
      <c r="A1863">
        <v>57204353227</v>
      </c>
      <c r="B1863" t="s">
        <v>1871</v>
      </c>
      <c r="C1863" t="str">
        <f>_xlfn.XLOOKUP(A1863,[1]Affiliations!$J$2:$J$5328,[1]Affiliations!$K$2:$K$5328,0)</f>
        <v>Universidade Regional do Cariri</v>
      </c>
      <c r="D1863">
        <v>11</v>
      </c>
      <c r="E1863">
        <v>163</v>
      </c>
      <c r="F1863">
        <v>14.818182</v>
      </c>
      <c r="G1863">
        <v>6</v>
      </c>
      <c r="H1863">
        <v>1.1000000000000001</v>
      </c>
      <c r="I1863">
        <v>0</v>
      </c>
      <c r="J1863">
        <v>0</v>
      </c>
      <c r="K1863">
        <v>0</v>
      </c>
      <c r="L1863">
        <v>0</v>
      </c>
      <c r="M1863">
        <v>5</v>
      </c>
      <c r="N1863">
        <v>5</v>
      </c>
      <c r="P1863">
        <v>0</v>
      </c>
      <c r="Q1863">
        <v>0</v>
      </c>
      <c r="R1863">
        <v>1</v>
      </c>
      <c r="S1863">
        <v>5</v>
      </c>
    </row>
    <row r="1864" spans="1:19" hidden="1" x14ac:dyDescent="0.35">
      <c r="A1864">
        <v>57212002436</v>
      </c>
      <c r="B1864" t="s">
        <v>1872</v>
      </c>
      <c r="C1864" t="str">
        <f>_xlfn.XLOOKUP(A1864,[1]Affiliations!$J$2:$J$5328,[1]Affiliations!$K$2:$K$5328,0)</f>
        <v>DEMa</v>
      </c>
      <c r="D1864">
        <v>5</v>
      </c>
      <c r="E1864">
        <v>19</v>
      </c>
      <c r="F1864">
        <v>3.8</v>
      </c>
      <c r="G1864">
        <v>2</v>
      </c>
      <c r="H1864">
        <v>0.37</v>
      </c>
      <c r="I1864">
        <v>0</v>
      </c>
      <c r="J1864">
        <v>0</v>
      </c>
      <c r="K1864">
        <v>0</v>
      </c>
      <c r="L1864">
        <v>0</v>
      </c>
      <c r="M1864">
        <v>2</v>
      </c>
      <c r="N1864">
        <v>3</v>
      </c>
      <c r="P1864">
        <v>0</v>
      </c>
      <c r="Q1864">
        <v>0</v>
      </c>
      <c r="R1864">
        <v>0</v>
      </c>
      <c r="S1864">
        <v>0</v>
      </c>
    </row>
    <row r="1865" spans="1:19" x14ac:dyDescent="0.35">
      <c r="A1865">
        <v>12243245300</v>
      </c>
      <c r="B1865" t="s">
        <v>3116</v>
      </c>
      <c r="C1865" t="str">
        <f>_xlfn.XLOOKUP(A1865,[1]Affiliations!$J$2:$J$5328,[1]Affiliations!$K$2:$K$5328,0)</f>
        <v>Universidade Estadual Paulista “Júlio de Mesquita Filho”</v>
      </c>
      <c r="D1865">
        <v>49</v>
      </c>
      <c r="E1865">
        <v>998</v>
      </c>
      <c r="F1865">
        <v>20.367348</v>
      </c>
      <c r="G1865">
        <v>22</v>
      </c>
      <c r="H1865">
        <v>1.06</v>
      </c>
      <c r="I1865">
        <v>1</v>
      </c>
      <c r="J1865">
        <v>13</v>
      </c>
      <c r="K1865">
        <v>24</v>
      </c>
      <c r="L1865">
        <v>27</v>
      </c>
      <c r="M1865">
        <v>30</v>
      </c>
      <c r="N1865">
        <v>32</v>
      </c>
      <c r="P1865">
        <v>0</v>
      </c>
      <c r="Q1865">
        <v>4</v>
      </c>
      <c r="R1865">
        <v>9</v>
      </c>
      <c r="S1865">
        <v>23</v>
      </c>
    </row>
    <row r="1866" spans="1:19" hidden="1" x14ac:dyDescent="0.35">
      <c r="A1866">
        <v>6507460120</v>
      </c>
      <c r="B1866" t="s">
        <v>1874</v>
      </c>
      <c r="C1866" t="str">
        <f>_xlfn.XLOOKUP(A1866,[1]Affiliations!$J$2:$J$5328,[1]Affiliations!$K$2:$K$5328,0)</f>
        <v>Federal University of Rio de Janeiro</v>
      </c>
      <c r="D1866">
        <v>1</v>
      </c>
      <c r="E1866">
        <v>1</v>
      </c>
      <c r="F1866">
        <v>1</v>
      </c>
      <c r="G1866">
        <v>1</v>
      </c>
      <c r="H1866">
        <v>0.13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1</v>
      </c>
      <c r="P1866">
        <v>0</v>
      </c>
      <c r="Q1866">
        <v>0</v>
      </c>
      <c r="R1866">
        <v>0</v>
      </c>
      <c r="S1866">
        <v>0</v>
      </c>
    </row>
    <row r="1867" spans="1:19" hidden="1" x14ac:dyDescent="0.35">
      <c r="A1867">
        <v>57202677601</v>
      </c>
      <c r="B1867" t="s">
        <v>1875</v>
      </c>
      <c r="C1867" t="str">
        <f>_xlfn.XLOOKUP(A1867,[1]Affiliations!$J$2:$J$5328,[1]Affiliations!$K$2:$K$5328,0)</f>
        <v>Universidade Federal do Espírito Santo</v>
      </c>
      <c r="D1867">
        <v>2</v>
      </c>
      <c r="E1867">
        <v>12</v>
      </c>
      <c r="F1867">
        <v>6</v>
      </c>
      <c r="G1867">
        <v>2</v>
      </c>
      <c r="H1867">
        <v>0.28000000000000003</v>
      </c>
      <c r="I1867">
        <v>0</v>
      </c>
      <c r="J1867">
        <v>0</v>
      </c>
      <c r="K1867">
        <v>0</v>
      </c>
      <c r="L1867">
        <v>0</v>
      </c>
      <c r="M1867">
        <v>2</v>
      </c>
      <c r="N1867">
        <v>2</v>
      </c>
      <c r="P1867">
        <v>0</v>
      </c>
      <c r="Q1867">
        <v>0</v>
      </c>
      <c r="R1867">
        <v>0</v>
      </c>
      <c r="S1867">
        <v>0</v>
      </c>
    </row>
    <row r="1868" spans="1:19" hidden="1" x14ac:dyDescent="0.35">
      <c r="A1868">
        <v>57999521900</v>
      </c>
      <c r="B1868" t="s">
        <v>1876</v>
      </c>
      <c r="C1868" t="str">
        <f>_xlfn.XLOOKUP(A1868,[1]Affiliations!$J$2:$J$5328,[1]Affiliations!$K$2:$K$5328,0)</f>
        <v>Federal University of Rio de Janeiro</v>
      </c>
      <c r="D1868">
        <v>2</v>
      </c>
      <c r="E1868">
        <v>4</v>
      </c>
      <c r="F1868">
        <v>2</v>
      </c>
      <c r="G1868">
        <v>2</v>
      </c>
      <c r="H1868">
        <v>0.17</v>
      </c>
      <c r="I1868">
        <v>0</v>
      </c>
      <c r="J1868">
        <v>1</v>
      </c>
      <c r="K1868">
        <v>1</v>
      </c>
      <c r="L1868">
        <v>1</v>
      </c>
      <c r="M1868">
        <v>2</v>
      </c>
      <c r="N1868">
        <v>2</v>
      </c>
      <c r="P1868">
        <v>0</v>
      </c>
      <c r="Q1868">
        <v>0</v>
      </c>
      <c r="R1868">
        <v>0</v>
      </c>
      <c r="S1868">
        <v>0</v>
      </c>
    </row>
    <row r="1869" spans="1:19" hidden="1" x14ac:dyDescent="0.35">
      <c r="A1869">
        <v>57482565600</v>
      </c>
      <c r="B1869" t="s">
        <v>1877</v>
      </c>
      <c r="C1869" t="str">
        <f>_xlfn.XLOOKUP(A1869,[1]Affiliations!$J$2:$J$5328,[1]Affiliations!$K$2:$K$5328,0)</f>
        <v>Vizlab - X-Reality and GeoInformatics Lab</v>
      </c>
      <c r="D1869">
        <v>1</v>
      </c>
      <c r="E1869">
        <v>12</v>
      </c>
      <c r="F1869">
        <v>12</v>
      </c>
      <c r="G1869">
        <v>1</v>
      </c>
      <c r="H1869">
        <v>3.43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1</v>
      </c>
      <c r="P1869">
        <v>0</v>
      </c>
      <c r="Q1869">
        <v>0</v>
      </c>
      <c r="R1869">
        <v>0</v>
      </c>
      <c r="S1869">
        <v>0</v>
      </c>
    </row>
    <row r="1870" spans="1:19" x14ac:dyDescent="0.35">
      <c r="A1870">
        <v>56638348700</v>
      </c>
      <c r="B1870" t="s">
        <v>3227</v>
      </c>
      <c r="C1870" t="str">
        <f>_xlfn.XLOOKUP(A1870,[1]Affiliations!$J$2:$J$5328,[1]Affiliations!$K$2:$K$5328,0)</f>
        <v>University of Campinas (+1 more)</v>
      </c>
      <c r="D1870">
        <v>22</v>
      </c>
      <c r="E1870">
        <v>219</v>
      </c>
      <c r="F1870">
        <v>9.9545449999999995</v>
      </c>
      <c r="G1870">
        <v>9</v>
      </c>
      <c r="H1870">
        <v>1.06</v>
      </c>
      <c r="I1870">
        <v>0</v>
      </c>
      <c r="J1870">
        <v>4</v>
      </c>
      <c r="K1870">
        <v>7</v>
      </c>
      <c r="L1870">
        <v>10</v>
      </c>
      <c r="M1870">
        <v>11</v>
      </c>
      <c r="N1870">
        <v>12</v>
      </c>
      <c r="P1870">
        <v>0</v>
      </c>
      <c r="Q1870">
        <v>0</v>
      </c>
      <c r="R1870">
        <v>2</v>
      </c>
      <c r="S1870">
        <v>4</v>
      </c>
    </row>
    <row r="1871" spans="1:19" hidden="1" x14ac:dyDescent="0.35">
      <c r="A1871">
        <v>57925213000</v>
      </c>
      <c r="B1871" t="s">
        <v>1879</v>
      </c>
      <c r="C1871" t="str">
        <f>_xlfn.XLOOKUP(A1871,[1]Affiliations!$J$2:$J$5328,[1]Affiliations!$K$2:$K$5328,0)</f>
        <v>Federal University of Santa Catarina</v>
      </c>
      <c r="D1871">
        <v>2</v>
      </c>
      <c r="E1871">
        <v>9</v>
      </c>
      <c r="F1871">
        <v>4.5</v>
      </c>
      <c r="G1871">
        <v>2</v>
      </c>
      <c r="H1871">
        <v>0.48</v>
      </c>
      <c r="I1871">
        <v>0</v>
      </c>
      <c r="J1871">
        <v>0</v>
      </c>
      <c r="K1871">
        <v>0</v>
      </c>
      <c r="L1871">
        <v>2</v>
      </c>
      <c r="M1871">
        <v>2</v>
      </c>
      <c r="N1871">
        <v>2</v>
      </c>
      <c r="P1871">
        <v>0</v>
      </c>
      <c r="Q1871">
        <v>0</v>
      </c>
      <c r="R1871">
        <v>0</v>
      </c>
      <c r="S1871">
        <v>1</v>
      </c>
    </row>
    <row r="1872" spans="1:19" hidden="1" x14ac:dyDescent="0.35">
      <c r="A1872">
        <v>23491881900</v>
      </c>
      <c r="B1872" t="s">
        <v>1880</v>
      </c>
      <c r="C1872" t="str">
        <f>_xlfn.XLOOKUP(A1872,[1]Affiliations!$J$2:$J$5328,[1]Affiliations!$K$2:$K$5328,0)</f>
        <v>Pontifícia Universidade Católica do Rio Grande do Sul</v>
      </c>
      <c r="D1872">
        <v>2</v>
      </c>
      <c r="E1872">
        <v>92</v>
      </c>
      <c r="F1872">
        <v>46</v>
      </c>
      <c r="G1872">
        <v>5</v>
      </c>
      <c r="H1872">
        <v>2.04</v>
      </c>
      <c r="I1872">
        <v>0</v>
      </c>
      <c r="J1872">
        <v>0</v>
      </c>
      <c r="K1872">
        <v>2</v>
      </c>
      <c r="L1872">
        <v>2</v>
      </c>
      <c r="M1872">
        <v>2</v>
      </c>
      <c r="N1872">
        <v>2</v>
      </c>
      <c r="P1872">
        <v>0</v>
      </c>
      <c r="Q1872">
        <v>0</v>
      </c>
      <c r="R1872">
        <v>0</v>
      </c>
      <c r="S1872">
        <v>2</v>
      </c>
    </row>
    <row r="1873" spans="1:19" hidden="1" x14ac:dyDescent="0.35">
      <c r="A1873">
        <v>57200258537</v>
      </c>
      <c r="B1873" t="s">
        <v>1881</v>
      </c>
      <c r="C1873" t="str">
        <f>_xlfn.XLOOKUP(A1873,[1]Affiliations!$J$2:$J$5328,[1]Affiliations!$K$2:$K$5328,0)</f>
        <v>Engineering Simulation and Scientific Software (ESSS) (+2 more)</v>
      </c>
      <c r="D1873">
        <v>7</v>
      </c>
      <c r="E1873">
        <v>5</v>
      </c>
      <c r="F1873">
        <v>0.71428572999999995</v>
      </c>
      <c r="G1873">
        <v>1</v>
      </c>
      <c r="H1873">
        <v>0.1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2</v>
      </c>
      <c r="P1873">
        <v>0</v>
      </c>
      <c r="Q1873">
        <v>0</v>
      </c>
      <c r="R1873">
        <v>0</v>
      </c>
      <c r="S1873">
        <v>0</v>
      </c>
    </row>
    <row r="1874" spans="1:19" hidden="1" x14ac:dyDescent="0.35">
      <c r="A1874">
        <v>56544641800</v>
      </c>
      <c r="B1874" t="s">
        <v>1882</v>
      </c>
      <c r="C1874" t="str">
        <f>_xlfn.XLOOKUP(A1874,[1]Affiliations!$J$2:$J$5328,[1]Affiliations!$K$2:$K$5328,0)</f>
        <v>Universidade Federal de Santa Maria</v>
      </c>
      <c r="D1874">
        <v>8</v>
      </c>
      <c r="E1874">
        <v>174</v>
      </c>
      <c r="F1874">
        <v>21.75</v>
      </c>
      <c r="G1874">
        <v>8</v>
      </c>
      <c r="H1874">
        <v>0.85</v>
      </c>
      <c r="I1874">
        <v>0</v>
      </c>
      <c r="J1874">
        <v>1</v>
      </c>
      <c r="K1874">
        <v>2</v>
      </c>
      <c r="L1874">
        <v>3</v>
      </c>
      <c r="M1874">
        <v>6</v>
      </c>
      <c r="N1874">
        <v>8</v>
      </c>
      <c r="P1874">
        <v>0</v>
      </c>
      <c r="Q1874">
        <v>0</v>
      </c>
      <c r="R1874">
        <v>0</v>
      </c>
      <c r="S1874">
        <v>3</v>
      </c>
    </row>
    <row r="1875" spans="1:19" hidden="1" x14ac:dyDescent="0.35">
      <c r="A1875">
        <v>57208819038</v>
      </c>
      <c r="B1875" t="s">
        <v>1883</v>
      </c>
      <c r="C1875" t="str">
        <f>_xlfn.XLOOKUP(A1875,[1]Affiliations!$J$2:$J$5328,[1]Affiliations!$K$2:$K$5328,0)</f>
        <v>Seaseep Dados de Petróleo</v>
      </c>
      <c r="D1875">
        <v>1</v>
      </c>
      <c r="E1875">
        <v>9</v>
      </c>
      <c r="F1875">
        <v>9</v>
      </c>
      <c r="G1875">
        <v>1</v>
      </c>
      <c r="H1875">
        <v>0.38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  <c r="P1875">
        <v>0</v>
      </c>
      <c r="Q1875">
        <v>0</v>
      </c>
      <c r="R1875">
        <v>0</v>
      </c>
      <c r="S1875">
        <v>0</v>
      </c>
    </row>
    <row r="1876" spans="1:19" hidden="1" x14ac:dyDescent="0.35">
      <c r="A1876">
        <v>57217085417</v>
      </c>
      <c r="B1876" t="s">
        <v>1884</v>
      </c>
      <c r="C1876" t="str">
        <f>_xlfn.XLOOKUP(A1876,[1]Affiliations!$J$2:$J$5328,[1]Affiliations!$K$2:$K$5328,0)</f>
        <v>Federal University of Rio de Janeiro</v>
      </c>
      <c r="D1876">
        <v>9</v>
      </c>
      <c r="E1876">
        <v>114</v>
      </c>
      <c r="F1876">
        <v>12.666667</v>
      </c>
      <c r="G1876">
        <v>6</v>
      </c>
      <c r="H1876">
        <v>0.63</v>
      </c>
      <c r="I1876">
        <v>0</v>
      </c>
      <c r="J1876">
        <v>0</v>
      </c>
      <c r="K1876">
        <v>0</v>
      </c>
      <c r="L1876">
        <v>5</v>
      </c>
      <c r="M1876">
        <v>9</v>
      </c>
      <c r="N1876">
        <v>9</v>
      </c>
      <c r="P1876">
        <v>0</v>
      </c>
      <c r="Q1876">
        <v>0</v>
      </c>
      <c r="R1876">
        <v>0</v>
      </c>
      <c r="S1876">
        <v>4</v>
      </c>
    </row>
    <row r="1877" spans="1:19" hidden="1" x14ac:dyDescent="0.35">
      <c r="A1877">
        <v>57218290946</v>
      </c>
      <c r="B1877" t="s">
        <v>1885</v>
      </c>
      <c r="C1877" t="str">
        <f>_xlfn.XLOOKUP(A1877,[1]Affiliations!$J$2:$J$5328,[1]Affiliations!$K$2:$K$5328,0)</f>
        <v>Universidade Federal de Minas Gerais</v>
      </c>
      <c r="D1877">
        <v>1</v>
      </c>
      <c r="E1877">
        <v>15</v>
      </c>
      <c r="F1877">
        <v>15</v>
      </c>
      <c r="G1877">
        <v>3</v>
      </c>
      <c r="H1877">
        <v>0.45</v>
      </c>
      <c r="I1877">
        <v>1</v>
      </c>
      <c r="J1877">
        <v>1</v>
      </c>
      <c r="K1877">
        <v>1</v>
      </c>
      <c r="L1877">
        <v>1</v>
      </c>
      <c r="M1877">
        <v>1</v>
      </c>
      <c r="N1877">
        <v>1</v>
      </c>
      <c r="P1877">
        <v>0</v>
      </c>
      <c r="Q1877">
        <v>0</v>
      </c>
      <c r="R1877">
        <v>0</v>
      </c>
      <c r="S1877">
        <v>0</v>
      </c>
    </row>
    <row r="1878" spans="1:19" x14ac:dyDescent="0.35">
      <c r="A1878">
        <v>36117814800</v>
      </c>
      <c r="B1878" t="s">
        <v>3999</v>
      </c>
      <c r="C1878" t="str">
        <f>_xlfn.XLOOKUP(A1878,[1]Affiliations!$J$2:$J$5328,[1]Affiliations!$K$2:$K$5328,0)</f>
        <v>Universidade Estadual Paulista “Júlio de Mesquita Filho” (+1 more)</v>
      </c>
      <c r="D1878">
        <v>22</v>
      </c>
      <c r="E1878">
        <v>276</v>
      </c>
      <c r="F1878">
        <v>12.545455</v>
      </c>
      <c r="G1878">
        <v>6</v>
      </c>
      <c r="H1878">
        <v>1.06</v>
      </c>
      <c r="I1878">
        <v>2</v>
      </c>
      <c r="J1878">
        <v>3</v>
      </c>
      <c r="K1878">
        <v>3</v>
      </c>
      <c r="L1878">
        <v>4</v>
      </c>
      <c r="M1878">
        <v>10</v>
      </c>
      <c r="N1878">
        <v>15</v>
      </c>
      <c r="P1878">
        <v>1</v>
      </c>
      <c r="Q1878">
        <v>1</v>
      </c>
      <c r="R1878">
        <v>3</v>
      </c>
      <c r="S1878">
        <v>4</v>
      </c>
    </row>
    <row r="1879" spans="1:19" hidden="1" x14ac:dyDescent="0.35">
      <c r="A1879">
        <v>57212105376</v>
      </c>
      <c r="B1879" t="s">
        <v>1887</v>
      </c>
      <c r="C1879" t="str">
        <f>_xlfn.XLOOKUP(A1879,[1]Affiliations!$J$2:$J$5328,[1]Affiliations!$K$2:$K$5328,0)</f>
        <v>University of Campinas</v>
      </c>
      <c r="D1879">
        <v>1</v>
      </c>
      <c r="E1879">
        <v>7</v>
      </c>
      <c r="F1879">
        <v>7</v>
      </c>
      <c r="G1879">
        <v>1</v>
      </c>
      <c r="H1879">
        <v>3.14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1</v>
      </c>
      <c r="P1879">
        <v>0</v>
      </c>
      <c r="Q1879">
        <v>0</v>
      </c>
      <c r="R1879">
        <v>0</v>
      </c>
      <c r="S1879">
        <v>0</v>
      </c>
    </row>
    <row r="1880" spans="1:19" hidden="1" x14ac:dyDescent="0.35">
      <c r="A1880">
        <v>57188863151</v>
      </c>
      <c r="B1880" t="s">
        <v>1888</v>
      </c>
      <c r="C1880" t="str">
        <f>_xlfn.XLOOKUP(A1880,[1]Affiliations!$J$2:$J$5328,[1]Affiliations!$K$2:$K$5328,0)</f>
        <v>Federal University of Santa Catarina</v>
      </c>
      <c r="D1880">
        <v>4</v>
      </c>
      <c r="E1880">
        <v>61</v>
      </c>
      <c r="F1880">
        <v>15.25</v>
      </c>
      <c r="G1880">
        <v>4</v>
      </c>
      <c r="H1880">
        <v>0.94</v>
      </c>
      <c r="I1880">
        <v>0</v>
      </c>
      <c r="J1880">
        <v>1</v>
      </c>
      <c r="K1880">
        <v>2</v>
      </c>
      <c r="L1880">
        <v>2</v>
      </c>
      <c r="M1880">
        <v>2</v>
      </c>
      <c r="N1880">
        <v>3</v>
      </c>
      <c r="P1880">
        <v>0</v>
      </c>
      <c r="Q1880">
        <v>0</v>
      </c>
      <c r="R1880">
        <v>1</v>
      </c>
      <c r="S1880">
        <v>2</v>
      </c>
    </row>
    <row r="1881" spans="1:19" x14ac:dyDescent="0.35">
      <c r="A1881">
        <v>55014687300</v>
      </c>
      <c r="B1881" t="s">
        <v>4417</v>
      </c>
      <c r="C1881" t="str">
        <f>_xlfn.XLOOKUP(A1881,[1]Affiliations!$J$2:$J$5328,[1]Affiliations!$K$2:$K$5328,0)</f>
        <v>Universidade de São Paulo</v>
      </c>
      <c r="D1881">
        <v>23</v>
      </c>
      <c r="E1881">
        <v>279</v>
      </c>
      <c r="F1881">
        <v>12.130435</v>
      </c>
      <c r="G1881">
        <v>10</v>
      </c>
      <c r="H1881">
        <v>1.06</v>
      </c>
      <c r="I1881">
        <v>0</v>
      </c>
      <c r="J1881">
        <v>2</v>
      </c>
      <c r="K1881">
        <v>5</v>
      </c>
      <c r="L1881">
        <v>11</v>
      </c>
      <c r="M1881">
        <v>14</v>
      </c>
      <c r="N1881">
        <v>16</v>
      </c>
      <c r="P1881">
        <v>1</v>
      </c>
      <c r="Q1881">
        <v>1</v>
      </c>
      <c r="R1881">
        <v>1</v>
      </c>
      <c r="S1881">
        <v>4</v>
      </c>
    </row>
    <row r="1882" spans="1:19" hidden="1" x14ac:dyDescent="0.35">
      <c r="A1882">
        <v>57196404266</v>
      </c>
      <c r="B1882" t="s">
        <v>1890</v>
      </c>
      <c r="C1882" t="str">
        <f>_xlfn.XLOOKUP(A1882,[1]Affiliations!$J$2:$J$5328,[1]Affiliations!$K$2:$K$5328,0)</f>
        <v>Universidade Federal de Alfenas</v>
      </c>
      <c r="D1882">
        <v>2</v>
      </c>
      <c r="E1882">
        <v>7</v>
      </c>
      <c r="F1882">
        <v>3.5</v>
      </c>
      <c r="G1882">
        <v>2</v>
      </c>
      <c r="H1882">
        <v>0.1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2</v>
      </c>
      <c r="P1882">
        <v>0</v>
      </c>
      <c r="Q1882">
        <v>0</v>
      </c>
      <c r="R1882">
        <v>0</v>
      </c>
      <c r="S1882">
        <v>0</v>
      </c>
    </row>
    <row r="1883" spans="1:19" hidden="1" x14ac:dyDescent="0.35">
      <c r="A1883">
        <v>57195414542</v>
      </c>
      <c r="B1883" t="s">
        <v>1891</v>
      </c>
      <c r="C1883" t="str">
        <f>_xlfn.XLOOKUP(A1883,[1]Affiliations!$J$2:$J$5328,[1]Affiliations!$K$2:$K$5328,0)</f>
        <v>Universidade Federal do Rio Grande do Sul</v>
      </c>
      <c r="D1883">
        <v>4</v>
      </c>
      <c r="E1883">
        <v>13</v>
      </c>
      <c r="F1883">
        <v>3.25</v>
      </c>
      <c r="G1883">
        <v>2</v>
      </c>
      <c r="H1883">
        <v>0.46</v>
      </c>
      <c r="I1883">
        <v>0</v>
      </c>
      <c r="J1883">
        <v>0</v>
      </c>
      <c r="K1883">
        <v>0</v>
      </c>
      <c r="L1883">
        <v>0</v>
      </c>
      <c r="M1883">
        <v>1</v>
      </c>
      <c r="N1883">
        <v>2</v>
      </c>
      <c r="P1883">
        <v>0</v>
      </c>
      <c r="Q1883">
        <v>0</v>
      </c>
      <c r="R1883">
        <v>0</v>
      </c>
      <c r="S1883">
        <v>0</v>
      </c>
    </row>
    <row r="1884" spans="1:19" hidden="1" x14ac:dyDescent="0.35">
      <c r="A1884">
        <v>58799290000</v>
      </c>
      <c r="B1884" t="s">
        <v>1892</v>
      </c>
      <c r="C1884" t="str">
        <f>_xlfn.XLOOKUP(A1884,[1]Affiliations!$J$2:$J$5328,[1]Affiliations!$K$2:$K$5328,0)</f>
        <v>Universidade Federal do Rio Grande do Sul</v>
      </c>
      <c r="D1884">
        <v>2</v>
      </c>
      <c r="E1884">
        <v>6</v>
      </c>
      <c r="F1884">
        <v>3</v>
      </c>
      <c r="G1884">
        <v>2</v>
      </c>
      <c r="H1884">
        <v>0.45</v>
      </c>
      <c r="I1884">
        <v>0</v>
      </c>
      <c r="J1884">
        <v>0</v>
      </c>
      <c r="K1884">
        <v>0</v>
      </c>
      <c r="L1884">
        <v>1</v>
      </c>
      <c r="M1884">
        <v>2</v>
      </c>
      <c r="N1884">
        <v>2</v>
      </c>
      <c r="P1884">
        <v>0</v>
      </c>
      <c r="Q1884">
        <v>0</v>
      </c>
      <c r="R1884">
        <v>0</v>
      </c>
      <c r="S1884">
        <v>0</v>
      </c>
    </row>
    <row r="1885" spans="1:19" hidden="1" x14ac:dyDescent="0.35">
      <c r="A1885">
        <v>57220749854</v>
      </c>
      <c r="B1885" t="s">
        <v>1893</v>
      </c>
      <c r="C1885" t="str">
        <f>_xlfn.XLOOKUP(A1885,[1]Affiliations!$J$2:$J$5328,[1]Affiliations!$K$2:$K$5328,0)</f>
        <v>Universidade Federal da Bahia</v>
      </c>
      <c r="D1885">
        <v>1</v>
      </c>
      <c r="E1885">
        <v>0</v>
      </c>
      <c r="F1885">
        <v>0</v>
      </c>
      <c r="G1885">
        <v>0</v>
      </c>
      <c r="H1885">
        <v>0</v>
      </c>
      <c r="P1885">
        <v>0</v>
      </c>
      <c r="Q1885">
        <v>0</v>
      </c>
      <c r="R1885">
        <v>0</v>
      </c>
      <c r="S1885">
        <v>0</v>
      </c>
    </row>
    <row r="1886" spans="1:19" hidden="1" x14ac:dyDescent="0.35">
      <c r="A1886">
        <v>57103790800</v>
      </c>
      <c r="B1886" t="s">
        <v>1894</v>
      </c>
      <c r="C1886" t="str">
        <f>_xlfn.XLOOKUP(A1886,[1]Affiliations!$J$2:$J$5328,[1]Affiliations!$K$2:$K$5328,0)</f>
        <v>Pontifical Catholic University of Rio de Janeiro</v>
      </c>
      <c r="D1886">
        <v>2</v>
      </c>
      <c r="E1886">
        <v>24</v>
      </c>
      <c r="F1886">
        <v>12</v>
      </c>
      <c r="G1886">
        <v>2</v>
      </c>
      <c r="H1886">
        <v>0.38</v>
      </c>
      <c r="I1886">
        <v>0</v>
      </c>
      <c r="J1886">
        <v>0</v>
      </c>
      <c r="K1886">
        <v>0</v>
      </c>
      <c r="L1886">
        <v>0</v>
      </c>
      <c r="M1886">
        <v>2</v>
      </c>
      <c r="N1886">
        <v>2</v>
      </c>
      <c r="P1886">
        <v>0</v>
      </c>
      <c r="Q1886">
        <v>0</v>
      </c>
      <c r="R1886">
        <v>0</v>
      </c>
      <c r="S1886">
        <v>0</v>
      </c>
    </row>
    <row r="1887" spans="1:19" x14ac:dyDescent="0.35">
      <c r="A1887">
        <v>35369385700</v>
      </c>
      <c r="B1887" t="s">
        <v>4756</v>
      </c>
      <c r="C1887" t="str">
        <f>_xlfn.XLOOKUP(A1887,[1]Affiliations!$J$2:$J$5328,[1]Affiliations!$K$2:$K$5328,0)</f>
        <v>University of Campinas (+2 more)</v>
      </c>
      <c r="D1887">
        <v>42</v>
      </c>
      <c r="E1887">
        <v>702</v>
      </c>
      <c r="F1887">
        <v>16.714285</v>
      </c>
      <c r="G1887">
        <v>24</v>
      </c>
      <c r="H1887">
        <v>1.06</v>
      </c>
      <c r="I1887">
        <v>1</v>
      </c>
      <c r="J1887">
        <v>10</v>
      </c>
      <c r="K1887">
        <v>14</v>
      </c>
      <c r="L1887">
        <v>30</v>
      </c>
      <c r="M1887">
        <v>40</v>
      </c>
      <c r="N1887">
        <v>42</v>
      </c>
      <c r="P1887">
        <v>0</v>
      </c>
      <c r="Q1887">
        <v>2</v>
      </c>
      <c r="R1887">
        <v>7</v>
      </c>
      <c r="S1887">
        <v>18</v>
      </c>
    </row>
    <row r="1888" spans="1:19" hidden="1" x14ac:dyDescent="0.35">
      <c r="A1888">
        <v>57197810611</v>
      </c>
      <c r="B1888" t="s">
        <v>1896</v>
      </c>
      <c r="C1888" t="str">
        <f>_xlfn.XLOOKUP(A1888,[1]Affiliations!$J$2:$J$5328,[1]Affiliations!$K$2:$K$5328,0)</f>
        <v>Pontifical Catholic University of Rio de Janeiro</v>
      </c>
      <c r="D1888">
        <v>6</v>
      </c>
      <c r="E1888">
        <v>13</v>
      </c>
      <c r="F1888">
        <v>2.1666666999999999</v>
      </c>
      <c r="G1888">
        <v>2</v>
      </c>
      <c r="H1888">
        <v>0.17</v>
      </c>
      <c r="I1888">
        <v>0</v>
      </c>
      <c r="J1888">
        <v>0</v>
      </c>
      <c r="K1888">
        <v>0</v>
      </c>
      <c r="L1888">
        <v>0</v>
      </c>
      <c r="M1888">
        <v>3</v>
      </c>
      <c r="N1888">
        <v>3</v>
      </c>
      <c r="P1888">
        <v>0</v>
      </c>
      <c r="Q1888">
        <v>0</v>
      </c>
      <c r="R1888">
        <v>0</v>
      </c>
      <c r="S1888">
        <v>0</v>
      </c>
    </row>
    <row r="1889" spans="1:19" hidden="1" x14ac:dyDescent="0.35">
      <c r="A1889">
        <v>57193448476</v>
      </c>
      <c r="B1889" t="s">
        <v>1897</v>
      </c>
      <c r="C1889" t="str">
        <f>_xlfn.XLOOKUP(A1889,[1]Affiliations!$J$2:$J$5328,[1]Affiliations!$K$2:$K$5328,0)</f>
        <v>Laboratório Nacional Agropecuário (LANAGRO)</v>
      </c>
      <c r="D1889">
        <v>1</v>
      </c>
      <c r="E1889">
        <v>4</v>
      </c>
      <c r="F1889">
        <v>4</v>
      </c>
      <c r="G1889">
        <v>1</v>
      </c>
      <c r="H1889">
        <v>0.1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1</v>
      </c>
      <c r="P1889">
        <v>0</v>
      </c>
      <c r="Q1889">
        <v>0</v>
      </c>
      <c r="R1889">
        <v>0</v>
      </c>
      <c r="S1889">
        <v>0</v>
      </c>
    </row>
    <row r="1890" spans="1:19" hidden="1" x14ac:dyDescent="0.35">
      <c r="A1890">
        <v>57204943325</v>
      </c>
      <c r="B1890" t="s">
        <v>1898</v>
      </c>
      <c r="C1890" t="str">
        <f>_xlfn.XLOOKUP(A1890,[1]Affiliations!$J$2:$J$5328,[1]Affiliations!$K$2:$K$5328,0)</f>
        <v>LAMEMO - Modelling Methods in Engineering and Geophysics Laboratory (+1 more)</v>
      </c>
      <c r="D1890">
        <v>1</v>
      </c>
      <c r="E1890">
        <v>3</v>
      </c>
      <c r="F1890">
        <v>3</v>
      </c>
      <c r="G1890">
        <v>1</v>
      </c>
      <c r="H1890">
        <v>0.3</v>
      </c>
      <c r="I1890">
        <v>0</v>
      </c>
      <c r="J1890">
        <v>0</v>
      </c>
      <c r="K1890">
        <v>0</v>
      </c>
      <c r="L1890">
        <v>0</v>
      </c>
      <c r="M1890">
        <v>1</v>
      </c>
      <c r="N1890">
        <v>1</v>
      </c>
      <c r="P1890">
        <v>0</v>
      </c>
      <c r="Q1890">
        <v>0</v>
      </c>
      <c r="R1890">
        <v>0</v>
      </c>
      <c r="S1890">
        <v>0</v>
      </c>
    </row>
    <row r="1891" spans="1:19" hidden="1" x14ac:dyDescent="0.35">
      <c r="A1891">
        <v>59473913000</v>
      </c>
      <c r="B1891" t="s">
        <v>1899</v>
      </c>
      <c r="C1891" t="str">
        <f>_xlfn.XLOOKUP(A1891,[1]Affiliations!$J$2:$J$5328,[1]Affiliations!$K$2:$K$5328,0)</f>
        <v>Universidade de São Paulo</v>
      </c>
      <c r="D1891">
        <v>1</v>
      </c>
      <c r="E1891">
        <v>5</v>
      </c>
      <c r="F1891">
        <v>5</v>
      </c>
      <c r="G1891">
        <v>1</v>
      </c>
      <c r="H1891">
        <v>5.17</v>
      </c>
      <c r="P1891">
        <v>0</v>
      </c>
      <c r="Q1891">
        <v>0</v>
      </c>
      <c r="R1891">
        <v>0</v>
      </c>
      <c r="S1891">
        <v>1</v>
      </c>
    </row>
    <row r="1892" spans="1:19" hidden="1" x14ac:dyDescent="0.35">
      <c r="A1892">
        <v>57209027991</v>
      </c>
      <c r="B1892" t="s">
        <v>1900</v>
      </c>
      <c r="C1892" t="str">
        <f>_xlfn.XLOOKUP(A1892,[1]Affiliations!$J$2:$J$5328,[1]Affiliations!$K$2:$K$5328,0)</f>
        <v>Universidade Federal do Rio Grande do Sul</v>
      </c>
      <c r="D1892">
        <v>4</v>
      </c>
      <c r="E1892">
        <v>61</v>
      </c>
      <c r="F1892">
        <v>15.25</v>
      </c>
      <c r="G1892">
        <v>5</v>
      </c>
      <c r="H1892">
        <v>0.66</v>
      </c>
      <c r="I1892">
        <v>0</v>
      </c>
      <c r="J1892">
        <v>0</v>
      </c>
      <c r="K1892">
        <v>0</v>
      </c>
      <c r="L1892">
        <v>2</v>
      </c>
      <c r="M1892">
        <v>4</v>
      </c>
      <c r="N1892">
        <v>4</v>
      </c>
      <c r="P1892">
        <v>0</v>
      </c>
      <c r="Q1892">
        <v>0</v>
      </c>
      <c r="R1892">
        <v>0</v>
      </c>
      <c r="S1892">
        <v>1</v>
      </c>
    </row>
    <row r="1893" spans="1:19" hidden="1" x14ac:dyDescent="0.35">
      <c r="A1893">
        <v>57194102305</v>
      </c>
      <c r="B1893" t="s">
        <v>1901</v>
      </c>
      <c r="C1893" t="str">
        <f>_xlfn.XLOOKUP(A1893,[1]Affiliations!$J$2:$J$5328,[1]Affiliations!$K$2:$K$5328,0)</f>
        <v>Federal University of Rio de Janeiro</v>
      </c>
      <c r="D1893">
        <v>4</v>
      </c>
      <c r="E1893">
        <v>51</v>
      </c>
      <c r="F1893">
        <v>12.75</v>
      </c>
      <c r="G1893">
        <v>9</v>
      </c>
      <c r="H1893">
        <v>0.64</v>
      </c>
      <c r="I1893">
        <v>0</v>
      </c>
      <c r="J1893">
        <v>0</v>
      </c>
      <c r="K1893">
        <v>0</v>
      </c>
      <c r="L1893">
        <v>0</v>
      </c>
      <c r="M1893">
        <v>3</v>
      </c>
      <c r="N1893">
        <v>4</v>
      </c>
      <c r="P1893">
        <v>0</v>
      </c>
      <c r="Q1893">
        <v>0</v>
      </c>
      <c r="R1893">
        <v>0</v>
      </c>
      <c r="S1893">
        <v>0</v>
      </c>
    </row>
    <row r="1894" spans="1:19" hidden="1" x14ac:dyDescent="0.35">
      <c r="A1894">
        <v>57196706353</v>
      </c>
      <c r="B1894" t="s">
        <v>1902</v>
      </c>
      <c r="C1894" t="str">
        <f>_xlfn.XLOOKUP(A1894,[1]Affiliations!$J$2:$J$5328,[1]Affiliations!$K$2:$K$5328,0)</f>
        <v>University of Campinas</v>
      </c>
      <c r="D1894">
        <v>12</v>
      </c>
      <c r="E1894">
        <v>134</v>
      </c>
      <c r="F1894">
        <v>11.166667</v>
      </c>
      <c r="G1894">
        <v>8</v>
      </c>
      <c r="H1894">
        <v>0.65</v>
      </c>
      <c r="I1894">
        <v>0</v>
      </c>
      <c r="J1894">
        <v>7</v>
      </c>
      <c r="K1894">
        <v>7</v>
      </c>
      <c r="L1894">
        <v>10</v>
      </c>
      <c r="M1894">
        <v>11</v>
      </c>
      <c r="N1894">
        <v>12</v>
      </c>
      <c r="P1894">
        <v>0</v>
      </c>
      <c r="Q1894">
        <v>0</v>
      </c>
      <c r="R1894">
        <v>0</v>
      </c>
      <c r="S1894">
        <v>4</v>
      </c>
    </row>
    <row r="1895" spans="1:19" x14ac:dyDescent="0.35">
      <c r="A1895">
        <v>8344301600</v>
      </c>
      <c r="B1895" t="s">
        <v>5168</v>
      </c>
      <c r="C1895" t="str">
        <f>_xlfn.XLOOKUP(A1895,[1]Affiliations!$J$2:$J$5328,[1]Affiliations!$K$2:$K$5328,0)</f>
        <v>University of Campinas</v>
      </c>
      <c r="D1895">
        <v>32</v>
      </c>
      <c r="E1895">
        <v>784</v>
      </c>
      <c r="F1895">
        <v>24.5</v>
      </c>
      <c r="G1895">
        <v>29</v>
      </c>
      <c r="H1895">
        <v>1.06</v>
      </c>
      <c r="I1895">
        <v>0</v>
      </c>
      <c r="J1895">
        <v>6</v>
      </c>
      <c r="K1895">
        <v>18</v>
      </c>
      <c r="L1895">
        <v>22</v>
      </c>
      <c r="M1895">
        <v>27</v>
      </c>
      <c r="N1895">
        <v>30</v>
      </c>
      <c r="P1895">
        <v>0</v>
      </c>
      <c r="Q1895">
        <v>1</v>
      </c>
      <c r="R1895">
        <v>5</v>
      </c>
      <c r="S1895">
        <v>15</v>
      </c>
    </row>
    <row r="1896" spans="1:19" hidden="1" x14ac:dyDescent="0.35">
      <c r="A1896">
        <v>57191751807</v>
      </c>
      <c r="B1896" t="s">
        <v>1904</v>
      </c>
      <c r="C1896" t="str">
        <f>_xlfn.XLOOKUP(A1896,[1]Affiliations!$J$2:$J$5328,[1]Affiliations!$K$2:$K$5328,0)</f>
        <v>Federal University of Rio de Janeiro</v>
      </c>
      <c r="D1896">
        <v>1</v>
      </c>
      <c r="E1896">
        <v>30</v>
      </c>
      <c r="F1896">
        <v>30</v>
      </c>
      <c r="G1896">
        <v>1</v>
      </c>
      <c r="H1896">
        <v>1.1399999999999999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1</v>
      </c>
      <c r="P1896">
        <v>0</v>
      </c>
      <c r="Q1896">
        <v>0</v>
      </c>
      <c r="R1896">
        <v>0</v>
      </c>
      <c r="S1896">
        <v>1</v>
      </c>
    </row>
    <row r="1897" spans="1:19" hidden="1" x14ac:dyDescent="0.35">
      <c r="A1897">
        <v>56714850900</v>
      </c>
      <c r="B1897" t="s">
        <v>1905</v>
      </c>
      <c r="C1897" t="str">
        <f>_xlfn.XLOOKUP(A1897,[1]Affiliations!$J$2:$J$5328,[1]Affiliations!$K$2:$K$5328,0)</f>
        <v>Centro Federal de Educação Tecnológica Celso Suckow da Fonseca (CEFET-RJ)</v>
      </c>
      <c r="D1897">
        <v>3</v>
      </c>
      <c r="E1897">
        <v>8</v>
      </c>
      <c r="F1897">
        <v>2.6666666999999999</v>
      </c>
      <c r="G1897">
        <v>1</v>
      </c>
      <c r="H1897">
        <v>0.22</v>
      </c>
      <c r="I1897">
        <v>0</v>
      </c>
      <c r="J1897">
        <v>0</v>
      </c>
      <c r="K1897">
        <v>0</v>
      </c>
      <c r="L1897">
        <v>0</v>
      </c>
      <c r="M1897">
        <v>1</v>
      </c>
      <c r="N1897">
        <v>2</v>
      </c>
      <c r="P1897">
        <v>0</v>
      </c>
      <c r="Q1897">
        <v>0</v>
      </c>
      <c r="R1897">
        <v>0</v>
      </c>
      <c r="S1897">
        <v>0</v>
      </c>
    </row>
    <row r="1898" spans="1:19" x14ac:dyDescent="0.35">
      <c r="A1898">
        <v>6601985149</v>
      </c>
      <c r="B1898" t="s">
        <v>345</v>
      </c>
      <c r="C1898" t="str">
        <f>_xlfn.XLOOKUP(A1898,[1]Affiliations!$J$2:$J$5328,[1]Affiliations!$K$2:$K$5328,0)</f>
        <v>University of Campinas</v>
      </c>
      <c r="D1898">
        <v>60</v>
      </c>
      <c r="E1898">
        <v>1302</v>
      </c>
      <c r="F1898">
        <v>21.7</v>
      </c>
      <c r="G1898">
        <v>29</v>
      </c>
      <c r="H1898">
        <v>1.05</v>
      </c>
      <c r="I1898">
        <v>1</v>
      </c>
      <c r="J1898">
        <v>10</v>
      </c>
      <c r="K1898">
        <v>15</v>
      </c>
      <c r="L1898">
        <v>35</v>
      </c>
      <c r="M1898">
        <v>46</v>
      </c>
      <c r="N1898">
        <v>52</v>
      </c>
      <c r="P1898">
        <v>0</v>
      </c>
      <c r="Q1898">
        <v>3</v>
      </c>
      <c r="R1898">
        <v>10</v>
      </c>
      <c r="S1898">
        <v>25</v>
      </c>
    </row>
    <row r="1899" spans="1:19" hidden="1" x14ac:dyDescent="0.35">
      <c r="A1899">
        <v>60084404100</v>
      </c>
      <c r="B1899" t="s">
        <v>1907</v>
      </c>
      <c r="C1899" t="str">
        <f>_xlfn.XLOOKUP(A1899,[1]Affiliations!$J$2:$J$5328,[1]Affiliations!$K$2:$K$5328,0)</f>
        <v>Federal University of Rio de Janeiro</v>
      </c>
      <c r="D1899">
        <v>0</v>
      </c>
      <c r="G1899">
        <v>1</v>
      </c>
    </row>
    <row r="1900" spans="1:19" hidden="1" x14ac:dyDescent="0.35">
      <c r="A1900">
        <v>57226666276</v>
      </c>
      <c r="B1900" t="s">
        <v>1908</v>
      </c>
      <c r="C1900" t="str">
        <f>_xlfn.XLOOKUP(A1900,[1]Affiliations!$J$2:$J$5328,[1]Affiliations!$K$2:$K$5328,0)</f>
        <v>Universidade Federal do Ceará</v>
      </c>
      <c r="D1900">
        <v>2</v>
      </c>
      <c r="E1900">
        <v>12</v>
      </c>
      <c r="F1900">
        <v>6</v>
      </c>
      <c r="G1900">
        <v>1</v>
      </c>
      <c r="H1900">
        <v>0.65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1</v>
      </c>
      <c r="P1900">
        <v>0</v>
      </c>
      <c r="Q1900">
        <v>0</v>
      </c>
      <c r="R1900">
        <v>0</v>
      </c>
      <c r="S1900">
        <v>0</v>
      </c>
    </row>
    <row r="1901" spans="1:19" hidden="1" x14ac:dyDescent="0.35">
      <c r="A1901">
        <v>58904207100</v>
      </c>
      <c r="B1901" t="s">
        <v>1909</v>
      </c>
      <c r="C1901" t="str">
        <f>_xlfn.XLOOKUP(A1901,[1]Affiliations!$J$2:$J$5328,[1]Affiliations!$K$2:$K$5328,0)</f>
        <v>SENAI Innovation Institute for Embedded Systems</v>
      </c>
      <c r="D1901">
        <v>1</v>
      </c>
      <c r="E1901">
        <v>0</v>
      </c>
      <c r="F1901">
        <v>0</v>
      </c>
      <c r="G1901">
        <v>0</v>
      </c>
      <c r="H1901">
        <v>0</v>
      </c>
      <c r="P1901">
        <v>0</v>
      </c>
      <c r="Q1901">
        <v>0</v>
      </c>
      <c r="R1901">
        <v>0</v>
      </c>
      <c r="S1901">
        <v>0</v>
      </c>
    </row>
    <row r="1902" spans="1:19" hidden="1" x14ac:dyDescent="0.35">
      <c r="A1902">
        <v>55536555100</v>
      </c>
      <c r="B1902" t="s">
        <v>1910</v>
      </c>
      <c r="C1902" t="str">
        <f>_xlfn.XLOOKUP(A1902,[1]Affiliations!$J$2:$J$5328,[1]Affiliations!$K$2:$K$5328,0)</f>
        <v>Instituto de Pesquisas Tecnologicas</v>
      </c>
      <c r="D1902">
        <v>7</v>
      </c>
      <c r="E1902">
        <v>22</v>
      </c>
      <c r="F1902">
        <v>3.1428569999999998</v>
      </c>
      <c r="G1902">
        <v>5</v>
      </c>
      <c r="H1902">
        <v>0.13</v>
      </c>
      <c r="I1902">
        <v>0</v>
      </c>
      <c r="J1902">
        <v>1</v>
      </c>
      <c r="K1902">
        <v>1</v>
      </c>
      <c r="L1902">
        <v>3</v>
      </c>
      <c r="M1902">
        <v>3</v>
      </c>
      <c r="N1902">
        <v>3</v>
      </c>
      <c r="P1902">
        <v>0</v>
      </c>
      <c r="Q1902">
        <v>0</v>
      </c>
      <c r="R1902">
        <v>0</v>
      </c>
      <c r="S1902">
        <v>0</v>
      </c>
    </row>
    <row r="1903" spans="1:19" hidden="1" x14ac:dyDescent="0.35">
      <c r="A1903">
        <v>57225180567</v>
      </c>
      <c r="B1903" t="s">
        <v>1911</v>
      </c>
      <c r="C1903" t="str">
        <f>_xlfn.XLOOKUP(A1903,[1]Affiliations!$J$2:$J$5328,[1]Affiliations!$K$2:$K$5328,0)</f>
        <v>Universidade Federal Fluminense</v>
      </c>
      <c r="D1903">
        <v>1</v>
      </c>
      <c r="E1903">
        <v>5</v>
      </c>
      <c r="F1903">
        <v>5</v>
      </c>
      <c r="G1903">
        <v>1</v>
      </c>
      <c r="H1903">
        <v>0.38</v>
      </c>
      <c r="I1903">
        <v>0</v>
      </c>
      <c r="J1903">
        <v>0</v>
      </c>
      <c r="K1903">
        <v>0</v>
      </c>
      <c r="L1903">
        <v>0</v>
      </c>
      <c r="M1903">
        <v>1</v>
      </c>
      <c r="N1903">
        <v>1</v>
      </c>
      <c r="P1903">
        <v>0</v>
      </c>
      <c r="Q1903">
        <v>0</v>
      </c>
      <c r="R1903">
        <v>0</v>
      </c>
      <c r="S1903">
        <v>0</v>
      </c>
    </row>
    <row r="1904" spans="1:19" x14ac:dyDescent="0.35">
      <c r="A1904">
        <v>55905050200</v>
      </c>
      <c r="B1904" t="s">
        <v>744</v>
      </c>
      <c r="C1904" t="str">
        <f>_xlfn.XLOOKUP(A1904,[1]Affiliations!$J$2:$J$5328,[1]Affiliations!$K$2:$K$5328,0)</f>
        <v>Universidade Federal do Rio Grande do Sul</v>
      </c>
      <c r="D1904">
        <v>62</v>
      </c>
      <c r="E1904">
        <v>709</v>
      </c>
      <c r="F1904">
        <v>11.435484000000001</v>
      </c>
      <c r="G1904">
        <v>16</v>
      </c>
      <c r="H1904">
        <v>1.05</v>
      </c>
      <c r="I1904">
        <v>2</v>
      </c>
      <c r="J1904">
        <v>6</v>
      </c>
      <c r="K1904">
        <v>8</v>
      </c>
      <c r="L1904">
        <v>10</v>
      </c>
      <c r="M1904">
        <v>20</v>
      </c>
      <c r="N1904">
        <v>26</v>
      </c>
      <c r="P1904">
        <v>0</v>
      </c>
      <c r="Q1904">
        <v>3</v>
      </c>
      <c r="R1904">
        <v>5</v>
      </c>
      <c r="S1904">
        <v>16</v>
      </c>
    </row>
    <row r="1905" spans="1:19" hidden="1" x14ac:dyDescent="0.35">
      <c r="A1905">
        <v>57092505600</v>
      </c>
      <c r="B1905" t="s">
        <v>1913</v>
      </c>
      <c r="C1905" t="str">
        <f>_xlfn.XLOOKUP(A1905,[1]Affiliations!$J$2:$J$5328,[1]Affiliations!$K$2:$K$5328,0)</f>
        <v>Universidade Federal Fluminense</v>
      </c>
      <c r="D1905">
        <v>5</v>
      </c>
      <c r="E1905">
        <v>27</v>
      </c>
      <c r="F1905">
        <v>5.4</v>
      </c>
      <c r="G1905">
        <v>3</v>
      </c>
      <c r="H1905">
        <v>0.3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3</v>
      </c>
      <c r="P1905">
        <v>0</v>
      </c>
      <c r="Q1905">
        <v>0</v>
      </c>
      <c r="R1905">
        <v>0</v>
      </c>
      <c r="S1905">
        <v>0</v>
      </c>
    </row>
    <row r="1906" spans="1:19" hidden="1" x14ac:dyDescent="0.35">
      <c r="A1906">
        <v>58757390200</v>
      </c>
      <c r="B1906" t="s">
        <v>1914</v>
      </c>
      <c r="C1906" t="str">
        <f>_xlfn.XLOOKUP(A1906,[1]Affiliations!$J$2:$J$5328,[1]Affiliations!$K$2:$K$5328,0)</f>
        <v>Federal University of Santa Catarina</v>
      </c>
      <c r="D1906">
        <v>1</v>
      </c>
      <c r="E1906">
        <v>4</v>
      </c>
      <c r="F1906">
        <v>4</v>
      </c>
      <c r="G1906">
        <v>2</v>
      </c>
      <c r="H1906">
        <v>0.49</v>
      </c>
      <c r="I1906">
        <v>0</v>
      </c>
      <c r="J1906">
        <v>1</v>
      </c>
      <c r="K1906">
        <v>1</v>
      </c>
      <c r="L1906">
        <v>1</v>
      </c>
      <c r="M1906">
        <v>1</v>
      </c>
      <c r="N1906">
        <v>1</v>
      </c>
      <c r="P1906">
        <v>0</v>
      </c>
      <c r="Q1906">
        <v>0</v>
      </c>
      <c r="R1906">
        <v>0</v>
      </c>
      <c r="S1906">
        <v>0</v>
      </c>
    </row>
    <row r="1907" spans="1:19" hidden="1" x14ac:dyDescent="0.35">
      <c r="A1907">
        <v>57614923600</v>
      </c>
      <c r="B1907" t="s">
        <v>1915</v>
      </c>
      <c r="C1907" t="str">
        <f>_xlfn.XLOOKUP(A1907,[1]Affiliations!$J$2:$J$5328,[1]Affiliations!$K$2:$K$5328,0)</f>
        <v>Pontifícia Universidade Católica do Rio Grande do Sul</v>
      </c>
      <c r="D1907">
        <v>2</v>
      </c>
      <c r="E1907">
        <v>54</v>
      </c>
      <c r="F1907">
        <v>27</v>
      </c>
      <c r="G1907">
        <v>2</v>
      </c>
      <c r="H1907">
        <v>1.36</v>
      </c>
      <c r="I1907">
        <v>0</v>
      </c>
      <c r="J1907">
        <v>0</v>
      </c>
      <c r="K1907">
        <v>1</v>
      </c>
      <c r="L1907">
        <v>1</v>
      </c>
      <c r="M1907">
        <v>2</v>
      </c>
      <c r="N1907">
        <v>2</v>
      </c>
      <c r="P1907">
        <v>0</v>
      </c>
      <c r="Q1907">
        <v>0</v>
      </c>
      <c r="R1907">
        <v>1</v>
      </c>
      <c r="S1907">
        <v>1</v>
      </c>
    </row>
    <row r="1908" spans="1:19" hidden="1" x14ac:dyDescent="0.35">
      <c r="A1908">
        <v>54417000900</v>
      </c>
      <c r="B1908" t="s">
        <v>1916</v>
      </c>
      <c r="C1908" t="str">
        <f>_xlfn.XLOOKUP(A1908,[1]Affiliations!$J$2:$J$5328,[1]Affiliations!$K$2:$K$5328,0)</f>
        <v>Prooceano</v>
      </c>
      <c r="D1908">
        <v>9</v>
      </c>
      <c r="E1908">
        <v>86</v>
      </c>
      <c r="F1908">
        <v>9.555555</v>
      </c>
      <c r="G1908">
        <v>6</v>
      </c>
      <c r="H1908">
        <v>0.57999999999999996</v>
      </c>
      <c r="I1908">
        <v>0</v>
      </c>
      <c r="J1908">
        <v>0</v>
      </c>
      <c r="K1908">
        <v>1</v>
      </c>
      <c r="L1908">
        <v>5</v>
      </c>
      <c r="M1908">
        <v>5</v>
      </c>
      <c r="N1908">
        <v>5</v>
      </c>
      <c r="P1908">
        <v>0</v>
      </c>
      <c r="Q1908">
        <v>0</v>
      </c>
      <c r="R1908">
        <v>0</v>
      </c>
      <c r="S1908">
        <v>2</v>
      </c>
    </row>
    <row r="1909" spans="1:19" hidden="1" x14ac:dyDescent="0.35">
      <c r="A1909">
        <v>57202035215</v>
      </c>
      <c r="B1909" t="s">
        <v>1917</v>
      </c>
      <c r="C1909" t="str">
        <f>_xlfn.XLOOKUP(A1909,[1]Affiliations!$J$2:$J$5328,[1]Affiliations!$K$2:$K$5328,0)</f>
        <v>Universidade Federal do Rio Grande do Sul</v>
      </c>
      <c r="D1909">
        <v>15</v>
      </c>
      <c r="E1909">
        <v>203</v>
      </c>
      <c r="F1909">
        <v>13.533334</v>
      </c>
      <c r="G1909">
        <v>8</v>
      </c>
      <c r="H1909">
        <v>0.68</v>
      </c>
      <c r="I1909">
        <v>0</v>
      </c>
      <c r="J1909">
        <v>2</v>
      </c>
      <c r="K1909">
        <v>6</v>
      </c>
      <c r="L1909">
        <v>9</v>
      </c>
      <c r="M1909">
        <v>15</v>
      </c>
      <c r="N1909">
        <v>15</v>
      </c>
      <c r="P1909">
        <v>0</v>
      </c>
      <c r="Q1909">
        <v>0</v>
      </c>
      <c r="R1909">
        <v>0</v>
      </c>
      <c r="S1909">
        <v>5</v>
      </c>
    </row>
    <row r="1910" spans="1:19" x14ac:dyDescent="0.35">
      <c r="A1910">
        <v>57194532888</v>
      </c>
      <c r="B1910" t="s">
        <v>1012</v>
      </c>
      <c r="C1910" t="str">
        <f>_xlfn.XLOOKUP(A1910,[1]Affiliations!$J$2:$J$5328,[1]Affiliations!$K$2:$K$5328,0)</f>
        <v>Universidade Federal do Rio Grande do Norte</v>
      </c>
      <c r="D1910">
        <v>8</v>
      </c>
      <c r="E1910">
        <v>226</v>
      </c>
      <c r="F1910">
        <v>28.25</v>
      </c>
      <c r="G1910">
        <v>8</v>
      </c>
      <c r="H1910">
        <v>1.05</v>
      </c>
      <c r="I1910">
        <v>0</v>
      </c>
      <c r="J1910">
        <v>2</v>
      </c>
      <c r="K1910">
        <v>6</v>
      </c>
      <c r="L1910">
        <v>8</v>
      </c>
      <c r="M1910">
        <v>8</v>
      </c>
      <c r="N1910">
        <v>8</v>
      </c>
      <c r="P1910">
        <v>0</v>
      </c>
      <c r="Q1910">
        <v>0</v>
      </c>
      <c r="R1910">
        <v>1</v>
      </c>
      <c r="S1910">
        <v>6</v>
      </c>
    </row>
    <row r="1911" spans="1:19" hidden="1" x14ac:dyDescent="0.35">
      <c r="A1911">
        <v>57215611970</v>
      </c>
      <c r="B1911" t="s">
        <v>1919</v>
      </c>
      <c r="C1911" t="str">
        <f>_xlfn.XLOOKUP(A1911,[1]Affiliations!$J$2:$J$5328,[1]Affiliations!$K$2:$K$5328,0)</f>
        <v>Universidade Federal Rural do Rio de Janeiro</v>
      </c>
      <c r="D1911">
        <v>30</v>
      </c>
      <c r="E1911">
        <v>185</v>
      </c>
      <c r="F1911">
        <v>6.1666664999999998</v>
      </c>
      <c r="G1911">
        <v>8</v>
      </c>
      <c r="H1911">
        <v>0.42</v>
      </c>
      <c r="I1911">
        <v>0</v>
      </c>
      <c r="J1911">
        <v>0</v>
      </c>
      <c r="K1911">
        <v>1</v>
      </c>
      <c r="L1911">
        <v>9</v>
      </c>
      <c r="M1911">
        <v>14</v>
      </c>
      <c r="N1911">
        <v>29</v>
      </c>
      <c r="P1911">
        <v>0</v>
      </c>
      <c r="Q1911">
        <v>0</v>
      </c>
      <c r="R1911">
        <v>0</v>
      </c>
      <c r="S1911">
        <v>1</v>
      </c>
    </row>
    <row r="1912" spans="1:19" hidden="1" x14ac:dyDescent="0.35">
      <c r="A1912">
        <v>59460298100</v>
      </c>
      <c r="B1912" t="s">
        <v>1920</v>
      </c>
      <c r="C1912" t="str">
        <f>_xlfn.XLOOKUP(A1912,[1]Affiliations!$J$2:$J$5328,[1]Affiliations!$K$2:$K$5328,0)</f>
        <v>Universidade Federal do Espírito Santo (+1 more)</v>
      </c>
      <c r="D1912">
        <v>0</v>
      </c>
      <c r="G1912">
        <v>1</v>
      </c>
    </row>
    <row r="1913" spans="1:19" hidden="1" x14ac:dyDescent="0.35">
      <c r="A1913">
        <v>58349883900</v>
      </c>
      <c r="B1913" t="s">
        <v>1921</v>
      </c>
      <c r="C1913" t="str">
        <f>_xlfn.XLOOKUP(A1913,[1]Affiliations!$J$2:$J$5328,[1]Affiliations!$K$2:$K$5328,0)</f>
        <v>IEN - Instituto de Energia Nuclear</v>
      </c>
      <c r="D1913">
        <v>2</v>
      </c>
      <c r="E1913">
        <v>3</v>
      </c>
      <c r="F1913">
        <v>1.5</v>
      </c>
      <c r="G1913">
        <v>1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1</v>
      </c>
      <c r="P1913">
        <v>0</v>
      </c>
      <c r="Q1913">
        <v>0</v>
      </c>
      <c r="R1913">
        <v>0</v>
      </c>
      <c r="S1913">
        <v>0</v>
      </c>
    </row>
    <row r="1914" spans="1:19" hidden="1" x14ac:dyDescent="0.35">
      <c r="A1914">
        <v>58704083800</v>
      </c>
      <c r="B1914" t="s">
        <v>1922</v>
      </c>
      <c r="C1914" t="str">
        <f>_xlfn.XLOOKUP(A1914,[1]Affiliations!$J$2:$J$5328,[1]Affiliations!$K$2:$K$5328,0)</f>
        <v>Federal University of Rio de Janeiro</v>
      </c>
      <c r="D1914">
        <v>1</v>
      </c>
      <c r="E1914">
        <v>2</v>
      </c>
      <c r="F1914">
        <v>2</v>
      </c>
      <c r="G1914">
        <v>1</v>
      </c>
      <c r="H1914">
        <v>0.15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P1914">
        <v>0</v>
      </c>
      <c r="Q1914">
        <v>0</v>
      </c>
      <c r="R1914">
        <v>0</v>
      </c>
      <c r="S1914">
        <v>0</v>
      </c>
    </row>
    <row r="1915" spans="1:19" hidden="1" x14ac:dyDescent="0.35">
      <c r="A1915">
        <v>57216919966</v>
      </c>
      <c r="B1915" t="s">
        <v>1923</v>
      </c>
      <c r="C1915" t="str">
        <f>_xlfn.XLOOKUP(A1915,[1]Affiliations!$J$2:$J$5328,[1]Affiliations!$K$2:$K$5328,0)</f>
        <v>Federal University of Rio de Janeiro</v>
      </c>
      <c r="D1915">
        <v>1</v>
      </c>
      <c r="E1915">
        <v>10</v>
      </c>
      <c r="F1915">
        <v>10</v>
      </c>
      <c r="G1915">
        <v>1</v>
      </c>
      <c r="H1915">
        <v>0.28999999999999998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1</v>
      </c>
      <c r="P1915">
        <v>0</v>
      </c>
      <c r="Q1915">
        <v>0</v>
      </c>
      <c r="R1915">
        <v>0</v>
      </c>
      <c r="S1915">
        <v>0</v>
      </c>
    </row>
    <row r="1916" spans="1:19" hidden="1" x14ac:dyDescent="0.35">
      <c r="A1916">
        <v>57211028700</v>
      </c>
      <c r="B1916" t="s">
        <v>1924</v>
      </c>
      <c r="C1916" t="str">
        <f>_xlfn.XLOOKUP(A1916,[1]Affiliations!$J$2:$J$5328,[1]Affiliations!$K$2:$K$5328,0)</f>
        <v>Universidade Federal do Rio Grande do Sul</v>
      </c>
      <c r="D1916">
        <v>1</v>
      </c>
      <c r="E1916">
        <v>10</v>
      </c>
      <c r="F1916">
        <v>10</v>
      </c>
      <c r="G1916">
        <v>1</v>
      </c>
      <c r="H1916">
        <v>0.24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1</v>
      </c>
      <c r="P1916">
        <v>0</v>
      </c>
      <c r="Q1916">
        <v>0</v>
      </c>
      <c r="R1916">
        <v>0</v>
      </c>
      <c r="S1916">
        <v>0</v>
      </c>
    </row>
    <row r="1917" spans="1:19" x14ac:dyDescent="0.35">
      <c r="A1917">
        <v>7102657903</v>
      </c>
      <c r="B1917" t="s">
        <v>1080</v>
      </c>
      <c r="C1917" t="str">
        <f>_xlfn.XLOOKUP(A1917,[1]Affiliations!$J$2:$J$5328,[1]Affiliations!$K$2:$K$5328,0)</f>
        <v>University of Campinas</v>
      </c>
      <c r="D1917">
        <v>47</v>
      </c>
      <c r="E1917">
        <v>904</v>
      </c>
      <c r="F1917">
        <v>19.234043</v>
      </c>
      <c r="G1917">
        <v>19</v>
      </c>
      <c r="H1917">
        <v>1.05</v>
      </c>
      <c r="I1917">
        <v>0</v>
      </c>
      <c r="J1917">
        <v>4</v>
      </c>
      <c r="K1917">
        <v>6</v>
      </c>
      <c r="L1917">
        <v>11</v>
      </c>
      <c r="M1917">
        <v>12</v>
      </c>
      <c r="N1917">
        <v>12</v>
      </c>
      <c r="P1917">
        <v>1</v>
      </c>
      <c r="Q1917">
        <v>3</v>
      </c>
      <c r="R1917">
        <v>7</v>
      </c>
      <c r="S1917">
        <v>9</v>
      </c>
    </row>
    <row r="1918" spans="1:19" hidden="1" x14ac:dyDescent="0.35">
      <c r="A1918">
        <v>7005029614</v>
      </c>
      <c r="B1918" t="s">
        <v>1926</v>
      </c>
      <c r="C1918" t="str">
        <f>_xlfn.XLOOKUP(A1918,[1]Affiliations!$J$2:$J$5328,[1]Affiliations!$K$2:$K$5328,0)</f>
        <v>Federal University of Santa Catarina</v>
      </c>
      <c r="D1918">
        <v>3</v>
      </c>
      <c r="E1918">
        <v>18</v>
      </c>
      <c r="F1918">
        <v>6</v>
      </c>
      <c r="G1918">
        <v>13</v>
      </c>
      <c r="H1918">
        <v>0.33</v>
      </c>
      <c r="I1918">
        <v>0</v>
      </c>
      <c r="J1918">
        <v>1</v>
      </c>
      <c r="K1918">
        <v>2</v>
      </c>
      <c r="L1918">
        <v>2</v>
      </c>
      <c r="M1918">
        <v>3</v>
      </c>
      <c r="N1918">
        <v>3</v>
      </c>
      <c r="P1918">
        <v>0</v>
      </c>
      <c r="Q1918">
        <v>0</v>
      </c>
      <c r="R1918">
        <v>0</v>
      </c>
      <c r="S1918">
        <v>0</v>
      </c>
    </row>
    <row r="1919" spans="1:19" hidden="1" x14ac:dyDescent="0.35">
      <c r="A1919">
        <v>59529274400</v>
      </c>
      <c r="B1919" t="s">
        <v>1927</v>
      </c>
      <c r="C1919" t="str">
        <f>_xlfn.XLOOKUP(A1919,[1]Affiliations!$J$2:$J$5328,[1]Affiliations!$K$2:$K$5328,0)</f>
        <v>University of Campinas</v>
      </c>
      <c r="D1919">
        <v>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P1919">
        <v>0</v>
      </c>
      <c r="Q1919">
        <v>0</v>
      </c>
      <c r="R1919">
        <v>0</v>
      </c>
      <c r="S1919">
        <v>0</v>
      </c>
    </row>
    <row r="1920" spans="1:19" hidden="1" x14ac:dyDescent="0.35">
      <c r="A1920">
        <v>59234074400</v>
      </c>
      <c r="B1920" t="s">
        <v>1928</v>
      </c>
      <c r="C1920" t="str">
        <f>_xlfn.XLOOKUP(A1920,[1]Affiliations!$J$2:$J$5328,[1]Affiliations!$K$2:$K$5328,0)</f>
        <v>Universidade Federal do Rio Grande do Norte</v>
      </c>
      <c r="D1920">
        <v>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1</v>
      </c>
      <c r="N1920">
        <v>1</v>
      </c>
      <c r="P1920">
        <v>0</v>
      </c>
      <c r="Q1920">
        <v>0</v>
      </c>
      <c r="R1920">
        <v>0</v>
      </c>
      <c r="S1920">
        <v>0</v>
      </c>
    </row>
    <row r="1921" spans="1:19" hidden="1" x14ac:dyDescent="0.35">
      <c r="A1921">
        <v>60210201300</v>
      </c>
      <c r="B1921" t="s">
        <v>1929</v>
      </c>
      <c r="C1921" t="str">
        <f>_xlfn.XLOOKUP(A1921,[1]Affiliations!$J$2:$J$5328,[1]Affiliations!$K$2:$K$5328,0)</f>
        <v>Federal University of Rio de Janeiro</v>
      </c>
      <c r="D1921">
        <v>0</v>
      </c>
      <c r="G1921">
        <v>0</v>
      </c>
    </row>
    <row r="1922" spans="1:19" hidden="1" x14ac:dyDescent="0.35">
      <c r="A1922">
        <v>57218865075</v>
      </c>
      <c r="B1922" t="s">
        <v>1930</v>
      </c>
      <c r="C1922" t="str">
        <f>_xlfn.XLOOKUP(A1922,[1]Affiliations!$J$2:$J$5328,[1]Affiliations!$K$2:$K$5328,0)</f>
        <v>Engineering Simulation and Scientific Software (+1 more)</v>
      </c>
      <c r="D1922">
        <v>3</v>
      </c>
      <c r="E1922">
        <v>13</v>
      </c>
      <c r="F1922">
        <v>4.3333335000000002</v>
      </c>
      <c r="G1922">
        <v>2</v>
      </c>
      <c r="H1922">
        <v>1.88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1</v>
      </c>
      <c r="P1922">
        <v>0</v>
      </c>
      <c r="Q1922">
        <v>0</v>
      </c>
      <c r="R1922">
        <v>0</v>
      </c>
      <c r="S1922">
        <v>0</v>
      </c>
    </row>
    <row r="1923" spans="1:19" hidden="1" x14ac:dyDescent="0.35">
      <c r="A1923">
        <v>60198492800</v>
      </c>
      <c r="B1923" t="s">
        <v>1931</v>
      </c>
      <c r="C1923" t="str">
        <f>_xlfn.XLOOKUP(A1923,[1]Affiliations!$J$2:$J$5328,[1]Affiliations!$K$2:$K$5328,0)</f>
        <v>University of Campinas</v>
      </c>
      <c r="D1923">
        <v>0</v>
      </c>
      <c r="G1923">
        <v>0</v>
      </c>
    </row>
    <row r="1924" spans="1:19" hidden="1" x14ac:dyDescent="0.35">
      <c r="A1924">
        <v>59143585800</v>
      </c>
      <c r="B1924" t="s">
        <v>1932</v>
      </c>
      <c r="C1924" t="str">
        <f>_xlfn.XLOOKUP(A1924,[1]Affiliations!$J$2:$J$5328,[1]Affiliations!$K$2:$K$5328,0)</f>
        <v>Federal University of Rio de Janeiro</v>
      </c>
      <c r="D1924">
        <v>1</v>
      </c>
      <c r="E1924">
        <v>3</v>
      </c>
      <c r="F1924">
        <v>3</v>
      </c>
      <c r="G1924">
        <v>1</v>
      </c>
      <c r="H1924">
        <v>0.56000000000000005</v>
      </c>
      <c r="I1924">
        <v>0</v>
      </c>
      <c r="J1924">
        <v>0</v>
      </c>
      <c r="K1924">
        <v>0</v>
      </c>
      <c r="L1924">
        <v>1</v>
      </c>
      <c r="M1924">
        <v>1</v>
      </c>
      <c r="N1924">
        <v>1</v>
      </c>
      <c r="P1924">
        <v>0</v>
      </c>
      <c r="Q1924">
        <v>0</v>
      </c>
      <c r="R1924">
        <v>0</v>
      </c>
      <c r="S1924">
        <v>0</v>
      </c>
    </row>
    <row r="1925" spans="1:19" hidden="1" x14ac:dyDescent="0.35">
      <c r="A1925">
        <v>60172694000</v>
      </c>
      <c r="B1925" t="s">
        <v>1933</v>
      </c>
      <c r="C1925" t="str">
        <f>_xlfn.XLOOKUP(A1925,[1]Affiliations!$J$2:$J$5328,[1]Affiliations!$K$2:$K$5328,0)</f>
        <v>Universidade Federal de Minas Gerais</v>
      </c>
      <c r="D1925">
        <v>0</v>
      </c>
      <c r="G1925">
        <v>0</v>
      </c>
    </row>
    <row r="1926" spans="1:19" hidden="1" x14ac:dyDescent="0.35">
      <c r="A1926">
        <v>57216841420</v>
      </c>
      <c r="B1926" t="s">
        <v>1934</v>
      </c>
      <c r="C1926" t="str">
        <f>_xlfn.XLOOKUP(A1926,[1]Affiliations!$J$2:$J$5328,[1]Affiliations!$K$2:$K$5328,0)</f>
        <v>ICTS</v>
      </c>
      <c r="D1926">
        <v>9</v>
      </c>
      <c r="E1926">
        <v>11</v>
      </c>
      <c r="F1926">
        <v>1.2222222</v>
      </c>
      <c r="G1926">
        <v>2</v>
      </c>
      <c r="H1926">
        <v>0.13</v>
      </c>
      <c r="I1926">
        <v>0</v>
      </c>
      <c r="J1926">
        <v>0</v>
      </c>
      <c r="K1926">
        <v>0</v>
      </c>
      <c r="L1926">
        <v>2</v>
      </c>
      <c r="M1926">
        <v>3</v>
      </c>
      <c r="N1926">
        <v>4</v>
      </c>
      <c r="P1926">
        <v>0</v>
      </c>
      <c r="Q1926">
        <v>0</v>
      </c>
      <c r="R1926">
        <v>0</v>
      </c>
      <c r="S1926">
        <v>0</v>
      </c>
    </row>
    <row r="1927" spans="1:19" hidden="1" x14ac:dyDescent="0.35">
      <c r="A1927">
        <v>56992321100</v>
      </c>
      <c r="B1927" t="s">
        <v>1935</v>
      </c>
      <c r="C1927" t="str">
        <f>_xlfn.XLOOKUP(A1927,[1]Affiliations!$J$2:$J$5328,[1]Affiliations!$K$2:$K$5328,0)</f>
        <v>Universidade Federal do Rio Grande do Sul (+1 more)</v>
      </c>
      <c r="D1927">
        <v>11</v>
      </c>
      <c r="E1927">
        <v>114</v>
      </c>
      <c r="F1927">
        <v>10.363636</v>
      </c>
      <c r="G1927">
        <v>6</v>
      </c>
      <c r="H1927">
        <v>0.52</v>
      </c>
      <c r="I1927">
        <v>0</v>
      </c>
      <c r="J1927">
        <v>0</v>
      </c>
      <c r="K1927">
        <v>0</v>
      </c>
      <c r="L1927">
        <v>4</v>
      </c>
      <c r="M1927">
        <v>8</v>
      </c>
      <c r="N1927">
        <v>10</v>
      </c>
      <c r="P1927">
        <v>0</v>
      </c>
      <c r="Q1927">
        <v>0</v>
      </c>
      <c r="R1927">
        <v>0</v>
      </c>
      <c r="S1927">
        <v>3</v>
      </c>
    </row>
    <row r="1928" spans="1:19" hidden="1" x14ac:dyDescent="0.35">
      <c r="A1928">
        <v>57219550141</v>
      </c>
      <c r="B1928" t="s">
        <v>1936</v>
      </c>
      <c r="C1928" t="str">
        <f>_xlfn.XLOOKUP(A1928,[1]Affiliations!$J$2:$J$5328,[1]Affiliations!$K$2:$K$5328,0)</f>
        <v>Federal University of Rio de Janeiro</v>
      </c>
      <c r="D1928">
        <v>1</v>
      </c>
      <c r="E1928">
        <v>14</v>
      </c>
      <c r="F1928">
        <v>14</v>
      </c>
      <c r="G1928">
        <v>1</v>
      </c>
      <c r="H1928">
        <v>0.36</v>
      </c>
      <c r="I1928">
        <v>0</v>
      </c>
      <c r="J1928">
        <v>0</v>
      </c>
      <c r="K1928">
        <v>0</v>
      </c>
      <c r="L1928">
        <v>1</v>
      </c>
      <c r="M1928">
        <v>1</v>
      </c>
      <c r="N1928">
        <v>1</v>
      </c>
      <c r="P1928">
        <v>0</v>
      </c>
      <c r="Q1928">
        <v>0</v>
      </c>
      <c r="R1928">
        <v>0</v>
      </c>
      <c r="S1928">
        <v>0</v>
      </c>
    </row>
    <row r="1929" spans="1:19" hidden="1" x14ac:dyDescent="0.35">
      <c r="A1929">
        <v>57847796400</v>
      </c>
      <c r="B1929" t="s">
        <v>1937</v>
      </c>
      <c r="C1929" t="str">
        <f>_xlfn.XLOOKUP(A1929,[1]Affiliations!$J$2:$J$5328,[1]Affiliations!$K$2:$K$5328,0)</f>
        <v>Federal University of Rio de Janeiro</v>
      </c>
      <c r="D1929">
        <v>1</v>
      </c>
      <c r="E1929">
        <v>7</v>
      </c>
      <c r="F1929">
        <v>7</v>
      </c>
      <c r="G1929">
        <v>1</v>
      </c>
      <c r="H1929">
        <v>0.37</v>
      </c>
      <c r="I1929">
        <v>0</v>
      </c>
      <c r="J1929">
        <v>0</v>
      </c>
      <c r="K1929">
        <v>0</v>
      </c>
      <c r="L1929">
        <v>1</v>
      </c>
      <c r="M1929">
        <v>1</v>
      </c>
      <c r="N1929">
        <v>1</v>
      </c>
      <c r="P1929">
        <v>0</v>
      </c>
      <c r="Q1929">
        <v>0</v>
      </c>
      <c r="R1929">
        <v>0</v>
      </c>
      <c r="S1929">
        <v>0</v>
      </c>
    </row>
    <row r="1930" spans="1:19" hidden="1" x14ac:dyDescent="0.35">
      <c r="A1930">
        <v>56285995800</v>
      </c>
      <c r="B1930" t="s">
        <v>1938</v>
      </c>
      <c r="C1930" t="str">
        <f>_xlfn.XLOOKUP(A1930,[1]Affiliations!$J$2:$J$5328,[1]Affiliations!$K$2:$K$5328,0)</f>
        <v>Universidade Federal da Bahia</v>
      </c>
      <c r="D1930">
        <v>2</v>
      </c>
      <c r="E1930">
        <v>22</v>
      </c>
      <c r="F1930">
        <v>11</v>
      </c>
      <c r="G1930">
        <v>3</v>
      </c>
      <c r="H1930">
        <v>0.24</v>
      </c>
      <c r="I1930">
        <v>0</v>
      </c>
      <c r="J1930">
        <v>0</v>
      </c>
      <c r="K1930">
        <v>0</v>
      </c>
      <c r="L1930">
        <v>1</v>
      </c>
      <c r="M1930">
        <v>1</v>
      </c>
      <c r="N1930">
        <v>1</v>
      </c>
      <c r="P1930">
        <v>0</v>
      </c>
      <c r="Q1930">
        <v>0</v>
      </c>
      <c r="R1930">
        <v>0</v>
      </c>
      <c r="S1930">
        <v>0</v>
      </c>
    </row>
    <row r="1931" spans="1:19" x14ac:dyDescent="0.35">
      <c r="A1931">
        <v>7004002578</v>
      </c>
      <c r="B1931" t="s">
        <v>1857</v>
      </c>
      <c r="C1931" t="str">
        <f>_xlfn.XLOOKUP(A1931,[1]Affiliations!$J$2:$J$5328,[1]Affiliations!$K$2:$K$5328,0)</f>
        <v>Universidade de São Paulo</v>
      </c>
      <c r="D1931">
        <v>37</v>
      </c>
      <c r="E1931">
        <v>744</v>
      </c>
      <c r="F1931">
        <v>20.108108999999999</v>
      </c>
      <c r="G1931">
        <v>35</v>
      </c>
      <c r="H1931">
        <v>1.05</v>
      </c>
      <c r="I1931">
        <v>1</v>
      </c>
      <c r="J1931">
        <v>7</v>
      </c>
      <c r="K1931">
        <v>16</v>
      </c>
      <c r="L1931">
        <v>23</v>
      </c>
      <c r="M1931">
        <v>35</v>
      </c>
      <c r="N1931">
        <v>35</v>
      </c>
      <c r="P1931">
        <v>0</v>
      </c>
      <c r="Q1931">
        <v>2</v>
      </c>
      <c r="R1931">
        <v>5</v>
      </c>
      <c r="S1931">
        <v>16</v>
      </c>
    </row>
    <row r="1932" spans="1:19" hidden="1" x14ac:dyDescent="0.35">
      <c r="A1932">
        <v>58099636800</v>
      </c>
      <c r="B1932" t="s">
        <v>1940</v>
      </c>
      <c r="C1932" t="str">
        <f>_xlfn.XLOOKUP(A1932,[1]Affiliations!$J$2:$J$5328,[1]Affiliations!$K$2:$K$5328,0)</f>
        <v>Federal University of Rio de Janeiro</v>
      </c>
      <c r="D1932">
        <v>1</v>
      </c>
      <c r="E1932">
        <v>6</v>
      </c>
      <c r="F1932">
        <v>6</v>
      </c>
      <c r="G1932">
        <v>1</v>
      </c>
      <c r="H1932">
        <v>0.44</v>
      </c>
      <c r="I1932">
        <v>0</v>
      </c>
      <c r="J1932">
        <v>0</v>
      </c>
      <c r="K1932">
        <v>0</v>
      </c>
      <c r="L1932">
        <v>1</v>
      </c>
      <c r="M1932">
        <v>1</v>
      </c>
      <c r="N1932">
        <v>1</v>
      </c>
      <c r="P1932">
        <v>0</v>
      </c>
      <c r="Q1932">
        <v>0</v>
      </c>
      <c r="R1932">
        <v>0</v>
      </c>
      <c r="S1932">
        <v>0</v>
      </c>
    </row>
    <row r="1933" spans="1:19" hidden="1" x14ac:dyDescent="0.35">
      <c r="A1933">
        <v>57945097200</v>
      </c>
      <c r="B1933" t="s">
        <v>1941</v>
      </c>
      <c r="C1933" t="str">
        <f>_xlfn.XLOOKUP(A1933,[1]Affiliations!$J$2:$J$5328,[1]Affiliations!$K$2:$K$5328,0)</f>
        <v>Federal University of Santa Catarina</v>
      </c>
      <c r="D1933">
        <v>1</v>
      </c>
      <c r="E1933">
        <v>8</v>
      </c>
      <c r="F1933">
        <v>8</v>
      </c>
      <c r="G1933">
        <v>1</v>
      </c>
      <c r="H1933">
        <v>0.48</v>
      </c>
      <c r="I1933">
        <v>0</v>
      </c>
      <c r="J1933">
        <v>0</v>
      </c>
      <c r="K1933">
        <v>0</v>
      </c>
      <c r="L1933">
        <v>1</v>
      </c>
      <c r="M1933">
        <v>1</v>
      </c>
      <c r="N1933">
        <v>1</v>
      </c>
      <c r="P1933">
        <v>0</v>
      </c>
      <c r="Q1933">
        <v>0</v>
      </c>
      <c r="R1933">
        <v>0</v>
      </c>
      <c r="S1933">
        <v>0</v>
      </c>
    </row>
    <row r="1934" spans="1:19" hidden="1" x14ac:dyDescent="0.35">
      <c r="A1934">
        <v>57192062820</v>
      </c>
      <c r="B1934" t="s">
        <v>1942</v>
      </c>
      <c r="C1934" t="str">
        <f>_xlfn.XLOOKUP(A1934,[1]Affiliations!$J$2:$J$5328,[1]Affiliations!$K$2:$K$5328,0)</f>
        <v>Universidade de São Paulo</v>
      </c>
      <c r="D1934">
        <v>12</v>
      </c>
      <c r="E1934">
        <v>68</v>
      </c>
      <c r="F1934">
        <v>5.6666664999999998</v>
      </c>
      <c r="G1934">
        <v>5</v>
      </c>
      <c r="H1934">
        <v>0.66</v>
      </c>
      <c r="I1934">
        <v>0</v>
      </c>
      <c r="J1934">
        <v>0</v>
      </c>
      <c r="K1934">
        <v>0</v>
      </c>
      <c r="L1934">
        <v>2</v>
      </c>
      <c r="M1934">
        <v>4</v>
      </c>
      <c r="N1934">
        <v>7</v>
      </c>
      <c r="P1934">
        <v>0</v>
      </c>
      <c r="Q1934">
        <v>0</v>
      </c>
      <c r="R1934">
        <v>0</v>
      </c>
      <c r="S1934">
        <v>1</v>
      </c>
    </row>
    <row r="1935" spans="1:19" x14ac:dyDescent="0.35">
      <c r="A1935">
        <v>6507405716</v>
      </c>
      <c r="B1935" t="s">
        <v>2802</v>
      </c>
      <c r="C1935" t="str">
        <f>_xlfn.XLOOKUP(A1935,[1]Affiliations!$J$2:$J$5328,[1]Affiliations!$K$2:$K$5328,0)</f>
        <v>Universidade do Estado do Rio de Janeiro (+2 more)</v>
      </c>
      <c r="D1935">
        <v>19</v>
      </c>
      <c r="E1935">
        <v>338</v>
      </c>
      <c r="F1935">
        <v>17.789473999999998</v>
      </c>
      <c r="G1935">
        <v>19</v>
      </c>
      <c r="H1935">
        <v>1.05</v>
      </c>
      <c r="I1935">
        <v>0</v>
      </c>
      <c r="J1935">
        <v>1</v>
      </c>
      <c r="K1935">
        <v>5</v>
      </c>
      <c r="L1935">
        <v>11</v>
      </c>
      <c r="M1935">
        <v>17</v>
      </c>
      <c r="N1935">
        <v>19</v>
      </c>
      <c r="P1935">
        <v>0</v>
      </c>
      <c r="Q1935">
        <v>0</v>
      </c>
      <c r="R1935">
        <v>1</v>
      </c>
      <c r="S1935">
        <v>9</v>
      </c>
    </row>
    <row r="1936" spans="1:19" hidden="1" x14ac:dyDescent="0.35">
      <c r="A1936">
        <v>25931309600</v>
      </c>
      <c r="B1936" t="s">
        <v>1944</v>
      </c>
      <c r="C1936" t="str">
        <f>_xlfn.XLOOKUP(A1936,[1]Affiliations!$J$2:$J$5328,[1]Affiliations!$K$2:$K$5328,0)</f>
        <v>Instituto Federal de Educação, Ciência e Tecnologia do Rio de Janeiro (+2 more)</v>
      </c>
      <c r="D1936">
        <v>1</v>
      </c>
      <c r="E1936">
        <v>1</v>
      </c>
      <c r="F1936">
        <v>1</v>
      </c>
      <c r="G1936">
        <v>4</v>
      </c>
      <c r="H1936">
        <v>0.9</v>
      </c>
      <c r="P1936">
        <v>0</v>
      </c>
      <c r="Q1936">
        <v>0</v>
      </c>
      <c r="R1936">
        <v>0</v>
      </c>
      <c r="S1936">
        <v>0</v>
      </c>
    </row>
    <row r="1937" spans="1:19" hidden="1" x14ac:dyDescent="0.35">
      <c r="A1937">
        <v>57194562947</v>
      </c>
      <c r="B1937" t="s">
        <v>1945</v>
      </c>
      <c r="C1937" t="str">
        <f>_xlfn.XLOOKUP(A1937,[1]Affiliations!$J$2:$J$5328,[1]Affiliations!$K$2:$K$5328,0)</f>
        <v>Universidade Tiradentes</v>
      </c>
      <c r="D1937">
        <v>3</v>
      </c>
      <c r="E1937">
        <v>66</v>
      </c>
      <c r="F1937">
        <v>22</v>
      </c>
      <c r="G1937">
        <v>3</v>
      </c>
      <c r="H1937">
        <v>0.91</v>
      </c>
      <c r="I1937">
        <v>0</v>
      </c>
      <c r="J1937">
        <v>0</v>
      </c>
      <c r="K1937">
        <v>0</v>
      </c>
      <c r="L1937">
        <v>3</v>
      </c>
      <c r="M1937">
        <v>3</v>
      </c>
      <c r="N1937">
        <v>3</v>
      </c>
      <c r="P1937">
        <v>0</v>
      </c>
      <c r="Q1937">
        <v>0</v>
      </c>
      <c r="R1937">
        <v>0</v>
      </c>
      <c r="S1937">
        <v>2</v>
      </c>
    </row>
    <row r="1938" spans="1:19" hidden="1" x14ac:dyDescent="0.35">
      <c r="A1938">
        <v>14040195300</v>
      </c>
      <c r="B1938" t="s">
        <v>1946</v>
      </c>
      <c r="C1938" t="str">
        <f>_xlfn.XLOOKUP(A1938,[1]Affiliations!$J$2:$J$5328,[1]Affiliations!$K$2:$K$5328,0)</f>
        <v>Pontifical Catholic University of Rio de Janeiro</v>
      </c>
      <c r="D1938">
        <v>4</v>
      </c>
      <c r="E1938">
        <v>53</v>
      </c>
      <c r="F1938">
        <v>13.25</v>
      </c>
      <c r="G1938">
        <v>8</v>
      </c>
      <c r="H1938">
        <v>0.44</v>
      </c>
      <c r="I1938">
        <v>0</v>
      </c>
      <c r="J1938">
        <v>1</v>
      </c>
      <c r="K1938">
        <v>2</v>
      </c>
      <c r="L1938">
        <v>3</v>
      </c>
      <c r="M1938">
        <v>4</v>
      </c>
      <c r="N1938">
        <v>4</v>
      </c>
      <c r="P1938">
        <v>0</v>
      </c>
      <c r="Q1938">
        <v>0</v>
      </c>
      <c r="R1938">
        <v>0</v>
      </c>
      <c r="S1938">
        <v>1</v>
      </c>
    </row>
    <row r="1939" spans="1:19" x14ac:dyDescent="0.35">
      <c r="A1939">
        <v>57191866363</v>
      </c>
      <c r="B1939" t="s">
        <v>2886</v>
      </c>
      <c r="C1939" t="str">
        <f>_xlfn.XLOOKUP(A1939,[1]Affiliations!$J$2:$J$5328,[1]Affiliations!$K$2:$K$5328,0)</f>
        <v>Universidade Federal de Viçosa</v>
      </c>
      <c r="D1939">
        <v>16</v>
      </c>
      <c r="E1939">
        <v>407</v>
      </c>
      <c r="F1939">
        <v>25.4375</v>
      </c>
      <c r="G1939">
        <v>9</v>
      </c>
      <c r="H1939">
        <v>1.05</v>
      </c>
      <c r="I1939">
        <v>0</v>
      </c>
      <c r="J1939">
        <v>4</v>
      </c>
      <c r="K1939">
        <v>8</v>
      </c>
      <c r="L1939">
        <v>16</v>
      </c>
      <c r="M1939">
        <v>16</v>
      </c>
      <c r="N1939">
        <v>16</v>
      </c>
      <c r="P1939">
        <v>0</v>
      </c>
      <c r="Q1939">
        <v>1</v>
      </c>
      <c r="R1939">
        <v>3</v>
      </c>
      <c r="S1939">
        <v>9</v>
      </c>
    </row>
    <row r="1940" spans="1:19" hidden="1" x14ac:dyDescent="0.35">
      <c r="A1940">
        <v>57226547683</v>
      </c>
      <c r="B1940" t="s">
        <v>1948</v>
      </c>
      <c r="C1940" t="str">
        <f>_xlfn.XLOOKUP(A1940,[1]Affiliations!$J$2:$J$5328,[1]Affiliations!$K$2:$K$5328,0)</f>
        <v>Universidade Federal do Rio Grande do Sul</v>
      </c>
      <c r="D1940">
        <v>1</v>
      </c>
      <c r="E1940">
        <v>18</v>
      </c>
      <c r="F1940">
        <v>18</v>
      </c>
      <c r="G1940">
        <v>1</v>
      </c>
      <c r="H1940">
        <v>1.1299999999999999</v>
      </c>
      <c r="I1940">
        <v>0</v>
      </c>
      <c r="J1940">
        <v>0</v>
      </c>
      <c r="K1940">
        <v>1</v>
      </c>
      <c r="L1940">
        <v>1</v>
      </c>
      <c r="M1940">
        <v>1</v>
      </c>
      <c r="N1940">
        <v>1</v>
      </c>
      <c r="P1940">
        <v>0</v>
      </c>
      <c r="Q1940">
        <v>0</v>
      </c>
      <c r="R1940">
        <v>0</v>
      </c>
      <c r="S1940">
        <v>1</v>
      </c>
    </row>
    <row r="1941" spans="1:19" hidden="1" x14ac:dyDescent="0.35">
      <c r="A1941">
        <v>57222024500</v>
      </c>
      <c r="B1941" t="s">
        <v>1949</v>
      </c>
      <c r="C1941" t="str">
        <f>_xlfn.XLOOKUP(A1941,[1]Affiliations!$J$2:$J$5328,[1]Affiliations!$K$2:$K$5328,0)</f>
        <v>Universidade Federal do Rio Grande do Sul</v>
      </c>
      <c r="D1941">
        <v>2</v>
      </c>
      <c r="E1941">
        <v>18</v>
      </c>
      <c r="F1941">
        <v>9</v>
      </c>
      <c r="G1941">
        <v>2</v>
      </c>
      <c r="H1941">
        <v>0.63</v>
      </c>
      <c r="I1941">
        <v>0</v>
      </c>
      <c r="J1941">
        <v>0</v>
      </c>
      <c r="K1941">
        <v>0</v>
      </c>
      <c r="L1941">
        <v>0</v>
      </c>
      <c r="M1941">
        <v>2</v>
      </c>
      <c r="N1941">
        <v>2</v>
      </c>
      <c r="P1941">
        <v>0</v>
      </c>
      <c r="Q1941">
        <v>0</v>
      </c>
      <c r="R1941">
        <v>0</v>
      </c>
      <c r="S1941">
        <v>0</v>
      </c>
    </row>
    <row r="1942" spans="1:19" x14ac:dyDescent="0.35">
      <c r="A1942">
        <v>6508137497</v>
      </c>
      <c r="B1942" t="s">
        <v>3119</v>
      </c>
      <c r="C1942" t="str">
        <f>_xlfn.XLOOKUP(A1942,[1]Affiliations!$J$2:$J$5328,[1]Affiliations!$K$2:$K$5328,0)</f>
        <v>Universidade Estadual Paulista “Júlio de Mesquita Filho”</v>
      </c>
      <c r="D1942">
        <v>40</v>
      </c>
      <c r="E1942">
        <v>621</v>
      </c>
      <c r="F1942">
        <v>15.525</v>
      </c>
      <c r="G1942">
        <v>19</v>
      </c>
      <c r="H1942">
        <v>1.05</v>
      </c>
      <c r="I1942">
        <v>1</v>
      </c>
      <c r="J1942">
        <v>2</v>
      </c>
      <c r="K1942">
        <v>3</v>
      </c>
      <c r="L1942">
        <v>9</v>
      </c>
      <c r="M1942">
        <v>21</v>
      </c>
      <c r="N1942">
        <v>28</v>
      </c>
      <c r="P1942">
        <v>0</v>
      </c>
      <c r="Q1942">
        <v>1</v>
      </c>
      <c r="R1942">
        <v>2</v>
      </c>
      <c r="S1942">
        <v>10</v>
      </c>
    </row>
    <row r="1943" spans="1:19" hidden="1" x14ac:dyDescent="0.35">
      <c r="A1943">
        <v>55858690500</v>
      </c>
      <c r="B1943" t="s">
        <v>1951</v>
      </c>
      <c r="C1943" t="str">
        <f>_xlfn.XLOOKUP(A1943,[1]Affiliations!$J$2:$J$5328,[1]Affiliations!$K$2:$K$5328,0)</f>
        <v>Universidade Tecnológica Federal do Paraná</v>
      </c>
      <c r="D1943">
        <v>45</v>
      </c>
      <c r="E1943">
        <v>254</v>
      </c>
      <c r="F1943">
        <v>5.6444444999999996</v>
      </c>
      <c r="G1943">
        <v>10</v>
      </c>
      <c r="H1943">
        <v>0.57999999999999996</v>
      </c>
      <c r="I1943">
        <v>0</v>
      </c>
      <c r="J1943">
        <v>0</v>
      </c>
      <c r="K1943">
        <v>9</v>
      </c>
      <c r="L1943">
        <v>14</v>
      </c>
      <c r="M1943">
        <v>16</v>
      </c>
      <c r="N1943">
        <v>24</v>
      </c>
      <c r="P1943">
        <v>0</v>
      </c>
      <c r="Q1943">
        <v>0</v>
      </c>
      <c r="R1943">
        <v>0</v>
      </c>
      <c r="S1943">
        <v>6</v>
      </c>
    </row>
    <row r="1944" spans="1:19" x14ac:dyDescent="0.35">
      <c r="A1944">
        <v>57195903042</v>
      </c>
      <c r="B1944" t="s">
        <v>3300</v>
      </c>
      <c r="C1944" t="str">
        <f>_xlfn.XLOOKUP(A1944,[1]Affiliations!$J$2:$J$5328,[1]Affiliations!$K$2:$K$5328,0)</f>
        <v>Universidade Federal de Pernambuco</v>
      </c>
      <c r="D1944">
        <v>12</v>
      </c>
      <c r="E1944">
        <v>160</v>
      </c>
      <c r="F1944">
        <v>13.333333</v>
      </c>
      <c r="G1944">
        <v>5</v>
      </c>
      <c r="H1944">
        <v>1.05</v>
      </c>
      <c r="I1944">
        <v>0</v>
      </c>
      <c r="J1944">
        <v>1</v>
      </c>
      <c r="K1944">
        <v>2</v>
      </c>
      <c r="L1944">
        <v>6</v>
      </c>
      <c r="M1944">
        <v>9</v>
      </c>
      <c r="N1944">
        <v>10</v>
      </c>
      <c r="P1944">
        <v>0</v>
      </c>
      <c r="Q1944">
        <v>2</v>
      </c>
      <c r="R1944">
        <v>2</v>
      </c>
      <c r="S1944">
        <v>2</v>
      </c>
    </row>
    <row r="1945" spans="1:19" x14ac:dyDescent="0.35">
      <c r="A1945">
        <v>7005511951</v>
      </c>
      <c r="B1945" t="s">
        <v>3532</v>
      </c>
      <c r="C1945" t="str">
        <f>_xlfn.XLOOKUP(A1945,[1]Affiliations!$J$2:$J$5328,[1]Affiliations!$K$2:$K$5328,0)</f>
        <v>Instituto Tecnológico da Aeronáutica</v>
      </c>
      <c r="D1945">
        <v>51</v>
      </c>
      <c r="E1945">
        <v>682</v>
      </c>
      <c r="F1945">
        <v>13.372548999999999</v>
      </c>
      <c r="G1945">
        <v>17</v>
      </c>
      <c r="H1945">
        <v>1.05</v>
      </c>
      <c r="I1945">
        <v>0</v>
      </c>
      <c r="J1945">
        <v>4</v>
      </c>
      <c r="K1945">
        <v>8</v>
      </c>
      <c r="L1945">
        <v>13</v>
      </c>
      <c r="M1945">
        <v>16</v>
      </c>
      <c r="N1945">
        <v>20</v>
      </c>
      <c r="P1945">
        <v>1</v>
      </c>
      <c r="Q1945">
        <v>2</v>
      </c>
      <c r="R1945">
        <v>3</v>
      </c>
      <c r="S1945">
        <v>5</v>
      </c>
    </row>
    <row r="1946" spans="1:19" hidden="1" x14ac:dyDescent="0.35">
      <c r="A1946">
        <v>57248382800</v>
      </c>
      <c r="B1946" t="s">
        <v>1954</v>
      </c>
      <c r="C1946" t="str">
        <f>_xlfn.XLOOKUP(A1946,[1]Affiliations!$J$2:$J$5328,[1]Affiliations!$K$2:$K$5328,0)</f>
        <v>Universidade Federal do Rio Grande do Sul</v>
      </c>
      <c r="D1946">
        <v>1</v>
      </c>
      <c r="E1946">
        <v>15</v>
      </c>
      <c r="F1946">
        <v>15</v>
      </c>
      <c r="G1946">
        <v>1</v>
      </c>
      <c r="H1946">
        <v>1.06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1</v>
      </c>
      <c r="P1946">
        <v>0</v>
      </c>
      <c r="Q1946">
        <v>0</v>
      </c>
      <c r="R1946">
        <v>0</v>
      </c>
      <c r="S1946">
        <v>0</v>
      </c>
    </row>
    <row r="1947" spans="1:19" x14ac:dyDescent="0.35">
      <c r="A1947">
        <v>56343377400</v>
      </c>
      <c r="B1947" t="s">
        <v>3912</v>
      </c>
      <c r="C1947" t="str">
        <f>_xlfn.XLOOKUP(A1947,[1]Affiliations!$J$2:$J$5328,[1]Affiliations!$K$2:$K$5328,0)</f>
        <v>University of Campinas (+1 more)</v>
      </c>
      <c r="D1947">
        <v>16</v>
      </c>
      <c r="E1947">
        <v>366</v>
      </c>
      <c r="F1947">
        <v>22.875</v>
      </c>
      <c r="G1947">
        <v>11</v>
      </c>
      <c r="H1947">
        <v>1.05</v>
      </c>
      <c r="I1947">
        <v>0</v>
      </c>
      <c r="J1947">
        <v>3</v>
      </c>
      <c r="K1947">
        <v>5</v>
      </c>
      <c r="L1947">
        <v>9</v>
      </c>
      <c r="M1947">
        <v>14</v>
      </c>
      <c r="N1947">
        <v>15</v>
      </c>
      <c r="P1947">
        <v>0</v>
      </c>
      <c r="Q1947">
        <v>0</v>
      </c>
      <c r="R1947">
        <v>1</v>
      </c>
      <c r="S1947">
        <v>8</v>
      </c>
    </row>
    <row r="1948" spans="1:19" hidden="1" x14ac:dyDescent="0.35">
      <c r="A1948">
        <v>58857744600</v>
      </c>
      <c r="B1948" t="s">
        <v>1956</v>
      </c>
      <c r="C1948" t="str">
        <f>_xlfn.XLOOKUP(A1948,[1]Affiliations!$J$2:$J$5328,[1]Affiliations!$K$2:$K$5328,0)</f>
        <v>Federal University of Rio de Janeiro</v>
      </c>
      <c r="D1948">
        <v>1</v>
      </c>
      <c r="E1948">
        <v>1</v>
      </c>
      <c r="F1948">
        <v>1</v>
      </c>
      <c r="G1948">
        <v>1</v>
      </c>
      <c r="H1948">
        <v>0.17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5">
      <c r="A1949">
        <v>55946278900</v>
      </c>
      <c r="B1949" t="s">
        <v>4686</v>
      </c>
      <c r="C1949" t="str">
        <f>_xlfn.XLOOKUP(A1949,[1]Affiliations!$J$2:$J$5328,[1]Affiliations!$K$2:$K$5328,0)</f>
        <v>Universidade Federal de Viçosa</v>
      </c>
      <c r="D1949">
        <v>15</v>
      </c>
      <c r="E1949">
        <v>416</v>
      </c>
      <c r="F1949">
        <v>27.733333999999999</v>
      </c>
      <c r="G1949">
        <v>10</v>
      </c>
      <c r="H1949">
        <v>1.05</v>
      </c>
      <c r="I1949">
        <v>0</v>
      </c>
      <c r="J1949">
        <v>2</v>
      </c>
      <c r="K1949">
        <v>7</v>
      </c>
      <c r="L1949">
        <v>13</v>
      </c>
      <c r="M1949">
        <v>14</v>
      </c>
      <c r="N1949">
        <v>15</v>
      </c>
      <c r="P1949">
        <v>0</v>
      </c>
      <c r="Q1949">
        <v>0</v>
      </c>
      <c r="R1949">
        <v>3</v>
      </c>
      <c r="S1949">
        <v>10</v>
      </c>
    </row>
    <row r="1950" spans="1:19" hidden="1" x14ac:dyDescent="0.35">
      <c r="A1950">
        <v>56971540900</v>
      </c>
      <c r="B1950" t="s">
        <v>1958</v>
      </c>
      <c r="C1950" t="str">
        <f>_xlfn.XLOOKUP(A1950,[1]Affiliations!$J$2:$J$5328,[1]Affiliations!$K$2:$K$5328,0)</f>
        <v>Federal University of Rio de Janeiro</v>
      </c>
      <c r="D1950">
        <v>16</v>
      </c>
      <c r="E1950">
        <v>248</v>
      </c>
      <c r="F1950">
        <v>15.5</v>
      </c>
      <c r="G1950">
        <v>5</v>
      </c>
      <c r="H1950">
        <v>0.52</v>
      </c>
      <c r="I1950">
        <v>0</v>
      </c>
      <c r="J1950">
        <v>0</v>
      </c>
      <c r="K1950">
        <v>0</v>
      </c>
      <c r="L1950">
        <v>2</v>
      </c>
      <c r="M1950">
        <v>7</v>
      </c>
      <c r="N1950">
        <v>11</v>
      </c>
      <c r="P1950">
        <v>1</v>
      </c>
      <c r="Q1950">
        <v>1</v>
      </c>
      <c r="R1950">
        <v>1</v>
      </c>
      <c r="S1950">
        <v>1</v>
      </c>
    </row>
    <row r="1951" spans="1:19" hidden="1" x14ac:dyDescent="0.35">
      <c r="A1951">
        <v>57189602609</v>
      </c>
      <c r="B1951" t="s">
        <v>1959</v>
      </c>
      <c r="C1951" t="str">
        <f>_xlfn.XLOOKUP(A1951,[1]Affiliations!$J$2:$J$5328,[1]Affiliations!$K$2:$K$5328,0)</f>
        <v>Universidade Federal de Santa Maria</v>
      </c>
      <c r="D1951">
        <v>15</v>
      </c>
      <c r="E1951">
        <v>173</v>
      </c>
      <c r="F1951">
        <v>11.533334</v>
      </c>
      <c r="G1951">
        <v>9</v>
      </c>
      <c r="H1951">
        <v>0.65</v>
      </c>
      <c r="I1951">
        <v>0</v>
      </c>
      <c r="J1951">
        <v>1</v>
      </c>
      <c r="K1951">
        <v>3</v>
      </c>
      <c r="L1951">
        <v>10</v>
      </c>
      <c r="M1951">
        <v>14</v>
      </c>
      <c r="N1951">
        <v>15</v>
      </c>
      <c r="P1951">
        <v>0</v>
      </c>
      <c r="Q1951">
        <v>0</v>
      </c>
      <c r="R1951">
        <v>0</v>
      </c>
      <c r="S1951">
        <v>4</v>
      </c>
    </row>
    <row r="1952" spans="1:19" hidden="1" x14ac:dyDescent="0.35">
      <c r="A1952">
        <v>16021192400</v>
      </c>
      <c r="B1952" t="s">
        <v>1960</v>
      </c>
      <c r="C1952" t="str">
        <f>_xlfn.XLOOKUP(A1952,[1]Affiliations!$J$2:$J$5328,[1]Affiliations!$K$2:$K$5328,0)</f>
        <v>Instituto Nacional de Tecnologia</v>
      </c>
      <c r="D1952">
        <v>4</v>
      </c>
      <c r="E1952">
        <v>126</v>
      </c>
      <c r="F1952">
        <v>31.5</v>
      </c>
      <c r="G1952">
        <v>10</v>
      </c>
      <c r="H1952">
        <v>1.17</v>
      </c>
      <c r="I1952">
        <v>0</v>
      </c>
      <c r="J1952">
        <v>1</v>
      </c>
      <c r="K1952">
        <v>2</v>
      </c>
      <c r="L1952">
        <v>3</v>
      </c>
      <c r="M1952">
        <v>4</v>
      </c>
      <c r="N1952">
        <v>4</v>
      </c>
      <c r="P1952">
        <v>0</v>
      </c>
      <c r="Q1952">
        <v>0</v>
      </c>
      <c r="R1952">
        <v>2</v>
      </c>
      <c r="S1952">
        <v>3</v>
      </c>
    </row>
    <row r="1953" spans="1:19" hidden="1" x14ac:dyDescent="0.35">
      <c r="A1953">
        <v>59453689000</v>
      </c>
      <c r="B1953" t="s">
        <v>1961</v>
      </c>
      <c r="C1953" t="str">
        <f>_xlfn.XLOOKUP(A1953,[1]Affiliations!$J$2:$J$5328,[1]Affiliations!$K$2:$K$5328,0)</f>
        <v>Instituto Nacional de Tecnologia</v>
      </c>
      <c r="D1953">
        <v>1</v>
      </c>
      <c r="E1953">
        <v>0</v>
      </c>
      <c r="F1953">
        <v>0</v>
      </c>
      <c r="G1953">
        <v>0</v>
      </c>
      <c r="H1953">
        <v>0</v>
      </c>
      <c r="P1953">
        <v>0</v>
      </c>
      <c r="Q1953">
        <v>0</v>
      </c>
      <c r="R1953">
        <v>0</v>
      </c>
      <c r="S1953">
        <v>0</v>
      </c>
    </row>
    <row r="1954" spans="1:19" hidden="1" x14ac:dyDescent="0.35">
      <c r="A1954">
        <v>59226100900</v>
      </c>
      <c r="B1954" t="s">
        <v>1962</v>
      </c>
      <c r="C1954" t="str">
        <f>_xlfn.XLOOKUP(A1954,[1]Affiliations!$J$2:$J$5328,[1]Affiliations!$K$2:$K$5328,0)</f>
        <v>Federal University of Rio de Janeiro</v>
      </c>
      <c r="D1954">
        <v>1</v>
      </c>
      <c r="E1954">
        <v>4</v>
      </c>
      <c r="F1954">
        <v>4</v>
      </c>
      <c r="G1954">
        <v>1</v>
      </c>
      <c r="H1954">
        <v>0.56000000000000005</v>
      </c>
      <c r="I1954">
        <v>0</v>
      </c>
      <c r="J1954">
        <v>0</v>
      </c>
      <c r="K1954">
        <v>0</v>
      </c>
      <c r="L1954">
        <v>1</v>
      </c>
      <c r="M1954">
        <v>1</v>
      </c>
      <c r="N1954">
        <v>1</v>
      </c>
      <c r="P1954">
        <v>0</v>
      </c>
      <c r="Q1954">
        <v>0</v>
      </c>
      <c r="R1954">
        <v>0</v>
      </c>
      <c r="S1954">
        <v>0</v>
      </c>
    </row>
    <row r="1955" spans="1:19" hidden="1" x14ac:dyDescent="0.35">
      <c r="A1955">
        <v>57204419814</v>
      </c>
      <c r="B1955" t="s">
        <v>1963</v>
      </c>
      <c r="C1955" t="str">
        <f>_xlfn.XLOOKUP(A1955,[1]Affiliations!$J$2:$J$5328,[1]Affiliations!$K$2:$K$5328,0)</f>
        <v>Federal University of Rio de Janeiro</v>
      </c>
      <c r="D1955">
        <v>1</v>
      </c>
      <c r="E1955">
        <v>4</v>
      </c>
      <c r="F1955">
        <v>4</v>
      </c>
      <c r="G1955">
        <v>2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P1955">
        <v>0</v>
      </c>
      <c r="Q1955">
        <v>0</v>
      </c>
      <c r="R1955">
        <v>0</v>
      </c>
      <c r="S1955">
        <v>0</v>
      </c>
    </row>
    <row r="1956" spans="1:19" hidden="1" x14ac:dyDescent="0.35">
      <c r="A1956">
        <v>7004443995</v>
      </c>
      <c r="B1956" t="s">
        <v>1964</v>
      </c>
      <c r="C1956" t="str">
        <f>_xlfn.XLOOKUP(A1956,[1]Affiliations!$J$2:$J$5328,[1]Affiliations!$K$2:$K$5328,0)</f>
        <v>Universidade do Estado do Rio de Janeiro</v>
      </c>
      <c r="D1956">
        <v>7</v>
      </c>
      <c r="E1956">
        <v>38</v>
      </c>
      <c r="F1956">
        <v>5.4285709999999998</v>
      </c>
      <c r="G1956">
        <v>6</v>
      </c>
      <c r="H1956">
        <v>0.41</v>
      </c>
      <c r="I1956">
        <v>0</v>
      </c>
      <c r="J1956">
        <v>0</v>
      </c>
      <c r="K1956">
        <v>0</v>
      </c>
      <c r="L1956">
        <v>1</v>
      </c>
      <c r="M1956">
        <v>2</v>
      </c>
      <c r="N1956">
        <v>3</v>
      </c>
      <c r="P1956">
        <v>0</v>
      </c>
      <c r="Q1956">
        <v>0</v>
      </c>
      <c r="R1956">
        <v>0</v>
      </c>
      <c r="S1956">
        <v>1</v>
      </c>
    </row>
    <row r="1957" spans="1:19" hidden="1" x14ac:dyDescent="0.35">
      <c r="A1957">
        <v>57202330233</v>
      </c>
      <c r="B1957" t="s">
        <v>1965</v>
      </c>
      <c r="C1957" t="str">
        <f>_xlfn.XLOOKUP(A1957,[1]Affiliations!$J$2:$J$5328,[1]Affiliations!$K$2:$K$5328,0)</f>
        <v>Universidade Federal de Uberlândia</v>
      </c>
      <c r="D1957">
        <v>3</v>
      </c>
      <c r="E1957">
        <v>14</v>
      </c>
      <c r="F1957">
        <v>4.6666664999999998</v>
      </c>
      <c r="G1957">
        <v>3</v>
      </c>
      <c r="H1957">
        <v>0.13</v>
      </c>
      <c r="I1957">
        <v>0</v>
      </c>
      <c r="J1957">
        <v>0</v>
      </c>
      <c r="K1957">
        <v>0</v>
      </c>
      <c r="L1957">
        <v>0</v>
      </c>
      <c r="M1957">
        <v>3</v>
      </c>
      <c r="N1957">
        <v>3</v>
      </c>
      <c r="P1957">
        <v>0</v>
      </c>
      <c r="Q1957">
        <v>0</v>
      </c>
      <c r="R1957">
        <v>0</v>
      </c>
      <c r="S1957">
        <v>0</v>
      </c>
    </row>
    <row r="1958" spans="1:19" x14ac:dyDescent="0.35">
      <c r="A1958">
        <v>7005844512</v>
      </c>
      <c r="B1958" t="s">
        <v>5161</v>
      </c>
      <c r="C1958" t="str">
        <f>_xlfn.XLOOKUP(A1958,[1]Affiliations!$J$2:$J$5328,[1]Affiliations!$K$2:$K$5328,0)</f>
        <v>Universidade Federal de Minas Gerais</v>
      </c>
      <c r="D1958">
        <v>39</v>
      </c>
      <c r="E1958">
        <v>1184</v>
      </c>
      <c r="F1958">
        <v>30.358974</v>
      </c>
      <c r="G1958">
        <v>20</v>
      </c>
      <c r="H1958">
        <v>1.05</v>
      </c>
      <c r="I1958">
        <v>1</v>
      </c>
      <c r="J1958">
        <v>7</v>
      </c>
      <c r="K1958">
        <v>11</v>
      </c>
      <c r="L1958">
        <v>26</v>
      </c>
      <c r="M1958">
        <v>30</v>
      </c>
      <c r="N1958">
        <v>31</v>
      </c>
      <c r="P1958">
        <v>1</v>
      </c>
      <c r="Q1958">
        <v>5</v>
      </c>
      <c r="R1958">
        <v>7</v>
      </c>
      <c r="S1958">
        <v>20</v>
      </c>
    </row>
    <row r="1959" spans="1:19" x14ac:dyDescent="0.35">
      <c r="A1959">
        <v>57191338337</v>
      </c>
      <c r="B1959" t="s">
        <v>424</v>
      </c>
      <c r="C1959" t="str">
        <f>_xlfn.XLOOKUP(A1959,[1]Affiliations!$J$2:$J$5328,[1]Affiliations!$K$2:$K$5328,0)</f>
        <v>Repsol Sinopec Brasil</v>
      </c>
      <c r="D1959">
        <v>18</v>
      </c>
      <c r="E1959">
        <v>109</v>
      </c>
      <c r="F1959">
        <v>6.0555553</v>
      </c>
      <c r="G1959">
        <v>6</v>
      </c>
      <c r="H1959">
        <v>1.04</v>
      </c>
      <c r="I1959">
        <v>0</v>
      </c>
      <c r="J1959">
        <v>2</v>
      </c>
      <c r="K1959">
        <v>4</v>
      </c>
      <c r="L1959">
        <v>7</v>
      </c>
      <c r="M1959">
        <v>7</v>
      </c>
      <c r="N1959">
        <v>7</v>
      </c>
      <c r="P1959">
        <v>0</v>
      </c>
      <c r="Q1959">
        <v>1</v>
      </c>
      <c r="R1959">
        <v>1</v>
      </c>
      <c r="S1959">
        <v>3</v>
      </c>
    </row>
    <row r="1960" spans="1:19" x14ac:dyDescent="0.35">
      <c r="A1960">
        <v>7006114147</v>
      </c>
      <c r="B1960" t="s">
        <v>445</v>
      </c>
      <c r="C1960" t="str">
        <f>_xlfn.XLOOKUP(A1960,[1]Affiliations!$J$2:$J$5328,[1]Affiliations!$K$2:$K$5328,0)</f>
        <v>Universidade Federal do Rio Grande do Sul</v>
      </c>
      <c r="D1960">
        <v>121</v>
      </c>
      <c r="E1960">
        <v>2555</v>
      </c>
      <c r="F1960">
        <v>21.115701999999999</v>
      </c>
      <c r="G1960">
        <v>53</v>
      </c>
      <c r="H1960">
        <v>1.04</v>
      </c>
      <c r="I1960">
        <v>0</v>
      </c>
      <c r="J1960">
        <v>24</v>
      </c>
      <c r="K1960">
        <v>39</v>
      </c>
      <c r="L1960">
        <v>60</v>
      </c>
      <c r="M1960">
        <v>103</v>
      </c>
      <c r="N1960">
        <v>116</v>
      </c>
      <c r="P1960">
        <v>0</v>
      </c>
      <c r="Q1960">
        <v>7</v>
      </c>
      <c r="R1960">
        <v>18</v>
      </c>
      <c r="S1960">
        <v>49</v>
      </c>
    </row>
    <row r="1961" spans="1:19" hidden="1" x14ac:dyDescent="0.35">
      <c r="A1961">
        <v>23033674600</v>
      </c>
      <c r="B1961" t="s">
        <v>1969</v>
      </c>
      <c r="C1961" t="str">
        <f>_xlfn.XLOOKUP(A1961,[1]Affiliations!$J$2:$J$5328,[1]Affiliations!$K$2:$K$5328,0)</f>
        <v>DEMa</v>
      </c>
      <c r="D1961">
        <v>23</v>
      </c>
      <c r="E1961">
        <v>221</v>
      </c>
      <c r="F1961">
        <v>9.6086960000000001</v>
      </c>
      <c r="G1961">
        <v>14</v>
      </c>
      <c r="H1961">
        <v>0.49</v>
      </c>
      <c r="I1961">
        <v>0</v>
      </c>
      <c r="J1961">
        <v>0</v>
      </c>
      <c r="K1961">
        <v>1</v>
      </c>
      <c r="L1961">
        <v>10</v>
      </c>
      <c r="M1961">
        <v>15</v>
      </c>
      <c r="N1961">
        <v>16</v>
      </c>
      <c r="P1961">
        <v>0</v>
      </c>
      <c r="Q1961">
        <v>0</v>
      </c>
      <c r="R1961">
        <v>0</v>
      </c>
      <c r="S1961">
        <v>4</v>
      </c>
    </row>
    <row r="1962" spans="1:19" x14ac:dyDescent="0.35">
      <c r="A1962">
        <v>6602901666</v>
      </c>
      <c r="B1962" t="s">
        <v>708</v>
      </c>
      <c r="C1962" t="str">
        <f>_xlfn.XLOOKUP(A1962,[1]Affiliations!$J$2:$J$5328,[1]Affiliations!$K$2:$K$5328,0)</f>
        <v>Universidade Federal de Minas Gerais</v>
      </c>
      <c r="D1962">
        <v>15</v>
      </c>
      <c r="E1962">
        <v>300</v>
      </c>
      <c r="F1962">
        <v>20</v>
      </c>
      <c r="G1962">
        <v>26</v>
      </c>
      <c r="H1962">
        <v>1.04</v>
      </c>
      <c r="I1962">
        <v>0</v>
      </c>
      <c r="J1962">
        <v>2</v>
      </c>
      <c r="K1962">
        <v>4</v>
      </c>
      <c r="L1962">
        <v>6</v>
      </c>
      <c r="M1962">
        <v>11</v>
      </c>
      <c r="N1962">
        <v>13</v>
      </c>
      <c r="P1962">
        <v>0</v>
      </c>
      <c r="Q1962">
        <v>1</v>
      </c>
      <c r="R1962">
        <v>2</v>
      </c>
      <c r="S1962">
        <v>3</v>
      </c>
    </row>
    <row r="1963" spans="1:19" hidden="1" x14ac:dyDescent="0.35">
      <c r="A1963">
        <v>57209457132</v>
      </c>
      <c r="B1963" t="s">
        <v>1971</v>
      </c>
      <c r="C1963" t="str">
        <f>_xlfn.XLOOKUP(A1963,[1]Affiliations!$J$2:$J$5328,[1]Affiliations!$K$2:$K$5328,0)</f>
        <v>Universidade Federal do Paraná</v>
      </c>
      <c r="D1963">
        <v>1</v>
      </c>
      <c r="E1963">
        <v>9</v>
      </c>
      <c r="F1963">
        <v>9</v>
      </c>
      <c r="G1963">
        <v>1</v>
      </c>
      <c r="H1963">
        <v>0.42</v>
      </c>
      <c r="I1963">
        <v>0</v>
      </c>
      <c r="J1963">
        <v>0</v>
      </c>
      <c r="K1963">
        <v>0</v>
      </c>
      <c r="L1963">
        <v>0</v>
      </c>
      <c r="M1963">
        <v>1</v>
      </c>
      <c r="N1963">
        <v>1</v>
      </c>
      <c r="P1963">
        <v>0</v>
      </c>
      <c r="Q1963">
        <v>0</v>
      </c>
      <c r="R1963">
        <v>0</v>
      </c>
      <c r="S1963">
        <v>0</v>
      </c>
    </row>
    <row r="1964" spans="1:19" hidden="1" x14ac:dyDescent="0.35">
      <c r="A1964">
        <v>57209217350</v>
      </c>
      <c r="B1964" t="s">
        <v>1972</v>
      </c>
      <c r="C1964" t="str">
        <f>_xlfn.XLOOKUP(A1964,[1]Affiliations!$J$2:$J$5328,[1]Affiliations!$K$2:$K$5328,0)</f>
        <v>Universidade Federal do Rio Grande</v>
      </c>
      <c r="D1964">
        <v>1</v>
      </c>
      <c r="E1964">
        <v>15</v>
      </c>
      <c r="F1964">
        <v>15</v>
      </c>
      <c r="G1964">
        <v>1</v>
      </c>
      <c r="H1964">
        <v>0.31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P1964">
        <v>0</v>
      </c>
      <c r="Q1964">
        <v>0</v>
      </c>
      <c r="R1964">
        <v>0</v>
      </c>
      <c r="S1964">
        <v>0</v>
      </c>
    </row>
    <row r="1965" spans="1:19" hidden="1" x14ac:dyDescent="0.35">
      <c r="A1965">
        <v>56276154100</v>
      </c>
      <c r="B1965" t="s">
        <v>1973</v>
      </c>
      <c r="C1965" t="str">
        <f>_xlfn.XLOOKUP(A1965,[1]Affiliations!$J$2:$J$5328,[1]Affiliations!$K$2:$K$5328,0)</f>
        <v>Instituto Militar de Engenharia</v>
      </c>
      <c r="D1965">
        <v>29</v>
      </c>
      <c r="E1965">
        <v>176</v>
      </c>
      <c r="F1965">
        <v>6.0689653999999997</v>
      </c>
      <c r="G1965">
        <v>9</v>
      </c>
      <c r="H1965">
        <v>0.5</v>
      </c>
      <c r="I1965">
        <v>0</v>
      </c>
      <c r="J1965">
        <v>0</v>
      </c>
      <c r="K1965">
        <v>0</v>
      </c>
      <c r="L1965">
        <v>5</v>
      </c>
      <c r="M1965">
        <v>9</v>
      </c>
      <c r="N1965">
        <v>12</v>
      </c>
      <c r="P1965">
        <v>0</v>
      </c>
      <c r="Q1965">
        <v>0</v>
      </c>
      <c r="R1965">
        <v>2</v>
      </c>
      <c r="S1965">
        <v>5</v>
      </c>
    </row>
    <row r="1966" spans="1:19" x14ac:dyDescent="0.35">
      <c r="A1966">
        <v>57196050867</v>
      </c>
      <c r="B1966" t="s">
        <v>1168</v>
      </c>
      <c r="C1966" t="str">
        <f>_xlfn.XLOOKUP(A1966,[1]Affiliations!$J$2:$J$5328,[1]Affiliations!$K$2:$K$5328,0)</f>
        <v>Universidade do Estado do Rio de Janeiro</v>
      </c>
      <c r="D1966">
        <v>17</v>
      </c>
      <c r="E1966">
        <v>249</v>
      </c>
      <c r="F1966">
        <v>14.6470585</v>
      </c>
      <c r="G1966">
        <v>10</v>
      </c>
      <c r="H1966">
        <v>1.04</v>
      </c>
      <c r="I1966">
        <v>0</v>
      </c>
      <c r="J1966">
        <v>1</v>
      </c>
      <c r="K1966">
        <v>4</v>
      </c>
      <c r="L1966">
        <v>10</v>
      </c>
      <c r="M1966">
        <v>16</v>
      </c>
      <c r="N1966">
        <v>17</v>
      </c>
      <c r="P1966">
        <v>0</v>
      </c>
      <c r="Q1966">
        <v>0</v>
      </c>
      <c r="R1966">
        <v>2</v>
      </c>
      <c r="S1966">
        <v>11</v>
      </c>
    </row>
    <row r="1967" spans="1:19" x14ac:dyDescent="0.35">
      <c r="A1967">
        <v>6602184864</v>
      </c>
      <c r="B1967" t="s">
        <v>1323</v>
      </c>
      <c r="C1967" t="str">
        <f>_xlfn.XLOOKUP(A1967,[1]Affiliations!$J$2:$J$5328,[1]Affiliations!$K$2:$K$5328,0)</f>
        <v>Universidade de Brasília</v>
      </c>
      <c r="D1967">
        <v>170</v>
      </c>
      <c r="E1967">
        <v>3684</v>
      </c>
      <c r="F1967">
        <v>21.670587999999999</v>
      </c>
      <c r="G1967">
        <v>49</v>
      </c>
      <c r="H1967">
        <v>1.04</v>
      </c>
      <c r="I1967">
        <v>5</v>
      </c>
      <c r="J1967">
        <v>29</v>
      </c>
      <c r="K1967">
        <v>61</v>
      </c>
      <c r="L1967">
        <v>99</v>
      </c>
      <c r="M1967">
        <v>167</v>
      </c>
      <c r="N1967">
        <v>169</v>
      </c>
      <c r="P1967">
        <v>0</v>
      </c>
      <c r="Q1967">
        <v>5</v>
      </c>
      <c r="R1967">
        <v>23</v>
      </c>
      <c r="S1967">
        <v>71</v>
      </c>
    </row>
    <row r="1968" spans="1:19" hidden="1" x14ac:dyDescent="0.35">
      <c r="A1968">
        <v>57206670374</v>
      </c>
      <c r="B1968" t="s">
        <v>1976</v>
      </c>
      <c r="C1968" t="str">
        <f>_xlfn.XLOOKUP(A1968,[1]Affiliations!$J$2:$J$5328,[1]Affiliations!$K$2:$K$5328,0)</f>
        <v>Universidade do Estado do Rio de Janeiro</v>
      </c>
      <c r="D1968">
        <v>1</v>
      </c>
      <c r="E1968">
        <v>5</v>
      </c>
      <c r="F1968">
        <v>5</v>
      </c>
      <c r="G1968">
        <v>1</v>
      </c>
      <c r="H1968">
        <v>0.18</v>
      </c>
      <c r="I1968">
        <v>0</v>
      </c>
      <c r="J1968">
        <v>0</v>
      </c>
      <c r="K1968">
        <v>0</v>
      </c>
      <c r="L1968">
        <v>0</v>
      </c>
      <c r="M1968">
        <v>1</v>
      </c>
      <c r="N1968">
        <v>1</v>
      </c>
      <c r="P1968">
        <v>0</v>
      </c>
      <c r="Q1968">
        <v>0</v>
      </c>
      <c r="R1968">
        <v>0</v>
      </c>
      <c r="S1968">
        <v>0</v>
      </c>
    </row>
    <row r="1969" spans="1:19" x14ac:dyDescent="0.35">
      <c r="A1969">
        <v>55390502900</v>
      </c>
      <c r="B1969" t="s">
        <v>1349</v>
      </c>
      <c r="C1969" t="str">
        <f>_xlfn.XLOOKUP(A1969,[1]Affiliations!$J$2:$J$5328,[1]Affiliations!$K$2:$K$5328,0)</f>
        <v>State Water and Sewage Company of Rio de Janeiro (+1 more)</v>
      </c>
      <c r="D1969">
        <v>16</v>
      </c>
      <c r="E1969">
        <v>289</v>
      </c>
      <c r="F1969">
        <v>18.0625</v>
      </c>
      <c r="G1969">
        <v>12</v>
      </c>
      <c r="H1969">
        <v>1.04</v>
      </c>
      <c r="I1969">
        <v>0</v>
      </c>
      <c r="J1969">
        <v>0</v>
      </c>
      <c r="K1969">
        <v>1</v>
      </c>
      <c r="L1969">
        <v>1</v>
      </c>
      <c r="M1969">
        <v>3</v>
      </c>
      <c r="N1969">
        <v>11</v>
      </c>
      <c r="P1969">
        <v>0</v>
      </c>
      <c r="Q1969">
        <v>0</v>
      </c>
      <c r="R1969">
        <v>1</v>
      </c>
      <c r="S1969">
        <v>8</v>
      </c>
    </row>
    <row r="1970" spans="1:19" x14ac:dyDescent="0.35">
      <c r="A1970">
        <v>7004185360</v>
      </c>
      <c r="B1970" t="s">
        <v>2516</v>
      </c>
      <c r="C1970" t="str">
        <f>_xlfn.XLOOKUP(A1970,[1]Affiliations!$J$2:$J$5328,[1]Affiliations!$K$2:$K$5328,0)</f>
        <v>University of Campinas</v>
      </c>
      <c r="D1970">
        <v>70</v>
      </c>
      <c r="E1970">
        <v>1662</v>
      </c>
      <c r="F1970">
        <v>23.742857000000001</v>
      </c>
      <c r="G1970">
        <v>46</v>
      </c>
      <c r="H1970">
        <v>1.04</v>
      </c>
      <c r="I1970">
        <v>5</v>
      </c>
      <c r="J1970">
        <v>19</v>
      </c>
      <c r="K1970">
        <v>30</v>
      </c>
      <c r="L1970">
        <v>53</v>
      </c>
      <c r="M1970">
        <v>67</v>
      </c>
      <c r="N1970">
        <v>69</v>
      </c>
      <c r="P1970">
        <v>0</v>
      </c>
      <c r="Q1970">
        <v>3</v>
      </c>
      <c r="R1970">
        <v>13</v>
      </c>
      <c r="S1970">
        <v>32</v>
      </c>
    </row>
    <row r="1971" spans="1:19" hidden="1" x14ac:dyDescent="0.35">
      <c r="A1971">
        <v>57201096049</v>
      </c>
      <c r="B1971" t="s">
        <v>1979</v>
      </c>
      <c r="C1971" t="str">
        <f>_xlfn.XLOOKUP(A1971,[1]Affiliations!$J$2:$J$5328,[1]Affiliations!$K$2:$K$5328,0)</f>
        <v>Federal University of Rio de Janeiro</v>
      </c>
      <c r="D1971">
        <v>3</v>
      </c>
      <c r="E1971">
        <v>123</v>
      </c>
      <c r="F1971">
        <v>41</v>
      </c>
      <c r="G1971">
        <v>3</v>
      </c>
      <c r="H1971">
        <v>1.76</v>
      </c>
      <c r="I1971">
        <v>0</v>
      </c>
      <c r="J1971">
        <v>0</v>
      </c>
      <c r="K1971">
        <v>1</v>
      </c>
      <c r="L1971">
        <v>2</v>
      </c>
      <c r="M1971">
        <v>2</v>
      </c>
      <c r="N1971">
        <v>2</v>
      </c>
      <c r="P1971">
        <v>0</v>
      </c>
      <c r="Q1971">
        <v>1</v>
      </c>
      <c r="R1971">
        <v>1</v>
      </c>
      <c r="S1971">
        <v>2</v>
      </c>
    </row>
    <row r="1972" spans="1:19" hidden="1" x14ac:dyDescent="0.35">
      <c r="A1972">
        <v>58699419100</v>
      </c>
      <c r="B1972" t="s">
        <v>1980</v>
      </c>
      <c r="C1972" t="str">
        <f>_xlfn.XLOOKUP(A1972,[1]Affiliations!$J$2:$J$5328,[1]Affiliations!$K$2:$K$5328,0)</f>
        <v>Universidade Federal de Goiás</v>
      </c>
      <c r="D1972">
        <v>3</v>
      </c>
      <c r="E1972">
        <v>12</v>
      </c>
      <c r="F1972">
        <v>4</v>
      </c>
      <c r="G1972">
        <v>2</v>
      </c>
      <c r="H1972">
        <v>0.43</v>
      </c>
      <c r="I1972">
        <v>0</v>
      </c>
      <c r="J1972">
        <v>0</v>
      </c>
      <c r="K1972">
        <v>0</v>
      </c>
      <c r="L1972">
        <v>1</v>
      </c>
      <c r="M1972">
        <v>3</v>
      </c>
      <c r="N1972">
        <v>3</v>
      </c>
      <c r="P1972">
        <v>0</v>
      </c>
      <c r="Q1972">
        <v>0</v>
      </c>
      <c r="R1972">
        <v>0</v>
      </c>
      <c r="S1972">
        <v>1</v>
      </c>
    </row>
    <row r="1973" spans="1:19" hidden="1" x14ac:dyDescent="0.35">
      <c r="A1973">
        <v>57742752200</v>
      </c>
      <c r="B1973" t="s">
        <v>1981</v>
      </c>
      <c r="C1973" t="str">
        <f>_xlfn.XLOOKUP(A1973,[1]Affiliations!$J$2:$J$5328,[1]Affiliations!$K$2:$K$5328,0)</f>
        <v>NIDF (+1 more)</v>
      </c>
      <c r="D1973">
        <v>2</v>
      </c>
      <c r="E1973">
        <v>0</v>
      </c>
      <c r="F1973">
        <v>0</v>
      </c>
      <c r="G1973">
        <v>0</v>
      </c>
      <c r="H1973">
        <v>0</v>
      </c>
      <c r="P1973">
        <v>0</v>
      </c>
      <c r="Q1973">
        <v>0</v>
      </c>
      <c r="R1973">
        <v>0</v>
      </c>
      <c r="S1973">
        <v>0</v>
      </c>
    </row>
    <row r="1974" spans="1:19" hidden="1" x14ac:dyDescent="0.35">
      <c r="A1974">
        <v>57214798550</v>
      </c>
      <c r="B1974" t="s">
        <v>1982</v>
      </c>
      <c r="C1974" t="str">
        <f>_xlfn.XLOOKUP(A1974,[1]Affiliations!$J$2:$J$5328,[1]Affiliations!$K$2:$K$5328,0)</f>
        <v>Intelie</v>
      </c>
      <c r="D1974">
        <v>4</v>
      </c>
      <c r="E1974">
        <v>3</v>
      </c>
      <c r="F1974">
        <v>0.75</v>
      </c>
      <c r="G1974">
        <v>1</v>
      </c>
      <c r="H1974">
        <v>0.34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3</v>
      </c>
      <c r="P1974">
        <v>0</v>
      </c>
      <c r="Q1974">
        <v>0</v>
      </c>
      <c r="R1974">
        <v>0</v>
      </c>
      <c r="S1974">
        <v>0</v>
      </c>
    </row>
    <row r="1975" spans="1:19" hidden="1" x14ac:dyDescent="0.35">
      <c r="A1975">
        <v>57196485146</v>
      </c>
      <c r="B1975" t="s">
        <v>1983</v>
      </c>
      <c r="C1975" t="str">
        <f>_xlfn.XLOOKUP(A1975,[1]Affiliations!$J$2:$J$5328,[1]Affiliations!$K$2:$K$5328,0)</f>
        <v>Universidade Tecnológica Federal do Paraná</v>
      </c>
      <c r="D1975">
        <v>4</v>
      </c>
      <c r="E1975">
        <v>25</v>
      </c>
      <c r="F1975">
        <v>6.25</v>
      </c>
      <c r="G1975">
        <v>2</v>
      </c>
      <c r="H1975">
        <v>0.49</v>
      </c>
      <c r="I1975">
        <v>0</v>
      </c>
      <c r="J1975">
        <v>1</v>
      </c>
      <c r="K1975">
        <v>2</v>
      </c>
      <c r="L1975">
        <v>2</v>
      </c>
      <c r="M1975">
        <v>2</v>
      </c>
      <c r="N1975">
        <v>2</v>
      </c>
      <c r="P1975">
        <v>0</v>
      </c>
      <c r="Q1975">
        <v>0</v>
      </c>
      <c r="R1975">
        <v>0</v>
      </c>
      <c r="S1975">
        <v>0</v>
      </c>
    </row>
    <row r="1976" spans="1:19" hidden="1" x14ac:dyDescent="0.35">
      <c r="A1976">
        <v>56362506000</v>
      </c>
      <c r="B1976" t="s">
        <v>1984</v>
      </c>
      <c r="C1976" t="str">
        <f>_xlfn.XLOOKUP(A1976,[1]Affiliations!$J$2:$J$5328,[1]Affiliations!$K$2:$K$5328,0)</f>
        <v>Federal University of Rio de Janeiro</v>
      </c>
      <c r="D1976">
        <v>6</v>
      </c>
      <c r="E1976">
        <v>85</v>
      </c>
      <c r="F1976">
        <v>14.166667</v>
      </c>
      <c r="G1976">
        <v>4</v>
      </c>
      <c r="H1976">
        <v>0.32</v>
      </c>
      <c r="I1976">
        <v>0</v>
      </c>
      <c r="J1976">
        <v>0</v>
      </c>
      <c r="K1976">
        <v>1</v>
      </c>
      <c r="L1976">
        <v>4</v>
      </c>
      <c r="M1976">
        <v>6</v>
      </c>
      <c r="N1976">
        <v>6</v>
      </c>
      <c r="P1976">
        <v>0</v>
      </c>
      <c r="Q1976">
        <v>0</v>
      </c>
      <c r="R1976">
        <v>0</v>
      </c>
      <c r="S1976">
        <v>1</v>
      </c>
    </row>
    <row r="1977" spans="1:19" hidden="1" x14ac:dyDescent="0.35">
      <c r="A1977">
        <v>35589823500</v>
      </c>
      <c r="B1977" t="s">
        <v>1985</v>
      </c>
      <c r="C1977" t="str">
        <f>_xlfn.XLOOKUP(A1977,[1]Affiliations!$J$2:$J$5328,[1]Affiliations!$K$2:$K$5328,0)</f>
        <v>Pontifical Catholic University of Rio de Janeiro</v>
      </c>
      <c r="D1977">
        <v>1</v>
      </c>
      <c r="E1977">
        <v>3</v>
      </c>
      <c r="F1977">
        <v>3</v>
      </c>
      <c r="G1977">
        <v>2</v>
      </c>
      <c r="H1977">
        <v>0.14000000000000001</v>
      </c>
      <c r="P1977">
        <v>0</v>
      </c>
      <c r="Q1977">
        <v>0</v>
      </c>
      <c r="R1977">
        <v>0</v>
      </c>
      <c r="S1977">
        <v>0</v>
      </c>
    </row>
    <row r="1978" spans="1:19" x14ac:dyDescent="0.35">
      <c r="A1978">
        <v>56268429300</v>
      </c>
      <c r="B1978" t="s">
        <v>2610</v>
      </c>
      <c r="C1978" t="str">
        <f>_xlfn.XLOOKUP(A1978,[1]Affiliations!$J$2:$J$5328,[1]Affiliations!$K$2:$K$5328,0)</f>
        <v>Universidade Federal do Rio Grande do Sul</v>
      </c>
      <c r="D1978">
        <v>29</v>
      </c>
      <c r="E1978">
        <v>559</v>
      </c>
      <c r="F1978">
        <v>19.275862</v>
      </c>
      <c r="G1978">
        <v>20</v>
      </c>
      <c r="H1978">
        <v>1.04</v>
      </c>
      <c r="I1978">
        <v>0</v>
      </c>
      <c r="J1978">
        <v>3</v>
      </c>
      <c r="K1978">
        <v>4</v>
      </c>
      <c r="L1978">
        <v>14</v>
      </c>
      <c r="M1978">
        <v>26</v>
      </c>
      <c r="N1978">
        <v>26</v>
      </c>
      <c r="P1978">
        <v>1</v>
      </c>
      <c r="Q1978">
        <v>2</v>
      </c>
      <c r="R1978">
        <v>3</v>
      </c>
      <c r="S1978">
        <v>11</v>
      </c>
    </row>
    <row r="1979" spans="1:19" hidden="1" x14ac:dyDescent="0.35">
      <c r="A1979">
        <v>56610208800</v>
      </c>
      <c r="B1979" t="s">
        <v>1987</v>
      </c>
      <c r="C1979" t="str">
        <f>_xlfn.XLOOKUP(A1979,[1]Affiliations!$J$2:$J$5328,[1]Affiliations!$K$2:$K$5328,0)</f>
        <v>Universidade Federal Rural do Rio de Janeiro (+1 more)</v>
      </c>
      <c r="D1979">
        <v>1</v>
      </c>
      <c r="E1979">
        <v>45</v>
      </c>
      <c r="F1979">
        <v>45</v>
      </c>
      <c r="G1979">
        <v>1</v>
      </c>
      <c r="H1979">
        <v>1</v>
      </c>
      <c r="I1979">
        <v>0</v>
      </c>
      <c r="J1979">
        <v>0</v>
      </c>
      <c r="K1979">
        <v>0</v>
      </c>
      <c r="L1979">
        <v>1</v>
      </c>
      <c r="M1979">
        <v>1</v>
      </c>
      <c r="N1979">
        <v>1</v>
      </c>
      <c r="P1979">
        <v>0</v>
      </c>
      <c r="Q1979">
        <v>0</v>
      </c>
      <c r="R1979">
        <v>0</v>
      </c>
      <c r="S1979">
        <v>1</v>
      </c>
    </row>
    <row r="1980" spans="1:19" hidden="1" x14ac:dyDescent="0.35">
      <c r="A1980">
        <v>57200257677</v>
      </c>
      <c r="B1980" t="s">
        <v>1988</v>
      </c>
      <c r="C1980" t="str">
        <f>_xlfn.XLOOKUP(A1980,[1]Affiliations!$J$2:$J$5328,[1]Affiliations!$K$2:$K$5328,0)</f>
        <v>Federal University of Rio de Janeiro</v>
      </c>
      <c r="D1980">
        <v>5</v>
      </c>
      <c r="E1980">
        <v>25</v>
      </c>
      <c r="F1980">
        <v>5</v>
      </c>
      <c r="G1980">
        <v>3</v>
      </c>
      <c r="H1980">
        <v>0.67</v>
      </c>
      <c r="I1980">
        <v>0</v>
      </c>
      <c r="J1980">
        <v>0</v>
      </c>
      <c r="K1980">
        <v>0</v>
      </c>
      <c r="L1980">
        <v>1</v>
      </c>
      <c r="M1980">
        <v>2</v>
      </c>
      <c r="N1980">
        <v>2</v>
      </c>
      <c r="P1980">
        <v>0</v>
      </c>
      <c r="Q1980">
        <v>0</v>
      </c>
      <c r="R1980">
        <v>0</v>
      </c>
      <c r="S1980">
        <v>0</v>
      </c>
    </row>
    <row r="1981" spans="1:19" hidden="1" x14ac:dyDescent="0.35">
      <c r="A1981">
        <v>57219992176</v>
      </c>
      <c r="B1981" t="s">
        <v>1989</v>
      </c>
      <c r="C1981" t="str">
        <f>_xlfn.XLOOKUP(A1981,[1]Affiliations!$J$2:$J$5328,[1]Affiliations!$K$2:$K$5328,0)</f>
        <v>Universidade de São Paulo</v>
      </c>
      <c r="D1981">
        <v>2</v>
      </c>
      <c r="E1981">
        <v>40</v>
      </c>
      <c r="F1981">
        <v>20</v>
      </c>
      <c r="G1981">
        <v>2</v>
      </c>
      <c r="H1981">
        <v>2.0299999999999998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2</v>
      </c>
      <c r="P1981">
        <v>0</v>
      </c>
      <c r="Q1981">
        <v>0</v>
      </c>
      <c r="R1981">
        <v>1</v>
      </c>
      <c r="S1981">
        <v>2</v>
      </c>
    </row>
    <row r="1982" spans="1:19" hidden="1" x14ac:dyDescent="0.35">
      <c r="A1982">
        <v>56315541300</v>
      </c>
      <c r="B1982" t="s">
        <v>1990</v>
      </c>
      <c r="C1982" t="str">
        <f>_xlfn.XLOOKUP(A1982,[1]Affiliations!$J$2:$J$5328,[1]Affiliations!$K$2:$K$5328,0)</f>
        <v>Trisolutions Engineering Solutions LTDA</v>
      </c>
      <c r="D1982">
        <v>4</v>
      </c>
      <c r="E1982">
        <v>60</v>
      </c>
      <c r="F1982">
        <v>15</v>
      </c>
      <c r="G1982">
        <v>5</v>
      </c>
      <c r="H1982">
        <v>1.01</v>
      </c>
      <c r="I1982">
        <v>0</v>
      </c>
      <c r="J1982">
        <v>1</v>
      </c>
      <c r="K1982">
        <v>2</v>
      </c>
      <c r="L1982">
        <v>2</v>
      </c>
      <c r="M1982">
        <v>3</v>
      </c>
      <c r="N1982">
        <v>4</v>
      </c>
      <c r="P1982">
        <v>0</v>
      </c>
      <c r="Q1982">
        <v>0</v>
      </c>
      <c r="R1982">
        <v>0</v>
      </c>
      <c r="S1982">
        <v>1</v>
      </c>
    </row>
    <row r="1983" spans="1:19" hidden="1" x14ac:dyDescent="0.35">
      <c r="A1983">
        <v>57189349611</v>
      </c>
      <c r="B1983" t="s">
        <v>1991</v>
      </c>
      <c r="C1983" t="str">
        <f>_xlfn.XLOOKUP(A1983,[1]Affiliations!$J$2:$J$5328,[1]Affiliations!$K$2:$K$5328,0)</f>
        <v>Universidade de São Paulo</v>
      </c>
      <c r="D1983">
        <v>7</v>
      </c>
      <c r="E1983">
        <v>40</v>
      </c>
      <c r="F1983">
        <v>5.7142860000000004</v>
      </c>
      <c r="G1983">
        <v>4</v>
      </c>
      <c r="H1983">
        <v>0.82</v>
      </c>
      <c r="I1983">
        <v>0</v>
      </c>
      <c r="J1983">
        <v>0</v>
      </c>
      <c r="K1983">
        <v>1</v>
      </c>
      <c r="L1983">
        <v>2</v>
      </c>
      <c r="M1983">
        <v>3</v>
      </c>
      <c r="N1983">
        <v>5</v>
      </c>
      <c r="P1983">
        <v>0</v>
      </c>
      <c r="Q1983">
        <v>0</v>
      </c>
      <c r="R1983">
        <v>0</v>
      </c>
      <c r="S1983">
        <v>0</v>
      </c>
    </row>
    <row r="1984" spans="1:19" hidden="1" x14ac:dyDescent="0.35">
      <c r="A1984">
        <v>57222814979</v>
      </c>
      <c r="B1984" t="s">
        <v>1992</v>
      </c>
      <c r="C1984" t="str">
        <f>_xlfn.XLOOKUP(A1984,[1]Affiliations!$J$2:$J$5328,[1]Affiliations!$K$2:$K$5328,0)</f>
        <v>Universidade Tecnológica Federal do Paraná</v>
      </c>
      <c r="D1984">
        <v>19</v>
      </c>
      <c r="E1984">
        <v>33</v>
      </c>
      <c r="F1984">
        <v>1.7368421999999999</v>
      </c>
      <c r="G1984">
        <v>4</v>
      </c>
      <c r="H1984">
        <v>0.46</v>
      </c>
      <c r="I1984">
        <v>0</v>
      </c>
      <c r="J1984">
        <v>0</v>
      </c>
      <c r="K1984">
        <v>0</v>
      </c>
      <c r="L1984">
        <v>2</v>
      </c>
      <c r="M1984">
        <v>3</v>
      </c>
      <c r="N1984">
        <v>5</v>
      </c>
      <c r="P1984">
        <v>0</v>
      </c>
      <c r="Q1984">
        <v>0</v>
      </c>
      <c r="R1984">
        <v>0</v>
      </c>
      <c r="S1984">
        <v>1</v>
      </c>
    </row>
    <row r="1985" spans="1:19" hidden="1" x14ac:dyDescent="0.35">
      <c r="A1985">
        <v>58116769900</v>
      </c>
      <c r="B1985" t="s">
        <v>1993</v>
      </c>
      <c r="C1985" t="str">
        <f>_xlfn.XLOOKUP(A1985,[1]Affiliations!$J$2:$J$5328,[1]Affiliations!$K$2:$K$5328,0)</f>
        <v>TENARIS</v>
      </c>
      <c r="D1985">
        <v>1</v>
      </c>
      <c r="E1985">
        <v>0</v>
      </c>
      <c r="F1985">
        <v>0</v>
      </c>
      <c r="G1985">
        <v>0</v>
      </c>
      <c r="H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5">
      <c r="A1986">
        <v>57191845881</v>
      </c>
      <c r="B1986" t="s">
        <v>2953</v>
      </c>
      <c r="C1986" t="str">
        <f>_xlfn.XLOOKUP(A1986,[1]Affiliations!$J$2:$J$5328,[1]Affiliations!$K$2:$K$5328,0)</f>
        <v>Universidade Federal de Viçosa</v>
      </c>
      <c r="D1986">
        <v>11</v>
      </c>
      <c r="E1986">
        <v>214</v>
      </c>
      <c r="F1986">
        <v>19.454546000000001</v>
      </c>
      <c r="G1986">
        <v>7</v>
      </c>
      <c r="H1986">
        <v>1.04</v>
      </c>
      <c r="I1986">
        <v>0</v>
      </c>
      <c r="J1986">
        <v>2</v>
      </c>
      <c r="K1986">
        <v>5</v>
      </c>
      <c r="L1986">
        <v>9</v>
      </c>
      <c r="M1986">
        <v>10</v>
      </c>
      <c r="N1986">
        <v>10</v>
      </c>
      <c r="P1986">
        <v>0</v>
      </c>
      <c r="Q1986">
        <v>1</v>
      </c>
      <c r="R1986">
        <v>1</v>
      </c>
      <c r="S1986">
        <v>5</v>
      </c>
    </row>
    <row r="1987" spans="1:19" x14ac:dyDescent="0.35">
      <c r="A1987">
        <v>8717376600</v>
      </c>
      <c r="B1987" t="s">
        <v>2995</v>
      </c>
      <c r="C1987" t="str">
        <f>_xlfn.XLOOKUP(A1987,[1]Affiliations!$J$2:$J$5328,[1]Affiliations!$K$2:$K$5328,0)</f>
        <v>Universidade de São Paulo (+2 more)</v>
      </c>
      <c r="D1987">
        <v>48</v>
      </c>
      <c r="E1987">
        <v>784</v>
      </c>
      <c r="F1987">
        <v>16.333334000000001</v>
      </c>
      <c r="G1987">
        <v>19</v>
      </c>
      <c r="H1987">
        <v>1.04</v>
      </c>
      <c r="I1987">
        <v>0</v>
      </c>
      <c r="J1987">
        <v>22</v>
      </c>
      <c r="K1987">
        <v>29</v>
      </c>
      <c r="L1987">
        <v>37</v>
      </c>
      <c r="M1987">
        <v>40</v>
      </c>
      <c r="N1987">
        <v>44</v>
      </c>
      <c r="P1987">
        <v>0</v>
      </c>
      <c r="Q1987">
        <v>3</v>
      </c>
      <c r="R1987">
        <v>5</v>
      </c>
      <c r="S1987">
        <v>22</v>
      </c>
    </row>
    <row r="1988" spans="1:19" hidden="1" x14ac:dyDescent="0.35">
      <c r="A1988">
        <v>58309714700</v>
      </c>
      <c r="B1988" t="s">
        <v>1996</v>
      </c>
      <c r="C1988" t="str">
        <f>_xlfn.XLOOKUP(A1988,[1]Affiliations!$J$2:$J$5328,[1]Affiliations!$K$2:$K$5328,0)</f>
        <v>CTR3SM Tecnologias Críticas</v>
      </c>
      <c r="D1988">
        <v>2</v>
      </c>
      <c r="E1988">
        <v>2</v>
      </c>
      <c r="F1988">
        <v>1</v>
      </c>
      <c r="G1988">
        <v>1</v>
      </c>
      <c r="H1988">
        <v>0.1</v>
      </c>
      <c r="I1988">
        <v>0</v>
      </c>
      <c r="J1988">
        <v>0</v>
      </c>
      <c r="K1988">
        <v>1</v>
      </c>
      <c r="L1988">
        <v>1</v>
      </c>
      <c r="M1988">
        <v>1</v>
      </c>
      <c r="N1988">
        <v>2</v>
      </c>
      <c r="P1988">
        <v>0</v>
      </c>
      <c r="Q1988">
        <v>0</v>
      </c>
      <c r="R1988">
        <v>0</v>
      </c>
      <c r="S1988">
        <v>0</v>
      </c>
    </row>
    <row r="1989" spans="1:19" hidden="1" x14ac:dyDescent="0.35">
      <c r="A1989">
        <v>57214492034</v>
      </c>
      <c r="B1989" t="s">
        <v>1997</v>
      </c>
      <c r="C1989" t="str">
        <f>_xlfn.XLOOKUP(A1989,[1]Affiliations!$J$2:$J$5328,[1]Affiliations!$K$2:$K$5328,0)</f>
        <v>Universidade Federal do Rio Grande do Sul</v>
      </c>
      <c r="D1989">
        <v>1</v>
      </c>
      <c r="E1989">
        <v>5</v>
      </c>
      <c r="F1989">
        <v>5</v>
      </c>
      <c r="G1989">
        <v>2</v>
      </c>
      <c r="H1989">
        <v>0.33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1</v>
      </c>
      <c r="P1989">
        <v>0</v>
      </c>
      <c r="Q1989">
        <v>0</v>
      </c>
      <c r="R1989">
        <v>0</v>
      </c>
      <c r="S1989">
        <v>0</v>
      </c>
    </row>
    <row r="1990" spans="1:19" hidden="1" x14ac:dyDescent="0.35">
      <c r="A1990">
        <v>57270757100</v>
      </c>
      <c r="B1990" t="s">
        <v>1998</v>
      </c>
      <c r="C1990" t="str">
        <f>_xlfn.XLOOKUP(A1990,[1]Affiliations!$J$2:$J$5328,[1]Affiliations!$K$2:$K$5328,0)</f>
        <v>Federal University of Santa Catarina</v>
      </c>
      <c r="D1990">
        <v>12</v>
      </c>
      <c r="E1990">
        <v>91</v>
      </c>
      <c r="F1990">
        <v>7.5833335000000002</v>
      </c>
      <c r="G1990">
        <v>7</v>
      </c>
      <c r="H1990">
        <v>0.52</v>
      </c>
      <c r="I1990">
        <v>0</v>
      </c>
      <c r="J1990">
        <v>0</v>
      </c>
      <c r="K1990">
        <v>0</v>
      </c>
      <c r="L1990">
        <v>1</v>
      </c>
      <c r="M1990">
        <v>9</v>
      </c>
      <c r="N1990">
        <v>10</v>
      </c>
      <c r="P1990">
        <v>0</v>
      </c>
      <c r="Q1990">
        <v>0</v>
      </c>
      <c r="R1990">
        <v>0</v>
      </c>
      <c r="S1990">
        <v>4</v>
      </c>
    </row>
    <row r="1991" spans="1:19" hidden="1" x14ac:dyDescent="0.35">
      <c r="A1991">
        <v>56315306500</v>
      </c>
      <c r="B1991" t="s">
        <v>1999</v>
      </c>
      <c r="C1991" t="str">
        <f>_xlfn.XLOOKUP(A1991,[1]Affiliations!$J$2:$J$5328,[1]Affiliations!$K$2:$K$5328,0)</f>
        <v>Universidade Tecnológica Federal do Paraná</v>
      </c>
      <c r="D1991">
        <v>13</v>
      </c>
      <c r="E1991">
        <v>99</v>
      </c>
      <c r="F1991">
        <v>7.6153845999999996</v>
      </c>
      <c r="G1991">
        <v>7</v>
      </c>
      <c r="H1991">
        <v>0.4</v>
      </c>
      <c r="I1991">
        <v>0</v>
      </c>
      <c r="J1991">
        <v>0</v>
      </c>
      <c r="K1991">
        <v>4</v>
      </c>
      <c r="L1991">
        <v>6</v>
      </c>
      <c r="M1991">
        <v>6</v>
      </c>
      <c r="N1991">
        <v>10</v>
      </c>
      <c r="P1991">
        <v>0</v>
      </c>
      <c r="Q1991">
        <v>0</v>
      </c>
      <c r="R1991">
        <v>0</v>
      </c>
      <c r="S1991">
        <v>2</v>
      </c>
    </row>
    <row r="1992" spans="1:19" hidden="1" x14ac:dyDescent="0.35">
      <c r="A1992">
        <v>58171248200</v>
      </c>
      <c r="B1992" t="s">
        <v>2000</v>
      </c>
      <c r="C1992" t="str">
        <f>_xlfn.XLOOKUP(A1992,[1]Affiliations!$J$2:$J$5328,[1]Affiliations!$K$2:$K$5328,0)</f>
        <v>LTrace Geophysical Solutions</v>
      </c>
      <c r="D1992">
        <v>4</v>
      </c>
      <c r="E1992">
        <v>5</v>
      </c>
      <c r="F1992">
        <v>1.25</v>
      </c>
      <c r="G1992">
        <v>2</v>
      </c>
      <c r="H1992">
        <v>0.34</v>
      </c>
      <c r="I1992">
        <v>0</v>
      </c>
      <c r="J1992">
        <v>0</v>
      </c>
      <c r="K1992">
        <v>0</v>
      </c>
      <c r="L1992">
        <v>1</v>
      </c>
      <c r="M1992">
        <v>1</v>
      </c>
      <c r="N1992">
        <v>2</v>
      </c>
      <c r="P1992">
        <v>0</v>
      </c>
      <c r="Q1992">
        <v>0</v>
      </c>
      <c r="R1992">
        <v>0</v>
      </c>
      <c r="S1992">
        <v>0</v>
      </c>
    </row>
    <row r="1993" spans="1:19" hidden="1" x14ac:dyDescent="0.35">
      <c r="A1993">
        <v>57221754616</v>
      </c>
      <c r="B1993" t="s">
        <v>2001</v>
      </c>
      <c r="C1993" t="str">
        <f>_xlfn.XLOOKUP(A1993,[1]Affiliations!$J$2:$J$5328,[1]Affiliations!$K$2:$K$5328,0)</f>
        <v>Federal University of Rio de Janeiro</v>
      </c>
      <c r="D1993">
        <v>1</v>
      </c>
      <c r="E1993">
        <v>22</v>
      </c>
      <c r="F1993">
        <v>22</v>
      </c>
      <c r="G1993">
        <v>1</v>
      </c>
      <c r="H1993">
        <v>1.66</v>
      </c>
      <c r="I1993">
        <v>0</v>
      </c>
      <c r="J1993">
        <v>0</v>
      </c>
      <c r="K1993">
        <v>0</v>
      </c>
      <c r="L1993">
        <v>1</v>
      </c>
      <c r="M1993">
        <v>1</v>
      </c>
      <c r="N1993">
        <v>1</v>
      </c>
      <c r="P1993">
        <v>0</v>
      </c>
      <c r="Q1993">
        <v>0</v>
      </c>
      <c r="R1993">
        <v>0</v>
      </c>
      <c r="S1993">
        <v>1</v>
      </c>
    </row>
    <row r="1994" spans="1:19" hidden="1" x14ac:dyDescent="0.35">
      <c r="A1994">
        <v>26642939500</v>
      </c>
      <c r="B1994" t="s">
        <v>2002</v>
      </c>
      <c r="C1994" t="str">
        <f>_xlfn.XLOOKUP(A1994,[1]Affiliations!$J$2:$J$5328,[1]Affiliations!$K$2:$K$5328,0)</f>
        <v>Federal University of Santa Catarina</v>
      </c>
      <c r="D1994">
        <v>22</v>
      </c>
      <c r="E1994">
        <v>240</v>
      </c>
      <c r="F1994">
        <v>10.909091</v>
      </c>
      <c r="G1994">
        <v>12</v>
      </c>
      <c r="H1994">
        <v>0.45</v>
      </c>
      <c r="I1994">
        <v>0</v>
      </c>
      <c r="J1994">
        <v>0</v>
      </c>
      <c r="K1994">
        <v>0</v>
      </c>
      <c r="L1994">
        <v>2</v>
      </c>
      <c r="M1994">
        <v>10</v>
      </c>
      <c r="N1994">
        <v>19</v>
      </c>
      <c r="P1994">
        <v>0</v>
      </c>
      <c r="Q1994">
        <v>0</v>
      </c>
      <c r="R1994">
        <v>0</v>
      </c>
      <c r="S1994">
        <v>2</v>
      </c>
    </row>
    <row r="1995" spans="1:19" x14ac:dyDescent="0.35">
      <c r="A1995">
        <v>6701794222</v>
      </c>
      <c r="B1995" t="s">
        <v>3257</v>
      </c>
      <c r="C1995" t="str">
        <f>_xlfn.XLOOKUP(A1995,[1]Affiliations!$J$2:$J$5328,[1]Affiliations!$K$2:$K$5328,0)</f>
        <v>Universidade Federal do Rio Grande do Norte (+2 more)</v>
      </c>
      <c r="D1995">
        <v>32</v>
      </c>
      <c r="E1995">
        <v>484</v>
      </c>
      <c r="F1995">
        <v>15.125</v>
      </c>
      <c r="G1995">
        <v>24</v>
      </c>
      <c r="H1995">
        <v>1.04</v>
      </c>
      <c r="I1995">
        <v>0</v>
      </c>
      <c r="J1995">
        <v>3</v>
      </c>
      <c r="K1995">
        <v>10</v>
      </c>
      <c r="L1995">
        <v>18</v>
      </c>
      <c r="M1995">
        <v>28</v>
      </c>
      <c r="N1995">
        <v>28</v>
      </c>
      <c r="P1995">
        <v>0</v>
      </c>
      <c r="Q1995">
        <v>1</v>
      </c>
      <c r="R1995">
        <v>4</v>
      </c>
      <c r="S1995">
        <v>12</v>
      </c>
    </row>
    <row r="1996" spans="1:19" hidden="1" x14ac:dyDescent="0.35">
      <c r="A1996">
        <v>57198009895</v>
      </c>
      <c r="B1996" t="s">
        <v>2004</v>
      </c>
      <c r="C1996" t="str">
        <f>_xlfn.XLOOKUP(A1996,[1]Affiliations!$J$2:$J$5328,[1]Affiliations!$K$2:$K$5328,0)</f>
        <v>Universidade Federal do Espírito Santo (+1 more)</v>
      </c>
      <c r="D1996">
        <v>18</v>
      </c>
      <c r="E1996">
        <v>92</v>
      </c>
      <c r="F1996">
        <v>5.1111110000000002</v>
      </c>
      <c r="G1996">
        <v>6</v>
      </c>
      <c r="H1996">
        <v>0.53</v>
      </c>
      <c r="I1996">
        <v>0</v>
      </c>
      <c r="J1996">
        <v>2</v>
      </c>
      <c r="K1996">
        <v>3</v>
      </c>
      <c r="L1996">
        <v>7</v>
      </c>
      <c r="M1996">
        <v>11</v>
      </c>
      <c r="N1996">
        <v>13</v>
      </c>
      <c r="P1996">
        <v>0</v>
      </c>
      <c r="Q1996">
        <v>0</v>
      </c>
      <c r="R1996">
        <v>0</v>
      </c>
      <c r="S1996">
        <v>2</v>
      </c>
    </row>
    <row r="1997" spans="1:19" hidden="1" x14ac:dyDescent="0.35">
      <c r="A1997">
        <v>57217086251</v>
      </c>
      <c r="B1997" t="s">
        <v>2005</v>
      </c>
      <c r="C1997" t="str">
        <f>_xlfn.XLOOKUP(A1997,[1]Affiliations!$J$2:$J$5328,[1]Affiliations!$K$2:$K$5328,0)</f>
        <v>Federal University of Rio de Janeiro</v>
      </c>
      <c r="D1997">
        <v>1</v>
      </c>
      <c r="E1997">
        <v>23</v>
      </c>
      <c r="F1997">
        <v>23</v>
      </c>
      <c r="G1997">
        <v>1</v>
      </c>
      <c r="H1997">
        <v>1.08</v>
      </c>
      <c r="I1997">
        <v>0</v>
      </c>
      <c r="J1997">
        <v>0</v>
      </c>
      <c r="K1997">
        <v>0</v>
      </c>
      <c r="L1997">
        <v>1</v>
      </c>
      <c r="M1997">
        <v>1</v>
      </c>
      <c r="N1997">
        <v>1</v>
      </c>
      <c r="P1997">
        <v>0</v>
      </c>
      <c r="Q1997">
        <v>0</v>
      </c>
      <c r="R1997">
        <v>0</v>
      </c>
      <c r="S1997">
        <v>1</v>
      </c>
    </row>
    <row r="1998" spans="1:19" hidden="1" x14ac:dyDescent="0.35">
      <c r="A1998">
        <v>57219130329</v>
      </c>
      <c r="B1998" t="s">
        <v>2006</v>
      </c>
      <c r="C1998" t="str">
        <f>_xlfn.XLOOKUP(A1998,[1]Affiliations!$J$2:$J$5328,[1]Affiliations!$K$2:$K$5328,0)</f>
        <v>LABSOLDA Welding Institute (+1 more)</v>
      </c>
      <c r="D1998">
        <v>70</v>
      </c>
      <c r="E1998">
        <v>611</v>
      </c>
      <c r="F1998">
        <v>8.7285719999999998</v>
      </c>
      <c r="G1998">
        <v>16</v>
      </c>
      <c r="H1998">
        <v>0.43</v>
      </c>
      <c r="I1998">
        <v>0</v>
      </c>
      <c r="J1998">
        <v>1</v>
      </c>
      <c r="K1998">
        <v>2</v>
      </c>
      <c r="L1998">
        <v>14</v>
      </c>
      <c r="M1998">
        <v>39</v>
      </c>
      <c r="N1998">
        <v>55</v>
      </c>
      <c r="P1998">
        <v>0</v>
      </c>
      <c r="Q1998">
        <v>0</v>
      </c>
      <c r="R1998">
        <v>0</v>
      </c>
      <c r="S1998">
        <v>10</v>
      </c>
    </row>
    <row r="1999" spans="1:19" x14ac:dyDescent="0.35">
      <c r="A1999">
        <v>55629407600</v>
      </c>
      <c r="B1999" t="s">
        <v>3819</v>
      </c>
      <c r="C1999" t="str">
        <f>_xlfn.XLOOKUP(A1999,[1]Affiliations!$J$2:$J$5328,[1]Affiliations!$K$2:$K$5328,0)</f>
        <v>Universidade Federal de Viçosa</v>
      </c>
      <c r="D1999">
        <v>11</v>
      </c>
      <c r="E1999">
        <v>310</v>
      </c>
      <c r="F1999">
        <v>28.181818</v>
      </c>
      <c r="G1999">
        <v>10</v>
      </c>
      <c r="H1999">
        <v>1.04</v>
      </c>
      <c r="I1999">
        <v>0</v>
      </c>
      <c r="J1999">
        <v>3</v>
      </c>
      <c r="K1999">
        <v>5</v>
      </c>
      <c r="L1999">
        <v>10</v>
      </c>
      <c r="M1999">
        <v>11</v>
      </c>
      <c r="N1999">
        <v>11</v>
      </c>
      <c r="P1999">
        <v>0</v>
      </c>
      <c r="Q1999">
        <v>1</v>
      </c>
      <c r="R1999">
        <v>2</v>
      </c>
      <c r="S1999">
        <v>7</v>
      </c>
    </row>
    <row r="2000" spans="1:19" hidden="1" x14ac:dyDescent="0.35">
      <c r="A2000">
        <v>8214424500</v>
      </c>
      <c r="B2000" t="s">
        <v>2008</v>
      </c>
      <c r="C2000" t="str">
        <f>_xlfn.XLOOKUP(A2000,[1]Affiliations!$J$2:$J$5328,[1]Affiliations!$K$2:$K$5328,0)</f>
        <v>Universidade Federal do Rio Grande do Sul</v>
      </c>
      <c r="D2000">
        <v>9</v>
      </c>
      <c r="E2000">
        <v>146</v>
      </c>
      <c r="F2000">
        <v>16.222221000000001</v>
      </c>
      <c r="G2000">
        <v>28</v>
      </c>
      <c r="H2000">
        <v>0.64</v>
      </c>
      <c r="I2000">
        <v>0</v>
      </c>
      <c r="J2000">
        <v>3</v>
      </c>
      <c r="K2000">
        <v>5</v>
      </c>
      <c r="L2000">
        <v>5</v>
      </c>
      <c r="M2000">
        <v>9</v>
      </c>
      <c r="N2000">
        <v>9</v>
      </c>
      <c r="P2000">
        <v>0</v>
      </c>
      <c r="Q2000">
        <v>0</v>
      </c>
      <c r="R2000">
        <v>0</v>
      </c>
      <c r="S2000">
        <v>3</v>
      </c>
    </row>
    <row r="2001" spans="1:19" x14ac:dyDescent="0.35">
      <c r="A2001">
        <v>6506877129</v>
      </c>
      <c r="B2001" t="s">
        <v>3850</v>
      </c>
      <c r="C2001" t="str">
        <f>_xlfn.XLOOKUP(A2001,[1]Affiliations!$J$2:$J$5328,[1]Affiliations!$K$2:$K$5328,0)</f>
        <v>Universidade de São Paulo</v>
      </c>
      <c r="D2001">
        <v>49</v>
      </c>
      <c r="E2001">
        <v>1130</v>
      </c>
      <c r="F2001">
        <v>23.061223999999999</v>
      </c>
      <c r="G2001">
        <v>30</v>
      </c>
      <c r="H2001">
        <v>1.04</v>
      </c>
      <c r="I2001">
        <v>1</v>
      </c>
      <c r="J2001">
        <v>10</v>
      </c>
      <c r="K2001">
        <v>18</v>
      </c>
      <c r="L2001">
        <v>27</v>
      </c>
      <c r="M2001">
        <v>42</v>
      </c>
      <c r="N2001">
        <v>45</v>
      </c>
      <c r="P2001">
        <v>0</v>
      </c>
      <c r="Q2001">
        <v>2</v>
      </c>
      <c r="R2001">
        <v>9</v>
      </c>
      <c r="S2001">
        <v>24</v>
      </c>
    </row>
    <row r="2002" spans="1:19" hidden="1" x14ac:dyDescent="0.35">
      <c r="A2002">
        <v>57351528900</v>
      </c>
      <c r="B2002" t="s">
        <v>2010</v>
      </c>
      <c r="C2002" t="str">
        <f>_xlfn.XLOOKUP(A2002,[1]Affiliations!$J$2:$J$5328,[1]Affiliations!$K$2:$K$5328,0)</f>
        <v>SIMEC Mechanical Simulation</v>
      </c>
      <c r="D2002">
        <v>1</v>
      </c>
      <c r="E2002">
        <v>3</v>
      </c>
      <c r="F2002">
        <v>3</v>
      </c>
      <c r="G2002">
        <v>1</v>
      </c>
      <c r="H2002">
        <v>0.28000000000000003</v>
      </c>
      <c r="I2002">
        <v>0</v>
      </c>
      <c r="J2002">
        <v>1</v>
      </c>
      <c r="K2002">
        <v>1</v>
      </c>
      <c r="L2002">
        <v>1</v>
      </c>
      <c r="M2002">
        <v>1</v>
      </c>
      <c r="N2002">
        <v>1</v>
      </c>
      <c r="P2002">
        <v>0</v>
      </c>
      <c r="Q2002">
        <v>0</v>
      </c>
      <c r="R2002">
        <v>0</v>
      </c>
      <c r="S2002">
        <v>0</v>
      </c>
    </row>
    <row r="2003" spans="1:19" hidden="1" x14ac:dyDescent="0.35">
      <c r="A2003">
        <v>6506425196</v>
      </c>
      <c r="B2003" t="s">
        <v>2011</v>
      </c>
      <c r="C2003" t="str">
        <f>_xlfn.XLOOKUP(A2003,[1]Affiliations!$J$2:$J$5328,[1]Affiliations!$K$2:$K$5328,0)</f>
        <v>Universidade Federal de Minas Gerais (+1 more)</v>
      </c>
      <c r="D2003">
        <v>17</v>
      </c>
      <c r="E2003">
        <v>257</v>
      </c>
      <c r="F2003">
        <v>15.117647</v>
      </c>
      <c r="G2003">
        <v>11</v>
      </c>
      <c r="H2003">
        <v>0.55000000000000004</v>
      </c>
      <c r="I2003">
        <v>1</v>
      </c>
      <c r="J2003">
        <v>6</v>
      </c>
      <c r="K2003">
        <v>9</v>
      </c>
      <c r="L2003">
        <v>12</v>
      </c>
      <c r="M2003">
        <v>17</v>
      </c>
      <c r="N2003">
        <v>17</v>
      </c>
      <c r="P2003">
        <v>0</v>
      </c>
      <c r="Q2003">
        <v>0</v>
      </c>
      <c r="R2003">
        <v>0</v>
      </c>
      <c r="S2003">
        <v>5</v>
      </c>
    </row>
    <row r="2004" spans="1:19" x14ac:dyDescent="0.35">
      <c r="A2004">
        <v>57208408260</v>
      </c>
      <c r="B2004" t="s">
        <v>4340</v>
      </c>
      <c r="C2004" t="str">
        <f>_xlfn.XLOOKUP(A2004,[1]Affiliations!$J$2:$J$5328,[1]Affiliations!$K$2:$K$5328,0)</f>
        <v>University of Campinas</v>
      </c>
      <c r="D2004">
        <v>28</v>
      </c>
      <c r="E2004">
        <v>622</v>
      </c>
      <c r="F2004">
        <v>22.214285</v>
      </c>
      <c r="G2004">
        <v>26</v>
      </c>
      <c r="H2004">
        <v>1.04</v>
      </c>
      <c r="I2004">
        <v>0</v>
      </c>
      <c r="J2004">
        <v>5</v>
      </c>
      <c r="K2004">
        <v>6</v>
      </c>
      <c r="L2004">
        <v>17</v>
      </c>
      <c r="M2004">
        <v>22</v>
      </c>
      <c r="N2004">
        <v>25</v>
      </c>
      <c r="P2004">
        <v>0</v>
      </c>
      <c r="Q2004">
        <v>1</v>
      </c>
      <c r="R2004">
        <v>2</v>
      </c>
      <c r="S2004">
        <v>16</v>
      </c>
    </row>
    <row r="2005" spans="1:19" x14ac:dyDescent="0.35">
      <c r="A2005">
        <v>15754481800</v>
      </c>
      <c r="B2005" t="s">
        <v>4919</v>
      </c>
      <c r="C2005" t="str">
        <f>_xlfn.XLOOKUP(A2005,[1]Affiliations!$J$2:$J$5328,[1]Affiliations!$K$2:$K$5328,0)</f>
        <v>University of Campinas</v>
      </c>
      <c r="D2005">
        <v>55</v>
      </c>
      <c r="E2005">
        <v>1016</v>
      </c>
      <c r="F2005">
        <v>18.472726999999999</v>
      </c>
      <c r="G2005">
        <v>21</v>
      </c>
      <c r="H2005">
        <v>1.04</v>
      </c>
      <c r="I2005">
        <v>2</v>
      </c>
      <c r="J2005">
        <v>5</v>
      </c>
      <c r="K2005">
        <v>11</v>
      </c>
      <c r="L2005">
        <v>33</v>
      </c>
      <c r="M2005">
        <v>47</v>
      </c>
      <c r="N2005">
        <v>51</v>
      </c>
      <c r="P2005">
        <v>0</v>
      </c>
      <c r="Q2005">
        <v>3</v>
      </c>
      <c r="R2005">
        <v>8</v>
      </c>
      <c r="S2005">
        <v>19</v>
      </c>
    </row>
    <row r="2006" spans="1:19" x14ac:dyDescent="0.35">
      <c r="A2006">
        <v>7004069511</v>
      </c>
      <c r="B2006" t="s">
        <v>128</v>
      </c>
      <c r="C2006" t="str">
        <f>_xlfn.XLOOKUP(A2006,[1]Affiliations!$J$2:$J$5328,[1]Affiliations!$K$2:$K$5328,0)</f>
        <v>Empresa Brasileira de Pesquisa Agropecuária</v>
      </c>
      <c r="D2006">
        <v>85</v>
      </c>
      <c r="E2006">
        <v>1797</v>
      </c>
      <c r="F2006">
        <v>21.141176000000002</v>
      </c>
      <c r="G2006">
        <v>48</v>
      </c>
      <c r="H2006">
        <v>1.03</v>
      </c>
      <c r="I2006">
        <v>3</v>
      </c>
      <c r="J2006">
        <v>11</v>
      </c>
      <c r="K2006">
        <v>25</v>
      </c>
      <c r="L2006">
        <v>45</v>
      </c>
      <c r="M2006">
        <v>66</v>
      </c>
      <c r="N2006">
        <v>75</v>
      </c>
      <c r="P2006">
        <v>0</v>
      </c>
      <c r="Q2006">
        <v>6</v>
      </c>
      <c r="R2006">
        <v>14</v>
      </c>
      <c r="S2006">
        <v>30</v>
      </c>
    </row>
    <row r="2007" spans="1:19" x14ac:dyDescent="0.35">
      <c r="A2007">
        <v>57204708948</v>
      </c>
      <c r="B2007" t="s">
        <v>238</v>
      </c>
      <c r="C2007" t="str">
        <f>_xlfn.XLOOKUP(A2007,[1]Affiliations!$J$2:$J$5328,[1]Affiliations!$K$2:$K$5328,0)</f>
        <v>Pontifical Catholic University of Rio de Janeiro</v>
      </c>
      <c r="D2007">
        <v>36</v>
      </c>
      <c r="E2007">
        <v>726</v>
      </c>
      <c r="F2007">
        <v>20.166665999999999</v>
      </c>
      <c r="G2007">
        <v>15</v>
      </c>
      <c r="H2007">
        <v>1.03</v>
      </c>
      <c r="I2007">
        <v>0</v>
      </c>
      <c r="J2007">
        <v>3</v>
      </c>
      <c r="K2007">
        <v>4</v>
      </c>
      <c r="L2007">
        <v>27</v>
      </c>
      <c r="M2007">
        <v>33</v>
      </c>
      <c r="N2007">
        <v>35</v>
      </c>
      <c r="P2007">
        <v>0</v>
      </c>
      <c r="Q2007">
        <v>3</v>
      </c>
      <c r="R2007">
        <v>5</v>
      </c>
      <c r="S2007">
        <v>13</v>
      </c>
    </row>
    <row r="2008" spans="1:19" hidden="1" x14ac:dyDescent="0.35">
      <c r="A2008">
        <v>12785980500</v>
      </c>
      <c r="B2008" t="s">
        <v>2016</v>
      </c>
      <c r="C2008" t="str">
        <f>_xlfn.XLOOKUP(A2008,[1]Affiliations!$J$2:$J$5328,[1]Affiliations!$K$2:$K$5328,0)</f>
        <v>Federal University of Rio de Janeiro</v>
      </c>
      <c r="D2008">
        <v>7</v>
      </c>
      <c r="E2008">
        <v>49</v>
      </c>
      <c r="F2008">
        <v>7</v>
      </c>
      <c r="G2008">
        <v>12</v>
      </c>
      <c r="H2008">
        <v>0.34</v>
      </c>
      <c r="I2008">
        <v>0</v>
      </c>
      <c r="J2008">
        <v>1</v>
      </c>
      <c r="K2008">
        <v>3</v>
      </c>
      <c r="L2008">
        <v>3</v>
      </c>
      <c r="M2008">
        <v>6</v>
      </c>
      <c r="N2008">
        <v>7</v>
      </c>
      <c r="P2008">
        <v>0</v>
      </c>
      <c r="Q2008">
        <v>0</v>
      </c>
      <c r="R2008">
        <v>0</v>
      </c>
      <c r="S2008">
        <v>0</v>
      </c>
    </row>
    <row r="2009" spans="1:19" hidden="1" x14ac:dyDescent="0.35">
      <c r="A2009">
        <v>60130449600</v>
      </c>
      <c r="B2009" t="s">
        <v>2017</v>
      </c>
      <c r="C2009" t="str">
        <f>_xlfn.XLOOKUP(A2009,[1]Affiliations!$J$2:$J$5328,[1]Affiliations!$K$2:$K$5328,0)</f>
        <v>Institute of Marine Studies Admiral Paulo Moreira (IEAPM)</v>
      </c>
      <c r="D2009">
        <v>0</v>
      </c>
      <c r="G2009">
        <v>0</v>
      </c>
    </row>
    <row r="2010" spans="1:19" x14ac:dyDescent="0.35">
      <c r="A2010">
        <v>55562041800</v>
      </c>
      <c r="B2010" t="s">
        <v>266</v>
      </c>
      <c r="C2010" t="str">
        <f>_xlfn.XLOOKUP(A2010,[1]Affiliations!$J$2:$J$5328,[1]Affiliations!$K$2:$K$5328,0)</f>
        <v>Universidade do Estado do Rio de Janeiro (+1 more)</v>
      </c>
      <c r="D2010">
        <v>22</v>
      </c>
      <c r="E2010">
        <v>405</v>
      </c>
      <c r="F2010">
        <v>18.409089999999999</v>
      </c>
      <c r="G2010">
        <v>15</v>
      </c>
      <c r="H2010">
        <v>1.03</v>
      </c>
      <c r="I2010">
        <v>0</v>
      </c>
      <c r="J2010">
        <v>3</v>
      </c>
      <c r="K2010">
        <v>6</v>
      </c>
      <c r="L2010">
        <v>21</v>
      </c>
      <c r="M2010">
        <v>22</v>
      </c>
      <c r="N2010">
        <v>22</v>
      </c>
      <c r="P2010">
        <v>0</v>
      </c>
      <c r="Q2010">
        <v>1</v>
      </c>
      <c r="R2010">
        <v>3</v>
      </c>
      <c r="S2010">
        <v>16</v>
      </c>
    </row>
    <row r="2011" spans="1:19" hidden="1" x14ac:dyDescent="0.35">
      <c r="A2011">
        <v>55219960100</v>
      </c>
      <c r="B2011" t="s">
        <v>2019</v>
      </c>
      <c r="C2011" t="str">
        <f>_xlfn.XLOOKUP(A2011,[1]Affiliations!$J$2:$J$5328,[1]Affiliations!$K$2:$K$5328,0)</f>
        <v>Federal University of Rio de Janeiro</v>
      </c>
      <c r="D2011">
        <v>14</v>
      </c>
      <c r="E2011">
        <v>44</v>
      </c>
      <c r="F2011">
        <v>3.1428569999999998</v>
      </c>
      <c r="G2011">
        <v>5</v>
      </c>
      <c r="H2011">
        <v>0.23</v>
      </c>
      <c r="I2011">
        <v>0</v>
      </c>
      <c r="J2011">
        <v>0</v>
      </c>
      <c r="K2011">
        <v>5</v>
      </c>
      <c r="L2011">
        <v>7</v>
      </c>
      <c r="M2011">
        <v>11</v>
      </c>
      <c r="N2011">
        <v>11</v>
      </c>
      <c r="P2011">
        <v>0</v>
      </c>
      <c r="Q2011">
        <v>0</v>
      </c>
      <c r="R2011">
        <v>0</v>
      </c>
      <c r="S2011">
        <v>0</v>
      </c>
    </row>
    <row r="2012" spans="1:19" hidden="1" x14ac:dyDescent="0.35">
      <c r="A2012">
        <v>58724808800</v>
      </c>
      <c r="B2012" t="s">
        <v>2020</v>
      </c>
      <c r="C2012" t="str">
        <f>_xlfn.XLOOKUP(A2012,[1]Affiliations!$J$2:$J$5328,[1]Affiliations!$K$2:$K$5328,0)</f>
        <v>Voltalia (+1 more)</v>
      </c>
      <c r="D2012">
        <v>1</v>
      </c>
      <c r="E2012">
        <v>4</v>
      </c>
      <c r="F2012">
        <v>4</v>
      </c>
      <c r="G2012">
        <v>1</v>
      </c>
      <c r="H2012">
        <v>0.68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1</v>
      </c>
      <c r="P2012">
        <v>0</v>
      </c>
      <c r="Q2012">
        <v>0</v>
      </c>
      <c r="R2012">
        <v>0</v>
      </c>
      <c r="S2012">
        <v>0</v>
      </c>
    </row>
    <row r="2013" spans="1:19" x14ac:dyDescent="0.35">
      <c r="A2013">
        <v>7003578300</v>
      </c>
      <c r="B2013" t="s">
        <v>466</v>
      </c>
      <c r="C2013" t="str">
        <f>_xlfn.XLOOKUP(A2013,[1]Affiliations!$J$2:$J$5328,[1]Affiliations!$K$2:$K$5328,0)</f>
        <v>Universidade Federal do Rio Grande do Sul</v>
      </c>
      <c r="D2013">
        <v>76</v>
      </c>
      <c r="E2013">
        <v>1662</v>
      </c>
      <c r="F2013">
        <v>21.868421999999999</v>
      </c>
      <c r="G2013">
        <v>37</v>
      </c>
      <c r="H2013">
        <v>1.03</v>
      </c>
      <c r="I2013">
        <v>0</v>
      </c>
      <c r="J2013">
        <v>9</v>
      </c>
      <c r="K2013">
        <v>23</v>
      </c>
      <c r="L2013">
        <v>46</v>
      </c>
      <c r="M2013">
        <v>69</v>
      </c>
      <c r="N2013">
        <v>75</v>
      </c>
      <c r="P2013">
        <v>0</v>
      </c>
      <c r="Q2013">
        <v>5</v>
      </c>
      <c r="R2013">
        <v>11</v>
      </c>
      <c r="S2013">
        <v>39</v>
      </c>
    </row>
    <row r="2014" spans="1:19" hidden="1" x14ac:dyDescent="0.35">
      <c r="A2014">
        <v>57209712680</v>
      </c>
      <c r="B2014" t="s">
        <v>2022</v>
      </c>
      <c r="C2014" t="str">
        <f>_xlfn.XLOOKUP(A2014,[1]Affiliations!$J$2:$J$5328,[1]Affiliations!$K$2:$K$5328,0)</f>
        <v>Universidade Estadual Paulista “Júlio de Mesquita Filho”</v>
      </c>
      <c r="D2014">
        <v>6</v>
      </c>
      <c r="E2014">
        <v>64</v>
      </c>
      <c r="F2014">
        <v>10.666667</v>
      </c>
      <c r="G2014">
        <v>4</v>
      </c>
      <c r="H2014">
        <v>0.52</v>
      </c>
      <c r="I2014">
        <v>0</v>
      </c>
      <c r="J2014">
        <v>0</v>
      </c>
      <c r="K2014">
        <v>0</v>
      </c>
      <c r="L2014">
        <v>2</v>
      </c>
      <c r="M2014">
        <v>4</v>
      </c>
      <c r="N2014">
        <v>4</v>
      </c>
      <c r="P2014">
        <v>0</v>
      </c>
      <c r="Q2014">
        <v>0</v>
      </c>
      <c r="R2014">
        <v>0</v>
      </c>
      <c r="S2014">
        <v>1</v>
      </c>
    </row>
    <row r="2015" spans="1:19" hidden="1" x14ac:dyDescent="0.35">
      <c r="A2015">
        <v>57209617482</v>
      </c>
      <c r="B2015" t="s">
        <v>2023</v>
      </c>
      <c r="C2015" t="str">
        <f>_xlfn.XLOOKUP(A2015,[1]Affiliations!$J$2:$J$5328,[1]Affiliations!$K$2:$K$5328,0)</f>
        <v>Vizlab - X-Reality and GeoInformatics Lab</v>
      </c>
      <c r="D2015">
        <v>1</v>
      </c>
      <c r="E2015">
        <v>3</v>
      </c>
      <c r="F2015">
        <v>3</v>
      </c>
      <c r="G2015">
        <v>1</v>
      </c>
      <c r="H2015">
        <v>0.1</v>
      </c>
      <c r="I2015">
        <v>0</v>
      </c>
      <c r="J2015">
        <v>0</v>
      </c>
      <c r="K2015">
        <v>1</v>
      </c>
      <c r="L2015">
        <v>1</v>
      </c>
      <c r="M2015">
        <v>1</v>
      </c>
      <c r="N2015">
        <v>1</v>
      </c>
      <c r="P2015">
        <v>0</v>
      </c>
      <c r="Q2015">
        <v>0</v>
      </c>
      <c r="R2015">
        <v>0</v>
      </c>
      <c r="S2015">
        <v>0</v>
      </c>
    </row>
    <row r="2016" spans="1:19" hidden="1" x14ac:dyDescent="0.35">
      <c r="A2016">
        <v>57211242062</v>
      </c>
      <c r="B2016" t="s">
        <v>2024</v>
      </c>
      <c r="C2016" t="str">
        <f>_xlfn.XLOOKUP(A2016,[1]Affiliations!$J$2:$J$5328,[1]Affiliations!$K$2:$K$5328,0)</f>
        <v>Vizlab - X-Reality and GeoInformatics Lab</v>
      </c>
      <c r="D2016">
        <v>2</v>
      </c>
      <c r="E2016">
        <v>1</v>
      </c>
      <c r="F2016">
        <v>0.5</v>
      </c>
      <c r="G2016">
        <v>1</v>
      </c>
      <c r="H2016">
        <v>0.38</v>
      </c>
      <c r="P2016">
        <v>0</v>
      </c>
      <c r="Q2016">
        <v>0</v>
      </c>
      <c r="R2016">
        <v>0</v>
      </c>
      <c r="S2016">
        <v>0</v>
      </c>
    </row>
    <row r="2017" spans="1:19" x14ac:dyDescent="0.35">
      <c r="A2017">
        <v>55765657500</v>
      </c>
      <c r="B2017" t="s">
        <v>566</v>
      </c>
      <c r="C2017" t="str">
        <f>_xlfn.XLOOKUP(A2017,[1]Affiliations!$J$2:$J$5328,[1]Affiliations!$K$2:$K$5328,0)</f>
        <v>Ergostech Renewable Energy Solutions</v>
      </c>
      <c r="D2017">
        <v>5</v>
      </c>
      <c r="E2017">
        <v>176</v>
      </c>
      <c r="F2017">
        <v>35.200000000000003</v>
      </c>
      <c r="G2017">
        <v>7</v>
      </c>
      <c r="H2017">
        <v>1.03</v>
      </c>
      <c r="I2017">
        <v>0</v>
      </c>
      <c r="J2017">
        <v>1</v>
      </c>
      <c r="K2017">
        <v>2</v>
      </c>
      <c r="L2017">
        <v>3</v>
      </c>
      <c r="M2017">
        <v>5</v>
      </c>
      <c r="N2017">
        <v>5</v>
      </c>
      <c r="P2017">
        <v>0</v>
      </c>
      <c r="Q2017">
        <v>0</v>
      </c>
      <c r="R2017">
        <v>2</v>
      </c>
      <c r="S2017">
        <v>4</v>
      </c>
    </row>
    <row r="2018" spans="1:19" hidden="1" x14ac:dyDescent="0.35">
      <c r="A2018">
        <v>57006763100</v>
      </c>
      <c r="B2018" t="s">
        <v>2026</v>
      </c>
      <c r="C2018" t="str">
        <f>_xlfn.XLOOKUP(A2018,[1]Affiliations!$J$2:$J$5328,[1]Affiliations!$K$2:$K$5328,0)</f>
        <v>Universidade Federal do Rio Grande do Norte</v>
      </c>
      <c r="D2018">
        <v>1</v>
      </c>
      <c r="E2018">
        <v>54</v>
      </c>
      <c r="F2018">
        <v>54</v>
      </c>
      <c r="G2018">
        <v>1</v>
      </c>
      <c r="H2018">
        <v>0.79</v>
      </c>
      <c r="I2018">
        <v>0</v>
      </c>
      <c r="J2018">
        <v>0</v>
      </c>
      <c r="K2018">
        <v>1</v>
      </c>
      <c r="L2018">
        <v>1</v>
      </c>
      <c r="M2018">
        <v>1</v>
      </c>
      <c r="N2018">
        <v>1</v>
      </c>
      <c r="P2018">
        <v>0</v>
      </c>
      <c r="Q2018">
        <v>0</v>
      </c>
      <c r="R2018">
        <v>1</v>
      </c>
      <c r="S2018">
        <v>1</v>
      </c>
    </row>
    <row r="2019" spans="1:19" x14ac:dyDescent="0.35">
      <c r="A2019">
        <v>57191994848</v>
      </c>
      <c r="B2019" t="s">
        <v>638</v>
      </c>
      <c r="C2019" t="str">
        <f>_xlfn.XLOOKUP(A2019,[1]Affiliations!$J$2:$J$5328,[1]Affiliations!$K$2:$K$5328,0)</f>
        <v>Federal University of Rio de Janeiro</v>
      </c>
      <c r="D2019">
        <v>25</v>
      </c>
      <c r="E2019">
        <v>356</v>
      </c>
      <c r="F2019">
        <v>14.24</v>
      </c>
      <c r="G2019">
        <v>13</v>
      </c>
      <c r="H2019">
        <v>1.03</v>
      </c>
      <c r="I2019">
        <v>0</v>
      </c>
      <c r="J2019">
        <v>1</v>
      </c>
      <c r="K2019">
        <v>7</v>
      </c>
      <c r="L2019">
        <v>13</v>
      </c>
      <c r="M2019">
        <v>24</v>
      </c>
      <c r="N2019">
        <v>25</v>
      </c>
      <c r="P2019">
        <v>0</v>
      </c>
      <c r="Q2019">
        <v>2</v>
      </c>
      <c r="R2019">
        <v>5</v>
      </c>
      <c r="S2019">
        <v>15</v>
      </c>
    </row>
    <row r="2020" spans="1:19" hidden="1" x14ac:dyDescent="0.35">
      <c r="A2020">
        <v>57221522674</v>
      </c>
      <c r="B2020" t="s">
        <v>2028</v>
      </c>
      <c r="C2020" t="str">
        <f>_xlfn.XLOOKUP(A2020,[1]Affiliations!$J$2:$J$5328,[1]Affiliations!$K$2:$K$5328,0)</f>
        <v>Federal University of Rio de Janeiro</v>
      </c>
      <c r="D2020">
        <v>2</v>
      </c>
      <c r="E2020">
        <v>25</v>
      </c>
      <c r="F2020">
        <v>12.5</v>
      </c>
      <c r="G2020">
        <v>2</v>
      </c>
      <c r="H2020">
        <v>0.77</v>
      </c>
      <c r="I2020">
        <v>0</v>
      </c>
      <c r="J2020">
        <v>0</v>
      </c>
      <c r="K2020">
        <v>0</v>
      </c>
      <c r="L2020">
        <v>2</v>
      </c>
      <c r="M2020">
        <v>2</v>
      </c>
      <c r="N2020">
        <v>2</v>
      </c>
      <c r="P2020">
        <v>0</v>
      </c>
      <c r="Q2020">
        <v>0</v>
      </c>
      <c r="R2020">
        <v>0</v>
      </c>
      <c r="S2020">
        <v>0</v>
      </c>
    </row>
    <row r="2021" spans="1:19" x14ac:dyDescent="0.35">
      <c r="A2021">
        <v>36636866300</v>
      </c>
      <c r="B2021" t="s">
        <v>950</v>
      </c>
      <c r="C2021" t="str">
        <f>_xlfn.XLOOKUP(A2021,[1]Affiliations!$J$2:$J$5328,[1]Affiliations!$K$2:$K$5328,0)</f>
        <v>Universidade Federal do Ceará</v>
      </c>
      <c r="D2021">
        <v>6</v>
      </c>
      <c r="E2021">
        <v>160</v>
      </c>
      <c r="F2021">
        <v>26.666665999999999</v>
      </c>
      <c r="G2021">
        <v>6</v>
      </c>
      <c r="H2021">
        <v>1.03</v>
      </c>
      <c r="I2021">
        <v>0</v>
      </c>
      <c r="J2021">
        <v>0</v>
      </c>
      <c r="K2021">
        <v>1</v>
      </c>
      <c r="L2021">
        <v>6</v>
      </c>
      <c r="M2021">
        <v>6</v>
      </c>
      <c r="N2021">
        <v>6</v>
      </c>
      <c r="P2021">
        <v>0</v>
      </c>
      <c r="Q2021">
        <v>1</v>
      </c>
      <c r="R2021">
        <v>2</v>
      </c>
      <c r="S2021">
        <v>4</v>
      </c>
    </row>
    <row r="2022" spans="1:19" x14ac:dyDescent="0.35">
      <c r="A2022">
        <v>57120189400</v>
      </c>
      <c r="B2022" t="s">
        <v>1332</v>
      </c>
      <c r="C2022" t="str">
        <f>_xlfn.XLOOKUP(A2022,[1]Affiliations!$J$2:$J$5328,[1]Affiliations!$K$2:$K$5328,0)</f>
        <v>Universidade Federal de Pernambuco</v>
      </c>
      <c r="D2022">
        <v>87</v>
      </c>
      <c r="E2022">
        <v>1062</v>
      </c>
      <c r="F2022">
        <v>12.206897</v>
      </c>
      <c r="G2022">
        <v>20</v>
      </c>
      <c r="H2022">
        <v>1.03</v>
      </c>
      <c r="I2022">
        <v>0</v>
      </c>
      <c r="J2022">
        <v>17</v>
      </c>
      <c r="K2022">
        <v>21</v>
      </c>
      <c r="L2022">
        <v>34</v>
      </c>
      <c r="M2022">
        <v>41</v>
      </c>
      <c r="N2022">
        <v>45</v>
      </c>
      <c r="P2022">
        <v>0</v>
      </c>
      <c r="Q2022">
        <v>4</v>
      </c>
      <c r="R2022">
        <v>7</v>
      </c>
      <c r="S2022">
        <v>20</v>
      </c>
    </row>
    <row r="2023" spans="1:19" x14ac:dyDescent="0.35">
      <c r="A2023">
        <v>6701374875</v>
      </c>
      <c r="B2023" t="s">
        <v>1448</v>
      </c>
      <c r="C2023" t="str">
        <f>_xlfn.XLOOKUP(A2023,[1]Affiliations!$J$2:$J$5328,[1]Affiliations!$K$2:$K$5328,0)</f>
        <v>Universidade Federal de Minas Gerais (+1 more)</v>
      </c>
      <c r="D2023">
        <v>119</v>
      </c>
      <c r="E2023">
        <v>1257</v>
      </c>
      <c r="F2023">
        <v>10.563025</v>
      </c>
      <c r="G2023">
        <v>22</v>
      </c>
      <c r="H2023">
        <v>1.03</v>
      </c>
      <c r="I2023">
        <v>3</v>
      </c>
      <c r="J2023">
        <v>5</v>
      </c>
      <c r="K2023">
        <v>33</v>
      </c>
      <c r="L2023">
        <v>42</v>
      </c>
      <c r="M2023">
        <v>53</v>
      </c>
      <c r="N2023">
        <v>56</v>
      </c>
      <c r="P2023">
        <v>0</v>
      </c>
      <c r="Q2023">
        <v>0</v>
      </c>
      <c r="R2023">
        <v>2</v>
      </c>
      <c r="S2023">
        <v>19</v>
      </c>
    </row>
    <row r="2024" spans="1:19" x14ac:dyDescent="0.35">
      <c r="A2024">
        <v>57217233956</v>
      </c>
      <c r="B2024" t="s">
        <v>1672</v>
      </c>
      <c r="C2024" t="str">
        <f>_xlfn.XLOOKUP(A2024,[1]Affiliations!$J$2:$J$5328,[1]Affiliations!$K$2:$K$5328,0)</f>
        <v>Universidade Federal do Espírito Santo</v>
      </c>
      <c r="D2024">
        <v>11</v>
      </c>
      <c r="E2024">
        <v>148</v>
      </c>
      <c r="F2024">
        <v>13.454545</v>
      </c>
      <c r="G2024">
        <v>7</v>
      </c>
      <c r="H2024">
        <v>1.03</v>
      </c>
      <c r="I2024">
        <v>0</v>
      </c>
      <c r="J2024">
        <v>2</v>
      </c>
      <c r="K2024">
        <v>4</v>
      </c>
      <c r="L2024">
        <v>11</v>
      </c>
      <c r="M2024">
        <v>11</v>
      </c>
      <c r="N2024">
        <v>11</v>
      </c>
      <c r="P2024">
        <v>0</v>
      </c>
      <c r="Q2024">
        <v>0</v>
      </c>
      <c r="R2024">
        <v>2</v>
      </c>
      <c r="S2024">
        <v>7</v>
      </c>
    </row>
    <row r="2025" spans="1:19" hidden="1" x14ac:dyDescent="0.35">
      <c r="A2025">
        <v>7004148181</v>
      </c>
      <c r="B2025" t="s">
        <v>2033</v>
      </c>
      <c r="C2025" t="str">
        <f>_xlfn.XLOOKUP(A2025,[1]Affiliations!$J$2:$J$5328,[1]Affiliations!$K$2:$K$5328,0)</f>
        <v>Federal University of Rio de Janeiro</v>
      </c>
      <c r="D2025">
        <v>10</v>
      </c>
      <c r="E2025">
        <v>44</v>
      </c>
      <c r="F2025">
        <v>4.4000000000000004</v>
      </c>
      <c r="G2025">
        <v>4</v>
      </c>
      <c r="H2025">
        <v>0.48</v>
      </c>
      <c r="I2025">
        <v>0</v>
      </c>
      <c r="J2025">
        <v>2</v>
      </c>
      <c r="K2025">
        <v>2</v>
      </c>
      <c r="L2025">
        <v>6</v>
      </c>
      <c r="M2025">
        <v>7</v>
      </c>
      <c r="N2025">
        <v>9</v>
      </c>
      <c r="P2025">
        <v>0</v>
      </c>
      <c r="Q2025">
        <v>0</v>
      </c>
      <c r="R2025">
        <v>0</v>
      </c>
      <c r="S2025">
        <v>2</v>
      </c>
    </row>
    <row r="2026" spans="1:19" hidden="1" x14ac:dyDescent="0.35">
      <c r="A2026">
        <v>58104960200</v>
      </c>
      <c r="B2026" t="s">
        <v>2034</v>
      </c>
      <c r="C2026" t="str">
        <f>_xlfn.XLOOKUP(A2026,[1]Affiliations!$J$2:$J$5328,[1]Affiliations!$K$2:$K$5328,0)</f>
        <v>SENAI Innovation Institute for Embedded Systems</v>
      </c>
      <c r="D2026">
        <v>3</v>
      </c>
      <c r="E2026">
        <v>8</v>
      </c>
      <c r="F2026">
        <v>2.6666666999999999</v>
      </c>
      <c r="G2026">
        <v>2</v>
      </c>
      <c r="H2026">
        <v>1.84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P2026">
        <v>0</v>
      </c>
      <c r="Q2026">
        <v>0</v>
      </c>
      <c r="R2026">
        <v>0</v>
      </c>
      <c r="S2026">
        <v>0</v>
      </c>
    </row>
    <row r="2027" spans="1:19" hidden="1" x14ac:dyDescent="0.35">
      <c r="A2027">
        <v>60084251700</v>
      </c>
      <c r="B2027" t="s">
        <v>2035</v>
      </c>
      <c r="C2027" t="str">
        <f>_xlfn.XLOOKUP(A2027,[1]Affiliations!$J$2:$J$5328,[1]Affiliations!$K$2:$K$5328,0)</f>
        <v>Federal University of Rio de Janeiro</v>
      </c>
      <c r="D2027">
        <v>0</v>
      </c>
      <c r="G2027">
        <v>0</v>
      </c>
    </row>
    <row r="2028" spans="1:19" x14ac:dyDescent="0.35">
      <c r="A2028">
        <v>6701435918</v>
      </c>
      <c r="B2028" t="s">
        <v>2036</v>
      </c>
      <c r="C2028" t="str">
        <f>_xlfn.XLOOKUP(A2028,[1]Affiliations!$J$2:$J$5328,[1]Affiliations!$K$2:$K$5328,0)</f>
        <v>National Institute for Ocean Research (INPO) (+1 more)</v>
      </c>
      <c r="D2028">
        <v>98</v>
      </c>
      <c r="E2028">
        <v>2110</v>
      </c>
      <c r="F2028">
        <v>21.530612999999999</v>
      </c>
      <c r="G2028">
        <v>32</v>
      </c>
      <c r="H2028">
        <v>1.03</v>
      </c>
      <c r="I2028">
        <v>0</v>
      </c>
      <c r="J2028">
        <v>10</v>
      </c>
      <c r="K2028">
        <v>20</v>
      </c>
      <c r="L2028">
        <v>46</v>
      </c>
      <c r="M2028">
        <v>73</v>
      </c>
      <c r="N2028">
        <v>86</v>
      </c>
      <c r="P2028">
        <v>2</v>
      </c>
      <c r="Q2028">
        <v>10</v>
      </c>
      <c r="R2028">
        <v>17</v>
      </c>
      <c r="S2028">
        <v>40</v>
      </c>
    </row>
    <row r="2029" spans="1:19" hidden="1" x14ac:dyDescent="0.35">
      <c r="A2029">
        <v>12241738600</v>
      </c>
      <c r="B2029" t="s">
        <v>2037</v>
      </c>
      <c r="C2029" t="str">
        <f>_xlfn.XLOOKUP(A2029,[1]Affiliations!$J$2:$J$5328,[1]Affiliations!$K$2:$K$5328,0)</f>
        <v>University of Campinas (+1 more)</v>
      </c>
      <c r="D2029">
        <v>9</v>
      </c>
      <c r="E2029">
        <v>173</v>
      </c>
      <c r="F2029">
        <v>19.222221000000001</v>
      </c>
      <c r="G2029">
        <v>9</v>
      </c>
      <c r="H2029">
        <v>0.86</v>
      </c>
      <c r="I2029">
        <v>0</v>
      </c>
      <c r="J2029">
        <v>2</v>
      </c>
      <c r="K2029">
        <v>2</v>
      </c>
      <c r="L2029">
        <v>6</v>
      </c>
      <c r="M2029">
        <v>8</v>
      </c>
      <c r="N2029">
        <v>9</v>
      </c>
      <c r="P2029">
        <v>0</v>
      </c>
      <c r="Q2029">
        <v>0</v>
      </c>
      <c r="R2029">
        <v>0</v>
      </c>
      <c r="S2029">
        <v>5</v>
      </c>
    </row>
    <row r="2030" spans="1:19" hidden="1" x14ac:dyDescent="0.35">
      <c r="A2030">
        <v>57214937709</v>
      </c>
      <c r="B2030" t="s">
        <v>2038</v>
      </c>
      <c r="C2030" t="str">
        <f>_xlfn.XLOOKUP(A2030,[1]Affiliations!$J$2:$J$5328,[1]Affiliations!$K$2:$K$5328,0)</f>
        <v>UniversidadeFederal de Alagoas (+1 more)</v>
      </c>
      <c r="D2030">
        <v>4</v>
      </c>
      <c r="E2030">
        <v>6</v>
      </c>
      <c r="F2030">
        <v>1.5</v>
      </c>
      <c r="G2030">
        <v>2</v>
      </c>
      <c r="H2030">
        <v>0.06</v>
      </c>
      <c r="I2030">
        <v>0</v>
      </c>
      <c r="J2030">
        <v>0</v>
      </c>
      <c r="K2030">
        <v>0</v>
      </c>
      <c r="L2030">
        <v>0</v>
      </c>
      <c r="M2030">
        <v>2</v>
      </c>
      <c r="N2030">
        <v>3</v>
      </c>
      <c r="P2030">
        <v>0</v>
      </c>
      <c r="Q2030">
        <v>0</v>
      </c>
      <c r="R2030">
        <v>0</v>
      </c>
      <c r="S2030">
        <v>0</v>
      </c>
    </row>
    <row r="2031" spans="1:19" x14ac:dyDescent="0.35">
      <c r="A2031">
        <v>10641698500</v>
      </c>
      <c r="B2031" t="s">
        <v>3007</v>
      </c>
      <c r="C2031" t="str">
        <f>_xlfn.XLOOKUP(A2031,[1]Affiliations!$J$2:$J$5328,[1]Affiliations!$K$2:$K$5328,0)</f>
        <v>Universidade Federal do Ceará</v>
      </c>
      <c r="D2031">
        <v>40</v>
      </c>
      <c r="E2031">
        <v>737</v>
      </c>
      <c r="F2031">
        <v>18.425000000000001</v>
      </c>
      <c r="G2031">
        <v>21</v>
      </c>
      <c r="H2031">
        <v>1.03</v>
      </c>
      <c r="I2031">
        <v>1</v>
      </c>
      <c r="J2031">
        <v>2</v>
      </c>
      <c r="K2031">
        <v>6</v>
      </c>
      <c r="L2031">
        <v>24</v>
      </c>
      <c r="M2031">
        <v>35</v>
      </c>
      <c r="N2031">
        <v>36</v>
      </c>
      <c r="P2031">
        <v>0</v>
      </c>
      <c r="Q2031">
        <v>4</v>
      </c>
      <c r="R2031">
        <v>4</v>
      </c>
      <c r="S2031">
        <v>16</v>
      </c>
    </row>
    <row r="2032" spans="1:19" hidden="1" x14ac:dyDescent="0.35">
      <c r="A2032">
        <v>57552902700</v>
      </c>
      <c r="B2032" t="s">
        <v>2040</v>
      </c>
      <c r="C2032" t="str">
        <f>_xlfn.XLOOKUP(A2032,[1]Affiliations!$J$2:$J$5328,[1]Affiliations!$K$2:$K$5328,0)</f>
        <v>University of Campinas</v>
      </c>
      <c r="D2032">
        <v>1</v>
      </c>
      <c r="E2032">
        <v>4</v>
      </c>
      <c r="F2032">
        <v>4</v>
      </c>
      <c r="G2032">
        <v>1</v>
      </c>
      <c r="H2032">
        <v>0.33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1</v>
      </c>
      <c r="P2032">
        <v>0</v>
      </c>
      <c r="Q2032">
        <v>0</v>
      </c>
      <c r="R2032">
        <v>0</v>
      </c>
      <c r="S2032">
        <v>0</v>
      </c>
    </row>
    <row r="2033" spans="1:19" hidden="1" x14ac:dyDescent="0.35">
      <c r="A2033">
        <v>58677924500</v>
      </c>
      <c r="B2033" t="s">
        <v>2041</v>
      </c>
      <c r="C2033" t="str">
        <f>_xlfn.XLOOKUP(A2033,[1]Affiliations!$J$2:$J$5328,[1]Affiliations!$K$2:$K$5328,0)</f>
        <v>Federal University of Rio de Janeiro</v>
      </c>
      <c r="D2033">
        <v>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P2033">
        <v>0</v>
      </c>
      <c r="Q2033">
        <v>0</v>
      </c>
      <c r="R2033">
        <v>0</v>
      </c>
      <c r="S2033">
        <v>0</v>
      </c>
    </row>
    <row r="2034" spans="1:19" x14ac:dyDescent="0.35">
      <c r="A2034">
        <v>7004226155</v>
      </c>
      <c r="B2034" t="s">
        <v>3135</v>
      </c>
      <c r="C2034" t="str">
        <f>_xlfn.XLOOKUP(A2034,[1]Affiliations!$J$2:$J$5328,[1]Affiliations!$K$2:$K$5328,0)</f>
        <v>Petróleo Brasileiro S.A. (+2 more)</v>
      </c>
      <c r="D2034">
        <v>8</v>
      </c>
      <c r="E2034">
        <v>261</v>
      </c>
      <c r="F2034">
        <v>32.625</v>
      </c>
      <c r="G2034">
        <v>21</v>
      </c>
      <c r="H2034">
        <v>1.03</v>
      </c>
      <c r="I2034">
        <v>0</v>
      </c>
      <c r="J2034">
        <v>3</v>
      </c>
      <c r="K2034">
        <v>3</v>
      </c>
      <c r="L2034">
        <v>5</v>
      </c>
      <c r="M2034">
        <v>7</v>
      </c>
      <c r="N2034">
        <v>7</v>
      </c>
      <c r="P2034">
        <v>0</v>
      </c>
      <c r="Q2034">
        <v>1</v>
      </c>
      <c r="R2034">
        <v>1</v>
      </c>
      <c r="S2034">
        <v>3</v>
      </c>
    </row>
    <row r="2035" spans="1:19" hidden="1" x14ac:dyDescent="0.35">
      <c r="A2035">
        <v>57220580534</v>
      </c>
      <c r="B2035" t="s">
        <v>2043</v>
      </c>
      <c r="C2035" t="str">
        <f>_xlfn.XLOOKUP(A2035,[1]Affiliations!$J$2:$J$5328,[1]Affiliations!$K$2:$K$5328,0)</f>
        <v>Instituto Nacional de Tecnologia</v>
      </c>
      <c r="D2035">
        <v>3</v>
      </c>
      <c r="E2035">
        <v>2</v>
      </c>
      <c r="F2035">
        <v>0.66666669999999995</v>
      </c>
      <c r="G2035">
        <v>1</v>
      </c>
      <c r="H2035">
        <v>0.18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1</v>
      </c>
      <c r="P2035">
        <v>0</v>
      </c>
      <c r="Q2035">
        <v>0</v>
      </c>
      <c r="R2035">
        <v>0</v>
      </c>
      <c r="S2035">
        <v>0</v>
      </c>
    </row>
    <row r="2036" spans="1:19" hidden="1" x14ac:dyDescent="0.35">
      <c r="A2036">
        <v>57275580700</v>
      </c>
      <c r="B2036" t="s">
        <v>2044</v>
      </c>
      <c r="C2036" t="str">
        <f>_xlfn.XLOOKUP(A2036,[1]Affiliations!$J$2:$J$5328,[1]Affiliations!$K$2:$K$5328,0)</f>
        <v>Universidade do Estado do Rio de Janeiro (+1 more)</v>
      </c>
      <c r="D2036">
        <v>3</v>
      </c>
      <c r="E2036">
        <v>46</v>
      </c>
      <c r="F2036">
        <v>15.333333</v>
      </c>
      <c r="G2036">
        <v>3</v>
      </c>
      <c r="H2036">
        <v>1</v>
      </c>
      <c r="I2036">
        <v>0</v>
      </c>
      <c r="J2036">
        <v>0</v>
      </c>
      <c r="K2036">
        <v>0</v>
      </c>
      <c r="L2036">
        <v>1</v>
      </c>
      <c r="M2036">
        <v>3</v>
      </c>
      <c r="N2036">
        <v>3</v>
      </c>
      <c r="P2036">
        <v>0</v>
      </c>
      <c r="Q2036">
        <v>0</v>
      </c>
      <c r="R2036">
        <v>0</v>
      </c>
      <c r="S2036">
        <v>1</v>
      </c>
    </row>
    <row r="2037" spans="1:19" x14ac:dyDescent="0.35">
      <c r="A2037">
        <v>57954500500</v>
      </c>
      <c r="B2037" t="s">
        <v>3685</v>
      </c>
      <c r="C2037" t="str">
        <f>_xlfn.XLOOKUP(A2037,[1]Affiliations!$J$2:$J$5328,[1]Affiliations!$K$2:$K$5328,0)</f>
        <v>Federal University of Rio de Janeiro</v>
      </c>
      <c r="D2037">
        <v>15</v>
      </c>
      <c r="E2037">
        <v>336</v>
      </c>
      <c r="F2037">
        <v>22.4</v>
      </c>
      <c r="G2037">
        <v>8</v>
      </c>
      <c r="H2037">
        <v>1.03</v>
      </c>
      <c r="I2037">
        <v>2</v>
      </c>
      <c r="J2037">
        <v>3</v>
      </c>
      <c r="K2037">
        <v>7</v>
      </c>
      <c r="L2037">
        <v>10</v>
      </c>
      <c r="M2037">
        <v>14</v>
      </c>
      <c r="N2037">
        <v>15</v>
      </c>
      <c r="P2037">
        <v>0</v>
      </c>
      <c r="Q2037">
        <v>1</v>
      </c>
      <c r="R2037">
        <v>6</v>
      </c>
      <c r="S2037">
        <v>7</v>
      </c>
    </row>
    <row r="2038" spans="1:19" x14ac:dyDescent="0.35">
      <c r="A2038">
        <v>7003566202</v>
      </c>
      <c r="B2038" t="s">
        <v>3954</v>
      </c>
      <c r="C2038" t="str">
        <f>_xlfn.XLOOKUP(A2038,[1]Affiliations!$J$2:$J$5328,[1]Affiliations!$K$2:$K$5328,0)</f>
        <v>Pontifical Catholic University of Rio de Janeiro</v>
      </c>
      <c r="D2038">
        <v>37</v>
      </c>
      <c r="E2038">
        <v>696</v>
      </c>
      <c r="F2038">
        <v>18.81081</v>
      </c>
      <c r="G2038">
        <v>21</v>
      </c>
      <c r="H2038">
        <v>1.03</v>
      </c>
      <c r="I2038">
        <v>0</v>
      </c>
      <c r="J2038">
        <v>0</v>
      </c>
      <c r="K2038">
        <v>9</v>
      </c>
      <c r="L2038">
        <v>30</v>
      </c>
      <c r="M2038">
        <v>35</v>
      </c>
      <c r="N2038">
        <v>37</v>
      </c>
      <c r="P2038">
        <v>1</v>
      </c>
      <c r="Q2038">
        <v>2</v>
      </c>
      <c r="R2038">
        <v>3</v>
      </c>
      <c r="S2038">
        <v>13</v>
      </c>
    </row>
    <row r="2039" spans="1:19" hidden="1" x14ac:dyDescent="0.35">
      <c r="A2039">
        <v>57204641823</v>
      </c>
      <c r="B2039" t="s">
        <v>2047</v>
      </c>
      <c r="C2039" t="str">
        <f>_xlfn.XLOOKUP(A2039,[1]Affiliations!$J$2:$J$5328,[1]Affiliations!$K$2:$K$5328,0)</f>
        <v>LTrace Geosciences (+2 more)</v>
      </c>
      <c r="D2039">
        <v>9</v>
      </c>
      <c r="E2039">
        <v>15</v>
      </c>
      <c r="F2039">
        <v>1.6666666000000001</v>
      </c>
      <c r="G2039">
        <v>2</v>
      </c>
      <c r="H2039">
        <v>0.33</v>
      </c>
      <c r="I2039">
        <v>0</v>
      </c>
      <c r="J2039">
        <v>0</v>
      </c>
      <c r="K2039">
        <v>1</v>
      </c>
      <c r="L2039">
        <v>2</v>
      </c>
      <c r="M2039">
        <v>2</v>
      </c>
      <c r="N2039">
        <v>4</v>
      </c>
      <c r="P2039">
        <v>0</v>
      </c>
      <c r="Q2039">
        <v>0</v>
      </c>
      <c r="R2039">
        <v>0</v>
      </c>
      <c r="S2039">
        <v>0</v>
      </c>
    </row>
    <row r="2040" spans="1:19" hidden="1" x14ac:dyDescent="0.35">
      <c r="A2040">
        <v>57218514110</v>
      </c>
      <c r="B2040" t="s">
        <v>2048</v>
      </c>
      <c r="C2040" t="str">
        <f>_xlfn.XLOOKUP(A2040,[1]Affiliations!$J$2:$J$5328,[1]Affiliations!$K$2:$K$5328,0)</f>
        <v>Federal University of Rio de Janeiro</v>
      </c>
      <c r="D2040">
        <v>3</v>
      </c>
      <c r="E2040">
        <v>31</v>
      </c>
      <c r="F2040">
        <v>10.333333</v>
      </c>
      <c r="G2040">
        <v>3</v>
      </c>
      <c r="H2040">
        <v>0.87</v>
      </c>
      <c r="I2040">
        <v>0</v>
      </c>
      <c r="J2040">
        <v>0</v>
      </c>
      <c r="K2040">
        <v>0</v>
      </c>
      <c r="L2040">
        <v>3</v>
      </c>
      <c r="M2040">
        <v>3</v>
      </c>
      <c r="N2040">
        <v>3</v>
      </c>
      <c r="P2040">
        <v>0</v>
      </c>
      <c r="Q2040">
        <v>0</v>
      </c>
      <c r="R2040">
        <v>0</v>
      </c>
      <c r="S2040">
        <v>1</v>
      </c>
    </row>
    <row r="2041" spans="1:19" hidden="1" x14ac:dyDescent="0.35">
      <c r="A2041">
        <v>16318864300</v>
      </c>
      <c r="B2041" t="s">
        <v>2049</v>
      </c>
      <c r="C2041" t="str">
        <f>_xlfn.XLOOKUP(A2041,[1]Affiliations!$J$2:$J$5328,[1]Affiliations!$K$2:$K$5328,0)</f>
        <v>Universidade de São Paulo</v>
      </c>
      <c r="D2041">
        <v>7</v>
      </c>
      <c r="E2041">
        <v>64</v>
      </c>
      <c r="F2041">
        <v>9.1428580000000004</v>
      </c>
      <c r="G2041">
        <v>4</v>
      </c>
      <c r="H2041">
        <v>0.43</v>
      </c>
      <c r="I2041">
        <v>0</v>
      </c>
      <c r="J2041">
        <v>0</v>
      </c>
      <c r="K2041">
        <v>0</v>
      </c>
      <c r="L2041">
        <v>1</v>
      </c>
      <c r="M2041">
        <v>1</v>
      </c>
      <c r="N2041">
        <v>3</v>
      </c>
      <c r="P2041">
        <v>0</v>
      </c>
      <c r="Q2041">
        <v>0</v>
      </c>
      <c r="R2041">
        <v>1</v>
      </c>
      <c r="S2041">
        <v>1</v>
      </c>
    </row>
    <row r="2042" spans="1:19" x14ac:dyDescent="0.35">
      <c r="A2042">
        <v>6507373427</v>
      </c>
      <c r="B2042" t="s">
        <v>4219</v>
      </c>
      <c r="C2042" t="str">
        <f>_xlfn.XLOOKUP(A2042,[1]Affiliations!$J$2:$J$5328,[1]Affiliations!$K$2:$K$5328,0)</f>
        <v>Federal University of Rio de Janeiro</v>
      </c>
      <c r="D2042">
        <v>11</v>
      </c>
      <c r="E2042">
        <v>137</v>
      </c>
      <c r="F2042">
        <v>12.454545</v>
      </c>
      <c r="G2042">
        <v>11</v>
      </c>
      <c r="H2042">
        <v>1.03</v>
      </c>
      <c r="I2042">
        <v>0</v>
      </c>
      <c r="J2042">
        <v>2</v>
      </c>
      <c r="K2042">
        <v>2</v>
      </c>
      <c r="L2042">
        <v>5</v>
      </c>
      <c r="M2042">
        <v>8</v>
      </c>
      <c r="N2042">
        <v>8</v>
      </c>
      <c r="P2042">
        <v>0</v>
      </c>
      <c r="Q2042">
        <v>0</v>
      </c>
      <c r="R2042">
        <v>1</v>
      </c>
      <c r="S2042">
        <v>5</v>
      </c>
    </row>
    <row r="2043" spans="1:19" x14ac:dyDescent="0.35">
      <c r="A2043">
        <v>23486897300</v>
      </c>
      <c r="B2043" t="s">
        <v>5116</v>
      </c>
      <c r="C2043" t="str">
        <f>_xlfn.XLOOKUP(A2043,[1]Affiliations!$J$2:$J$5328,[1]Affiliations!$K$2:$K$5328,0)</f>
        <v>Universidade de São Paulo</v>
      </c>
      <c r="D2043">
        <v>70</v>
      </c>
      <c r="E2043">
        <v>1160</v>
      </c>
      <c r="F2043">
        <v>16.571428000000001</v>
      </c>
      <c r="G2043">
        <v>23</v>
      </c>
      <c r="H2043">
        <v>1.03</v>
      </c>
      <c r="I2043">
        <v>2</v>
      </c>
      <c r="J2043">
        <v>7</v>
      </c>
      <c r="K2043">
        <v>9</v>
      </c>
      <c r="L2043">
        <v>35</v>
      </c>
      <c r="M2043">
        <v>46</v>
      </c>
      <c r="N2043">
        <v>62</v>
      </c>
      <c r="P2043">
        <v>0</v>
      </c>
      <c r="Q2043">
        <v>7</v>
      </c>
      <c r="R2043">
        <v>12</v>
      </c>
      <c r="S2043">
        <v>26</v>
      </c>
    </row>
    <row r="2044" spans="1:19" x14ac:dyDescent="0.35">
      <c r="A2044">
        <v>55895339400</v>
      </c>
      <c r="B2044" t="s">
        <v>447</v>
      </c>
      <c r="C2044" t="str">
        <f>_xlfn.XLOOKUP(A2044,[1]Affiliations!$J$2:$J$5328,[1]Affiliations!$K$2:$K$5328,0)</f>
        <v>Universidade de Caxias do Sul</v>
      </c>
      <c r="D2044">
        <v>13</v>
      </c>
      <c r="E2044">
        <v>282</v>
      </c>
      <c r="F2044">
        <v>21.692308000000001</v>
      </c>
      <c r="G2044">
        <v>11</v>
      </c>
      <c r="H2044">
        <v>1.02</v>
      </c>
      <c r="I2044">
        <v>0</v>
      </c>
      <c r="J2044">
        <v>0</v>
      </c>
      <c r="K2044">
        <v>3</v>
      </c>
      <c r="L2044">
        <v>5</v>
      </c>
      <c r="M2044">
        <v>10</v>
      </c>
      <c r="N2044">
        <v>10</v>
      </c>
      <c r="P2044">
        <v>0</v>
      </c>
      <c r="Q2044">
        <v>0</v>
      </c>
      <c r="R2044">
        <v>2</v>
      </c>
      <c r="S2044">
        <v>8</v>
      </c>
    </row>
    <row r="2045" spans="1:19" x14ac:dyDescent="0.35">
      <c r="A2045">
        <v>57208489421</v>
      </c>
      <c r="B2045" t="s">
        <v>951</v>
      </c>
      <c r="C2045" t="str">
        <f>_xlfn.XLOOKUP(A2045,[1]Affiliations!$J$2:$J$5328,[1]Affiliations!$K$2:$K$5328,0)</f>
        <v>Centro Brasileiro de Pesquisas Físicas</v>
      </c>
      <c r="D2045">
        <v>6</v>
      </c>
      <c r="E2045">
        <v>193</v>
      </c>
      <c r="F2045">
        <v>32.166668000000001</v>
      </c>
      <c r="G2045">
        <v>4</v>
      </c>
      <c r="H2045">
        <v>1.02</v>
      </c>
      <c r="I2045">
        <v>0</v>
      </c>
      <c r="J2045">
        <v>0</v>
      </c>
      <c r="K2045">
        <v>2</v>
      </c>
      <c r="L2045">
        <v>5</v>
      </c>
      <c r="M2045">
        <v>5</v>
      </c>
      <c r="N2045">
        <v>5</v>
      </c>
      <c r="P2045">
        <v>0</v>
      </c>
      <c r="Q2045">
        <v>2</v>
      </c>
      <c r="R2045">
        <v>2</v>
      </c>
      <c r="S2045">
        <v>3</v>
      </c>
    </row>
    <row r="2046" spans="1:19" x14ac:dyDescent="0.35">
      <c r="A2046">
        <v>57207196880</v>
      </c>
      <c r="B2046" t="s">
        <v>1065</v>
      </c>
      <c r="C2046" t="str">
        <f>_xlfn.XLOOKUP(A2046,[1]Affiliations!$J$2:$J$5328,[1]Affiliations!$K$2:$K$5328,0)</f>
        <v>Universidade Federal de Viçosa</v>
      </c>
      <c r="D2046">
        <v>8</v>
      </c>
      <c r="E2046">
        <v>154</v>
      </c>
      <c r="F2046">
        <v>19.25</v>
      </c>
      <c r="G2046">
        <v>6</v>
      </c>
      <c r="H2046">
        <v>1.02</v>
      </c>
      <c r="I2046">
        <v>0</v>
      </c>
      <c r="J2046">
        <v>4</v>
      </c>
      <c r="K2046">
        <v>6</v>
      </c>
      <c r="L2046">
        <v>7</v>
      </c>
      <c r="M2046">
        <v>8</v>
      </c>
      <c r="N2046">
        <v>8</v>
      </c>
      <c r="P2046">
        <v>0</v>
      </c>
      <c r="Q2046">
        <v>0</v>
      </c>
      <c r="R2046">
        <v>2</v>
      </c>
      <c r="S2046">
        <v>5</v>
      </c>
    </row>
    <row r="2047" spans="1:19" x14ac:dyDescent="0.35">
      <c r="A2047">
        <v>57194530817</v>
      </c>
      <c r="B2047" t="s">
        <v>1436</v>
      </c>
      <c r="C2047" t="str">
        <f>_xlfn.XLOOKUP(A2047,[1]Affiliations!$J$2:$J$5328,[1]Affiliations!$K$2:$K$5328,0)</f>
        <v>Centro Federal de Educação Tecnológica Celso Suckow da Fonseca (CEFET-RJ)</v>
      </c>
      <c r="D2047">
        <v>61</v>
      </c>
      <c r="E2047">
        <v>1844</v>
      </c>
      <c r="F2047">
        <v>30.229507000000002</v>
      </c>
      <c r="G2047">
        <v>22</v>
      </c>
      <c r="H2047">
        <v>1.02</v>
      </c>
      <c r="I2047">
        <v>0</v>
      </c>
      <c r="J2047">
        <v>5</v>
      </c>
      <c r="K2047">
        <v>7</v>
      </c>
      <c r="L2047">
        <v>17</v>
      </c>
      <c r="M2047">
        <v>47</v>
      </c>
      <c r="N2047">
        <v>56</v>
      </c>
      <c r="P2047">
        <v>1</v>
      </c>
      <c r="Q2047">
        <v>3</v>
      </c>
      <c r="R2047">
        <v>8</v>
      </c>
      <c r="S2047">
        <v>27</v>
      </c>
    </row>
    <row r="2048" spans="1:19" hidden="1" x14ac:dyDescent="0.35">
      <c r="A2048">
        <v>6508208934</v>
      </c>
      <c r="B2048" t="s">
        <v>2056</v>
      </c>
      <c r="C2048" t="str">
        <f>_xlfn.XLOOKUP(A2048,[1]Affiliations!$J$2:$J$5328,[1]Affiliations!$K$2:$K$5328,0)</f>
        <v>Vizlab - X-Reality and GeoInformatics Lab</v>
      </c>
      <c r="D2048">
        <v>5</v>
      </c>
      <c r="E2048">
        <v>214</v>
      </c>
      <c r="F2048">
        <v>42.8</v>
      </c>
      <c r="G2048">
        <v>12</v>
      </c>
      <c r="H2048">
        <v>1.78</v>
      </c>
      <c r="I2048">
        <v>0</v>
      </c>
      <c r="J2048">
        <v>0</v>
      </c>
      <c r="K2048">
        <v>0</v>
      </c>
      <c r="L2048">
        <v>2</v>
      </c>
      <c r="M2048">
        <v>4</v>
      </c>
      <c r="N2048">
        <v>5</v>
      </c>
      <c r="P2048">
        <v>0</v>
      </c>
      <c r="Q2048">
        <v>1</v>
      </c>
      <c r="R2048">
        <v>2</v>
      </c>
      <c r="S2048">
        <v>3</v>
      </c>
    </row>
    <row r="2049" spans="1:19" hidden="1" x14ac:dyDescent="0.35">
      <c r="A2049">
        <v>57199691244</v>
      </c>
      <c r="B2049" t="s">
        <v>2057</v>
      </c>
      <c r="C2049" t="str">
        <f>_xlfn.XLOOKUP(A2049,[1]Affiliations!$J$2:$J$5328,[1]Affiliations!$K$2:$K$5328,0)</f>
        <v>Universidade Federal de Uberlândia</v>
      </c>
      <c r="D2049">
        <v>11</v>
      </c>
      <c r="E2049">
        <v>107</v>
      </c>
      <c r="F2049">
        <v>9.7272730000000003</v>
      </c>
      <c r="G2049">
        <v>7</v>
      </c>
      <c r="H2049">
        <v>0.43</v>
      </c>
      <c r="I2049">
        <v>0</v>
      </c>
      <c r="J2049">
        <v>1</v>
      </c>
      <c r="K2049">
        <v>3</v>
      </c>
      <c r="L2049">
        <v>6</v>
      </c>
      <c r="M2049">
        <v>10</v>
      </c>
      <c r="N2049">
        <v>10</v>
      </c>
      <c r="P2049">
        <v>0</v>
      </c>
      <c r="Q2049">
        <v>0</v>
      </c>
      <c r="R2049">
        <v>0</v>
      </c>
      <c r="S2049">
        <v>1</v>
      </c>
    </row>
    <row r="2050" spans="1:19" hidden="1" x14ac:dyDescent="0.35">
      <c r="A2050">
        <v>57221470937</v>
      </c>
      <c r="B2050" t="s">
        <v>2058</v>
      </c>
      <c r="C2050" t="str">
        <f>_xlfn.XLOOKUP(A2050,[1]Affiliations!$J$2:$J$5328,[1]Affiliations!$K$2:$K$5328,0)</f>
        <v>Universidade de São Paulo</v>
      </c>
      <c r="D2050">
        <v>3</v>
      </c>
      <c r="E2050">
        <v>54</v>
      </c>
      <c r="F2050">
        <v>18</v>
      </c>
      <c r="G2050">
        <v>3</v>
      </c>
      <c r="H2050">
        <v>0.89</v>
      </c>
      <c r="I2050">
        <v>0</v>
      </c>
      <c r="J2050">
        <v>2</v>
      </c>
      <c r="K2050">
        <v>3</v>
      </c>
      <c r="L2050">
        <v>3</v>
      </c>
      <c r="M2050">
        <v>3</v>
      </c>
      <c r="N2050">
        <v>3</v>
      </c>
      <c r="P2050">
        <v>0</v>
      </c>
      <c r="Q2050">
        <v>0</v>
      </c>
      <c r="R2050">
        <v>0</v>
      </c>
      <c r="S2050">
        <v>2</v>
      </c>
    </row>
    <row r="2051" spans="1:19" x14ac:dyDescent="0.35">
      <c r="A2051">
        <v>23491742500</v>
      </c>
      <c r="B2051" t="s">
        <v>1777</v>
      </c>
      <c r="C2051" t="str">
        <f>_xlfn.XLOOKUP(A2051,[1]Affiliations!$J$2:$J$5328,[1]Affiliations!$K$2:$K$5328,0)</f>
        <v>Universidade Federal de Minas Gerais</v>
      </c>
      <c r="D2051">
        <v>20</v>
      </c>
      <c r="E2051">
        <v>374</v>
      </c>
      <c r="F2051">
        <v>18.7</v>
      </c>
      <c r="G2051">
        <v>10</v>
      </c>
      <c r="H2051">
        <v>1.02</v>
      </c>
      <c r="I2051">
        <v>0</v>
      </c>
      <c r="J2051">
        <v>4</v>
      </c>
      <c r="K2051">
        <v>7</v>
      </c>
      <c r="L2051">
        <v>16</v>
      </c>
      <c r="M2051">
        <v>17</v>
      </c>
      <c r="N2051">
        <v>18</v>
      </c>
      <c r="P2051">
        <v>0</v>
      </c>
      <c r="Q2051">
        <v>2</v>
      </c>
      <c r="R2051">
        <v>3</v>
      </c>
      <c r="S2051">
        <v>9</v>
      </c>
    </row>
    <row r="2052" spans="1:19" x14ac:dyDescent="0.35">
      <c r="A2052">
        <v>6505818876</v>
      </c>
      <c r="B2052" t="s">
        <v>2217</v>
      </c>
      <c r="C2052" t="str">
        <f>_xlfn.XLOOKUP(A2052,[1]Affiliations!$J$2:$J$5328,[1]Affiliations!$K$2:$K$5328,0)</f>
        <v>Universidade de São Paulo (+1 more)</v>
      </c>
      <c r="D2052">
        <v>37</v>
      </c>
      <c r="E2052">
        <v>791</v>
      </c>
      <c r="F2052">
        <v>21.378378000000001</v>
      </c>
      <c r="G2052">
        <v>24</v>
      </c>
      <c r="H2052">
        <v>1.02</v>
      </c>
      <c r="I2052">
        <v>0</v>
      </c>
      <c r="J2052">
        <v>3</v>
      </c>
      <c r="K2052">
        <v>11</v>
      </c>
      <c r="L2052">
        <v>16</v>
      </c>
      <c r="M2052">
        <v>30</v>
      </c>
      <c r="N2052">
        <v>33</v>
      </c>
      <c r="P2052">
        <v>0</v>
      </c>
      <c r="Q2052">
        <v>4</v>
      </c>
      <c r="R2052">
        <v>7</v>
      </c>
      <c r="S2052">
        <v>11</v>
      </c>
    </row>
    <row r="2053" spans="1:19" x14ac:dyDescent="0.35">
      <c r="A2053">
        <v>23090731000</v>
      </c>
      <c r="B2053" t="s">
        <v>2295</v>
      </c>
      <c r="C2053" t="str">
        <f>_xlfn.XLOOKUP(A2053,[1]Affiliations!$J$2:$J$5328,[1]Affiliations!$K$2:$K$5328,0)</f>
        <v>University of São Paulo (+1 more)</v>
      </c>
      <c r="D2053">
        <v>59</v>
      </c>
      <c r="E2053">
        <v>854</v>
      </c>
      <c r="F2053">
        <v>14.474576000000001</v>
      </c>
      <c r="G2053">
        <v>21</v>
      </c>
      <c r="H2053">
        <v>1.02</v>
      </c>
      <c r="I2053">
        <v>0</v>
      </c>
      <c r="J2053">
        <v>4</v>
      </c>
      <c r="K2053">
        <v>8</v>
      </c>
      <c r="L2053">
        <v>26</v>
      </c>
      <c r="M2053">
        <v>39</v>
      </c>
      <c r="N2053">
        <v>51</v>
      </c>
      <c r="P2053">
        <v>0</v>
      </c>
      <c r="Q2053">
        <v>2</v>
      </c>
      <c r="R2053">
        <v>3</v>
      </c>
      <c r="S2053">
        <v>20</v>
      </c>
    </row>
    <row r="2054" spans="1:19" hidden="1" x14ac:dyDescent="0.35">
      <c r="A2054">
        <v>6701682062</v>
      </c>
      <c r="B2054" t="s">
        <v>2062</v>
      </c>
      <c r="C2054" t="str">
        <f>_xlfn.XLOOKUP(A2054,[1]Affiliations!$J$2:$J$5328,[1]Affiliations!$K$2:$K$5328,0)</f>
        <v>Universidade do Estado de Santa Catarina (+1 more)</v>
      </c>
      <c r="D2054">
        <v>20</v>
      </c>
      <c r="E2054">
        <v>128</v>
      </c>
      <c r="F2054">
        <v>6.4</v>
      </c>
      <c r="G2054">
        <v>9</v>
      </c>
      <c r="H2054">
        <v>0.39</v>
      </c>
      <c r="I2054">
        <v>0</v>
      </c>
      <c r="J2054">
        <v>0</v>
      </c>
      <c r="K2054">
        <v>5</v>
      </c>
      <c r="L2054">
        <v>6</v>
      </c>
      <c r="M2054">
        <v>7</v>
      </c>
      <c r="N2054">
        <v>17</v>
      </c>
      <c r="P2054">
        <v>0</v>
      </c>
      <c r="Q2054">
        <v>0</v>
      </c>
      <c r="R2054">
        <v>0</v>
      </c>
      <c r="S2054">
        <v>2</v>
      </c>
    </row>
    <row r="2055" spans="1:19" hidden="1" x14ac:dyDescent="0.35">
      <c r="A2055">
        <v>60090744800</v>
      </c>
      <c r="B2055" t="s">
        <v>2063</v>
      </c>
      <c r="C2055" t="str">
        <f>_xlfn.XLOOKUP(A2055,[1]Affiliations!$J$2:$J$5328,[1]Affiliations!$K$2:$K$5328,0)</f>
        <v>Universidade Federal de Minas Gerais</v>
      </c>
      <c r="D2055">
        <v>0</v>
      </c>
      <c r="G2055">
        <v>0</v>
      </c>
    </row>
    <row r="2056" spans="1:19" x14ac:dyDescent="0.35">
      <c r="A2056">
        <v>58290618800</v>
      </c>
      <c r="B2056" t="s">
        <v>2494</v>
      </c>
      <c r="C2056" t="str">
        <f>_xlfn.XLOOKUP(A2056,[1]Affiliations!$J$2:$J$5328,[1]Affiliations!$K$2:$K$5328,0)</f>
        <v>Pontifical Catholic University of Rio de Janeiro (+1 more)</v>
      </c>
      <c r="D2056">
        <v>36</v>
      </c>
      <c r="E2056">
        <v>383</v>
      </c>
      <c r="F2056">
        <v>10.638889000000001</v>
      </c>
      <c r="G2056">
        <v>12</v>
      </c>
      <c r="H2056">
        <v>1.02</v>
      </c>
      <c r="I2056">
        <v>0</v>
      </c>
      <c r="J2056">
        <v>8</v>
      </c>
      <c r="K2056">
        <v>10</v>
      </c>
      <c r="L2056">
        <v>13</v>
      </c>
      <c r="M2056">
        <v>16</v>
      </c>
      <c r="N2056">
        <v>21</v>
      </c>
      <c r="P2056">
        <v>0</v>
      </c>
      <c r="Q2056">
        <v>1</v>
      </c>
      <c r="R2056">
        <v>2</v>
      </c>
      <c r="S2056">
        <v>8</v>
      </c>
    </row>
    <row r="2057" spans="1:19" x14ac:dyDescent="0.35">
      <c r="A2057">
        <v>38861886000</v>
      </c>
      <c r="B2057" t="s">
        <v>2637</v>
      </c>
      <c r="C2057" t="str">
        <f>_xlfn.XLOOKUP(A2057,[1]Affiliations!$J$2:$J$5328,[1]Affiliations!$K$2:$K$5328,0)</f>
        <v>University of Campinas</v>
      </c>
      <c r="D2057">
        <v>6</v>
      </c>
      <c r="E2057">
        <v>68</v>
      </c>
      <c r="F2057">
        <v>11.333333</v>
      </c>
      <c r="G2057">
        <v>4</v>
      </c>
      <c r="H2057">
        <v>1.02</v>
      </c>
      <c r="I2057">
        <v>0</v>
      </c>
      <c r="J2057">
        <v>1</v>
      </c>
      <c r="K2057">
        <v>2</v>
      </c>
      <c r="L2057">
        <v>3</v>
      </c>
      <c r="M2057">
        <v>4</v>
      </c>
      <c r="N2057">
        <v>4</v>
      </c>
      <c r="P2057">
        <v>0</v>
      </c>
      <c r="Q2057">
        <v>0</v>
      </c>
      <c r="R2057">
        <v>1</v>
      </c>
      <c r="S2057">
        <v>2</v>
      </c>
    </row>
    <row r="2058" spans="1:19" x14ac:dyDescent="0.35">
      <c r="A2058">
        <v>10046228500</v>
      </c>
      <c r="B2058" t="s">
        <v>2807</v>
      </c>
      <c r="C2058" t="str">
        <f>_xlfn.XLOOKUP(A2058,[1]Affiliations!$J$2:$J$5328,[1]Affiliations!$K$2:$K$5328,0)</f>
        <v>Universidade Federal de Minas Gerais</v>
      </c>
      <c r="D2058">
        <v>48</v>
      </c>
      <c r="E2058">
        <v>1172</v>
      </c>
      <c r="F2058">
        <v>24.416665999999999</v>
      </c>
      <c r="G2058">
        <v>27</v>
      </c>
      <c r="H2058">
        <v>1.02</v>
      </c>
      <c r="I2058">
        <v>2</v>
      </c>
      <c r="J2058">
        <v>12</v>
      </c>
      <c r="K2058">
        <v>24</v>
      </c>
      <c r="L2058">
        <v>37</v>
      </c>
      <c r="M2058">
        <v>43</v>
      </c>
      <c r="N2058">
        <v>46</v>
      </c>
      <c r="P2058">
        <v>0</v>
      </c>
      <c r="Q2058">
        <v>2</v>
      </c>
      <c r="R2058">
        <v>8</v>
      </c>
      <c r="S2058">
        <v>30</v>
      </c>
    </row>
    <row r="2059" spans="1:19" x14ac:dyDescent="0.35">
      <c r="A2059">
        <v>55321970000</v>
      </c>
      <c r="B2059" t="s">
        <v>2932</v>
      </c>
      <c r="C2059" t="str">
        <f>_xlfn.XLOOKUP(A2059,[1]Affiliations!$J$2:$J$5328,[1]Affiliations!$K$2:$K$5328,0)</f>
        <v>University of Campinas (+1 more)</v>
      </c>
      <c r="D2059">
        <v>7</v>
      </c>
      <c r="E2059">
        <v>156</v>
      </c>
      <c r="F2059">
        <v>22.285715</v>
      </c>
      <c r="G2059">
        <v>5</v>
      </c>
      <c r="H2059">
        <v>1.02</v>
      </c>
      <c r="I2059">
        <v>0</v>
      </c>
      <c r="J2059">
        <v>1</v>
      </c>
      <c r="K2059">
        <v>1</v>
      </c>
      <c r="L2059">
        <v>2</v>
      </c>
      <c r="M2059">
        <v>2</v>
      </c>
      <c r="N2059">
        <v>6</v>
      </c>
      <c r="P2059">
        <v>1</v>
      </c>
      <c r="Q2059">
        <v>2</v>
      </c>
      <c r="R2059">
        <v>2</v>
      </c>
      <c r="S2059">
        <v>3</v>
      </c>
    </row>
    <row r="2060" spans="1:19" hidden="1" x14ac:dyDescent="0.35">
      <c r="A2060">
        <v>59450767600</v>
      </c>
      <c r="B2060" t="s">
        <v>2068</v>
      </c>
      <c r="C2060" t="str">
        <f>_xlfn.XLOOKUP(A2060,[1]Affiliations!$J$2:$J$5328,[1]Affiliations!$K$2:$K$5328,0)</f>
        <v>Universidade Federal de Minas Gerais</v>
      </c>
      <c r="D2060">
        <v>0</v>
      </c>
      <c r="G2060">
        <v>1</v>
      </c>
    </row>
    <row r="2061" spans="1:19" hidden="1" x14ac:dyDescent="0.35">
      <c r="A2061">
        <v>57215502704</v>
      </c>
      <c r="B2061" t="s">
        <v>2069</v>
      </c>
      <c r="C2061" t="str">
        <f>_xlfn.XLOOKUP(A2061,[1]Affiliations!$J$2:$J$5328,[1]Affiliations!$K$2:$K$5328,0)</f>
        <v>Federal University of Rio de Janeiro</v>
      </c>
      <c r="D2061">
        <v>1</v>
      </c>
      <c r="E2061">
        <v>9</v>
      </c>
      <c r="F2061">
        <v>9</v>
      </c>
      <c r="G2061">
        <v>1</v>
      </c>
      <c r="H2061">
        <v>0.53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1</v>
      </c>
      <c r="P2061">
        <v>0</v>
      </c>
      <c r="Q2061">
        <v>0</v>
      </c>
      <c r="R2061">
        <v>0</v>
      </c>
      <c r="S2061">
        <v>0</v>
      </c>
    </row>
    <row r="2062" spans="1:19" hidden="1" x14ac:dyDescent="0.35">
      <c r="A2062">
        <v>57386874900</v>
      </c>
      <c r="B2062" t="s">
        <v>2070</v>
      </c>
      <c r="C2062" t="str">
        <f>_xlfn.XLOOKUP(A2062,[1]Affiliations!$J$2:$J$5328,[1]Affiliations!$K$2:$K$5328,0)</f>
        <v>Federal University of Rio de Janeiro</v>
      </c>
      <c r="D2062">
        <v>3</v>
      </c>
      <c r="E2062">
        <v>15</v>
      </c>
      <c r="F2062">
        <v>5</v>
      </c>
      <c r="G2062">
        <v>2</v>
      </c>
      <c r="H2062">
        <v>0.28000000000000003</v>
      </c>
      <c r="I2062">
        <v>0</v>
      </c>
      <c r="J2062">
        <v>1</v>
      </c>
      <c r="K2062">
        <v>1</v>
      </c>
      <c r="L2062">
        <v>2</v>
      </c>
      <c r="M2062">
        <v>2</v>
      </c>
      <c r="N2062">
        <v>3</v>
      </c>
      <c r="P2062">
        <v>0</v>
      </c>
      <c r="Q2062">
        <v>0</v>
      </c>
      <c r="R2062">
        <v>0</v>
      </c>
      <c r="S2062">
        <v>1</v>
      </c>
    </row>
    <row r="2063" spans="1:19" hidden="1" x14ac:dyDescent="0.35">
      <c r="A2063">
        <v>57191708731</v>
      </c>
      <c r="B2063" t="s">
        <v>2071</v>
      </c>
      <c r="C2063" t="str">
        <f>_xlfn.XLOOKUP(A2063,[1]Affiliations!$J$2:$J$5328,[1]Affiliations!$K$2:$K$5328,0)</f>
        <v>Federal University of Rio de Janeiro</v>
      </c>
      <c r="D2063">
        <v>2</v>
      </c>
      <c r="E2063">
        <v>16</v>
      </c>
      <c r="F2063">
        <v>8</v>
      </c>
      <c r="G2063">
        <v>2</v>
      </c>
      <c r="H2063">
        <v>1.19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2</v>
      </c>
      <c r="P2063">
        <v>0</v>
      </c>
      <c r="Q2063">
        <v>0</v>
      </c>
      <c r="R2063">
        <v>0</v>
      </c>
      <c r="S2063">
        <v>0</v>
      </c>
    </row>
    <row r="2064" spans="1:19" hidden="1" x14ac:dyDescent="0.35">
      <c r="A2064">
        <v>55633338100</v>
      </c>
      <c r="B2064" t="s">
        <v>2072</v>
      </c>
      <c r="C2064" t="str">
        <f>_xlfn.XLOOKUP(A2064,[1]Affiliations!$J$2:$J$5328,[1]Affiliations!$K$2:$K$5328,0)</f>
        <v>Instituto Nacional de Tecnologia</v>
      </c>
      <c r="D2064">
        <v>7</v>
      </c>
      <c r="E2064">
        <v>45</v>
      </c>
      <c r="F2064">
        <v>6.4285709999999998</v>
      </c>
      <c r="G2064">
        <v>6</v>
      </c>
      <c r="H2064">
        <v>0.42</v>
      </c>
      <c r="I2064">
        <v>0</v>
      </c>
      <c r="J2064">
        <v>0</v>
      </c>
      <c r="K2064">
        <v>0</v>
      </c>
      <c r="L2064">
        <v>5</v>
      </c>
      <c r="M2064">
        <v>5</v>
      </c>
      <c r="N2064">
        <v>7</v>
      </c>
      <c r="P2064">
        <v>0</v>
      </c>
      <c r="Q2064">
        <v>0</v>
      </c>
      <c r="R2064">
        <v>0</v>
      </c>
      <c r="S2064">
        <v>2</v>
      </c>
    </row>
    <row r="2065" spans="1:19" hidden="1" x14ac:dyDescent="0.35">
      <c r="A2065">
        <v>56053107100</v>
      </c>
      <c r="B2065" t="s">
        <v>2073</v>
      </c>
      <c r="C2065" t="str">
        <f>_xlfn.XLOOKUP(A2065,[1]Affiliations!$J$2:$J$5328,[1]Affiliations!$K$2:$K$5328,0)</f>
        <v>Universidade Federal do Ceará</v>
      </c>
      <c r="D2065">
        <v>2</v>
      </c>
      <c r="E2065">
        <v>26</v>
      </c>
      <c r="F2065">
        <v>13</v>
      </c>
      <c r="G2065">
        <v>3</v>
      </c>
      <c r="H2065">
        <v>0.61</v>
      </c>
      <c r="I2065">
        <v>0</v>
      </c>
      <c r="J2065">
        <v>0</v>
      </c>
      <c r="K2065">
        <v>0</v>
      </c>
      <c r="L2065">
        <v>2</v>
      </c>
      <c r="M2065">
        <v>2</v>
      </c>
      <c r="N2065">
        <v>2</v>
      </c>
      <c r="P2065">
        <v>0</v>
      </c>
      <c r="Q2065">
        <v>0</v>
      </c>
      <c r="R2065">
        <v>0</v>
      </c>
      <c r="S2065">
        <v>0</v>
      </c>
    </row>
    <row r="2066" spans="1:19" hidden="1" x14ac:dyDescent="0.35">
      <c r="A2066">
        <v>22984762600</v>
      </c>
      <c r="B2066" t="s">
        <v>2074</v>
      </c>
      <c r="C2066" t="str">
        <f>_xlfn.XLOOKUP(A2066,[1]Affiliations!$J$2:$J$5328,[1]Affiliations!$K$2:$K$5328,0)</f>
        <v>Universidade do Estado do Rio de Janeiro</v>
      </c>
      <c r="D2066">
        <v>14</v>
      </c>
      <c r="E2066">
        <v>157</v>
      </c>
      <c r="F2066">
        <v>11.214286</v>
      </c>
      <c r="G2066">
        <v>13</v>
      </c>
      <c r="H2066">
        <v>0.57999999999999996</v>
      </c>
      <c r="I2066">
        <v>0</v>
      </c>
      <c r="J2066">
        <v>3</v>
      </c>
      <c r="K2066">
        <v>5</v>
      </c>
      <c r="L2066">
        <v>8</v>
      </c>
      <c r="M2066">
        <v>13</v>
      </c>
      <c r="N2066">
        <v>14</v>
      </c>
      <c r="P2066">
        <v>0</v>
      </c>
      <c r="Q2066">
        <v>0</v>
      </c>
      <c r="R2066">
        <v>0</v>
      </c>
      <c r="S2066">
        <v>2</v>
      </c>
    </row>
    <row r="2067" spans="1:19" hidden="1" x14ac:dyDescent="0.35">
      <c r="A2067">
        <v>57219497427</v>
      </c>
      <c r="B2067" t="s">
        <v>2075</v>
      </c>
      <c r="C2067" t="str">
        <f>_xlfn.XLOOKUP(A2067,[1]Affiliations!$J$2:$J$5328,[1]Affiliations!$K$2:$K$5328,0)</f>
        <v>Universidade Federal da Bahia (+2 more)</v>
      </c>
      <c r="D2067">
        <v>2</v>
      </c>
      <c r="E2067">
        <v>2</v>
      </c>
      <c r="F2067">
        <v>1</v>
      </c>
      <c r="G2067">
        <v>1</v>
      </c>
      <c r="H2067">
        <v>0.04</v>
      </c>
      <c r="I2067">
        <v>0</v>
      </c>
      <c r="J2067">
        <v>0</v>
      </c>
      <c r="K2067">
        <v>0</v>
      </c>
      <c r="L2067">
        <v>1</v>
      </c>
      <c r="M2067">
        <v>2</v>
      </c>
      <c r="N2067">
        <v>2</v>
      </c>
      <c r="P2067">
        <v>0</v>
      </c>
      <c r="Q2067">
        <v>0</v>
      </c>
      <c r="R2067">
        <v>0</v>
      </c>
      <c r="S2067">
        <v>0</v>
      </c>
    </row>
    <row r="2068" spans="1:19" x14ac:dyDescent="0.35">
      <c r="A2068">
        <v>57203835713</v>
      </c>
      <c r="B2068" t="s">
        <v>3435</v>
      </c>
      <c r="C2068" t="str">
        <f>_xlfn.XLOOKUP(A2068,[1]Affiliations!$J$2:$J$5328,[1]Affiliations!$K$2:$K$5328,0)</f>
        <v>Universidade Federal Fluminense</v>
      </c>
      <c r="D2068">
        <v>30</v>
      </c>
      <c r="E2068">
        <v>349</v>
      </c>
      <c r="F2068">
        <v>11.633333</v>
      </c>
      <c r="G2068">
        <v>8</v>
      </c>
      <c r="H2068">
        <v>1.02</v>
      </c>
      <c r="I2068">
        <v>0</v>
      </c>
      <c r="J2068">
        <v>1</v>
      </c>
      <c r="K2068">
        <v>5</v>
      </c>
      <c r="L2068">
        <v>6</v>
      </c>
      <c r="M2068">
        <v>8</v>
      </c>
      <c r="N2068">
        <v>12</v>
      </c>
      <c r="P2068">
        <v>0</v>
      </c>
      <c r="Q2068">
        <v>1</v>
      </c>
      <c r="R2068">
        <v>2</v>
      </c>
      <c r="S2068">
        <v>6</v>
      </c>
    </row>
    <row r="2069" spans="1:19" hidden="1" x14ac:dyDescent="0.35">
      <c r="A2069">
        <v>57993473700</v>
      </c>
      <c r="B2069" t="s">
        <v>2077</v>
      </c>
      <c r="C2069" t="str">
        <f>_xlfn.XLOOKUP(A2069,[1]Affiliations!$J$2:$J$5328,[1]Affiliations!$K$2:$K$5328,0)</f>
        <v>Federal University of Rio de Janeiro</v>
      </c>
      <c r="D2069">
        <v>3</v>
      </c>
      <c r="E2069">
        <v>12</v>
      </c>
      <c r="F2069">
        <v>4</v>
      </c>
      <c r="G2069">
        <v>2</v>
      </c>
      <c r="H2069">
        <v>0.15</v>
      </c>
      <c r="I2069">
        <v>0</v>
      </c>
      <c r="J2069">
        <v>0</v>
      </c>
      <c r="K2069">
        <v>0</v>
      </c>
      <c r="L2069">
        <v>0</v>
      </c>
      <c r="M2069">
        <v>1</v>
      </c>
      <c r="N2069">
        <v>3</v>
      </c>
      <c r="P2069">
        <v>0</v>
      </c>
      <c r="Q2069">
        <v>0</v>
      </c>
      <c r="R2069">
        <v>0</v>
      </c>
      <c r="S2069">
        <v>0</v>
      </c>
    </row>
    <row r="2070" spans="1:19" hidden="1" x14ac:dyDescent="0.35">
      <c r="A2070">
        <v>56180807000</v>
      </c>
      <c r="B2070" t="s">
        <v>2078</v>
      </c>
      <c r="C2070" t="str">
        <f>_xlfn.XLOOKUP(A2070,[1]Affiliations!$J$2:$J$5328,[1]Affiliations!$K$2:$K$5328,0)</f>
        <v>Federal University of Rio de Janeiro</v>
      </c>
      <c r="D2070">
        <v>3</v>
      </c>
      <c r="E2070">
        <v>60</v>
      </c>
      <c r="F2070">
        <v>20</v>
      </c>
      <c r="G2070">
        <v>4</v>
      </c>
      <c r="H2070">
        <v>0.61</v>
      </c>
      <c r="I2070">
        <v>0</v>
      </c>
      <c r="J2070">
        <v>0</v>
      </c>
      <c r="K2070">
        <v>0</v>
      </c>
      <c r="L2070">
        <v>0</v>
      </c>
      <c r="M2070">
        <v>3</v>
      </c>
      <c r="N2070">
        <v>3</v>
      </c>
      <c r="P2070">
        <v>0</v>
      </c>
      <c r="Q2070">
        <v>0</v>
      </c>
      <c r="R2070">
        <v>0</v>
      </c>
      <c r="S2070">
        <v>3</v>
      </c>
    </row>
    <row r="2071" spans="1:19" hidden="1" x14ac:dyDescent="0.35">
      <c r="A2071">
        <v>57210440499</v>
      </c>
      <c r="B2071" t="s">
        <v>2079</v>
      </c>
      <c r="C2071" t="str">
        <f>_xlfn.XLOOKUP(A2071,[1]Affiliations!$J$2:$J$5328,[1]Affiliations!$K$2:$K$5328,0)</f>
        <v>Emerson Automation Solutions</v>
      </c>
      <c r="D2071">
        <v>2</v>
      </c>
      <c r="E2071">
        <v>9</v>
      </c>
      <c r="F2071">
        <v>4.5</v>
      </c>
      <c r="G2071">
        <v>2</v>
      </c>
      <c r="H2071">
        <v>0.35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P2071">
        <v>0</v>
      </c>
      <c r="Q2071">
        <v>0</v>
      </c>
      <c r="R2071">
        <v>0</v>
      </c>
      <c r="S2071">
        <v>0</v>
      </c>
    </row>
    <row r="2072" spans="1:19" x14ac:dyDescent="0.35">
      <c r="A2072">
        <v>55540175400</v>
      </c>
      <c r="B2072" t="s">
        <v>3683</v>
      </c>
      <c r="C2072" t="str">
        <f>_xlfn.XLOOKUP(A2072,[1]Affiliations!$J$2:$J$5328,[1]Affiliations!$K$2:$K$5328,0)</f>
        <v>Universidade de Brasília (+1 more)</v>
      </c>
      <c r="D2072">
        <v>9</v>
      </c>
      <c r="E2072">
        <v>149</v>
      </c>
      <c r="F2072">
        <v>16.555554999999998</v>
      </c>
      <c r="G2072">
        <v>7</v>
      </c>
      <c r="H2072">
        <v>1.02</v>
      </c>
      <c r="I2072">
        <v>0</v>
      </c>
      <c r="J2072">
        <v>1</v>
      </c>
      <c r="K2072">
        <v>2</v>
      </c>
      <c r="L2072">
        <v>7</v>
      </c>
      <c r="M2072">
        <v>8</v>
      </c>
      <c r="N2072">
        <v>8</v>
      </c>
      <c r="P2072">
        <v>0</v>
      </c>
      <c r="Q2072">
        <v>1</v>
      </c>
      <c r="R2072">
        <v>1</v>
      </c>
      <c r="S2072">
        <v>3</v>
      </c>
    </row>
    <row r="2073" spans="1:19" hidden="1" x14ac:dyDescent="0.35">
      <c r="A2073">
        <v>8895797300</v>
      </c>
      <c r="B2073" t="s">
        <v>2081</v>
      </c>
      <c r="C2073" t="str">
        <f>_xlfn.XLOOKUP(A2073,[1]Affiliations!$J$2:$J$5328,[1]Affiliations!$K$2:$K$5328,0)</f>
        <v>Federal University of Santa Catarina</v>
      </c>
      <c r="D2073">
        <v>10</v>
      </c>
      <c r="E2073">
        <v>57</v>
      </c>
      <c r="F2073">
        <v>5.7</v>
      </c>
      <c r="G2073">
        <v>10</v>
      </c>
      <c r="H2073">
        <v>0.27</v>
      </c>
      <c r="I2073">
        <v>0</v>
      </c>
      <c r="J2073">
        <v>0</v>
      </c>
      <c r="K2073">
        <v>1</v>
      </c>
      <c r="L2073">
        <v>2</v>
      </c>
      <c r="M2073">
        <v>4</v>
      </c>
      <c r="N2073">
        <v>7</v>
      </c>
      <c r="P2073">
        <v>0</v>
      </c>
      <c r="Q2073">
        <v>0</v>
      </c>
      <c r="R2073">
        <v>0</v>
      </c>
      <c r="S2073">
        <v>1</v>
      </c>
    </row>
    <row r="2074" spans="1:19" hidden="1" x14ac:dyDescent="0.35">
      <c r="A2074">
        <v>56231460500</v>
      </c>
      <c r="B2074" t="s">
        <v>2082</v>
      </c>
      <c r="C2074" t="str">
        <f>_xlfn.XLOOKUP(A2074,[1]Affiliations!$J$2:$J$5328,[1]Affiliations!$K$2:$K$5328,0)</f>
        <v>Instituto de Química (+1 more)</v>
      </c>
      <c r="D2074">
        <v>14</v>
      </c>
      <c r="E2074">
        <v>223</v>
      </c>
      <c r="F2074">
        <v>15.928572000000001</v>
      </c>
      <c r="G2074">
        <v>21</v>
      </c>
      <c r="H2074">
        <v>0.49</v>
      </c>
      <c r="I2074">
        <v>0</v>
      </c>
      <c r="J2074">
        <v>2</v>
      </c>
      <c r="K2074">
        <v>7</v>
      </c>
      <c r="L2074">
        <v>11</v>
      </c>
      <c r="M2074">
        <v>12</v>
      </c>
      <c r="N2074">
        <v>14</v>
      </c>
      <c r="P2074">
        <v>0</v>
      </c>
      <c r="Q2074">
        <v>0</v>
      </c>
      <c r="R2074">
        <v>0</v>
      </c>
      <c r="S2074">
        <v>4</v>
      </c>
    </row>
    <row r="2075" spans="1:19" x14ac:dyDescent="0.35">
      <c r="A2075">
        <v>55889197500</v>
      </c>
      <c r="B2075" t="s">
        <v>3818</v>
      </c>
      <c r="C2075" t="str">
        <f>_xlfn.XLOOKUP(A2075,[1]Affiliations!$J$2:$J$5328,[1]Affiliations!$K$2:$K$5328,0)</f>
        <v>Universidade de São Paulo (+1 more)</v>
      </c>
      <c r="D2075">
        <v>14</v>
      </c>
      <c r="E2075">
        <v>298</v>
      </c>
      <c r="F2075">
        <v>21.285715</v>
      </c>
      <c r="G2075">
        <v>12</v>
      </c>
      <c r="H2075">
        <v>1.02</v>
      </c>
      <c r="I2075">
        <v>0</v>
      </c>
      <c r="J2075">
        <v>3</v>
      </c>
      <c r="K2075">
        <v>7</v>
      </c>
      <c r="L2075">
        <v>9</v>
      </c>
      <c r="M2075">
        <v>13</v>
      </c>
      <c r="N2075">
        <v>14</v>
      </c>
      <c r="P2075">
        <v>0</v>
      </c>
      <c r="Q2075">
        <v>1</v>
      </c>
      <c r="R2075">
        <v>2</v>
      </c>
      <c r="S2075">
        <v>9</v>
      </c>
    </row>
    <row r="2076" spans="1:19" hidden="1" x14ac:dyDescent="0.35">
      <c r="A2076">
        <v>56160967900</v>
      </c>
      <c r="B2076" t="s">
        <v>2084</v>
      </c>
      <c r="C2076" t="str">
        <f>_xlfn.XLOOKUP(A2076,[1]Affiliations!$J$2:$J$5328,[1]Affiliations!$K$2:$K$5328,0)</f>
        <v>Engineering Simulation and Scientific Software (ESSS) (+1 more)</v>
      </c>
      <c r="D2076">
        <v>7</v>
      </c>
      <c r="E2076">
        <v>6</v>
      </c>
      <c r="F2076">
        <v>0.85714287</v>
      </c>
      <c r="G2076">
        <v>1</v>
      </c>
      <c r="H2076">
        <v>0.48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3</v>
      </c>
      <c r="P2076">
        <v>0</v>
      </c>
      <c r="Q2076">
        <v>0</v>
      </c>
      <c r="R2076">
        <v>0</v>
      </c>
      <c r="S2076">
        <v>0</v>
      </c>
    </row>
    <row r="2077" spans="1:19" x14ac:dyDescent="0.35">
      <c r="A2077">
        <v>57209644099</v>
      </c>
      <c r="B2077" t="s">
        <v>4101</v>
      </c>
      <c r="C2077" t="str">
        <f>_xlfn.XLOOKUP(A2077,[1]Affiliations!$J$2:$J$5328,[1]Affiliations!$K$2:$K$5328,0)</f>
        <v>Universidade Federal de Sergipe</v>
      </c>
      <c r="D2077">
        <v>8</v>
      </c>
      <c r="E2077">
        <v>287</v>
      </c>
      <c r="F2077">
        <v>35.875</v>
      </c>
      <c r="G2077">
        <v>18</v>
      </c>
      <c r="H2077">
        <v>1.02</v>
      </c>
      <c r="I2077">
        <v>0</v>
      </c>
      <c r="J2077">
        <v>1</v>
      </c>
      <c r="K2077">
        <v>6</v>
      </c>
      <c r="L2077">
        <v>7</v>
      </c>
      <c r="M2077">
        <v>8</v>
      </c>
      <c r="N2077">
        <v>8</v>
      </c>
      <c r="P2077">
        <v>0</v>
      </c>
      <c r="Q2077">
        <v>1</v>
      </c>
      <c r="R2077">
        <v>4</v>
      </c>
      <c r="S2077">
        <v>6</v>
      </c>
    </row>
    <row r="2078" spans="1:19" hidden="1" x14ac:dyDescent="0.35">
      <c r="A2078">
        <v>6507517734</v>
      </c>
      <c r="B2078" t="s">
        <v>2086</v>
      </c>
      <c r="C2078" t="str">
        <f>_xlfn.XLOOKUP(A2078,[1]Affiliations!$J$2:$J$5328,[1]Affiliations!$K$2:$K$5328,0)</f>
        <v>Universidade do Estado do Rio de Janeiro</v>
      </c>
      <c r="D2078">
        <v>1</v>
      </c>
      <c r="E2078">
        <v>25</v>
      </c>
      <c r="F2078">
        <v>25</v>
      </c>
      <c r="G2078">
        <v>4</v>
      </c>
      <c r="H2078">
        <v>1.89</v>
      </c>
      <c r="I2078">
        <v>0</v>
      </c>
      <c r="J2078">
        <v>0</v>
      </c>
      <c r="K2078">
        <v>0</v>
      </c>
      <c r="L2078">
        <v>1</v>
      </c>
      <c r="M2078">
        <v>1</v>
      </c>
      <c r="N2078">
        <v>1</v>
      </c>
      <c r="P2078">
        <v>0</v>
      </c>
      <c r="Q2078">
        <v>0</v>
      </c>
      <c r="R2078">
        <v>0</v>
      </c>
      <c r="S2078">
        <v>1</v>
      </c>
    </row>
    <row r="2079" spans="1:19" hidden="1" x14ac:dyDescent="0.35">
      <c r="A2079">
        <v>24070281400</v>
      </c>
      <c r="B2079" t="s">
        <v>2087</v>
      </c>
      <c r="C2079" t="str">
        <f>_xlfn.XLOOKUP(A2079,[1]Affiliations!$J$2:$J$5328,[1]Affiliations!$K$2:$K$5328,0)</f>
        <v>WIKKI Brasil LTDA (+1 more)</v>
      </c>
      <c r="D2079">
        <v>10</v>
      </c>
      <c r="E2079">
        <v>85</v>
      </c>
      <c r="F2079">
        <v>8.5</v>
      </c>
      <c r="G2079">
        <v>11</v>
      </c>
      <c r="H2079">
        <v>1.28</v>
      </c>
      <c r="I2079">
        <v>0</v>
      </c>
      <c r="J2079">
        <v>1</v>
      </c>
      <c r="K2079">
        <v>3</v>
      </c>
      <c r="L2079">
        <v>6</v>
      </c>
      <c r="M2079">
        <v>10</v>
      </c>
      <c r="N2079">
        <v>10</v>
      </c>
      <c r="P2079">
        <v>0</v>
      </c>
      <c r="Q2079">
        <v>0</v>
      </c>
      <c r="R2079">
        <v>0</v>
      </c>
      <c r="S2079">
        <v>2</v>
      </c>
    </row>
    <row r="2080" spans="1:19" x14ac:dyDescent="0.35">
      <c r="A2080">
        <v>57189223120</v>
      </c>
      <c r="B2080" t="s">
        <v>4146</v>
      </c>
      <c r="C2080" t="str">
        <f>_xlfn.XLOOKUP(A2080,[1]Affiliations!$J$2:$J$5328,[1]Affiliations!$K$2:$K$5328,0)</f>
        <v>Federal University of Rio de Janeiro</v>
      </c>
      <c r="D2080">
        <v>5</v>
      </c>
      <c r="E2080">
        <v>162</v>
      </c>
      <c r="F2080">
        <v>32.4</v>
      </c>
      <c r="G2080">
        <v>5</v>
      </c>
      <c r="H2080">
        <v>1.02</v>
      </c>
      <c r="I2080">
        <v>0</v>
      </c>
      <c r="J2080">
        <v>0</v>
      </c>
      <c r="K2080">
        <v>1</v>
      </c>
      <c r="L2080">
        <v>5</v>
      </c>
      <c r="M2080">
        <v>5</v>
      </c>
      <c r="N2080">
        <v>5</v>
      </c>
      <c r="P2080">
        <v>0</v>
      </c>
      <c r="Q2080">
        <v>0</v>
      </c>
      <c r="R2080">
        <v>2</v>
      </c>
      <c r="S2080">
        <v>2</v>
      </c>
    </row>
    <row r="2081" spans="1:19" x14ac:dyDescent="0.35">
      <c r="A2081">
        <v>36160615200</v>
      </c>
      <c r="B2081" t="s">
        <v>4483</v>
      </c>
      <c r="C2081" t="str">
        <f>_xlfn.XLOOKUP(A2081,[1]Affiliations!$J$2:$J$5328,[1]Affiliations!$K$2:$K$5328,0)</f>
        <v>Universidade Federal Fluminense (+1 more)</v>
      </c>
      <c r="D2081">
        <v>26</v>
      </c>
      <c r="E2081">
        <v>571</v>
      </c>
      <c r="F2081">
        <v>21.961538000000001</v>
      </c>
      <c r="G2081">
        <v>16</v>
      </c>
      <c r="H2081">
        <v>1.02</v>
      </c>
      <c r="I2081">
        <v>0</v>
      </c>
      <c r="J2081">
        <v>8</v>
      </c>
      <c r="K2081">
        <v>9</v>
      </c>
      <c r="L2081">
        <v>15</v>
      </c>
      <c r="M2081">
        <v>25</v>
      </c>
      <c r="N2081">
        <v>26</v>
      </c>
      <c r="P2081">
        <v>0</v>
      </c>
      <c r="Q2081">
        <v>3</v>
      </c>
      <c r="R2081">
        <v>7</v>
      </c>
      <c r="S2081">
        <v>10</v>
      </c>
    </row>
    <row r="2082" spans="1:19" hidden="1" x14ac:dyDescent="0.35">
      <c r="A2082">
        <v>57205353095</v>
      </c>
      <c r="B2082" t="s">
        <v>2090</v>
      </c>
      <c r="C2082" t="str">
        <f>_xlfn.XLOOKUP(A2082,[1]Affiliations!$J$2:$J$5328,[1]Affiliations!$K$2:$K$5328,0)</f>
        <v>Universidade de Brasília (+1 more)</v>
      </c>
      <c r="D2082">
        <v>8</v>
      </c>
      <c r="E2082">
        <v>52</v>
      </c>
      <c r="F2082">
        <v>6.5</v>
      </c>
      <c r="G2082">
        <v>4</v>
      </c>
      <c r="H2082">
        <v>0.64</v>
      </c>
      <c r="I2082">
        <v>0</v>
      </c>
      <c r="J2082">
        <v>3</v>
      </c>
      <c r="K2082">
        <v>3</v>
      </c>
      <c r="L2082">
        <v>3</v>
      </c>
      <c r="M2082">
        <v>5</v>
      </c>
      <c r="N2082">
        <v>8</v>
      </c>
      <c r="P2082">
        <v>0</v>
      </c>
      <c r="Q2082">
        <v>0</v>
      </c>
      <c r="R2082">
        <v>0</v>
      </c>
      <c r="S2082">
        <v>1</v>
      </c>
    </row>
    <row r="2083" spans="1:19" hidden="1" x14ac:dyDescent="0.35">
      <c r="A2083">
        <v>57224013061</v>
      </c>
      <c r="B2083" t="s">
        <v>2091</v>
      </c>
      <c r="C2083" t="str">
        <f>_xlfn.XLOOKUP(A2083,[1]Affiliations!$J$2:$J$5328,[1]Affiliations!$K$2:$K$5328,0)</f>
        <v>Federal University of Rio de Janeiro</v>
      </c>
      <c r="D2083">
        <v>3</v>
      </c>
      <c r="E2083">
        <v>57</v>
      </c>
      <c r="F2083">
        <v>19</v>
      </c>
      <c r="G2083">
        <v>2</v>
      </c>
      <c r="H2083">
        <v>1.1000000000000001</v>
      </c>
      <c r="I2083">
        <v>0</v>
      </c>
      <c r="J2083">
        <v>2</v>
      </c>
      <c r="K2083">
        <v>2</v>
      </c>
      <c r="L2083">
        <v>3</v>
      </c>
      <c r="M2083">
        <v>3</v>
      </c>
      <c r="N2083">
        <v>3</v>
      </c>
      <c r="P2083">
        <v>0</v>
      </c>
      <c r="Q2083">
        <v>0</v>
      </c>
      <c r="R2083">
        <v>1</v>
      </c>
      <c r="S2083">
        <v>1</v>
      </c>
    </row>
    <row r="2084" spans="1:19" hidden="1" x14ac:dyDescent="0.35">
      <c r="A2084">
        <v>57201425390</v>
      </c>
      <c r="B2084" t="s">
        <v>2092</v>
      </c>
      <c r="C2084" t="str">
        <f>_xlfn.XLOOKUP(A2084,[1]Affiliations!$J$2:$J$5328,[1]Affiliations!$K$2:$K$5328,0)</f>
        <v>Desenvolvimento Rodoviário S/A - DERSA</v>
      </c>
      <c r="D2084">
        <v>1</v>
      </c>
      <c r="E2084">
        <v>0</v>
      </c>
      <c r="F2084">
        <v>0</v>
      </c>
      <c r="G2084">
        <v>0</v>
      </c>
      <c r="H2084">
        <v>0</v>
      </c>
      <c r="P2084">
        <v>0</v>
      </c>
      <c r="Q2084">
        <v>0</v>
      </c>
      <c r="R2084">
        <v>0</v>
      </c>
      <c r="S2084">
        <v>0</v>
      </c>
    </row>
    <row r="2085" spans="1:19" hidden="1" x14ac:dyDescent="0.35">
      <c r="A2085">
        <v>59138620900</v>
      </c>
      <c r="B2085" t="s">
        <v>2093</v>
      </c>
      <c r="C2085" t="str">
        <f>_xlfn.XLOOKUP(A2085,[1]Affiliations!$J$2:$J$5328,[1]Affiliations!$K$2:$K$5328,0)</f>
        <v>Pontifical Catholic University of Rio de Janeiro</v>
      </c>
      <c r="D2085">
        <v>3</v>
      </c>
      <c r="E2085">
        <v>28</v>
      </c>
      <c r="F2085">
        <v>9.3333329999999997</v>
      </c>
      <c r="G2085">
        <v>4</v>
      </c>
      <c r="H2085">
        <v>5.74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3</v>
      </c>
      <c r="P2085">
        <v>0</v>
      </c>
      <c r="Q2085">
        <v>0</v>
      </c>
      <c r="R2085">
        <v>1</v>
      </c>
      <c r="S2085">
        <v>3</v>
      </c>
    </row>
    <row r="2086" spans="1:19" hidden="1" x14ac:dyDescent="0.35">
      <c r="A2086">
        <v>36681187100</v>
      </c>
      <c r="B2086" t="s">
        <v>2094</v>
      </c>
      <c r="C2086" t="str">
        <f>_xlfn.XLOOKUP(A2086,[1]Affiliations!$J$2:$J$5328,[1]Affiliations!$K$2:$K$5328,0)</f>
        <v>OptimaTech (+4 more)</v>
      </c>
      <c r="D2086">
        <v>11</v>
      </c>
      <c r="E2086">
        <v>145</v>
      </c>
      <c r="F2086">
        <v>13.181818</v>
      </c>
      <c r="G2086">
        <v>9</v>
      </c>
      <c r="H2086">
        <v>0.48</v>
      </c>
      <c r="I2086">
        <v>0</v>
      </c>
      <c r="J2086">
        <v>0</v>
      </c>
      <c r="K2086">
        <v>0</v>
      </c>
      <c r="L2086">
        <v>3</v>
      </c>
      <c r="M2086">
        <v>8</v>
      </c>
      <c r="N2086">
        <v>11</v>
      </c>
      <c r="P2086">
        <v>0</v>
      </c>
      <c r="Q2086">
        <v>0</v>
      </c>
      <c r="R2086">
        <v>0</v>
      </c>
      <c r="S2086">
        <v>3</v>
      </c>
    </row>
    <row r="2087" spans="1:19" x14ac:dyDescent="0.35">
      <c r="A2087">
        <v>25634934600</v>
      </c>
      <c r="B2087" t="s">
        <v>4624</v>
      </c>
      <c r="C2087" t="str">
        <f>_xlfn.XLOOKUP(A2087,[1]Affiliations!$J$2:$J$5328,[1]Affiliations!$K$2:$K$5328,0)</f>
        <v>Federal University of Rio de Janeiro</v>
      </c>
      <c r="D2087">
        <v>28</v>
      </c>
      <c r="E2087">
        <v>532</v>
      </c>
      <c r="F2087">
        <v>19</v>
      </c>
      <c r="G2087">
        <v>20</v>
      </c>
      <c r="H2087">
        <v>1.02</v>
      </c>
      <c r="I2087">
        <v>0</v>
      </c>
      <c r="J2087">
        <v>2</v>
      </c>
      <c r="K2087">
        <v>5</v>
      </c>
      <c r="L2087">
        <v>14</v>
      </c>
      <c r="M2087">
        <v>27</v>
      </c>
      <c r="N2087">
        <v>28</v>
      </c>
      <c r="P2087">
        <v>0</v>
      </c>
      <c r="Q2087">
        <v>0</v>
      </c>
      <c r="R2087">
        <v>3</v>
      </c>
      <c r="S2087">
        <v>16</v>
      </c>
    </row>
    <row r="2088" spans="1:19" hidden="1" x14ac:dyDescent="0.35">
      <c r="A2088">
        <v>57190136990</v>
      </c>
      <c r="B2088" t="s">
        <v>2096</v>
      </c>
      <c r="C2088" t="str">
        <f>_xlfn.XLOOKUP(A2088,[1]Affiliations!$J$2:$J$5328,[1]Affiliations!$K$2:$K$5328,0)</f>
        <v>DEMa</v>
      </c>
      <c r="D2088">
        <v>5</v>
      </c>
      <c r="E2088">
        <v>102</v>
      </c>
      <c r="F2088">
        <v>20.399999999999999</v>
      </c>
      <c r="G2088">
        <v>5</v>
      </c>
      <c r="H2088">
        <v>0.84</v>
      </c>
      <c r="I2088">
        <v>0</v>
      </c>
      <c r="J2088">
        <v>0</v>
      </c>
      <c r="K2088">
        <v>0</v>
      </c>
      <c r="L2088">
        <v>1</v>
      </c>
      <c r="M2088">
        <v>5</v>
      </c>
      <c r="N2088">
        <v>5</v>
      </c>
      <c r="P2088">
        <v>0</v>
      </c>
      <c r="Q2088">
        <v>0</v>
      </c>
      <c r="R2088">
        <v>1</v>
      </c>
      <c r="S2088">
        <v>1</v>
      </c>
    </row>
    <row r="2089" spans="1:19" hidden="1" x14ac:dyDescent="0.35">
      <c r="A2089">
        <v>57189681956</v>
      </c>
      <c r="B2089" t="s">
        <v>2097</v>
      </c>
      <c r="C2089" t="str">
        <f>_xlfn.XLOOKUP(A2089,[1]Affiliations!$J$2:$J$5328,[1]Affiliations!$K$2:$K$5328,0)</f>
        <v>Instituto Nacional de Tecnologia</v>
      </c>
      <c r="D2089">
        <v>3</v>
      </c>
      <c r="E2089">
        <v>83</v>
      </c>
      <c r="F2089">
        <v>27.666665999999999</v>
      </c>
      <c r="G2089">
        <v>4</v>
      </c>
      <c r="H2089">
        <v>1.2</v>
      </c>
      <c r="I2089">
        <v>0</v>
      </c>
      <c r="J2089">
        <v>1</v>
      </c>
      <c r="K2089">
        <v>1</v>
      </c>
      <c r="L2089">
        <v>3</v>
      </c>
      <c r="M2089">
        <v>3</v>
      </c>
      <c r="N2089">
        <v>3</v>
      </c>
      <c r="P2089">
        <v>0</v>
      </c>
      <c r="Q2089">
        <v>0</v>
      </c>
      <c r="R2089">
        <v>0</v>
      </c>
      <c r="S2089">
        <v>2</v>
      </c>
    </row>
    <row r="2090" spans="1:19" hidden="1" x14ac:dyDescent="0.35">
      <c r="A2090">
        <v>56545729600</v>
      </c>
      <c r="B2090" t="s">
        <v>2098</v>
      </c>
      <c r="C2090" t="str">
        <f>_xlfn.XLOOKUP(A2090,[1]Affiliations!$J$2:$J$5328,[1]Affiliations!$K$2:$K$5328,0)</f>
        <v>Universidade Federal do Espírito Santo (+1 more)</v>
      </c>
      <c r="D2090">
        <v>5</v>
      </c>
      <c r="E2090">
        <v>14</v>
      </c>
      <c r="F2090">
        <v>2.8</v>
      </c>
      <c r="G2090">
        <v>3</v>
      </c>
      <c r="H2090">
        <v>0.66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3</v>
      </c>
      <c r="P2090">
        <v>0</v>
      </c>
      <c r="Q2090">
        <v>0</v>
      </c>
      <c r="R2090">
        <v>0</v>
      </c>
      <c r="S2090">
        <v>0</v>
      </c>
    </row>
    <row r="2091" spans="1:19" hidden="1" x14ac:dyDescent="0.35">
      <c r="A2091">
        <v>57420991100</v>
      </c>
      <c r="B2091" t="s">
        <v>2099</v>
      </c>
      <c r="C2091" t="str">
        <f>_xlfn.XLOOKUP(A2091,[1]Affiliations!$J$2:$J$5328,[1]Affiliations!$K$2:$K$5328,0)</f>
        <v>Universidade Estadual Paulista “Júlio de Mesquita Filho”</v>
      </c>
      <c r="D2091">
        <v>1</v>
      </c>
      <c r="E2091">
        <v>80</v>
      </c>
      <c r="F2091">
        <v>80</v>
      </c>
      <c r="G2091">
        <v>1</v>
      </c>
      <c r="H2091">
        <v>1.41</v>
      </c>
      <c r="I2091">
        <v>1</v>
      </c>
      <c r="J2091">
        <v>1</v>
      </c>
      <c r="K2091">
        <v>1</v>
      </c>
      <c r="L2091">
        <v>1</v>
      </c>
      <c r="M2091">
        <v>1</v>
      </c>
      <c r="N2091">
        <v>1</v>
      </c>
      <c r="P2091">
        <v>1</v>
      </c>
      <c r="Q2091">
        <v>1</v>
      </c>
      <c r="R2091">
        <v>1</v>
      </c>
      <c r="S2091">
        <v>1</v>
      </c>
    </row>
    <row r="2092" spans="1:19" hidden="1" x14ac:dyDescent="0.35">
      <c r="A2092">
        <v>57219238521</v>
      </c>
      <c r="B2092" t="s">
        <v>2100</v>
      </c>
      <c r="C2092" t="str">
        <f>_xlfn.XLOOKUP(A2092,[1]Affiliations!$J$2:$J$5328,[1]Affiliations!$K$2:$K$5328,0)</f>
        <v>Federal University of Santa Catarina</v>
      </c>
      <c r="D2092">
        <v>2</v>
      </c>
      <c r="E2092">
        <v>8</v>
      </c>
      <c r="F2092">
        <v>4</v>
      </c>
      <c r="G2092">
        <v>2</v>
      </c>
      <c r="H2092">
        <v>0.25</v>
      </c>
      <c r="I2092">
        <v>0</v>
      </c>
      <c r="J2092">
        <v>0</v>
      </c>
      <c r="K2092">
        <v>1</v>
      </c>
      <c r="L2092">
        <v>2</v>
      </c>
      <c r="M2092">
        <v>2</v>
      </c>
      <c r="N2092">
        <v>2</v>
      </c>
      <c r="P2092">
        <v>0</v>
      </c>
      <c r="Q2092">
        <v>0</v>
      </c>
      <c r="R2092">
        <v>0</v>
      </c>
      <c r="S2092">
        <v>0</v>
      </c>
    </row>
    <row r="2093" spans="1:19" hidden="1" x14ac:dyDescent="0.35">
      <c r="A2093">
        <v>57219654532</v>
      </c>
      <c r="B2093" t="s">
        <v>2101</v>
      </c>
      <c r="C2093" t="str">
        <f>_xlfn.XLOOKUP(A2093,[1]Affiliations!$J$2:$J$5328,[1]Affiliations!$K$2:$K$5328,0)</f>
        <v>Centro Brasileiro de Pesquisas Físicas</v>
      </c>
      <c r="D2093">
        <v>7</v>
      </c>
      <c r="E2093">
        <v>72</v>
      </c>
      <c r="F2093">
        <v>10.285714</v>
      </c>
      <c r="G2093">
        <v>5</v>
      </c>
      <c r="H2093">
        <v>0.8</v>
      </c>
      <c r="I2093">
        <v>0</v>
      </c>
      <c r="J2093">
        <v>1</v>
      </c>
      <c r="K2093">
        <v>1</v>
      </c>
      <c r="L2093">
        <v>3</v>
      </c>
      <c r="M2093">
        <v>7</v>
      </c>
      <c r="N2093">
        <v>7</v>
      </c>
      <c r="P2093">
        <v>0</v>
      </c>
      <c r="Q2093">
        <v>0</v>
      </c>
      <c r="R2093">
        <v>0</v>
      </c>
      <c r="S2093">
        <v>4</v>
      </c>
    </row>
    <row r="2094" spans="1:19" hidden="1" x14ac:dyDescent="0.35">
      <c r="A2094">
        <v>56425771400</v>
      </c>
      <c r="B2094" t="s">
        <v>2102</v>
      </c>
      <c r="C2094" t="str">
        <f>_xlfn.XLOOKUP(A2094,[1]Affiliations!$J$2:$J$5328,[1]Affiliations!$K$2:$K$5328,0)</f>
        <v>Universidade Federal do Rio Grande do Sul</v>
      </c>
      <c r="D2094">
        <v>3</v>
      </c>
      <c r="E2094">
        <v>68</v>
      </c>
      <c r="F2094">
        <v>22.666665999999999</v>
      </c>
      <c r="G2094">
        <v>3</v>
      </c>
      <c r="H2094">
        <v>0.8</v>
      </c>
      <c r="I2094">
        <v>0</v>
      </c>
      <c r="J2094">
        <v>0</v>
      </c>
      <c r="K2094">
        <v>1</v>
      </c>
      <c r="L2094">
        <v>2</v>
      </c>
      <c r="M2094">
        <v>3</v>
      </c>
      <c r="N2094">
        <v>3</v>
      </c>
      <c r="P2094">
        <v>0</v>
      </c>
      <c r="Q2094">
        <v>0</v>
      </c>
      <c r="R2094">
        <v>0</v>
      </c>
      <c r="S2094">
        <v>2</v>
      </c>
    </row>
    <row r="2095" spans="1:19" hidden="1" x14ac:dyDescent="0.35">
      <c r="A2095">
        <v>57215492631</v>
      </c>
      <c r="B2095" t="s">
        <v>2103</v>
      </c>
      <c r="C2095" t="str">
        <f>_xlfn.XLOOKUP(A2095,[1]Affiliations!$J$2:$J$5328,[1]Affiliations!$K$2:$K$5328,0)</f>
        <v>Federal University of Rio de Janeiro</v>
      </c>
      <c r="D2095">
        <v>5</v>
      </c>
      <c r="E2095">
        <v>56</v>
      </c>
      <c r="F2095">
        <v>11.2</v>
      </c>
      <c r="G2095">
        <v>5</v>
      </c>
      <c r="H2095">
        <v>0.99</v>
      </c>
      <c r="I2095">
        <v>0</v>
      </c>
      <c r="J2095">
        <v>1</v>
      </c>
      <c r="K2095">
        <v>2</v>
      </c>
      <c r="L2095">
        <v>3</v>
      </c>
      <c r="M2095">
        <v>5</v>
      </c>
      <c r="N2095">
        <v>5</v>
      </c>
      <c r="P2095">
        <v>0</v>
      </c>
      <c r="Q2095">
        <v>0</v>
      </c>
      <c r="R2095">
        <v>0</v>
      </c>
      <c r="S2095">
        <v>3</v>
      </c>
    </row>
    <row r="2096" spans="1:19" hidden="1" x14ac:dyDescent="0.35">
      <c r="A2096">
        <v>57209602816</v>
      </c>
      <c r="B2096" t="s">
        <v>2104</v>
      </c>
      <c r="C2096" t="str">
        <f>_xlfn.XLOOKUP(A2096,[1]Affiliations!$J$2:$J$5328,[1]Affiliations!$K$2:$K$5328,0)</f>
        <v>Federal University of Rio de Janeiro</v>
      </c>
      <c r="D2096">
        <v>1</v>
      </c>
      <c r="E2096">
        <v>14</v>
      </c>
      <c r="F2096">
        <v>14</v>
      </c>
      <c r="G2096">
        <v>1</v>
      </c>
      <c r="H2096">
        <v>0.36</v>
      </c>
      <c r="I2096">
        <v>0</v>
      </c>
      <c r="J2096">
        <v>0</v>
      </c>
      <c r="K2096">
        <v>0</v>
      </c>
      <c r="L2096">
        <v>1</v>
      </c>
      <c r="M2096">
        <v>1</v>
      </c>
      <c r="N2096">
        <v>1</v>
      </c>
      <c r="P2096">
        <v>0</v>
      </c>
      <c r="Q2096">
        <v>0</v>
      </c>
      <c r="R2096">
        <v>0</v>
      </c>
      <c r="S2096">
        <v>0</v>
      </c>
    </row>
    <row r="2097" spans="1:19" hidden="1" x14ac:dyDescent="0.35">
      <c r="A2097">
        <v>57393755500</v>
      </c>
      <c r="B2097" t="s">
        <v>2105</v>
      </c>
      <c r="C2097" t="str">
        <f>_xlfn.XLOOKUP(A2097,[1]Affiliations!$J$2:$J$5328,[1]Affiliations!$K$2:$K$5328,0)</f>
        <v>Pontifical Catholic University of Rio de Janeiro</v>
      </c>
      <c r="D2097">
        <v>2</v>
      </c>
      <c r="E2097">
        <v>7</v>
      </c>
      <c r="F2097">
        <v>3.5</v>
      </c>
      <c r="G2097">
        <v>2</v>
      </c>
      <c r="H2097">
        <v>0.26</v>
      </c>
      <c r="I2097">
        <v>0</v>
      </c>
      <c r="J2097">
        <v>0</v>
      </c>
      <c r="K2097">
        <v>0</v>
      </c>
      <c r="L2097">
        <v>0</v>
      </c>
      <c r="M2097">
        <v>2</v>
      </c>
      <c r="N2097">
        <v>2</v>
      </c>
      <c r="P2097">
        <v>0</v>
      </c>
      <c r="Q2097">
        <v>0</v>
      </c>
      <c r="R2097">
        <v>0</v>
      </c>
      <c r="S2097">
        <v>0</v>
      </c>
    </row>
    <row r="2098" spans="1:19" hidden="1" x14ac:dyDescent="0.35">
      <c r="A2098">
        <v>57223389040</v>
      </c>
      <c r="B2098" t="s">
        <v>2106</v>
      </c>
      <c r="C2098" t="str">
        <f>_xlfn.XLOOKUP(A2098,[1]Affiliations!$J$2:$J$5328,[1]Affiliations!$K$2:$K$5328,0)</f>
        <v>Federal University of Santa Catarina</v>
      </c>
      <c r="D2098">
        <v>1</v>
      </c>
      <c r="E2098">
        <v>2</v>
      </c>
      <c r="F2098">
        <v>2</v>
      </c>
      <c r="G2098">
        <v>1</v>
      </c>
      <c r="H2098">
        <v>1.66</v>
      </c>
      <c r="P2098">
        <v>0</v>
      </c>
      <c r="Q2098">
        <v>0</v>
      </c>
      <c r="R2098">
        <v>0</v>
      </c>
      <c r="S2098">
        <v>0</v>
      </c>
    </row>
    <row r="2099" spans="1:19" x14ac:dyDescent="0.35">
      <c r="A2099">
        <v>25639268200</v>
      </c>
      <c r="B2099" t="s">
        <v>4794</v>
      </c>
      <c r="C2099" t="str">
        <f>_xlfn.XLOOKUP(A2099,[1]Affiliations!$J$2:$J$5328,[1]Affiliations!$K$2:$K$5328,0)</f>
        <v>Universidade de Brasília</v>
      </c>
      <c r="D2099">
        <v>18</v>
      </c>
      <c r="E2099">
        <v>313</v>
      </c>
      <c r="F2099">
        <v>17.38889</v>
      </c>
      <c r="G2099">
        <v>12</v>
      </c>
      <c r="H2099">
        <v>1.02</v>
      </c>
      <c r="I2099">
        <v>0</v>
      </c>
      <c r="J2099">
        <v>0</v>
      </c>
      <c r="K2099">
        <v>1</v>
      </c>
      <c r="L2099">
        <v>7</v>
      </c>
      <c r="M2099">
        <v>15</v>
      </c>
      <c r="N2099">
        <v>15</v>
      </c>
      <c r="P2099">
        <v>0</v>
      </c>
      <c r="Q2099">
        <v>1</v>
      </c>
      <c r="R2099">
        <v>1</v>
      </c>
      <c r="S2099">
        <v>7</v>
      </c>
    </row>
    <row r="2100" spans="1:19" hidden="1" x14ac:dyDescent="0.35">
      <c r="A2100">
        <v>56462046300</v>
      </c>
      <c r="B2100" t="s">
        <v>2108</v>
      </c>
      <c r="C2100" t="str">
        <f>_xlfn.XLOOKUP(A2100,[1]Affiliations!$J$2:$J$5328,[1]Affiliations!$K$2:$K$5328,0)</f>
        <v>Universidade Federal do Rio Grande do Norte</v>
      </c>
      <c r="D2100">
        <v>1</v>
      </c>
      <c r="E2100">
        <v>52</v>
      </c>
      <c r="F2100">
        <v>52</v>
      </c>
      <c r="G2100">
        <v>1</v>
      </c>
      <c r="H2100">
        <v>1.67</v>
      </c>
      <c r="I2100">
        <v>0</v>
      </c>
      <c r="J2100">
        <v>0</v>
      </c>
      <c r="K2100">
        <v>0</v>
      </c>
      <c r="L2100">
        <v>0</v>
      </c>
      <c r="M2100">
        <v>1</v>
      </c>
      <c r="N2100">
        <v>1</v>
      </c>
      <c r="P2100">
        <v>0</v>
      </c>
      <c r="Q2100">
        <v>0</v>
      </c>
      <c r="R2100">
        <v>0</v>
      </c>
      <c r="S2100">
        <v>1</v>
      </c>
    </row>
    <row r="2101" spans="1:19" hidden="1" x14ac:dyDescent="0.35">
      <c r="A2101">
        <v>57219298373</v>
      </c>
      <c r="B2101" t="s">
        <v>2109</v>
      </c>
      <c r="C2101" t="str">
        <f>_xlfn.XLOOKUP(A2101,[1]Affiliations!$J$2:$J$5328,[1]Affiliations!$K$2:$K$5328,0)</f>
        <v>Federal University of Rio de Janeiro</v>
      </c>
      <c r="D2101">
        <v>2</v>
      </c>
      <c r="E2101">
        <v>25</v>
      </c>
      <c r="F2101">
        <v>12.5</v>
      </c>
      <c r="G2101">
        <v>2</v>
      </c>
      <c r="H2101">
        <v>0.61</v>
      </c>
      <c r="I2101">
        <v>0</v>
      </c>
      <c r="J2101">
        <v>0</v>
      </c>
      <c r="K2101">
        <v>0</v>
      </c>
      <c r="L2101">
        <v>0</v>
      </c>
      <c r="M2101">
        <v>2</v>
      </c>
      <c r="N2101">
        <v>2</v>
      </c>
      <c r="P2101">
        <v>0</v>
      </c>
      <c r="Q2101">
        <v>0</v>
      </c>
      <c r="R2101">
        <v>0</v>
      </c>
      <c r="S2101">
        <v>1</v>
      </c>
    </row>
    <row r="2102" spans="1:19" hidden="1" x14ac:dyDescent="0.35">
      <c r="A2102">
        <v>58125955700</v>
      </c>
      <c r="B2102" t="s">
        <v>2110</v>
      </c>
      <c r="C2102" t="str">
        <f>_xlfn.XLOOKUP(A2102,[1]Affiliations!$J$2:$J$5328,[1]Affiliations!$K$2:$K$5328,0)</f>
        <v>Federal University of Rio de Janeiro</v>
      </c>
      <c r="D2102">
        <v>2</v>
      </c>
      <c r="E2102">
        <v>2</v>
      </c>
      <c r="F2102">
        <v>1</v>
      </c>
      <c r="G2102">
        <v>1</v>
      </c>
      <c r="H2102">
        <v>1.39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1</v>
      </c>
      <c r="P2102">
        <v>0</v>
      </c>
      <c r="Q2102">
        <v>0</v>
      </c>
      <c r="R2102">
        <v>0</v>
      </c>
      <c r="S2102">
        <v>0</v>
      </c>
    </row>
    <row r="2103" spans="1:19" hidden="1" x14ac:dyDescent="0.35">
      <c r="A2103">
        <v>57224004661</v>
      </c>
      <c r="B2103" t="s">
        <v>2111</v>
      </c>
      <c r="C2103" t="str">
        <f>_xlfn.XLOOKUP(A2103,[1]Affiliations!$J$2:$J$5328,[1]Affiliations!$K$2:$K$5328,0)</f>
        <v>Universidade Federal de Pernambuco</v>
      </c>
      <c r="D2103">
        <v>2</v>
      </c>
      <c r="E2103">
        <v>7</v>
      </c>
      <c r="F2103">
        <v>3.5</v>
      </c>
      <c r="G2103">
        <v>2</v>
      </c>
      <c r="H2103">
        <v>0.59</v>
      </c>
      <c r="I2103">
        <v>0</v>
      </c>
      <c r="J2103">
        <v>0</v>
      </c>
      <c r="K2103">
        <v>0</v>
      </c>
      <c r="L2103">
        <v>1</v>
      </c>
      <c r="M2103">
        <v>1</v>
      </c>
      <c r="N2103">
        <v>1</v>
      </c>
      <c r="P2103">
        <v>0</v>
      </c>
      <c r="Q2103">
        <v>0</v>
      </c>
      <c r="R2103">
        <v>0</v>
      </c>
      <c r="S2103">
        <v>1</v>
      </c>
    </row>
    <row r="2104" spans="1:19" hidden="1" x14ac:dyDescent="0.35">
      <c r="A2104">
        <v>59895468000</v>
      </c>
      <c r="B2104" t="s">
        <v>2112</v>
      </c>
      <c r="C2104" t="str">
        <f>_xlfn.XLOOKUP(A2104,[1]Affiliations!$J$2:$J$5328,[1]Affiliations!$K$2:$K$5328,0)</f>
        <v>Laboratory of Scientific Computing and Visualization</v>
      </c>
      <c r="D2104">
        <v>0</v>
      </c>
      <c r="G2104">
        <v>0</v>
      </c>
    </row>
    <row r="2105" spans="1:19" hidden="1" x14ac:dyDescent="0.35">
      <c r="A2105">
        <v>57417398200</v>
      </c>
      <c r="B2105" t="s">
        <v>2113</v>
      </c>
      <c r="C2105" t="str">
        <f>_xlfn.XLOOKUP(A2105,[1]Affiliations!$J$2:$J$5328,[1]Affiliations!$K$2:$K$5328,0)</f>
        <v>Pontifical Catholic University of Rio de Janeiro</v>
      </c>
      <c r="D2105">
        <v>1</v>
      </c>
      <c r="E2105">
        <v>0</v>
      </c>
      <c r="F2105">
        <v>0</v>
      </c>
      <c r="G2105">
        <v>0</v>
      </c>
      <c r="H2105">
        <v>0</v>
      </c>
      <c r="P2105">
        <v>0</v>
      </c>
      <c r="Q2105">
        <v>0</v>
      </c>
      <c r="R2105">
        <v>0</v>
      </c>
      <c r="S2105">
        <v>0</v>
      </c>
    </row>
    <row r="2106" spans="1:19" x14ac:dyDescent="0.35">
      <c r="A2106">
        <v>57220482949</v>
      </c>
      <c r="B2106" t="s">
        <v>4985</v>
      </c>
      <c r="C2106" t="str">
        <f>_xlfn.XLOOKUP(A2106,[1]Affiliations!$J$2:$J$5328,[1]Affiliations!$K$2:$K$5328,0)</f>
        <v>Federal University of Rio de Janeiro</v>
      </c>
      <c r="D2106">
        <v>11</v>
      </c>
      <c r="E2106">
        <v>203</v>
      </c>
      <c r="F2106">
        <v>18.454546000000001</v>
      </c>
      <c r="G2106">
        <v>7</v>
      </c>
      <c r="H2106">
        <v>1.02</v>
      </c>
      <c r="I2106">
        <v>0</v>
      </c>
      <c r="J2106">
        <v>1</v>
      </c>
      <c r="K2106">
        <v>3</v>
      </c>
      <c r="L2106">
        <v>8</v>
      </c>
      <c r="M2106">
        <v>9</v>
      </c>
      <c r="N2106">
        <v>9</v>
      </c>
      <c r="P2106">
        <v>0</v>
      </c>
      <c r="Q2106">
        <v>1</v>
      </c>
      <c r="R2106">
        <v>2</v>
      </c>
      <c r="S2106">
        <v>7</v>
      </c>
    </row>
    <row r="2107" spans="1:19" hidden="1" x14ac:dyDescent="0.35">
      <c r="A2107">
        <v>58995964100</v>
      </c>
      <c r="B2107" t="s">
        <v>2115</v>
      </c>
      <c r="C2107" t="str">
        <f>_xlfn.XLOOKUP(A2107,[1]Affiliations!$J$2:$J$5328,[1]Affiliations!$K$2:$K$5328,0)</f>
        <v>Federal University of Rio de Janeiro</v>
      </c>
      <c r="D2107">
        <v>2</v>
      </c>
      <c r="E2107">
        <v>1</v>
      </c>
      <c r="F2107">
        <v>0.5</v>
      </c>
      <c r="G2107">
        <v>1</v>
      </c>
      <c r="H2107">
        <v>7.0000000000000007E-2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2</v>
      </c>
      <c r="P2107">
        <v>0</v>
      </c>
      <c r="Q2107">
        <v>0</v>
      </c>
      <c r="R2107">
        <v>0</v>
      </c>
      <c r="S2107">
        <v>0</v>
      </c>
    </row>
    <row r="2108" spans="1:19" hidden="1" x14ac:dyDescent="0.35">
      <c r="A2108">
        <v>19933270900</v>
      </c>
      <c r="B2108" t="s">
        <v>2116</v>
      </c>
      <c r="C2108" t="str">
        <f>_xlfn.XLOOKUP(A2108,[1]Affiliations!$J$2:$J$5328,[1]Affiliations!$K$2:$K$5328,0)</f>
        <v>Federal University of Rio de Janeiro</v>
      </c>
      <c r="D2108">
        <v>8</v>
      </c>
      <c r="E2108">
        <v>42</v>
      </c>
      <c r="F2108">
        <v>5.25</v>
      </c>
      <c r="G2108">
        <v>7</v>
      </c>
      <c r="H2108">
        <v>0.21</v>
      </c>
      <c r="I2108">
        <v>0</v>
      </c>
      <c r="J2108">
        <v>0</v>
      </c>
      <c r="K2108">
        <v>0</v>
      </c>
      <c r="L2108">
        <v>2</v>
      </c>
      <c r="M2108">
        <v>5</v>
      </c>
      <c r="N2108">
        <v>5</v>
      </c>
      <c r="P2108">
        <v>0</v>
      </c>
      <c r="Q2108">
        <v>0</v>
      </c>
      <c r="R2108">
        <v>0</v>
      </c>
      <c r="S2108">
        <v>1</v>
      </c>
    </row>
    <row r="2109" spans="1:19" hidden="1" x14ac:dyDescent="0.35">
      <c r="A2109">
        <v>58093046300</v>
      </c>
      <c r="B2109" t="s">
        <v>2117</v>
      </c>
      <c r="C2109" t="str">
        <f>_xlfn.XLOOKUP(A2109,[1]Affiliations!$J$2:$J$5328,[1]Affiliations!$K$2:$K$5328,0)</f>
        <v>Universidade Federal Fluminense</v>
      </c>
      <c r="D2109">
        <v>4</v>
      </c>
      <c r="E2109">
        <v>15</v>
      </c>
      <c r="F2109">
        <v>3.75</v>
      </c>
      <c r="G2109">
        <v>2</v>
      </c>
      <c r="H2109">
        <v>0.76</v>
      </c>
      <c r="I2109">
        <v>0</v>
      </c>
      <c r="J2109">
        <v>1</v>
      </c>
      <c r="K2109">
        <v>2</v>
      </c>
      <c r="L2109">
        <v>2</v>
      </c>
      <c r="M2109">
        <v>2</v>
      </c>
      <c r="N2109">
        <v>2</v>
      </c>
      <c r="P2109">
        <v>0</v>
      </c>
      <c r="Q2109">
        <v>0</v>
      </c>
      <c r="R2109">
        <v>0</v>
      </c>
      <c r="S2109">
        <v>1</v>
      </c>
    </row>
    <row r="2110" spans="1:19" hidden="1" x14ac:dyDescent="0.35">
      <c r="A2110">
        <v>57336999000</v>
      </c>
      <c r="B2110" t="s">
        <v>2118</v>
      </c>
      <c r="C2110" t="str">
        <f>_xlfn.XLOOKUP(A2110,[1]Affiliations!$J$2:$J$5328,[1]Affiliations!$K$2:$K$5328,0)</f>
        <v>Universidade Federal do Espírito Santo</v>
      </c>
      <c r="D2110">
        <v>1</v>
      </c>
      <c r="E2110">
        <v>7</v>
      </c>
      <c r="F2110">
        <v>7</v>
      </c>
      <c r="G2110">
        <v>1</v>
      </c>
      <c r="H2110">
        <v>0.41</v>
      </c>
      <c r="I2110">
        <v>0</v>
      </c>
      <c r="J2110">
        <v>1</v>
      </c>
      <c r="K2110">
        <v>1</v>
      </c>
      <c r="L2110">
        <v>1</v>
      </c>
      <c r="M2110">
        <v>1</v>
      </c>
      <c r="N2110">
        <v>1</v>
      </c>
      <c r="P2110">
        <v>0</v>
      </c>
      <c r="Q2110">
        <v>0</v>
      </c>
      <c r="R2110">
        <v>0</v>
      </c>
      <c r="S2110">
        <v>0</v>
      </c>
    </row>
    <row r="2111" spans="1:19" hidden="1" x14ac:dyDescent="0.35">
      <c r="A2111">
        <v>57829844300</v>
      </c>
      <c r="B2111" t="s">
        <v>2119</v>
      </c>
      <c r="C2111" t="str">
        <f>_xlfn.XLOOKUP(A2111,[1]Affiliations!$J$2:$J$5328,[1]Affiliations!$K$2:$K$5328,0)</f>
        <v>Pontifical Catholic University of Rio de Janeiro</v>
      </c>
      <c r="D2111">
        <v>1</v>
      </c>
      <c r="E2111">
        <v>8</v>
      </c>
      <c r="F2111">
        <v>8</v>
      </c>
      <c r="G2111">
        <v>1</v>
      </c>
      <c r="H2111">
        <v>0.56999999999999995</v>
      </c>
      <c r="I2111">
        <v>0</v>
      </c>
      <c r="J2111">
        <v>0</v>
      </c>
      <c r="K2111">
        <v>1</v>
      </c>
      <c r="L2111">
        <v>1</v>
      </c>
      <c r="M2111">
        <v>1</v>
      </c>
      <c r="N2111">
        <v>1</v>
      </c>
      <c r="P2111">
        <v>0</v>
      </c>
      <c r="Q2111">
        <v>0</v>
      </c>
      <c r="R2111">
        <v>0</v>
      </c>
      <c r="S2111">
        <v>0</v>
      </c>
    </row>
    <row r="2112" spans="1:19" x14ac:dyDescent="0.35">
      <c r="A2112">
        <v>57193092953</v>
      </c>
      <c r="B2112" t="s">
        <v>190</v>
      </c>
      <c r="C2112" t="str">
        <f>_xlfn.XLOOKUP(A2112,[1]Affiliations!$J$2:$J$5328,[1]Affiliations!$K$2:$K$5328,0)</f>
        <v>Universidade do Estado do Rio de Janeiro (+1 more)</v>
      </c>
      <c r="D2112">
        <v>14</v>
      </c>
      <c r="E2112">
        <v>162</v>
      </c>
      <c r="F2112">
        <v>11.571427999999999</v>
      </c>
      <c r="G2112">
        <v>8</v>
      </c>
      <c r="H2112">
        <v>1.01</v>
      </c>
      <c r="I2112">
        <v>0</v>
      </c>
      <c r="J2112">
        <v>6</v>
      </c>
      <c r="K2112">
        <v>7</v>
      </c>
      <c r="L2112">
        <v>10</v>
      </c>
      <c r="M2112">
        <v>11</v>
      </c>
      <c r="N2112">
        <v>14</v>
      </c>
      <c r="P2112">
        <v>0</v>
      </c>
      <c r="Q2112">
        <v>1</v>
      </c>
      <c r="R2112">
        <v>3</v>
      </c>
      <c r="S2112">
        <v>4</v>
      </c>
    </row>
    <row r="2113" spans="1:19" hidden="1" x14ac:dyDescent="0.35">
      <c r="A2113">
        <v>7103334936</v>
      </c>
      <c r="B2113" t="s">
        <v>2121</v>
      </c>
      <c r="C2113" t="str">
        <f>_xlfn.XLOOKUP(A2113,[1]Affiliations!$J$2:$J$5328,[1]Affiliations!$K$2:$K$5328,0)</f>
        <v>Universidade Federal Rural do Rio de Janeiro</v>
      </c>
      <c r="D2113">
        <v>13</v>
      </c>
      <c r="E2113">
        <v>127</v>
      </c>
      <c r="F2113">
        <v>9.7692309999999996</v>
      </c>
      <c r="G2113">
        <v>10</v>
      </c>
      <c r="H2113">
        <v>0.35</v>
      </c>
      <c r="I2113">
        <v>0</v>
      </c>
      <c r="J2113">
        <v>0</v>
      </c>
      <c r="K2113">
        <v>1</v>
      </c>
      <c r="L2113">
        <v>7</v>
      </c>
      <c r="M2113">
        <v>11</v>
      </c>
      <c r="N2113">
        <v>13</v>
      </c>
      <c r="P2113">
        <v>0</v>
      </c>
      <c r="Q2113">
        <v>0</v>
      </c>
      <c r="R2113">
        <v>0</v>
      </c>
      <c r="S2113">
        <v>0</v>
      </c>
    </row>
    <row r="2114" spans="1:19" x14ac:dyDescent="0.35">
      <c r="A2114">
        <v>57220953701</v>
      </c>
      <c r="B2114" t="s">
        <v>366</v>
      </c>
      <c r="C2114" t="str">
        <f>_xlfn.XLOOKUP(A2114,[1]Affiliations!$J$2:$J$5328,[1]Affiliations!$K$2:$K$5328,0)</f>
        <v>Universidade Federal de Pernambuco</v>
      </c>
      <c r="D2114">
        <v>45</v>
      </c>
      <c r="E2114">
        <v>678</v>
      </c>
      <c r="F2114">
        <v>15.066667000000001</v>
      </c>
      <c r="G2114">
        <v>20</v>
      </c>
      <c r="H2114">
        <v>1.01</v>
      </c>
      <c r="I2114">
        <v>0</v>
      </c>
      <c r="J2114">
        <v>6</v>
      </c>
      <c r="K2114">
        <v>8</v>
      </c>
      <c r="L2114">
        <v>22</v>
      </c>
      <c r="M2114">
        <v>32</v>
      </c>
      <c r="N2114">
        <v>34</v>
      </c>
      <c r="P2114">
        <v>0</v>
      </c>
      <c r="Q2114">
        <v>1</v>
      </c>
      <c r="R2114">
        <v>4</v>
      </c>
      <c r="S2114">
        <v>17</v>
      </c>
    </row>
    <row r="2115" spans="1:19" x14ac:dyDescent="0.35">
      <c r="A2115">
        <v>6603322561</v>
      </c>
      <c r="B2115" t="s">
        <v>456</v>
      </c>
      <c r="C2115" t="str">
        <f>_xlfn.XLOOKUP(A2115,[1]Affiliations!$J$2:$J$5328,[1]Affiliations!$K$2:$K$5328,0)</f>
        <v>Universidade Federal Fluminense (+1 more)</v>
      </c>
      <c r="D2115">
        <v>27</v>
      </c>
      <c r="E2115">
        <v>365</v>
      </c>
      <c r="F2115">
        <v>13.518518</v>
      </c>
      <c r="G2115">
        <v>19</v>
      </c>
      <c r="H2115">
        <v>1.01</v>
      </c>
      <c r="I2115">
        <v>1</v>
      </c>
      <c r="J2115">
        <v>6</v>
      </c>
      <c r="K2115">
        <v>11</v>
      </c>
      <c r="L2115">
        <v>24</v>
      </c>
      <c r="M2115">
        <v>25</v>
      </c>
      <c r="N2115">
        <v>26</v>
      </c>
      <c r="P2115">
        <v>0</v>
      </c>
      <c r="Q2115">
        <v>1</v>
      </c>
      <c r="R2115">
        <v>1</v>
      </c>
      <c r="S2115">
        <v>6</v>
      </c>
    </row>
    <row r="2116" spans="1:19" hidden="1" x14ac:dyDescent="0.35">
      <c r="A2116">
        <v>7202947837</v>
      </c>
      <c r="B2116" t="s">
        <v>2124</v>
      </c>
      <c r="C2116" t="str">
        <f>_xlfn.XLOOKUP(A2116,[1]Affiliations!$J$2:$J$5328,[1]Affiliations!$K$2:$K$5328,0)</f>
        <v>Empresa Brasileira de Pesquisa Agropecuária</v>
      </c>
      <c r="D2116">
        <v>20</v>
      </c>
      <c r="E2116">
        <v>167</v>
      </c>
      <c r="F2116">
        <v>8.35</v>
      </c>
      <c r="G2116">
        <v>17</v>
      </c>
      <c r="H2116">
        <v>0.46</v>
      </c>
      <c r="I2116">
        <v>0</v>
      </c>
      <c r="J2116">
        <v>1</v>
      </c>
      <c r="K2116">
        <v>4</v>
      </c>
      <c r="L2116">
        <v>6</v>
      </c>
      <c r="M2116">
        <v>14</v>
      </c>
      <c r="N2116">
        <v>20</v>
      </c>
      <c r="P2116">
        <v>0</v>
      </c>
      <c r="Q2116">
        <v>0</v>
      </c>
      <c r="R2116">
        <v>0</v>
      </c>
      <c r="S2116">
        <v>2</v>
      </c>
    </row>
    <row r="2117" spans="1:19" hidden="1" x14ac:dyDescent="0.35">
      <c r="A2117">
        <v>57196602896</v>
      </c>
      <c r="B2117" t="s">
        <v>2125</v>
      </c>
      <c r="C2117" t="str">
        <f>_xlfn.XLOOKUP(A2117,[1]Affiliations!$J$2:$J$5328,[1]Affiliations!$K$2:$K$5328,0)</f>
        <v>Observatório Nacional</v>
      </c>
      <c r="D2117">
        <v>1</v>
      </c>
      <c r="E2117">
        <v>3</v>
      </c>
      <c r="F2117">
        <v>3</v>
      </c>
      <c r="G2117">
        <v>1</v>
      </c>
      <c r="H2117">
        <v>0.43</v>
      </c>
      <c r="I2117">
        <v>0</v>
      </c>
      <c r="J2117">
        <v>1</v>
      </c>
      <c r="K2117">
        <v>1</v>
      </c>
      <c r="L2117">
        <v>1</v>
      </c>
      <c r="M2117">
        <v>1</v>
      </c>
      <c r="N2117">
        <v>1</v>
      </c>
      <c r="P2117">
        <v>0</v>
      </c>
      <c r="Q2117">
        <v>0</v>
      </c>
      <c r="R2117">
        <v>0</v>
      </c>
      <c r="S2117">
        <v>0</v>
      </c>
    </row>
    <row r="2118" spans="1:19" x14ac:dyDescent="0.35">
      <c r="A2118">
        <v>36676859100</v>
      </c>
      <c r="B2118" t="s">
        <v>494</v>
      </c>
      <c r="C2118" t="str">
        <f>_xlfn.XLOOKUP(A2118,[1]Affiliations!$J$2:$J$5328,[1]Affiliations!$K$2:$K$5328,0)</f>
        <v>DEMa</v>
      </c>
      <c r="D2118">
        <v>6</v>
      </c>
      <c r="E2118">
        <v>222</v>
      </c>
      <c r="F2118">
        <v>37</v>
      </c>
      <c r="G2118">
        <v>6</v>
      </c>
      <c r="H2118">
        <v>1.01</v>
      </c>
      <c r="I2118">
        <v>0</v>
      </c>
      <c r="J2118">
        <v>0</v>
      </c>
      <c r="K2118">
        <v>1</v>
      </c>
      <c r="L2118">
        <v>4</v>
      </c>
      <c r="M2118">
        <v>6</v>
      </c>
      <c r="N2118">
        <v>6</v>
      </c>
      <c r="P2118">
        <v>0</v>
      </c>
      <c r="Q2118">
        <v>1</v>
      </c>
      <c r="R2118">
        <v>1</v>
      </c>
      <c r="S2118">
        <v>4</v>
      </c>
    </row>
    <row r="2119" spans="1:19" hidden="1" x14ac:dyDescent="0.35">
      <c r="A2119">
        <v>56363057900</v>
      </c>
      <c r="B2119" t="s">
        <v>2127</v>
      </c>
      <c r="C2119" t="str">
        <f>_xlfn.XLOOKUP(A2119,[1]Affiliations!$J$2:$J$5328,[1]Affiliations!$K$2:$K$5328,0)</f>
        <v>Federal University of Rio de Janeiro</v>
      </c>
      <c r="D2119">
        <v>0</v>
      </c>
      <c r="G2119">
        <v>1</v>
      </c>
    </row>
    <row r="2120" spans="1:19" hidden="1" x14ac:dyDescent="0.35">
      <c r="A2120">
        <v>57207843555</v>
      </c>
      <c r="B2120" t="s">
        <v>2128</v>
      </c>
      <c r="C2120" t="str">
        <f>_xlfn.XLOOKUP(A2120,[1]Affiliations!$J$2:$J$5328,[1]Affiliations!$K$2:$K$5328,0)</f>
        <v>Pontifical Catholic University of Rio de Janeiro</v>
      </c>
      <c r="D2120">
        <v>4</v>
      </c>
      <c r="E2120">
        <v>18</v>
      </c>
      <c r="F2120">
        <v>4.5</v>
      </c>
      <c r="G2120">
        <v>3</v>
      </c>
      <c r="H2120">
        <v>0.42</v>
      </c>
      <c r="I2120">
        <v>0</v>
      </c>
      <c r="J2120">
        <v>1</v>
      </c>
      <c r="K2120">
        <v>1</v>
      </c>
      <c r="L2120">
        <v>2</v>
      </c>
      <c r="M2120">
        <v>4</v>
      </c>
      <c r="N2120">
        <v>4</v>
      </c>
      <c r="P2120">
        <v>0</v>
      </c>
      <c r="Q2120">
        <v>0</v>
      </c>
      <c r="R2120">
        <v>0</v>
      </c>
      <c r="S2120">
        <v>0</v>
      </c>
    </row>
    <row r="2121" spans="1:19" hidden="1" x14ac:dyDescent="0.35">
      <c r="A2121">
        <v>57822494600</v>
      </c>
      <c r="B2121" t="s">
        <v>2129</v>
      </c>
      <c r="C2121" t="str">
        <f>_xlfn.XLOOKUP(A2121,[1]Affiliations!$J$2:$J$5328,[1]Affiliations!$K$2:$K$5328,0)</f>
        <v>Pontifical Catholic University of Rio de Janeiro</v>
      </c>
      <c r="D2121">
        <v>5</v>
      </c>
      <c r="E2121">
        <v>23</v>
      </c>
      <c r="F2121">
        <v>4.5999999999999996</v>
      </c>
      <c r="G2121">
        <v>1</v>
      </c>
      <c r="H2121">
        <v>0.41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P2121">
        <v>0</v>
      </c>
      <c r="Q2121">
        <v>0</v>
      </c>
      <c r="R2121">
        <v>0</v>
      </c>
      <c r="S2121">
        <v>1</v>
      </c>
    </row>
    <row r="2122" spans="1:19" hidden="1" x14ac:dyDescent="0.35">
      <c r="A2122">
        <v>57203263300</v>
      </c>
      <c r="B2122" t="s">
        <v>2130</v>
      </c>
      <c r="C2122" t="str">
        <f>_xlfn.XLOOKUP(A2122,[1]Affiliations!$J$2:$J$5328,[1]Affiliations!$K$2:$K$5328,0)</f>
        <v>DEMa</v>
      </c>
      <c r="D2122">
        <v>3</v>
      </c>
      <c r="E2122">
        <v>27</v>
      </c>
      <c r="F2122">
        <v>9</v>
      </c>
      <c r="G2122">
        <v>2</v>
      </c>
      <c r="H2122">
        <v>0.51</v>
      </c>
      <c r="I2122">
        <v>0</v>
      </c>
      <c r="J2122">
        <v>0</v>
      </c>
      <c r="K2122">
        <v>1</v>
      </c>
      <c r="L2122">
        <v>2</v>
      </c>
      <c r="M2122">
        <v>3</v>
      </c>
      <c r="N2122">
        <v>3</v>
      </c>
      <c r="P2122">
        <v>0</v>
      </c>
      <c r="Q2122">
        <v>0</v>
      </c>
      <c r="R2122">
        <v>0</v>
      </c>
      <c r="S2122">
        <v>1</v>
      </c>
    </row>
    <row r="2123" spans="1:19" hidden="1" x14ac:dyDescent="0.35">
      <c r="A2123">
        <v>58507240400</v>
      </c>
      <c r="B2123" t="s">
        <v>2131</v>
      </c>
      <c r="C2123" t="str">
        <f>_xlfn.XLOOKUP(A2123,[1]Affiliations!$J$2:$J$5328,[1]Affiliations!$K$2:$K$5328,0)</f>
        <v>Universidade Federal Fluminense (+1 more)</v>
      </c>
      <c r="D2123">
        <v>1</v>
      </c>
      <c r="E2123">
        <v>4</v>
      </c>
      <c r="F2123">
        <v>4</v>
      </c>
      <c r="G2123">
        <v>1</v>
      </c>
      <c r="H2123">
        <v>0.3</v>
      </c>
      <c r="I2123">
        <v>0</v>
      </c>
      <c r="J2123">
        <v>0</v>
      </c>
      <c r="K2123">
        <v>0</v>
      </c>
      <c r="L2123">
        <v>1</v>
      </c>
      <c r="M2123">
        <v>1</v>
      </c>
      <c r="N2123">
        <v>1</v>
      </c>
      <c r="P2123">
        <v>0</v>
      </c>
      <c r="Q2123">
        <v>0</v>
      </c>
      <c r="R2123">
        <v>0</v>
      </c>
      <c r="S2123">
        <v>0</v>
      </c>
    </row>
    <row r="2124" spans="1:19" hidden="1" x14ac:dyDescent="0.35">
      <c r="A2124">
        <v>57372293100</v>
      </c>
      <c r="B2124" t="s">
        <v>2132</v>
      </c>
      <c r="C2124" t="str">
        <f>_xlfn.XLOOKUP(A2124,[1]Affiliations!$J$2:$J$5328,[1]Affiliations!$K$2:$K$5328,0)</f>
        <v>Universidade Federal de Uberlândia</v>
      </c>
      <c r="D2124">
        <v>2</v>
      </c>
      <c r="E2124">
        <v>3</v>
      </c>
      <c r="F2124">
        <v>1.5</v>
      </c>
      <c r="G2124">
        <v>1</v>
      </c>
      <c r="H2124">
        <v>0.24</v>
      </c>
      <c r="I2124">
        <v>0</v>
      </c>
      <c r="J2124">
        <v>0</v>
      </c>
      <c r="K2124">
        <v>1</v>
      </c>
      <c r="L2124">
        <v>1</v>
      </c>
      <c r="M2124">
        <v>1</v>
      </c>
      <c r="N2124">
        <v>2</v>
      </c>
      <c r="P2124">
        <v>0</v>
      </c>
      <c r="Q2124">
        <v>0</v>
      </c>
      <c r="R2124">
        <v>0</v>
      </c>
      <c r="S2124">
        <v>0</v>
      </c>
    </row>
    <row r="2125" spans="1:19" hidden="1" x14ac:dyDescent="0.35">
      <c r="A2125">
        <v>6701787327</v>
      </c>
      <c r="B2125" t="s">
        <v>2133</v>
      </c>
      <c r="C2125" t="str">
        <f>_xlfn.XLOOKUP(A2125,[1]Affiliations!$J$2:$J$5328,[1]Affiliations!$K$2:$K$5328,0)</f>
        <v>Universidade Federal de Uberlândia</v>
      </c>
      <c r="D2125">
        <v>24</v>
      </c>
      <c r="E2125">
        <v>143</v>
      </c>
      <c r="F2125">
        <v>5.9583335000000002</v>
      </c>
      <c r="G2125">
        <v>14</v>
      </c>
      <c r="H2125">
        <v>0.28999999999999998</v>
      </c>
      <c r="I2125">
        <v>0</v>
      </c>
      <c r="J2125">
        <v>0</v>
      </c>
      <c r="K2125">
        <v>0</v>
      </c>
      <c r="L2125">
        <v>6</v>
      </c>
      <c r="M2125">
        <v>13</v>
      </c>
      <c r="N2125">
        <v>18</v>
      </c>
      <c r="P2125">
        <v>0</v>
      </c>
      <c r="Q2125">
        <v>0</v>
      </c>
      <c r="R2125">
        <v>0</v>
      </c>
      <c r="S2125">
        <v>1</v>
      </c>
    </row>
    <row r="2126" spans="1:19" hidden="1" x14ac:dyDescent="0.35">
      <c r="A2126">
        <v>57210187322</v>
      </c>
      <c r="B2126" t="s">
        <v>2134</v>
      </c>
      <c r="C2126" t="str">
        <f>_xlfn.XLOOKUP(A2126,[1]Affiliations!$J$2:$J$5328,[1]Affiliations!$K$2:$K$5328,0)</f>
        <v>Pontifícia Universidade Católica do Rio Grande do Sul</v>
      </c>
      <c r="D2126">
        <v>7</v>
      </c>
      <c r="E2126">
        <v>127</v>
      </c>
      <c r="F2126">
        <v>18.142856999999999</v>
      </c>
      <c r="G2126">
        <v>5</v>
      </c>
      <c r="H2126">
        <v>0.99</v>
      </c>
      <c r="I2126">
        <v>0</v>
      </c>
      <c r="J2126">
        <v>0</v>
      </c>
      <c r="K2126">
        <v>0</v>
      </c>
      <c r="L2126">
        <v>4</v>
      </c>
      <c r="M2126">
        <v>7</v>
      </c>
      <c r="N2126">
        <v>7</v>
      </c>
      <c r="P2126">
        <v>0</v>
      </c>
      <c r="Q2126">
        <v>1</v>
      </c>
      <c r="R2126">
        <v>1</v>
      </c>
      <c r="S2126">
        <v>4</v>
      </c>
    </row>
    <row r="2127" spans="1:19" hidden="1" x14ac:dyDescent="0.35">
      <c r="A2127">
        <v>7102399839</v>
      </c>
      <c r="B2127" t="s">
        <v>2135</v>
      </c>
      <c r="C2127" t="str">
        <f>_xlfn.XLOOKUP(A2127,[1]Affiliations!$J$2:$J$5328,[1]Affiliations!$K$2:$K$5328,0)</f>
        <v>Universidade de São Paulo</v>
      </c>
      <c r="D2127">
        <v>16</v>
      </c>
      <c r="E2127">
        <v>102</v>
      </c>
      <c r="F2127">
        <v>6.375</v>
      </c>
      <c r="G2127">
        <v>7</v>
      </c>
      <c r="H2127">
        <v>0.64</v>
      </c>
      <c r="I2127">
        <v>0</v>
      </c>
      <c r="J2127">
        <v>3</v>
      </c>
      <c r="K2127">
        <v>4</v>
      </c>
      <c r="L2127">
        <v>7</v>
      </c>
      <c r="M2127">
        <v>8</v>
      </c>
      <c r="N2127">
        <v>10</v>
      </c>
      <c r="P2127">
        <v>0</v>
      </c>
      <c r="Q2127">
        <v>0</v>
      </c>
      <c r="R2127">
        <v>0</v>
      </c>
      <c r="S2127">
        <v>4</v>
      </c>
    </row>
    <row r="2128" spans="1:19" hidden="1" x14ac:dyDescent="0.35">
      <c r="A2128">
        <v>36607965600</v>
      </c>
      <c r="B2128" t="s">
        <v>2136</v>
      </c>
      <c r="C2128" t="str">
        <f>_xlfn.XLOOKUP(A2128,[1]Affiliations!$J$2:$J$5328,[1]Affiliations!$K$2:$K$5328,0)</f>
        <v>Federal University of Rio de Janeiro</v>
      </c>
      <c r="D2128">
        <v>4</v>
      </c>
      <c r="E2128">
        <v>7</v>
      </c>
      <c r="F2128">
        <v>1.75</v>
      </c>
      <c r="G2128">
        <v>2</v>
      </c>
      <c r="H2128">
        <v>0.87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P2128">
        <v>0</v>
      </c>
      <c r="Q2128">
        <v>0</v>
      </c>
      <c r="R2128">
        <v>0</v>
      </c>
      <c r="S2128">
        <v>0</v>
      </c>
    </row>
    <row r="2129" spans="1:19" x14ac:dyDescent="0.35">
      <c r="A2129">
        <v>57387298300</v>
      </c>
      <c r="B2129" t="s">
        <v>1698</v>
      </c>
      <c r="C2129" t="str">
        <f>_xlfn.XLOOKUP(A2129,[1]Affiliations!$J$2:$J$5328,[1]Affiliations!$K$2:$K$5328,0)</f>
        <v>Federal University of Rio de Janeiro</v>
      </c>
      <c r="D2129">
        <v>5</v>
      </c>
      <c r="E2129">
        <v>76</v>
      </c>
      <c r="F2129">
        <v>15.2</v>
      </c>
      <c r="G2129">
        <v>3</v>
      </c>
      <c r="H2129">
        <v>1.01</v>
      </c>
      <c r="I2129">
        <v>0</v>
      </c>
      <c r="J2129">
        <v>1</v>
      </c>
      <c r="K2129">
        <v>1</v>
      </c>
      <c r="L2129">
        <v>3</v>
      </c>
      <c r="M2129">
        <v>3</v>
      </c>
      <c r="N2129">
        <v>3</v>
      </c>
      <c r="P2129">
        <v>0</v>
      </c>
      <c r="Q2129">
        <v>0</v>
      </c>
      <c r="R2129">
        <v>1</v>
      </c>
      <c r="S2129">
        <v>3</v>
      </c>
    </row>
    <row r="2130" spans="1:19" hidden="1" x14ac:dyDescent="0.35">
      <c r="A2130">
        <v>35621756800</v>
      </c>
      <c r="B2130" t="s">
        <v>2138</v>
      </c>
      <c r="C2130" t="str">
        <f>_xlfn.XLOOKUP(A2130,[1]Affiliations!$J$2:$J$5328,[1]Affiliations!$K$2:$K$5328,0)</f>
        <v>Universidade Federal de Santa Maria</v>
      </c>
      <c r="D2130">
        <v>4</v>
      </c>
      <c r="E2130">
        <v>68</v>
      </c>
      <c r="F2130">
        <v>17</v>
      </c>
      <c r="G2130">
        <v>6</v>
      </c>
      <c r="H2130">
        <v>0.72</v>
      </c>
      <c r="I2130">
        <v>0</v>
      </c>
      <c r="J2130">
        <v>0</v>
      </c>
      <c r="K2130">
        <v>1</v>
      </c>
      <c r="L2130">
        <v>2</v>
      </c>
      <c r="M2130">
        <v>3</v>
      </c>
      <c r="N2130">
        <v>4</v>
      </c>
      <c r="P2130">
        <v>0</v>
      </c>
      <c r="Q2130">
        <v>0</v>
      </c>
      <c r="R2130">
        <v>0</v>
      </c>
      <c r="S2130">
        <v>1</v>
      </c>
    </row>
    <row r="2131" spans="1:19" hidden="1" x14ac:dyDescent="0.35">
      <c r="A2131">
        <v>57858013900</v>
      </c>
      <c r="B2131" t="s">
        <v>2139</v>
      </c>
      <c r="C2131" t="str">
        <f>_xlfn.XLOOKUP(A2131,[1]Affiliations!$J$2:$J$5328,[1]Affiliations!$K$2:$K$5328,0)</f>
        <v>Universidade Federal Rural do Rio de Janeiro</v>
      </c>
      <c r="D2131">
        <v>2</v>
      </c>
      <c r="E2131">
        <v>13</v>
      </c>
      <c r="F2131">
        <v>6.5</v>
      </c>
      <c r="G2131">
        <v>2</v>
      </c>
      <c r="H2131">
        <v>0.49</v>
      </c>
      <c r="I2131">
        <v>0</v>
      </c>
      <c r="J2131">
        <v>0</v>
      </c>
      <c r="K2131">
        <v>1</v>
      </c>
      <c r="L2131">
        <v>2</v>
      </c>
      <c r="M2131">
        <v>2</v>
      </c>
      <c r="N2131">
        <v>2</v>
      </c>
      <c r="P2131">
        <v>0</v>
      </c>
      <c r="Q2131">
        <v>0</v>
      </c>
      <c r="R2131">
        <v>0</v>
      </c>
      <c r="S2131">
        <v>0</v>
      </c>
    </row>
    <row r="2132" spans="1:19" hidden="1" x14ac:dyDescent="0.35">
      <c r="A2132">
        <v>58024848700</v>
      </c>
      <c r="B2132" t="s">
        <v>2140</v>
      </c>
      <c r="C2132" t="str">
        <f>_xlfn.XLOOKUP(A2132,[1]Affiliations!$J$2:$J$5328,[1]Affiliations!$K$2:$K$5328,0)</f>
        <v>Universidade Federal do Rio Grande do Norte</v>
      </c>
      <c r="D2132">
        <v>1</v>
      </c>
      <c r="E2132">
        <v>5</v>
      </c>
      <c r="F2132">
        <v>5</v>
      </c>
      <c r="G2132">
        <v>1</v>
      </c>
      <c r="H2132">
        <v>0.8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1</v>
      </c>
      <c r="P2132">
        <v>0</v>
      </c>
      <c r="Q2132">
        <v>0</v>
      </c>
      <c r="R2132">
        <v>0</v>
      </c>
      <c r="S2132">
        <v>0</v>
      </c>
    </row>
    <row r="2133" spans="1:19" hidden="1" x14ac:dyDescent="0.35">
      <c r="A2133">
        <v>59002145900</v>
      </c>
      <c r="B2133" t="s">
        <v>2141</v>
      </c>
      <c r="C2133" t="str">
        <f>_xlfn.XLOOKUP(A2133,[1]Affiliations!$J$2:$J$5328,[1]Affiliations!$K$2:$K$5328,0)</f>
        <v>Federal University of Rio de Janeiro</v>
      </c>
      <c r="D2133">
        <v>1</v>
      </c>
      <c r="E2133">
        <v>35</v>
      </c>
      <c r="F2133">
        <v>35</v>
      </c>
      <c r="G2133">
        <v>1</v>
      </c>
      <c r="H2133">
        <v>1.47</v>
      </c>
      <c r="I2133">
        <v>0</v>
      </c>
      <c r="J2133">
        <v>0</v>
      </c>
      <c r="K2133">
        <v>1</v>
      </c>
      <c r="L2133">
        <v>1</v>
      </c>
      <c r="M2133">
        <v>1</v>
      </c>
      <c r="N2133">
        <v>1</v>
      </c>
      <c r="P2133">
        <v>0</v>
      </c>
      <c r="Q2133">
        <v>1</v>
      </c>
      <c r="R2133">
        <v>1</v>
      </c>
      <c r="S2133">
        <v>1</v>
      </c>
    </row>
    <row r="2134" spans="1:19" hidden="1" x14ac:dyDescent="0.35">
      <c r="A2134">
        <v>57937977400</v>
      </c>
      <c r="B2134" t="s">
        <v>2142</v>
      </c>
      <c r="C2134" t="str">
        <f>_xlfn.XLOOKUP(A2134,[1]Affiliations!$J$2:$J$5328,[1]Affiliations!$K$2:$K$5328,0)</f>
        <v>Vizlab - X-Reality and GeoInformatics Lab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P2134">
        <v>0</v>
      </c>
      <c r="Q2134">
        <v>0</v>
      </c>
      <c r="R2134">
        <v>0</v>
      </c>
      <c r="S2134">
        <v>0</v>
      </c>
    </row>
    <row r="2135" spans="1:19" hidden="1" x14ac:dyDescent="0.35">
      <c r="A2135">
        <v>57188662289</v>
      </c>
      <c r="B2135" t="s">
        <v>2143</v>
      </c>
      <c r="C2135" t="str">
        <f>_xlfn.XLOOKUP(A2135,[1]Affiliations!$J$2:$J$5328,[1]Affiliations!$K$2:$K$5328,0)</f>
        <v>Pontifical Catholic University of Rio de Janeiro</v>
      </c>
      <c r="D2135">
        <v>1</v>
      </c>
      <c r="E2135">
        <v>7</v>
      </c>
      <c r="F2135">
        <v>7</v>
      </c>
      <c r="G2135">
        <v>1</v>
      </c>
      <c r="H2135">
        <v>0.42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P2135">
        <v>0</v>
      </c>
      <c r="Q2135">
        <v>0</v>
      </c>
      <c r="R2135">
        <v>0</v>
      </c>
      <c r="S2135">
        <v>0</v>
      </c>
    </row>
    <row r="2136" spans="1:19" hidden="1" x14ac:dyDescent="0.35">
      <c r="A2136">
        <v>57214245860</v>
      </c>
      <c r="B2136" t="s">
        <v>2144</v>
      </c>
      <c r="C2136" t="str">
        <f>_xlfn.XLOOKUP(A2136,[1]Affiliations!$J$2:$J$5328,[1]Affiliations!$K$2:$K$5328,0)</f>
        <v>Universidade Federal do Ceará</v>
      </c>
      <c r="D2136">
        <v>2</v>
      </c>
      <c r="E2136">
        <v>25</v>
      </c>
      <c r="F2136">
        <v>12.5</v>
      </c>
      <c r="G2136">
        <v>2</v>
      </c>
      <c r="H2136">
        <v>0.51</v>
      </c>
      <c r="I2136">
        <v>0</v>
      </c>
      <c r="J2136">
        <v>0</v>
      </c>
      <c r="K2136">
        <v>0</v>
      </c>
      <c r="L2136">
        <v>1</v>
      </c>
      <c r="M2136">
        <v>2</v>
      </c>
      <c r="N2136">
        <v>2</v>
      </c>
      <c r="P2136">
        <v>0</v>
      </c>
      <c r="Q2136">
        <v>0</v>
      </c>
      <c r="R2136">
        <v>0</v>
      </c>
      <c r="S2136">
        <v>0</v>
      </c>
    </row>
    <row r="2137" spans="1:19" hidden="1" x14ac:dyDescent="0.35">
      <c r="A2137">
        <v>55259099800</v>
      </c>
      <c r="B2137" t="s">
        <v>2145</v>
      </c>
      <c r="C2137" t="str">
        <f>_xlfn.XLOOKUP(A2137,[1]Affiliations!$J$2:$J$5328,[1]Affiliations!$K$2:$K$5328,0)</f>
        <v>Universidade Federal Fluminense</v>
      </c>
      <c r="D2137">
        <v>25</v>
      </c>
      <c r="E2137">
        <v>274</v>
      </c>
      <c r="F2137">
        <v>10.96</v>
      </c>
      <c r="G2137">
        <v>13</v>
      </c>
      <c r="H2137">
        <v>0.57999999999999996</v>
      </c>
      <c r="I2137">
        <v>1</v>
      </c>
      <c r="J2137">
        <v>1</v>
      </c>
      <c r="K2137">
        <v>1</v>
      </c>
      <c r="L2137">
        <v>5</v>
      </c>
      <c r="M2137">
        <v>18</v>
      </c>
      <c r="N2137">
        <v>24</v>
      </c>
      <c r="P2137">
        <v>0</v>
      </c>
      <c r="Q2137">
        <v>0</v>
      </c>
      <c r="R2137">
        <v>0</v>
      </c>
      <c r="S2137">
        <v>6</v>
      </c>
    </row>
    <row r="2138" spans="1:19" x14ac:dyDescent="0.35">
      <c r="A2138">
        <v>56885558400</v>
      </c>
      <c r="B2138" t="s">
        <v>2288</v>
      </c>
      <c r="C2138" t="str">
        <f>_xlfn.XLOOKUP(A2138,[1]Affiliations!$J$2:$J$5328,[1]Affiliations!$K$2:$K$5328,0)</f>
        <v>Observatório Nacional</v>
      </c>
      <c r="D2138">
        <v>24</v>
      </c>
      <c r="E2138">
        <v>441</v>
      </c>
      <c r="F2138">
        <v>18.375</v>
      </c>
      <c r="G2138">
        <v>15</v>
      </c>
      <c r="H2138">
        <v>1.01</v>
      </c>
      <c r="I2138">
        <v>2</v>
      </c>
      <c r="J2138">
        <v>8</v>
      </c>
      <c r="K2138">
        <v>12</v>
      </c>
      <c r="L2138">
        <v>21</v>
      </c>
      <c r="M2138">
        <v>24</v>
      </c>
      <c r="N2138">
        <v>24</v>
      </c>
      <c r="P2138">
        <v>0</v>
      </c>
      <c r="Q2138">
        <v>2</v>
      </c>
      <c r="R2138">
        <v>3</v>
      </c>
      <c r="S2138">
        <v>10</v>
      </c>
    </row>
    <row r="2139" spans="1:19" hidden="1" x14ac:dyDescent="0.35">
      <c r="A2139">
        <v>59759466100</v>
      </c>
      <c r="B2139" t="s">
        <v>2146</v>
      </c>
      <c r="C2139" t="str">
        <f>_xlfn.XLOOKUP(A2139,[1]Affiliations!$J$2:$J$5328,[1]Affiliations!$K$2:$K$5328,0)</f>
        <v>Universidade Federal do Espírito Santo (+1 more)</v>
      </c>
      <c r="D2139">
        <v>4</v>
      </c>
      <c r="E2139">
        <v>73</v>
      </c>
      <c r="F2139">
        <v>18.25</v>
      </c>
      <c r="G2139">
        <v>4</v>
      </c>
      <c r="H2139">
        <v>1.1299999999999999</v>
      </c>
      <c r="I2139">
        <v>0</v>
      </c>
      <c r="J2139">
        <v>1</v>
      </c>
      <c r="K2139">
        <v>2</v>
      </c>
      <c r="L2139">
        <v>4</v>
      </c>
      <c r="M2139">
        <v>4</v>
      </c>
      <c r="N2139">
        <v>4</v>
      </c>
      <c r="P2139">
        <v>0</v>
      </c>
      <c r="Q2139">
        <v>0</v>
      </c>
      <c r="R2139">
        <v>0</v>
      </c>
      <c r="S2139">
        <v>1</v>
      </c>
    </row>
    <row r="2140" spans="1:19" x14ac:dyDescent="0.35">
      <c r="A2140">
        <v>57200304800</v>
      </c>
      <c r="B2140" t="s">
        <v>2772</v>
      </c>
      <c r="C2140" t="str">
        <f>_xlfn.XLOOKUP(A2140,[1]Affiliations!$J$2:$J$5328,[1]Affiliations!$K$2:$K$5328,0)</f>
        <v>X-Reality GeoInformatics Lab Unisinos University (+2 more)</v>
      </c>
      <c r="D2140">
        <v>30</v>
      </c>
      <c r="E2140">
        <v>294</v>
      </c>
      <c r="F2140">
        <v>9.8000000000000007</v>
      </c>
      <c r="G2140">
        <v>8</v>
      </c>
      <c r="H2140">
        <v>1.01</v>
      </c>
      <c r="I2140">
        <v>1</v>
      </c>
      <c r="J2140">
        <v>2</v>
      </c>
      <c r="K2140">
        <v>6</v>
      </c>
      <c r="L2140">
        <v>9</v>
      </c>
      <c r="M2140">
        <v>10</v>
      </c>
      <c r="N2140">
        <v>19</v>
      </c>
      <c r="P2140">
        <v>0</v>
      </c>
      <c r="Q2140">
        <v>0</v>
      </c>
      <c r="R2140">
        <v>3</v>
      </c>
      <c r="S2140">
        <v>6</v>
      </c>
    </row>
    <row r="2141" spans="1:19" hidden="1" x14ac:dyDescent="0.35">
      <c r="A2141">
        <v>57201406175</v>
      </c>
      <c r="B2141" t="s">
        <v>2147</v>
      </c>
      <c r="C2141" t="str">
        <f>_xlfn.XLOOKUP(A2141,[1]Affiliations!$J$2:$J$5328,[1]Affiliations!$K$2:$K$5328,0)</f>
        <v>SENAI-RJ</v>
      </c>
      <c r="D2141">
        <v>1</v>
      </c>
      <c r="E2141">
        <v>0</v>
      </c>
      <c r="F2141">
        <v>0</v>
      </c>
      <c r="G2141">
        <v>0</v>
      </c>
      <c r="H2141">
        <v>0</v>
      </c>
      <c r="P2141">
        <v>0</v>
      </c>
      <c r="Q2141">
        <v>0</v>
      </c>
      <c r="R2141">
        <v>0</v>
      </c>
      <c r="S2141">
        <v>0</v>
      </c>
    </row>
    <row r="2142" spans="1:19" hidden="1" x14ac:dyDescent="0.35">
      <c r="A2142">
        <v>57209452255</v>
      </c>
      <c r="B2142" t="s">
        <v>2148</v>
      </c>
      <c r="C2142" t="str">
        <f>_xlfn.XLOOKUP(A2142,[1]Affiliations!$J$2:$J$5328,[1]Affiliations!$K$2:$K$5328,0)</f>
        <v>Universidade Federal do Paraná</v>
      </c>
      <c r="D2142">
        <v>4</v>
      </c>
      <c r="E2142">
        <v>18</v>
      </c>
      <c r="F2142">
        <v>4.5</v>
      </c>
      <c r="G2142">
        <v>2</v>
      </c>
      <c r="H2142">
        <v>0.41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4</v>
      </c>
      <c r="P2142">
        <v>0</v>
      </c>
      <c r="Q2142">
        <v>0</v>
      </c>
      <c r="R2142">
        <v>0</v>
      </c>
      <c r="S2142">
        <v>0</v>
      </c>
    </row>
    <row r="2143" spans="1:19" hidden="1" x14ac:dyDescent="0.35">
      <c r="A2143">
        <v>57219555709</v>
      </c>
      <c r="B2143" t="s">
        <v>2149</v>
      </c>
      <c r="C2143" t="str">
        <f>_xlfn.XLOOKUP(A2143,[1]Affiliations!$J$2:$J$5328,[1]Affiliations!$K$2:$K$5328,0)</f>
        <v>Federal University of Rio de Janeiro</v>
      </c>
      <c r="D2143">
        <v>1</v>
      </c>
      <c r="E2143">
        <v>14</v>
      </c>
      <c r="F2143">
        <v>14</v>
      </c>
      <c r="G2143">
        <v>1</v>
      </c>
      <c r="H2143">
        <v>0.36</v>
      </c>
      <c r="I2143">
        <v>0</v>
      </c>
      <c r="J2143">
        <v>0</v>
      </c>
      <c r="K2143">
        <v>0</v>
      </c>
      <c r="L2143">
        <v>1</v>
      </c>
      <c r="M2143">
        <v>1</v>
      </c>
      <c r="N2143">
        <v>1</v>
      </c>
      <c r="P2143">
        <v>0</v>
      </c>
      <c r="Q2143">
        <v>0</v>
      </c>
      <c r="R2143">
        <v>0</v>
      </c>
      <c r="S2143">
        <v>0</v>
      </c>
    </row>
    <row r="2144" spans="1:19" x14ac:dyDescent="0.35">
      <c r="A2144">
        <v>12766481400</v>
      </c>
      <c r="B2144" t="s">
        <v>3321</v>
      </c>
      <c r="C2144" t="str">
        <f>_xlfn.XLOOKUP(A2144,[1]Affiliations!$J$2:$J$5328,[1]Affiliations!$K$2:$K$5328,0)</f>
        <v>Fundação Gorceix (+2 more)</v>
      </c>
      <c r="D2144">
        <v>51</v>
      </c>
      <c r="E2144">
        <v>1055</v>
      </c>
      <c r="F2144">
        <v>20.686274000000001</v>
      </c>
      <c r="G2144">
        <v>26</v>
      </c>
      <c r="H2144">
        <v>1.01</v>
      </c>
      <c r="I2144">
        <v>5</v>
      </c>
      <c r="J2144">
        <v>20</v>
      </c>
      <c r="K2144">
        <v>26</v>
      </c>
      <c r="L2144">
        <v>34</v>
      </c>
      <c r="M2144">
        <v>46</v>
      </c>
      <c r="N2144">
        <v>49</v>
      </c>
      <c r="P2144">
        <v>0</v>
      </c>
      <c r="Q2144">
        <v>3</v>
      </c>
      <c r="R2144">
        <v>5</v>
      </c>
      <c r="S2144">
        <v>18</v>
      </c>
    </row>
    <row r="2145" spans="1:19" hidden="1" x14ac:dyDescent="0.35">
      <c r="A2145">
        <v>59204242600</v>
      </c>
      <c r="B2145" t="s">
        <v>2151</v>
      </c>
      <c r="C2145" t="str">
        <f>_xlfn.XLOOKUP(A2145,[1]Affiliations!$J$2:$J$5328,[1]Affiliations!$K$2:$K$5328,0)</f>
        <v>Pontifical Catholic University of Rio de Janeiro</v>
      </c>
      <c r="D2145">
        <v>4</v>
      </c>
      <c r="E2145">
        <v>1</v>
      </c>
      <c r="F2145">
        <v>0.25</v>
      </c>
      <c r="G2145">
        <v>1</v>
      </c>
      <c r="H2145">
        <v>0.03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P2145">
        <v>0</v>
      </c>
      <c r="Q2145">
        <v>0</v>
      </c>
      <c r="R2145">
        <v>0</v>
      </c>
      <c r="S2145">
        <v>0</v>
      </c>
    </row>
    <row r="2146" spans="1:19" hidden="1" x14ac:dyDescent="0.35">
      <c r="A2146">
        <v>56529673200</v>
      </c>
      <c r="B2146" t="s">
        <v>2152</v>
      </c>
      <c r="C2146" t="str">
        <f>_xlfn.XLOOKUP(A2146,[1]Affiliations!$J$2:$J$5328,[1]Affiliations!$K$2:$K$5328,0)</f>
        <v>Federal University of Rio de Janeiro</v>
      </c>
      <c r="D2146">
        <v>3</v>
      </c>
      <c r="E2146">
        <v>90</v>
      </c>
      <c r="F2146">
        <v>30</v>
      </c>
      <c r="G2146">
        <v>3</v>
      </c>
      <c r="H2146">
        <v>1.31</v>
      </c>
      <c r="I2146">
        <v>0</v>
      </c>
      <c r="J2146">
        <v>0</v>
      </c>
      <c r="K2146">
        <v>0</v>
      </c>
      <c r="L2146">
        <v>3</v>
      </c>
      <c r="M2146">
        <v>3</v>
      </c>
      <c r="N2146">
        <v>3</v>
      </c>
      <c r="P2146">
        <v>0</v>
      </c>
      <c r="Q2146">
        <v>0</v>
      </c>
      <c r="R2146">
        <v>1</v>
      </c>
      <c r="S2146">
        <v>1</v>
      </c>
    </row>
    <row r="2147" spans="1:19" hidden="1" x14ac:dyDescent="0.35">
      <c r="A2147">
        <v>57191658365</v>
      </c>
      <c r="B2147" t="s">
        <v>2153</v>
      </c>
      <c r="C2147" t="str">
        <f>_xlfn.XLOOKUP(A2147,[1]Affiliations!$J$2:$J$5328,[1]Affiliations!$K$2:$K$5328,0)</f>
        <v>Federal University of Rio de Janeiro</v>
      </c>
      <c r="D2147">
        <v>2</v>
      </c>
      <c r="E2147">
        <v>32</v>
      </c>
      <c r="F2147">
        <v>16</v>
      </c>
      <c r="G2147">
        <v>2</v>
      </c>
      <c r="H2147">
        <v>0.67</v>
      </c>
      <c r="I2147">
        <v>0</v>
      </c>
      <c r="J2147">
        <v>0</v>
      </c>
      <c r="K2147">
        <v>0</v>
      </c>
      <c r="L2147">
        <v>0</v>
      </c>
      <c r="M2147">
        <v>2</v>
      </c>
      <c r="N2147">
        <v>2</v>
      </c>
      <c r="P2147">
        <v>0</v>
      </c>
      <c r="Q2147">
        <v>0</v>
      </c>
      <c r="R2147">
        <v>0</v>
      </c>
      <c r="S2147">
        <v>1</v>
      </c>
    </row>
    <row r="2148" spans="1:19" hidden="1" x14ac:dyDescent="0.35">
      <c r="A2148">
        <v>57927647000</v>
      </c>
      <c r="B2148" t="s">
        <v>2154</v>
      </c>
      <c r="C2148" t="str">
        <f>_xlfn.XLOOKUP(A2148,[1]Affiliations!$J$2:$J$5328,[1]Affiliations!$K$2:$K$5328,0)</f>
        <v>Universidade Federal de Alagoas</v>
      </c>
      <c r="D2148">
        <v>2</v>
      </c>
      <c r="E2148">
        <v>7</v>
      </c>
      <c r="F2148">
        <v>3.5</v>
      </c>
      <c r="G2148">
        <v>1</v>
      </c>
      <c r="H2148">
        <v>0.21</v>
      </c>
      <c r="I2148">
        <v>0</v>
      </c>
      <c r="J2148">
        <v>0</v>
      </c>
      <c r="K2148">
        <v>0</v>
      </c>
      <c r="L2148">
        <v>1</v>
      </c>
      <c r="M2148">
        <v>1</v>
      </c>
      <c r="N2148">
        <v>1</v>
      </c>
      <c r="P2148">
        <v>0</v>
      </c>
      <c r="Q2148">
        <v>0</v>
      </c>
      <c r="R2148">
        <v>0</v>
      </c>
      <c r="S2148">
        <v>0</v>
      </c>
    </row>
    <row r="2149" spans="1:19" hidden="1" x14ac:dyDescent="0.35">
      <c r="A2149">
        <v>57214565332</v>
      </c>
      <c r="B2149" t="s">
        <v>2155</v>
      </c>
      <c r="C2149" t="str">
        <f>_xlfn.XLOOKUP(A2149,[1]Affiliations!$J$2:$J$5328,[1]Affiliations!$K$2:$K$5328,0)</f>
        <v>Federal University of Rio de Janeiro</v>
      </c>
      <c r="D2149">
        <v>1</v>
      </c>
      <c r="E2149">
        <v>10</v>
      </c>
      <c r="F2149">
        <v>10</v>
      </c>
      <c r="G2149">
        <v>3</v>
      </c>
      <c r="H2149">
        <v>0.8</v>
      </c>
      <c r="I2149">
        <v>0</v>
      </c>
      <c r="J2149">
        <v>0</v>
      </c>
      <c r="K2149">
        <v>0</v>
      </c>
      <c r="L2149">
        <v>1</v>
      </c>
      <c r="M2149">
        <v>1</v>
      </c>
      <c r="N2149">
        <v>1</v>
      </c>
      <c r="P2149">
        <v>0</v>
      </c>
      <c r="Q2149">
        <v>0</v>
      </c>
      <c r="R2149">
        <v>0</v>
      </c>
      <c r="S2149">
        <v>0</v>
      </c>
    </row>
    <row r="2150" spans="1:19" hidden="1" x14ac:dyDescent="0.35">
      <c r="A2150">
        <v>58193686100</v>
      </c>
      <c r="B2150" t="s">
        <v>2156</v>
      </c>
      <c r="C2150" t="str">
        <f>_xlfn.XLOOKUP(A2150,[1]Affiliations!$J$2:$J$5328,[1]Affiliations!$K$2:$K$5328,0)</f>
        <v>Federal University of Santa Catarina</v>
      </c>
      <c r="D2150">
        <v>1</v>
      </c>
      <c r="E2150">
        <v>20</v>
      </c>
      <c r="F2150">
        <v>20</v>
      </c>
      <c r="G2150">
        <v>1</v>
      </c>
      <c r="H2150">
        <v>0.53</v>
      </c>
      <c r="I2150">
        <v>0</v>
      </c>
      <c r="J2150">
        <v>1</v>
      </c>
      <c r="K2150">
        <v>1</v>
      </c>
      <c r="L2150">
        <v>1</v>
      </c>
      <c r="M2150">
        <v>1</v>
      </c>
      <c r="N2150">
        <v>1</v>
      </c>
      <c r="P2150">
        <v>0</v>
      </c>
      <c r="Q2150">
        <v>0</v>
      </c>
      <c r="R2150">
        <v>1</v>
      </c>
      <c r="S2150">
        <v>1</v>
      </c>
    </row>
    <row r="2151" spans="1:19" hidden="1" x14ac:dyDescent="0.35">
      <c r="A2151">
        <v>57194412566</v>
      </c>
      <c r="B2151" t="s">
        <v>2157</v>
      </c>
      <c r="C2151" t="str">
        <f>_xlfn.XLOOKUP(A2151,[1]Affiliations!$J$2:$J$5328,[1]Affiliations!$K$2:$K$5328,0)</f>
        <v>Universidade Federal do Rio Grande do Norte</v>
      </c>
      <c r="D2151">
        <v>4</v>
      </c>
      <c r="E2151">
        <v>26</v>
      </c>
      <c r="F2151">
        <v>6.5</v>
      </c>
      <c r="G2151">
        <v>3</v>
      </c>
      <c r="H2151">
        <v>0.5</v>
      </c>
      <c r="I2151">
        <v>0</v>
      </c>
      <c r="J2151">
        <v>0</v>
      </c>
      <c r="K2151">
        <v>0</v>
      </c>
      <c r="L2151">
        <v>2</v>
      </c>
      <c r="M2151">
        <v>3</v>
      </c>
      <c r="N2151">
        <v>4</v>
      </c>
      <c r="P2151">
        <v>0</v>
      </c>
      <c r="Q2151">
        <v>0</v>
      </c>
      <c r="R2151">
        <v>0</v>
      </c>
      <c r="S2151">
        <v>0</v>
      </c>
    </row>
    <row r="2152" spans="1:19" hidden="1" x14ac:dyDescent="0.35">
      <c r="A2152">
        <v>7103359015</v>
      </c>
      <c r="B2152" t="s">
        <v>2158</v>
      </c>
      <c r="C2152" t="str">
        <f>_xlfn.XLOOKUP(A2152,[1]Affiliations!$J$2:$J$5328,[1]Affiliations!$K$2:$K$5328,0)</f>
        <v>Federal University of Rio de Janeiro (+1 more)</v>
      </c>
      <c r="D2152">
        <v>2</v>
      </c>
      <c r="E2152">
        <v>33</v>
      </c>
      <c r="F2152">
        <v>16.5</v>
      </c>
      <c r="G2152">
        <v>5</v>
      </c>
      <c r="H2152">
        <v>0.6</v>
      </c>
      <c r="I2152">
        <v>0</v>
      </c>
      <c r="J2152">
        <v>0</v>
      </c>
      <c r="K2152">
        <v>0</v>
      </c>
      <c r="L2152">
        <v>0</v>
      </c>
      <c r="M2152">
        <v>2</v>
      </c>
      <c r="N2152">
        <v>2</v>
      </c>
      <c r="P2152">
        <v>0</v>
      </c>
      <c r="Q2152">
        <v>0</v>
      </c>
      <c r="R2152">
        <v>0</v>
      </c>
      <c r="S2152">
        <v>0</v>
      </c>
    </row>
    <row r="2153" spans="1:19" hidden="1" x14ac:dyDescent="0.35">
      <c r="A2153">
        <v>59224133000</v>
      </c>
      <c r="B2153" t="s">
        <v>2159</v>
      </c>
      <c r="C2153" t="str">
        <f>_xlfn.XLOOKUP(A2153,[1]Affiliations!$J$2:$J$5328,[1]Affiliations!$K$2:$K$5328,0)</f>
        <v>Universidade Federal do Ceará</v>
      </c>
      <c r="D2153">
        <v>1</v>
      </c>
      <c r="E2153">
        <v>1</v>
      </c>
      <c r="F2153">
        <v>1</v>
      </c>
      <c r="G2153">
        <v>1</v>
      </c>
      <c r="H2153">
        <v>0.15</v>
      </c>
      <c r="I2153">
        <v>0</v>
      </c>
      <c r="J2153">
        <v>0</v>
      </c>
      <c r="K2153">
        <v>0</v>
      </c>
      <c r="L2153">
        <v>0</v>
      </c>
      <c r="M2153">
        <v>1</v>
      </c>
      <c r="N2153">
        <v>1</v>
      </c>
      <c r="P2153">
        <v>0</v>
      </c>
      <c r="Q2153">
        <v>0</v>
      </c>
      <c r="R2153">
        <v>0</v>
      </c>
      <c r="S2153">
        <v>0</v>
      </c>
    </row>
    <row r="2154" spans="1:19" hidden="1" x14ac:dyDescent="0.35">
      <c r="A2154">
        <v>59422690800</v>
      </c>
      <c r="B2154" t="s">
        <v>2160</v>
      </c>
      <c r="C2154" t="str">
        <f>_xlfn.XLOOKUP(A2154,[1]Affiliations!$J$2:$J$5328,[1]Affiliations!$K$2:$K$5328,0)</f>
        <v>Universidade Federal de Campina Grande</v>
      </c>
      <c r="D2154">
        <v>0</v>
      </c>
      <c r="G2154">
        <v>1</v>
      </c>
    </row>
    <row r="2155" spans="1:19" hidden="1" x14ac:dyDescent="0.35">
      <c r="A2155">
        <v>59654984100</v>
      </c>
      <c r="B2155" t="s">
        <v>2161</v>
      </c>
      <c r="C2155" t="str">
        <f>_xlfn.XLOOKUP(A2155,[1]Affiliations!$J$2:$J$5328,[1]Affiliations!$K$2:$K$5328,0)</f>
        <v>Universidade Federal de Juiz de Fora</v>
      </c>
      <c r="D2155">
        <v>0</v>
      </c>
      <c r="G2155">
        <v>1</v>
      </c>
    </row>
    <row r="2156" spans="1:19" x14ac:dyDescent="0.35">
      <c r="A2156">
        <v>26424758800</v>
      </c>
      <c r="B2156" t="s">
        <v>3641</v>
      </c>
      <c r="C2156" t="str">
        <f>_xlfn.XLOOKUP(A2156,[1]Affiliations!$J$2:$J$5328,[1]Affiliations!$K$2:$K$5328,0)</f>
        <v>Universidade Federal de Santa Maria</v>
      </c>
      <c r="D2156">
        <v>10</v>
      </c>
      <c r="E2156">
        <v>253</v>
      </c>
      <c r="F2156">
        <v>25.3</v>
      </c>
      <c r="G2156">
        <v>17</v>
      </c>
      <c r="H2156">
        <v>1.01</v>
      </c>
      <c r="I2156">
        <v>0</v>
      </c>
      <c r="J2156">
        <v>0</v>
      </c>
      <c r="K2156">
        <v>3</v>
      </c>
      <c r="L2156">
        <v>7</v>
      </c>
      <c r="M2156">
        <v>9</v>
      </c>
      <c r="N2156">
        <v>9</v>
      </c>
      <c r="P2156">
        <v>0</v>
      </c>
      <c r="Q2156">
        <v>0</v>
      </c>
      <c r="R2156">
        <v>2</v>
      </c>
      <c r="S2156">
        <v>5</v>
      </c>
    </row>
    <row r="2157" spans="1:19" hidden="1" x14ac:dyDescent="0.35">
      <c r="A2157">
        <v>57205377035</v>
      </c>
      <c r="B2157" t="s">
        <v>2163</v>
      </c>
      <c r="C2157" t="str">
        <f>_xlfn.XLOOKUP(A2157,[1]Affiliations!$J$2:$J$5328,[1]Affiliations!$K$2:$K$5328,0)</f>
        <v>Federal University of Rio de Janeiro</v>
      </c>
      <c r="D2157">
        <v>6</v>
      </c>
      <c r="E2157">
        <v>61</v>
      </c>
      <c r="F2157">
        <v>10.166667</v>
      </c>
      <c r="G2157">
        <v>4</v>
      </c>
      <c r="H2157">
        <v>0.66</v>
      </c>
      <c r="I2157">
        <v>0</v>
      </c>
      <c r="J2157">
        <v>1</v>
      </c>
      <c r="K2157">
        <v>1</v>
      </c>
      <c r="L2157">
        <v>1</v>
      </c>
      <c r="M2157">
        <v>3</v>
      </c>
      <c r="N2157">
        <v>3</v>
      </c>
      <c r="P2157">
        <v>0</v>
      </c>
      <c r="Q2157">
        <v>0</v>
      </c>
      <c r="R2157">
        <v>0</v>
      </c>
      <c r="S2157">
        <v>1</v>
      </c>
    </row>
    <row r="2158" spans="1:19" hidden="1" x14ac:dyDescent="0.35">
      <c r="A2158">
        <v>57189896387</v>
      </c>
      <c r="B2158" t="s">
        <v>2164</v>
      </c>
      <c r="C2158" t="str">
        <f>_xlfn.XLOOKUP(A2158,[1]Affiliations!$J$2:$J$5328,[1]Affiliations!$K$2:$K$5328,0)</f>
        <v>Universidade Federal do Ceará</v>
      </c>
      <c r="D2158">
        <v>5</v>
      </c>
      <c r="E2158">
        <v>84</v>
      </c>
      <c r="F2158">
        <v>16.8</v>
      </c>
      <c r="G2158">
        <v>5</v>
      </c>
      <c r="H2158">
        <v>0.6</v>
      </c>
      <c r="I2158">
        <v>0</v>
      </c>
      <c r="J2158">
        <v>1</v>
      </c>
      <c r="K2158">
        <v>1</v>
      </c>
      <c r="L2158">
        <v>3</v>
      </c>
      <c r="M2158">
        <v>4</v>
      </c>
      <c r="N2158">
        <v>5</v>
      </c>
      <c r="P2158">
        <v>0</v>
      </c>
      <c r="Q2158">
        <v>0</v>
      </c>
      <c r="R2158">
        <v>0</v>
      </c>
      <c r="S2158">
        <v>1</v>
      </c>
    </row>
    <row r="2159" spans="1:19" hidden="1" x14ac:dyDescent="0.35">
      <c r="A2159">
        <v>57942564600</v>
      </c>
      <c r="B2159" t="s">
        <v>2165</v>
      </c>
      <c r="C2159" t="str">
        <f>_xlfn.XLOOKUP(A2159,[1]Affiliations!$J$2:$J$5328,[1]Affiliations!$K$2:$K$5328,0)</f>
        <v>Universidade Federal do ABC</v>
      </c>
      <c r="D2159">
        <v>1</v>
      </c>
      <c r="E2159">
        <v>6</v>
      </c>
      <c r="F2159">
        <v>6</v>
      </c>
      <c r="G2159">
        <v>1</v>
      </c>
      <c r="H2159">
        <v>0.56000000000000005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1</v>
      </c>
      <c r="P2159">
        <v>0</v>
      </c>
      <c r="Q2159">
        <v>0</v>
      </c>
      <c r="R2159">
        <v>0</v>
      </c>
      <c r="S2159">
        <v>0</v>
      </c>
    </row>
    <row r="2160" spans="1:19" hidden="1" x14ac:dyDescent="0.35">
      <c r="A2160">
        <v>57214946932</v>
      </c>
      <c r="B2160" t="s">
        <v>2166</v>
      </c>
      <c r="C2160" t="str">
        <f>_xlfn.XLOOKUP(A2160,[1]Affiliations!$J$2:$J$5328,[1]Affiliations!$K$2:$K$5328,0)</f>
        <v>Pontifical Catholic University of Rio de Janeiro</v>
      </c>
      <c r="D2160">
        <v>5</v>
      </c>
      <c r="E2160">
        <v>0</v>
      </c>
      <c r="F2160">
        <v>0</v>
      </c>
      <c r="G2160">
        <v>0</v>
      </c>
      <c r="H2160">
        <v>0</v>
      </c>
      <c r="P2160">
        <v>0</v>
      </c>
      <c r="Q2160">
        <v>0</v>
      </c>
      <c r="R2160">
        <v>0</v>
      </c>
      <c r="S2160">
        <v>0</v>
      </c>
    </row>
    <row r="2161" spans="1:19" hidden="1" x14ac:dyDescent="0.35">
      <c r="A2161">
        <v>55801313700</v>
      </c>
      <c r="B2161" t="s">
        <v>2167</v>
      </c>
      <c r="C2161" t="str">
        <f>_xlfn.XLOOKUP(A2161,[1]Affiliations!$J$2:$J$5328,[1]Affiliations!$K$2:$K$5328,0)</f>
        <v>Universidade Federal do Maranhão (+1 more)</v>
      </c>
      <c r="D2161">
        <v>3</v>
      </c>
      <c r="E2161">
        <v>52</v>
      </c>
      <c r="F2161">
        <v>17.333334000000001</v>
      </c>
      <c r="G2161">
        <v>4</v>
      </c>
      <c r="H2161">
        <v>1.05</v>
      </c>
      <c r="I2161">
        <v>0</v>
      </c>
      <c r="J2161">
        <v>0</v>
      </c>
      <c r="K2161">
        <v>0</v>
      </c>
      <c r="L2161">
        <v>0</v>
      </c>
      <c r="M2161">
        <v>3</v>
      </c>
      <c r="N2161">
        <v>3</v>
      </c>
      <c r="P2161">
        <v>0</v>
      </c>
      <c r="Q2161">
        <v>0</v>
      </c>
      <c r="R2161">
        <v>0</v>
      </c>
      <c r="S2161">
        <v>2</v>
      </c>
    </row>
    <row r="2162" spans="1:19" hidden="1" x14ac:dyDescent="0.35">
      <c r="A2162">
        <v>57194609558</v>
      </c>
      <c r="B2162" t="s">
        <v>2168</v>
      </c>
      <c r="C2162" t="str">
        <f>_xlfn.XLOOKUP(A2162,[1]Affiliations!$J$2:$J$5328,[1]Affiliations!$K$2:$K$5328,0)</f>
        <v>Federal University of Rio de Janeiro</v>
      </c>
      <c r="D2162">
        <v>1</v>
      </c>
      <c r="E2162">
        <v>23</v>
      </c>
      <c r="F2162">
        <v>23</v>
      </c>
      <c r="G2162">
        <v>1</v>
      </c>
      <c r="H2162">
        <v>1.05</v>
      </c>
      <c r="I2162">
        <v>0</v>
      </c>
      <c r="J2162">
        <v>0</v>
      </c>
      <c r="K2162">
        <v>0</v>
      </c>
      <c r="L2162">
        <v>0</v>
      </c>
      <c r="M2162">
        <v>1</v>
      </c>
      <c r="N2162">
        <v>1</v>
      </c>
      <c r="P2162">
        <v>0</v>
      </c>
      <c r="Q2162">
        <v>0</v>
      </c>
      <c r="R2162">
        <v>0</v>
      </c>
      <c r="S2162">
        <v>1</v>
      </c>
    </row>
    <row r="2163" spans="1:19" x14ac:dyDescent="0.35">
      <c r="A2163">
        <v>57225818129</v>
      </c>
      <c r="B2163" t="s">
        <v>4019</v>
      </c>
      <c r="C2163" t="str">
        <f>_xlfn.XLOOKUP(A2163,[1]Affiliations!$J$2:$J$5328,[1]Affiliations!$K$2:$K$5328,0)</f>
        <v>Federal University of Rio de Janeiro</v>
      </c>
      <c r="D2163">
        <v>6</v>
      </c>
      <c r="E2163">
        <v>119</v>
      </c>
      <c r="F2163">
        <v>19.833334000000001</v>
      </c>
      <c r="G2163">
        <v>5</v>
      </c>
      <c r="H2163">
        <v>1.01</v>
      </c>
      <c r="I2163">
        <v>0</v>
      </c>
      <c r="J2163">
        <v>0</v>
      </c>
      <c r="K2163">
        <v>3</v>
      </c>
      <c r="L2163">
        <v>3</v>
      </c>
      <c r="M2163">
        <v>5</v>
      </c>
      <c r="N2163">
        <v>6</v>
      </c>
      <c r="P2163">
        <v>0</v>
      </c>
      <c r="Q2163">
        <v>0</v>
      </c>
      <c r="R2163">
        <v>1</v>
      </c>
      <c r="S2163">
        <v>3</v>
      </c>
    </row>
    <row r="2164" spans="1:19" hidden="1" x14ac:dyDescent="0.35">
      <c r="A2164">
        <v>57251001500</v>
      </c>
      <c r="B2164" t="s">
        <v>2170</v>
      </c>
      <c r="C2164" t="str">
        <f>_xlfn.XLOOKUP(A2164,[1]Affiliations!$J$2:$J$5328,[1]Affiliations!$K$2:$K$5328,0)</f>
        <v>Universidade Federal do Espírito Santo</v>
      </c>
      <c r="D2164">
        <v>1</v>
      </c>
      <c r="E2164">
        <v>13</v>
      </c>
      <c r="F2164">
        <v>13</v>
      </c>
      <c r="G2164">
        <v>1</v>
      </c>
      <c r="H2164">
        <v>0.39</v>
      </c>
      <c r="I2164">
        <v>0</v>
      </c>
      <c r="J2164">
        <v>0</v>
      </c>
      <c r="K2164">
        <v>0</v>
      </c>
      <c r="L2164">
        <v>1</v>
      </c>
      <c r="M2164">
        <v>1</v>
      </c>
      <c r="N2164">
        <v>1</v>
      </c>
      <c r="P2164">
        <v>0</v>
      </c>
      <c r="Q2164">
        <v>0</v>
      </c>
      <c r="R2164">
        <v>0</v>
      </c>
      <c r="S2164">
        <v>0</v>
      </c>
    </row>
    <row r="2165" spans="1:19" hidden="1" x14ac:dyDescent="0.35">
      <c r="A2165">
        <v>57023973200</v>
      </c>
      <c r="B2165" t="s">
        <v>2171</v>
      </c>
      <c r="C2165" t="str">
        <f>_xlfn.XLOOKUP(A2165,[1]Affiliations!$J$2:$J$5328,[1]Affiliations!$K$2:$K$5328,0)</f>
        <v>Universidade Federal Fluminense (+1 more)</v>
      </c>
      <c r="D2165">
        <v>4</v>
      </c>
      <c r="E2165">
        <v>6</v>
      </c>
      <c r="F2165">
        <v>1.5</v>
      </c>
      <c r="G2165">
        <v>2</v>
      </c>
      <c r="H2165">
        <v>0.08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1</v>
      </c>
      <c r="P2165">
        <v>0</v>
      </c>
      <c r="Q2165">
        <v>0</v>
      </c>
      <c r="R2165">
        <v>0</v>
      </c>
      <c r="S2165">
        <v>0</v>
      </c>
    </row>
    <row r="2166" spans="1:19" x14ac:dyDescent="0.35">
      <c r="A2166">
        <v>26031055200</v>
      </c>
      <c r="B2166" t="s">
        <v>4058</v>
      </c>
      <c r="C2166" t="str">
        <f>_xlfn.XLOOKUP(A2166,[1]Affiliations!$J$2:$J$5328,[1]Affiliations!$K$2:$K$5328,0)</f>
        <v>DEMa</v>
      </c>
      <c r="D2166">
        <v>8</v>
      </c>
      <c r="E2166">
        <v>263</v>
      </c>
      <c r="F2166">
        <v>32.875</v>
      </c>
      <c r="G2166">
        <v>6</v>
      </c>
      <c r="H2166">
        <v>1.01</v>
      </c>
      <c r="I2166">
        <v>0</v>
      </c>
      <c r="J2166">
        <v>0</v>
      </c>
      <c r="K2166">
        <v>1</v>
      </c>
      <c r="L2166">
        <v>2</v>
      </c>
      <c r="M2166">
        <v>5</v>
      </c>
      <c r="N2166">
        <v>7</v>
      </c>
      <c r="P2166">
        <v>0</v>
      </c>
      <c r="Q2166">
        <v>1</v>
      </c>
      <c r="R2166">
        <v>1</v>
      </c>
      <c r="S2166">
        <v>3</v>
      </c>
    </row>
    <row r="2167" spans="1:19" x14ac:dyDescent="0.35">
      <c r="A2167">
        <v>37007788500</v>
      </c>
      <c r="B2167" t="s">
        <v>4151</v>
      </c>
      <c r="C2167" t="str">
        <f>_xlfn.XLOOKUP(A2167,[1]Affiliations!$J$2:$J$5328,[1]Affiliations!$K$2:$K$5328,0)</f>
        <v>Universidade Federal de Uberlândia</v>
      </c>
      <c r="D2167">
        <v>19</v>
      </c>
      <c r="E2167">
        <v>576</v>
      </c>
      <c r="F2167">
        <v>30.31579</v>
      </c>
      <c r="G2167">
        <v>15</v>
      </c>
      <c r="H2167">
        <v>1.01</v>
      </c>
      <c r="I2167">
        <v>0</v>
      </c>
      <c r="J2167">
        <v>1</v>
      </c>
      <c r="K2167">
        <v>1</v>
      </c>
      <c r="L2167">
        <v>10</v>
      </c>
      <c r="M2167">
        <v>15</v>
      </c>
      <c r="N2167">
        <v>18</v>
      </c>
      <c r="P2167">
        <v>0</v>
      </c>
      <c r="Q2167">
        <v>2</v>
      </c>
      <c r="R2167">
        <v>2</v>
      </c>
      <c r="S2167">
        <v>10</v>
      </c>
    </row>
    <row r="2168" spans="1:19" hidden="1" x14ac:dyDescent="0.35">
      <c r="A2168">
        <v>36682362500</v>
      </c>
      <c r="B2168" t="s">
        <v>2174</v>
      </c>
      <c r="C2168" t="str">
        <f>_xlfn.XLOOKUP(A2168,[1]Affiliations!$J$2:$J$5328,[1]Affiliations!$K$2:$K$5328,0)</f>
        <v>Universidade Federal do Rio Grande do Norte (+2 more)</v>
      </c>
      <c r="D2168">
        <v>0</v>
      </c>
      <c r="G2168">
        <v>3</v>
      </c>
    </row>
    <row r="2169" spans="1:19" hidden="1" x14ac:dyDescent="0.35">
      <c r="A2169">
        <v>57203066204</v>
      </c>
      <c r="B2169" t="s">
        <v>2175</v>
      </c>
      <c r="C2169" t="str">
        <f>_xlfn.XLOOKUP(A2169,[1]Affiliations!$J$2:$J$5328,[1]Affiliations!$K$2:$K$5328,0)</f>
        <v>Federal University of Santa Catarina</v>
      </c>
      <c r="D2169">
        <v>4</v>
      </c>
      <c r="E2169">
        <v>478</v>
      </c>
      <c r="F2169">
        <v>119.5</v>
      </c>
      <c r="G2169">
        <v>3</v>
      </c>
      <c r="H2169">
        <v>2.04</v>
      </c>
      <c r="I2169">
        <v>1</v>
      </c>
      <c r="J2169">
        <v>2</v>
      </c>
      <c r="K2169">
        <v>4</v>
      </c>
      <c r="L2169">
        <v>4</v>
      </c>
      <c r="M2169">
        <v>4</v>
      </c>
      <c r="N2169">
        <v>4</v>
      </c>
      <c r="P2169">
        <v>1</v>
      </c>
      <c r="Q2169">
        <v>2</v>
      </c>
      <c r="R2169">
        <v>3</v>
      </c>
      <c r="S2169">
        <v>3</v>
      </c>
    </row>
    <row r="2170" spans="1:19" hidden="1" x14ac:dyDescent="0.35">
      <c r="A2170">
        <v>60085331000</v>
      </c>
      <c r="B2170" t="s">
        <v>2176</v>
      </c>
      <c r="C2170" t="str">
        <f>_xlfn.XLOOKUP(A2170,[1]Affiliations!$J$2:$J$5328,[1]Affiliations!$K$2:$K$5328,0)</f>
        <v>Federal University of Rio de Janeiro</v>
      </c>
      <c r="D2170">
        <v>0</v>
      </c>
      <c r="G2170">
        <v>0</v>
      </c>
    </row>
    <row r="2171" spans="1:19" x14ac:dyDescent="0.35">
      <c r="A2171">
        <v>26031736100</v>
      </c>
      <c r="B2171" t="s">
        <v>4223</v>
      </c>
      <c r="C2171" t="str">
        <f>_xlfn.XLOOKUP(A2171,[1]Affiliations!$J$2:$J$5328,[1]Affiliations!$K$2:$K$5328,0)</f>
        <v>Federal University of Rio de Janeiro</v>
      </c>
      <c r="D2171">
        <v>57</v>
      </c>
      <c r="E2171">
        <v>1081</v>
      </c>
      <c r="F2171">
        <v>18.964912000000002</v>
      </c>
      <c r="G2171">
        <v>24</v>
      </c>
      <c r="H2171">
        <v>1.01</v>
      </c>
      <c r="I2171">
        <v>3</v>
      </c>
      <c r="J2171">
        <v>17</v>
      </c>
      <c r="K2171">
        <v>24</v>
      </c>
      <c r="L2171">
        <v>35</v>
      </c>
      <c r="M2171">
        <v>50</v>
      </c>
      <c r="N2171">
        <v>55</v>
      </c>
      <c r="P2171">
        <v>1</v>
      </c>
      <c r="Q2171">
        <v>1</v>
      </c>
      <c r="R2171">
        <v>6</v>
      </c>
      <c r="S2171">
        <v>19</v>
      </c>
    </row>
    <row r="2172" spans="1:19" hidden="1" x14ac:dyDescent="0.35">
      <c r="A2172">
        <v>55814962500</v>
      </c>
      <c r="B2172" t="s">
        <v>2178</v>
      </c>
      <c r="C2172" t="str">
        <f>_xlfn.XLOOKUP(A2172,[1]Affiliations!$J$2:$J$5328,[1]Affiliations!$K$2:$K$5328,0)</f>
        <v>Universidade Federal da Bahia</v>
      </c>
      <c r="D2172">
        <v>8</v>
      </c>
      <c r="E2172">
        <v>85</v>
      </c>
      <c r="F2172">
        <v>10.625</v>
      </c>
      <c r="G2172">
        <v>7</v>
      </c>
      <c r="H2172">
        <v>0.68</v>
      </c>
      <c r="I2172">
        <v>0</v>
      </c>
      <c r="J2172">
        <v>0</v>
      </c>
      <c r="K2172">
        <v>0</v>
      </c>
      <c r="L2172">
        <v>2</v>
      </c>
      <c r="M2172">
        <v>7</v>
      </c>
      <c r="N2172">
        <v>7</v>
      </c>
      <c r="P2172">
        <v>0</v>
      </c>
      <c r="Q2172">
        <v>0</v>
      </c>
      <c r="R2172">
        <v>0</v>
      </c>
      <c r="S2172">
        <v>1</v>
      </c>
    </row>
    <row r="2173" spans="1:19" x14ac:dyDescent="0.35">
      <c r="A2173">
        <v>7103188194</v>
      </c>
      <c r="B2173" t="s">
        <v>4293</v>
      </c>
      <c r="C2173" t="str">
        <f>_xlfn.XLOOKUP(A2173,[1]Affiliations!$J$2:$J$5328,[1]Affiliations!$K$2:$K$5328,0)</f>
        <v>Universidade do Estado do Rio de Janeiro (+1 more)</v>
      </c>
      <c r="D2173">
        <v>28</v>
      </c>
      <c r="E2173">
        <v>443</v>
      </c>
      <c r="F2173">
        <v>15.821427999999999</v>
      </c>
      <c r="G2173">
        <v>16</v>
      </c>
      <c r="H2173">
        <v>1.01</v>
      </c>
      <c r="I2173">
        <v>0</v>
      </c>
      <c r="J2173">
        <v>7</v>
      </c>
      <c r="K2173">
        <v>11</v>
      </c>
      <c r="L2173">
        <v>14</v>
      </c>
      <c r="M2173">
        <v>21</v>
      </c>
      <c r="N2173">
        <v>22</v>
      </c>
      <c r="P2173">
        <v>0</v>
      </c>
      <c r="Q2173">
        <v>1</v>
      </c>
      <c r="R2173">
        <v>2</v>
      </c>
      <c r="S2173">
        <v>12</v>
      </c>
    </row>
    <row r="2174" spans="1:19" hidden="1" x14ac:dyDescent="0.35">
      <c r="A2174">
        <v>57217105359</v>
      </c>
      <c r="B2174" t="s">
        <v>2180</v>
      </c>
      <c r="C2174" t="str">
        <f>_xlfn.XLOOKUP(A2174,[1]Affiliations!$J$2:$J$5328,[1]Affiliations!$K$2:$K$5328,0)</f>
        <v>UniversidadeFederal de Alagoas</v>
      </c>
      <c r="D2174">
        <v>1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1</v>
      </c>
      <c r="P2174">
        <v>0</v>
      </c>
      <c r="Q2174">
        <v>0</v>
      </c>
      <c r="R2174">
        <v>0</v>
      </c>
      <c r="S2174">
        <v>0</v>
      </c>
    </row>
    <row r="2175" spans="1:19" hidden="1" x14ac:dyDescent="0.35">
      <c r="A2175">
        <v>57927329100</v>
      </c>
      <c r="B2175" t="s">
        <v>2181</v>
      </c>
      <c r="C2175" t="str">
        <f>_xlfn.XLOOKUP(A2175,[1]Affiliations!$J$2:$J$5328,[1]Affiliations!$K$2:$K$5328,0)</f>
        <v>Universidade Federal de Alagoas</v>
      </c>
      <c r="D2175">
        <v>1</v>
      </c>
      <c r="E2175">
        <v>7</v>
      </c>
      <c r="F2175">
        <v>7</v>
      </c>
      <c r="G2175">
        <v>1</v>
      </c>
      <c r="H2175">
        <v>0.42</v>
      </c>
      <c r="I2175">
        <v>0</v>
      </c>
      <c r="J2175">
        <v>0</v>
      </c>
      <c r="K2175">
        <v>0</v>
      </c>
      <c r="L2175">
        <v>1</v>
      </c>
      <c r="M2175">
        <v>1</v>
      </c>
      <c r="N2175">
        <v>1</v>
      </c>
      <c r="P2175">
        <v>0</v>
      </c>
      <c r="Q2175">
        <v>0</v>
      </c>
      <c r="R2175">
        <v>0</v>
      </c>
      <c r="S2175">
        <v>0</v>
      </c>
    </row>
    <row r="2176" spans="1:19" hidden="1" x14ac:dyDescent="0.35">
      <c r="A2176">
        <v>6602856274</v>
      </c>
      <c r="B2176" t="s">
        <v>2182</v>
      </c>
      <c r="C2176" t="str">
        <f>_xlfn.XLOOKUP(A2176,[1]Affiliations!$J$2:$J$5328,[1]Affiliations!$K$2:$K$5328,0)</f>
        <v>Universidade Estadual Paulista “Júlio de Mesquita Filho”</v>
      </c>
      <c r="D2176">
        <v>18</v>
      </c>
      <c r="E2176">
        <v>125</v>
      </c>
      <c r="F2176">
        <v>6.9444447</v>
      </c>
      <c r="G2176">
        <v>13</v>
      </c>
      <c r="H2176">
        <v>0.36</v>
      </c>
      <c r="I2176">
        <v>0</v>
      </c>
      <c r="J2176">
        <v>2</v>
      </c>
      <c r="K2176">
        <v>3</v>
      </c>
      <c r="L2176">
        <v>7</v>
      </c>
      <c r="M2176">
        <v>14</v>
      </c>
      <c r="N2176">
        <v>18</v>
      </c>
      <c r="P2176">
        <v>0</v>
      </c>
      <c r="Q2176">
        <v>0</v>
      </c>
      <c r="R2176">
        <v>0</v>
      </c>
      <c r="S2176">
        <v>2</v>
      </c>
    </row>
    <row r="2177" spans="1:19" x14ac:dyDescent="0.35">
      <c r="A2177">
        <v>57032358800</v>
      </c>
      <c r="B2177" t="s">
        <v>4427</v>
      </c>
      <c r="C2177" t="str">
        <f>_xlfn.XLOOKUP(A2177,[1]Affiliations!$J$2:$J$5328,[1]Affiliations!$K$2:$K$5328,0)</f>
        <v>Yazd University (+1 more)</v>
      </c>
      <c r="D2177">
        <v>17</v>
      </c>
      <c r="E2177">
        <v>313</v>
      </c>
      <c r="F2177">
        <v>18.411764000000002</v>
      </c>
      <c r="G2177">
        <v>11</v>
      </c>
      <c r="H2177">
        <v>1.01</v>
      </c>
      <c r="I2177">
        <v>0</v>
      </c>
      <c r="J2177">
        <v>2</v>
      </c>
      <c r="K2177">
        <v>4</v>
      </c>
      <c r="L2177">
        <v>10</v>
      </c>
      <c r="M2177">
        <v>14</v>
      </c>
      <c r="N2177">
        <v>14</v>
      </c>
      <c r="P2177">
        <v>0</v>
      </c>
      <c r="Q2177">
        <v>1</v>
      </c>
      <c r="R2177">
        <v>4</v>
      </c>
      <c r="S2177">
        <v>9</v>
      </c>
    </row>
    <row r="2178" spans="1:19" hidden="1" x14ac:dyDescent="0.35">
      <c r="A2178">
        <v>57194280212</v>
      </c>
      <c r="B2178" t="s">
        <v>2184</v>
      </c>
      <c r="C2178" t="str">
        <f>_xlfn.XLOOKUP(A2178,[1]Affiliations!$J$2:$J$5328,[1]Affiliations!$K$2:$K$5328,0)</f>
        <v>Universidade Federal do Rio Grande do Sul</v>
      </c>
      <c r="D2178">
        <v>11</v>
      </c>
      <c r="E2178">
        <v>73</v>
      </c>
      <c r="F2178">
        <v>6.6363634999999999</v>
      </c>
      <c r="G2178">
        <v>5</v>
      </c>
      <c r="H2178">
        <v>0.41</v>
      </c>
      <c r="I2178">
        <v>0</v>
      </c>
      <c r="J2178">
        <v>0</v>
      </c>
      <c r="K2178">
        <v>1</v>
      </c>
      <c r="L2178">
        <v>5</v>
      </c>
      <c r="M2178">
        <v>9</v>
      </c>
      <c r="N2178">
        <v>9</v>
      </c>
      <c r="P2178">
        <v>0</v>
      </c>
      <c r="Q2178">
        <v>0</v>
      </c>
      <c r="R2178">
        <v>0</v>
      </c>
      <c r="S2178">
        <v>3</v>
      </c>
    </row>
    <row r="2179" spans="1:19" x14ac:dyDescent="0.35">
      <c r="A2179">
        <v>8414349800</v>
      </c>
      <c r="B2179" t="s">
        <v>4791</v>
      </c>
      <c r="C2179" t="str">
        <f>_xlfn.XLOOKUP(A2179,[1]Affiliations!$J$2:$J$5328,[1]Affiliations!$K$2:$K$5328,0)</f>
        <v>Universidade Federal do Espírito Santo (+1 more)</v>
      </c>
      <c r="D2179">
        <v>41</v>
      </c>
      <c r="E2179">
        <v>945</v>
      </c>
      <c r="F2179">
        <v>23.048780000000001</v>
      </c>
      <c r="G2179">
        <v>24</v>
      </c>
      <c r="H2179">
        <v>1.01</v>
      </c>
      <c r="I2179">
        <v>0</v>
      </c>
      <c r="J2179">
        <v>2</v>
      </c>
      <c r="K2179">
        <v>4</v>
      </c>
      <c r="L2179">
        <v>28</v>
      </c>
      <c r="M2179">
        <v>39</v>
      </c>
      <c r="N2179">
        <v>40</v>
      </c>
      <c r="P2179">
        <v>0</v>
      </c>
      <c r="Q2179">
        <v>2</v>
      </c>
      <c r="R2179">
        <v>4</v>
      </c>
      <c r="S2179">
        <v>23</v>
      </c>
    </row>
    <row r="2180" spans="1:19" hidden="1" x14ac:dyDescent="0.35">
      <c r="A2180">
        <v>58668160600</v>
      </c>
      <c r="B2180" t="s">
        <v>2186</v>
      </c>
      <c r="C2180" t="str">
        <f>_xlfn.XLOOKUP(A2180,[1]Affiliations!$J$2:$J$5328,[1]Affiliations!$K$2:$K$5328,0)</f>
        <v>Universidade Federal do Ceará</v>
      </c>
      <c r="D2180">
        <v>2</v>
      </c>
      <c r="E2180">
        <v>4</v>
      </c>
      <c r="F2180">
        <v>2</v>
      </c>
      <c r="G2180">
        <v>1</v>
      </c>
      <c r="H2180">
        <v>0.18</v>
      </c>
      <c r="I2180">
        <v>0</v>
      </c>
      <c r="J2180">
        <v>0</v>
      </c>
      <c r="K2180">
        <v>0</v>
      </c>
      <c r="L2180">
        <v>1</v>
      </c>
      <c r="M2180">
        <v>1</v>
      </c>
      <c r="N2180">
        <v>2</v>
      </c>
      <c r="P2180">
        <v>0</v>
      </c>
      <c r="Q2180">
        <v>0</v>
      </c>
      <c r="R2180">
        <v>0</v>
      </c>
      <c r="S2180">
        <v>0</v>
      </c>
    </row>
    <row r="2181" spans="1:19" hidden="1" x14ac:dyDescent="0.35">
      <c r="A2181">
        <v>57200337327</v>
      </c>
      <c r="B2181" t="s">
        <v>2187</v>
      </c>
      <c r="C2181" t="str">
        <f>_xlfn.XLOOKUP(A2181,[1]Affiliations!$J$2:$J$5328,[1]Affiliations!$K$2:$K$5328,0)</f>
        <v>Serviço Nacional de Aprendizagem Industrial</v>
      </c>
      <c r="D2181">
        <v>3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</v>
      </c>
      <c r="P2181">
        <v>0</v>
      </c>
      <c r="Q2181">
        <v>0</v>
      </c>
      <c r="R2181">
        <v>0</v>
      </c>
      <c r="S2181">
        <v>0</v>
      </c>
    </row>
    <row r="2182" spans="1:19" hidden="1" x14ac:dyDescent="0.35">
      <c r="A2182">
        <v>55030490300</v>
      </c>
      <c r="B2182" t="s">
        <v>2188</v>
      </c>
      <c r="C2182" t="str">
        <f>_xlfn.XLOOKUP(A2182,[1]Affiliations!$J$2:$J$5328,[1]Affiliations!$K$2:$K$5328,0)</f>
        <v>Institutos Lactec</v>
      </c>
      <c r="D2182">
        <v>6</v>
      </c>
      <c r="E2182">
        <v>33</v>
      </c>
      <c r="F2182">
        <v>5.5</v>
      </c>
      <c r="G2182">
        <v>3</v>
      </c>
      <c r="H2182">
        <v>0.18</v>
      </c>
      <c r="I2182">
        <v>0</v>
      </c>
      <c r="J2182">
        <v>0</v>
      </c>
      <c r="K2182">
        <v>0</v>
      </c>
      <c r="L2182">
        <v>1</v>
      </c>
      <c r="M2182">
        <v>1</v>
      </c>
      <c r="N2182">
        <v>1</v>
      </c>
      <c r="P2182">
        <v>0</v>
      </c>
      <c r="Q2182">
        <v>0</v>
      </c>
      <c r="R2182">
        <v>0</v>
      </c>
      <c r="S2182">
        <v>1</v>
      </c>
    </row>
    <row r="2183" spans="1:19" x14ac:dyDescent="0.35">
      <c r="A2183">
        <v>15762171500</v>
      </c>
      <c r="B2183" t="s">
        <v>219</v>
      </c>
      <c r="C2183" t="str">
        <f>_xlfn.XLOOKUP(A2183,[1]Affiliations!$J$2:$J$5328,[1]Affiliations!$K$2:$K$5328,0)</f>
        <v>Universidade Estadual Paulista “Júlio de Mesquita Filho” (+1 more)</v>
      </c>
      <c r="D2183">
        <v>20</v>
      </c>
      <c r="E2183">
        <v>216</v>
      </c>
      <c r="F2183">
        <v>10.8</v>
      </c>
      <c r="G2183">
        <v>13</v>
      </c>
      <c r="H2183">
        <v>1</v>
      </c>
      <c r="I2183">
        <v>0</v>
      </c>
      <c r="J2183">
        <v>1</v>
      </c>
      <c r="K2183">
        <v>1</v>
      </c>
      <c r="L2183">
        <v>4</v>
      </c>
      <c r="M2183">
        <v>8</v>
      </c>
      <c r="N2183">
        <v>15</v>
      </c>
      <c r="P2183">
        <v>0</v>
      </c>
      <c r="Q2183">
        <v>1</v>
      </c>
      <c r="R2183">
        <v>1</v>
      </c>
      <c r="S2183">
        <v>4</v>
      </c>
    </row>
    <row r="2184" spans="1:19" hidden="1" x14ac:dyDescent="0.35">
      <c r="A2184">
        <v>53979652700</v>
      </c>
      <c r="B2184" t="s">
        <v>2190</v>
      </c>
      <c r="C2184" t="str">
        <f>_xlfn.XLOOKUP(A2184,[1]Affiliations!$J$2:$J$5328,[1]Affiliations!$K$2:$K$5328,0)</f>
        <v>Federal University of Rio de Janeiro</v>
      </c>
      <c r="D2184">
        <v>13</v>
      </c>
      <c r="E2184">
        <v>61</v>
      </c>
      <c r="F2184">
        <v>4.6923075000000001</v>
      </c>
      <c r="G2184">
        <v>5</v>
      </c>
      <c r="H2184">
        <v>0.43</v>
      </c>
      <c r="I2184">
        <v>0</v>
      </c>
      <c r="J2184">
        <v>1</v>
      </c>
      <c r="K2184">
        <v>2</v>
      </c>
      <c r="L2184">
        <v>2</v>
      </c>
      <c r="M2184">
        <v>2</v>
      </c>
      <c r="N2184">
        <v>2</v>
      </c>
      <c r="P2184">
        <v>0</v>
      </c>
      <c r="Q2184">
        <v>0</v>
      </c>
      <c r="R2184">
        <v>0</v>
      </c>
      <c r="S2184">
        <v>1</v>
      </c>
    </row>
    <row r="2185" spans="1:19" hidden="1" x14ac:dyDescent="0.35">
      <c r="A2185">
        <v>57203192182</v>
      </c>
      <c r="B2185" t="s">
        <v>2191</v>
      </c>
      <c r="C2185" t="str">
        <f>_xlfn.XLOOKUP(A2185,[1]Affiliations!$J$2:$J$5328,[1]Affiliations!$K$2:$K$5328,0)</f>
        <v>Universidade Federal do Espírito Santo (+1 more)</v>
      </c>
      <c r="D2185">
        <v>3</v>
      </c>
      <c r="E2185">
        <v>61</v>
      </c>
      <c r="F2185">
        <v>20.333334000000001</v>
      </c>
      <c r="G2185">
        <v>2</v>
      </c>
      <c r="H2185">
        <v>1.32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P2185">
        <v>0</v>
      </c>
      <c r="Q2185">
        <v>0</v>
      </c>
      <c r="R2185">
        <v>0</v>
      </c>
      <c r="S2185">
        <v>2</v>
      </c>
    </row>
    <row r="2186" spans="1:19" x14ac:dyDescent="0.35">
      <c r="A2186">
        <v>35762849900</v>
      </c>
      <c r="B2186" t="s">
        <v>591</v>
      </c>
      <c r="C2186" t="str">
        <f>_xlfn.XLOOKUP(A2186,[1]Affiliations!$J$2:$J$5328,[1]Affiliations!$K$2:$K$5328,0)</f>
        <v>Universidade Federal do Espírito Santo (+1 more)</v>
      </c>
      <c r="D2186">
        <v>106</v>
      </c>
      <c r="E2186">
        <v>1355</v>
      </c>
      <c r="F2186">
        <v>12.783018999999999</v>
      </c>
      <c r="G2186">
        <v>23</v>
      </c>
      <c r="H2186">
        <v>1</v>
      </c>
      <c r="I2186">
        <v>6</v>
      </c>
      <c r="J2186">
        <v>14</v>
      </c>
      <c r="K2186">
        <v>27</v>
      </c>
      <c r="L2186">
        <v>48</v>
      </c>
      <c r="M2186">
        <v>55</v>
      </c>
      <c r="N2186">
        <v>57</v>
      </c>
      <c r="P2186">
        <v>0</v>
      </c>
      <c r="Q2186">
        <v>2</v>
      </c>
      <c r="R2186">
        <v>11</v>
      </c>
      <c r="S2186">
        <v>29</v>
      </c>
    </row>
    <row r="2187" spans="1:19" hidden="1" x14ac:dyDescent="0.35">
      <c r="A2187">
        <v>59239803800</v>
      </c>
      <c r="B2187" t="s">
        <v>2193</v>
      </c>
      <c r="C2187" t="str">
        <f>_xlfn.XLOOKUP(A2187,[1]Affiliations!$J$2:$J$5328,[1]Affiliations!$K$2:$K$5328,0)</f>
        <v>Universidade Federal de Ouro Preto</v>
      </c>
      <c r="D2187">
        <v>2</v>
      </c>
      <c r="E2187">
        <v>3</v>
      </c>
      <c r="F2187">
        <v>1.5</v>
      </c>
      <c r="G2187">
        <v>1</v>
      </c>
      <c r="H2187">
        <v>0.32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2</v>
      </c>
      <c r="P2187">
        <v>0</v>
      </c>
      <c r="Q2187">
        <v>0</v>
      </c>
      <c r="R2187">
        <v>0</v>
      </c>
      <c r="S2187">
        <v>0</v>
      </c>
    </row>
    <row r="2188" spans="1:19" hidden="1" x14ac:dyDescent="0.35">
      <c r="A2188">
        <v>57223663942</v>
      </c>
      <c r="B2188" t="s">
        <v>2194</v>
      </c>
      <c r="C2188" t="str">
        <f>_xlfn.XLOOKUP(A2188,[1]Affiliations!$J$2:$J$5328,[1]Affiliations!$K$2:$K$5328,0)</f>
        <v>Serviço Nacional de Aprendizagem Industrial</v>
      </c>
      <c r="D2188">
        <v>2</v>
      </c>
      <c r="E2188">
        <v>4</v>
      </c>
      <c r="F2188">
        <v>2</v>
      </c>
      <c r="G2188">
        <v>1</v>
      </c>
      <c r="H2188">
        <v>0.93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1</v>
      </c>
      <c r="P2188">
        <v>0</v>
      </c>
      <c r="Q2188">
        <v>0</v>
      </c>
      <c r="R2188">
        <v>0</v>
      </c>
      <c r="S2188">
        <v>0</v>
      </c>
    </row>
    <row r="2189" spans="1:19" x14ac:dyDescent="0.35">
      <c r="A2189">
        <v>35799452200</v>
      </c>
      <c r="B2189" t="s">
        <v>671</v>
      </c>
      <c r="C2189" t="str">
        <f>_xlfn.XLOOKUP(A2189,[1]Affiliations!$J$2:$J$5328,[1]Affiliations!$K$2:$K$5328,0)</f>
        <v>Vizlab - X-Reality and GeoInformatics Lab</v>
      </c>
      <c r="D2189">
        <v>22</v>
      </c>
      <c r="E2189">
        <v>372</v>
      </c>
      <c r="F2189">
        <v>16.909089999999999</v>
      </c>
      <c r="G2189">
        <v>12</v>
      </c>
      <c r="H2189">
        <v>1</v>
      </c>
      <c r="I2189">
        <v>0</v>
      </c>
      <c r="J2189">
        <v>4</v>
      </c>
      <c r="K2189">
        <v>8</v>
      </c>
      <c r="L2189">
        <v>14</v>
      </c>
      <c r="M2189">
        <v>20</v>
      </c>
      <c r="N2189">
        <v>22</v>
      </c>
      <c r="P2189">
        <v>0</v>
      </c>
      <c r="Q2189">
        <v>1</v>
      </c>
      <c r="R2189">
        <v>4</v>
      </c>
      <c r="S2189">
        <v>8</v>
      </c>
    </row>
    <row r="2190" spans="1:19" hidden="1" x14ac:dyDescent="0.35">
      <c r="A2190">
        <v>57194459252</v>
      </c>
      <c r="B2190" t="s">
        <v>2196</v>
      </c>
      <c r="C2190" t="str">
        <f>_xlfn.XLOOKUP(A2190,[1]Affiliations!$J$2:$J$5328,[1]Affiliations!$K$2:$K$5328,0)</f>
        <v>Federal University of Santa Catarina</v>
      </c>
      <c r="D2190">
        <v>2</v>
      </c>
      <c r="E2190">
        <v>1</v>
      </c>
      <c r="F2190">
        <v>0.5</v>
      </c>
      <c r="G2190">
        <v>1</v>
      </c>
      <c r="H2190">
        <v>0</v>
      </c>
      <c r="P2190">
        <v>0</v>
      </c>
      <c r="Q2190">
        <v>0</v>
      </c>
      <c r="R2190">
        <v>0</v>
      </c>
      <c r="S2190">
        <v>0</v>
      </c>
    </row>
    <row r="2191" spans="1:19" x14ac:dyDescent="0.35">
      <c r="A2191">
        <v>6504307714</v>
      </c>
      <c r="B2191" t="s">
        <v>940</v>
      </c>
      <c r="C2191" t="str">
        <f>_xlfn.XLOOKUP(A2191,[1]Affiliations!$J$2:$J$5328,[1]Affiliations!$K$2:$K$5328,0)</f>
        <v>Universidade Federal de Itajubá</v>
      </c>
      <c r="D2191">
        <v>11</v>
      </c>
      <c r="E2191">
        <v>258</v>
      </c>
      <c r="F2191">
        <v>23.454546000000001</v>
      </c>
      <c r="G2191">
        <v>11</v>
      </c>
      <c r="H2191">
        <v>1</v>
      </c>
      <c r="I2191">
        <v>1</v>
      </c>
      <c r="J2191">
        <v>4</v>
      </c>
      <c r="K2191">
        <v>5</v>
      </c>
      <c r="L2191">
        <v>6</v>
      </c>
      <c r="M2191">
        <v>10</v>
      </c>
      <c r="N2191">
        <v>10</v>
      </c>
      <c r="P2191">
        <v>0</v>
      </c>
      <c r="Q2191">
        <v>0</v>
      </c>
      <c r="R2191">
        <v>2</v>
      </c>
      <c r="S2191">
        <v>5</v>
      </c>
    </row>
    <row r="2192" spans="1:19" hidden="1" x14ac:dyDescent="0.35">
      <c r="A2192">
        <v>16318618500</v>
      </c>
      <c r="B2192" t="s">
        <v>2198</v>
      </c>
      <c r="C2192" t="str">
        <f>_xlfn.XLOOKUP(A2192,[1]Affiliations!$J$2:$J$5328,[1]Affiliations!$K$2:$K$5328,0)</f>
        <v>Universidade Federal da Bahia</v>
      </c>
      <c r="D2192">
        <v>3</v>
      </c>
      <c r="E2192">
        <v>2</v>
      </c>
      <c r="F2192">
        <v>0.66666669999999995</v>
      </c>
      <c r="G2192">
        <v>2</v>
      </c>
      <c r="H2192">
        <v>7.0000000000000007E-2</v>
      </c>
      <c r="I2192">
        <v>0</v>
      </c>
      <c r="J2192">
        <v>0</v>
      </c>
      <c r="K2192">
        <v>0</v>
      </c>
      <c r="L2192">
        <v>1</v>
      </c>
      <c r="M2192">
        <v>1</v>
      </c>
      <c r="N2192">
        <v>1</v>
      </c>
      <c r="P2192">
        <v>0</v>
      </c>
      <c r="Q2192">
        <v>0</v>
      </c>
      <c r="R2192">
        <v>0</v>
      </c>
      <c r="S2192">
        <v>0</v>
      </c>
    </row>
    <row r="2193" spans="1:19" hidden="1" x14ac:dyDescent="0.35">
      <c r="A2193">
        <v>57218397218</v>
      </c>
      <c r="B2193" t="s">
        <v>2199</v>
      </c>
      <c r="C2193" t="str">
        <f>_xlfn.XLOOKUP(A2193,[1]Affiliations!$J$2:$J$5328,[1]Affiliations!$K$2:$K$5328,0)</f>
        <v>Universidade Federal de Pernambuco</v>
      </c>
      <c r="D2193">
        <v>1</v>
      </c>
      <c r="E2193">
        <v>22</v>
      </c>
      <c r="F2193">
        <v>22</v>
      </c>
      <c r="G2193">
        <v>1</v>
      </c>
      <c r="H2193">
        <v>0.68</v>
      </c>
      <c r="I2193">
        <v>0</v>
      </c>
      <c r="J2193">
        <v>0</v>
      </c>
      <c r="K2193">
        <v>1</v>
      </c>
      <c r="L2193">
        <v>1</v>
      </c>
      <c r="M2193">
        <v>1</v>
      </c>
      <c r="N2193">
        <v>1</v>
      </c>
      <c r="P2193">
        <v>0</v>
      </c>
      <c r="Q2193">
        <v>0</v>
      </c>
      <c r="R2193">
        <v>0</v>
      </c>
      <c r="S2193">
        <v>1</v>
      </c>
    </row>
    <row r="2194" spans="1:19" hidden="1" x14ac:dyDescent="0.35">
      <c r="A2194">
        <v>8572697900</v>
      </c>
      <c r="B2194" t="s">
        <v>2200</v>
      </c>
      <c r="C2194" t="str">
        <f>_xlfn.XLOOKUP(A2194,[1]Affiliations!$J$2:$J$5328,[1]Affiliations!$K$2:$K$5328,0)</f>
        <v>Universidade Federal da Bahia (+1 more)</v>
      </c>
      <c r="D2194">
        <v>4</v>
      </c>
      <c r="E2194">
        <v>69</v>
      </c>
      <c r="F2194">
        <v>17.25</v>
      </c>
      <c r="G2194">
        <v>3</v>
      </c>
      <c r="H2194">
        <v>0.77</v>
      </c>
      <c r="I2194">
        <v>0</v>
      </c>
      <c r="J2194">
        <v>0</v>
      </c>
      <c r="K2194">
        <v>1</v>
      </c>
      <c r="L2194">
        <v>2</v>
      </c>
      <c r="M2194">
        <v>2</v>
      </c>
      <c r="N2194">
        <v>2</v>
      </c>
      <c r="P2194">
        <v>0</v>
      </c>
      <c r="Q2194">
        <v>0</v>
      </c>
      <c r="R2194">
        <v>1</v>
      </c>
      <c r="S2194">
        <v>1</v>
      </c>
    </row>
    <row r="2195" spans="1:19" x14ac:dyDescent="0.35">
      <c r="A2195">
        <v>56841149800</v>
      </c>
      <c r="B2195" t="s">
        <v>1039</v>
      </c>
      <c r="C2195" t="str">
        <f>_xlfn.XLOOKUP(A2195,[1]Affiliations!$J$2:$J$5328,[1]Affiliations!$K$2:$K$5328,0)</f>
        <v>Pontifical Catholic University of Rio de Janeiro (+4 more)</v>
      </c>
      <c r="D2195">
        <v>13</v>
      </c>
      <c r="E2195">
        <v>195</v>
      </c>
      <c r="F2195">
        <v>15</v>
      </c>
      <c r="G2195">
        <v>7</v>
      </c>
      <c r="H2195">
        <v>1</v>
      </c>
      <c r="I2195">
        <v>1</v>
      </c>
      <c r="J2195">
        <v>2</v>
      </c>
      <c r="K2195">
        <v>4</v>
      </c>
      <c r="L2195">
        <v>5</v>
      </c>
      <c r="M2195">
        <v>6</v>
      </c>
      <c r="N2195">
        <v>6</v>
      </c>
      <c r="P2195">
        <v>0</v>
      </c>
      <c r="Q2195">
        <v>0</v>
      </c>
      <c r="R2195">
        <v>2</v>
      </c>
      <c r="S2195">
        <v>6</v>
      </c>
    </row>
    <row r="2196" spans="1:19" x14ac:dyDescent="0.35">
      <c r="A2196">
        <v>36086124900</v>
      </c>
      <c r="B2196" t="s">
        <v>1509</v>
      </c>
      <c r="C2196" t="str">
        <f>_xlfn.XLOOKUP(A2196,[1]Affiliations!$J$2:$J$5328,[1]Affiliations!$K$2:$K$5328,0)</f>
        <v>Universidade Federal da Bahia</v>
      </c>
      <c r="D2196">
        <v>65</v>
      </c>
      <c r="E2196">
        <v>845</v>
      </c>
      <c r="F2196">
        <v>13</v>
      </c>
      <c r="G2196">
        <v>18</v>
      </c>
      <c r="H2196">
        <v>1</v>
      </c>
      <c r="I2196">
        <v>0</v>
      </c>
      <c r="J2196">
        <v>3</v>
      </c>
      <c r="K2196">
        <v>12</v>
      </c>
      <c r="L2196">
        <v>38</v>
      </c>
      <c r="M2196">
        <v>57</v>
      </c>
      <c r="N2196">
        <v>62</v>
      </c>
      <c r="P2196">
        <v>0</v>
      </c>
      <c r="Q2196">
        <v>0</v>
      </c>
      <c r="R2196">
        <v>2</v>
      </c>
      <c r="S2196">
        <v>15</v>
      </c>
    </row>
    <row r="2197" spans="1:19" hidden="1" x14ac:dyDescent="0.35">
      <c r="A2197">
        <v>55964766300</v>
      </c>
      <c r="B2197" t="s">
        <v>2203</v>
      </c>
      <c r="C2197" t="str">
        <f>_xlfn.XLOOKUP(A2197,[1]Affiliations!$J$2:$J$5328,[1]Affiliations!$K$2:$K$5328,0)</f>
        <v>Universidade Federal do Amazonas</v>
      </c>
      <c r="D2197">
        <v>2</v>
      </c>
      <c r="E2197">
        <v>3</v>
      </c>
      <c r="F2197">
        <v>1.5</v>
      </c>
      <c r="G2197">
        <v>2</v>
      </c>
      <c r="H2197">
        <v>0.12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P2197">
        <v>0</v>
      </c>
      <c r="Q2197">
        <v>0</v>
      </c>
      <c r="R2197">
        <v>0</v>
      </c>
      <c r="S2197">
        <v>0</v>
      </c>
    </row>
    <row r="2198" spans="1:19" hidden="1" x14ac:dyDescent="0.35">
      <c r="A2198">
        <v>57221747441</v>
      </c>
      <c r="B2198" t="s">
        <v>2204</v>
      </c>
      <c r="C2198" t="str">
        <f>_xlfn.XLOOKUP(A2198,[1]Affiliations!$J$2:$J$5328,[1]Affiliations!$K$2:$K$5328,0)</f>
        <v>Federal University of Santa Catarina</v>
      </c>
      <c r="D2198">
        <v>1</v>
      </c>
      <c r="E2198">
        <v>22</v>
      </c>
      <c r="F2198">
        <v>22</v>
      </c>
      <c r="G2198">
        <v>1</v>
      </c>
      <c r="H2198">
        <v>1.66</v>
      </c>
      <c r="I2198">
        <v>0</v>
      </c>
      <c r="J2198">
        <v>0</v>
      </c>
      <c r="K2198">
        <v>0</v>
      </c>
      <c r="L2198">
        <v>1</v>
      </c>
      <c r="M2198">
        <v>1</v>
      </c>
      <c r="N2198">
        <v>1</v>
      </c>
      <c r="P2198">
        <v>0</v>
      </c>
      <c r="Q2198">
        <v>0</v>
      </c>
      <c r="R2198">
        <v>0</v>
      </c>
      <c r="S2198">
        <v>1</v>
      </c>
    </row>
    <row r="2199" spans="1:19" hidden="1" x14ac:dyDescent="0.35">
      <c r="A2199">
        <v>57214933524</v>
      </c>
      <c r="B2199" t="s">
        <v>2205</v>
      </c>
      <c r="C2199" t="str">
        <f>_xlfn.XLOOKUP(A2199,[1]Affiliations!$J$2:$J$5328,[1]Affiliations!$K$2:$K$5328,0)</f>
        <v>UniversidadeFederal de Alagoas (+1 more)</v>
      </c>
      <c r="D2199">
        <v>9</v>
      </c>
      <c r="E2199">
        <v>13</v>
      </c>
      <c r="F2199">
        <v>1.4444444000000001</v>
      </c>
      <c r="G2199">
        <v>3</v>
      </c>
      <c r="H2199">
        <v>0.1</v>
      </c>
      <c r="I2199">
        <v>0</v>
      </c>
      <c r="J2199">
        <v>0</v>
      </c>
      <c r="K2199">
        <v>0</v>
      </c>
      <c r="L2199">
        <v>1</v>
      </c>
      <c r="M2199">
        <v>5</v>
      </c>
      <c r="N2199">
        <v>7</v>
      </c>
      <c r="P2199">
        <v>0</v>
      </c>
      <c r="Q2199">
        <v>0</v>
      </c>
      <c r="R2199">
        <v>0</v>
      </c>
      <c r="S2199">
        <v>0</v>
      </c>
    </row>
    <row r="2200" spans="1:19" x14ac:dyDescent="0.35">
      <c r="A2200">
        <v>57204621063</v>
      </c>
      <c r="B2200" t="s">
        <v>1967</v>
      </c>
      <c r="C2200" t="str">
        <f>_xlfn.XLOOKUP(A2200,[1]Affiliations!$J$2:$J$5328,[1]Affiliations!$K$2:$K$5328,0)</f>
        <v>Pontifícia Universidade Católica do Rio Grande do Sul</v>
      </c>
      <c r="D2200">
        <v>7</v>
      </c>
      <c r="E2200">
        <v>152</v>
      </c>
      <c r="F2200">
        <v>21.714285</v>
      </c>
      <c r="G2200">
        <v>6</v>
      </c>
      <c r="H2200">
        <v>1</v>
      </c>
      <c r="I2200">
        <v>0</v>
      </c>
      <c r="J2200">
        <v>1</v>
      </c>
      <c r="K2200">
        <v>3</v>
      </c>
      <c r="L2200">
        <v>5</v>
      </c>
      <c r="M2200">
        <v>6</v>
      </c>
      <c r="N2200">
        <v>6</v>
      </c>
      <c r="P2200">
        <v>0</v>
      </c>
      <c r="Q2200">
        <v>0</v>
      </c>
      <c r="R2200">
        <v>1</v>
      </c>
      <c r="S2200">
        <v>5</v>
      </c>
    </row>
    <row r="2201" spans="1:19" hidden="1" x14ac:dyDescent="0.35">
      <c r="A2201">
        <v>57194571763</v>
      </c>
      <c r="B2201" t="s">
        <v>2207</v>
      </c>
      <c r="C2201" t="str">
        <f>_xlfn.XLOOKUP(A2201,[1]Affiliations!$J$2:$J$5328,[1]Affiliations!$K$2:$K$5328,0)</f>
        <v>Universidade Tiradentes (+1 more)</v>
      </c>
      <c r="D2201">
        <v>4</v>
      </c>
      <c r="E2201">
        <v>68</v>
      </c>
      <c r="F2201">
        <v>17</v>
      </c>
      <c r="G2201">
        <v>3</v>
      </c>
      <c r="H2201">
        <v>0.75</v>
      </c>
      <c r="I2201">
        <v>0</v>
      </c>
      <c r="J2201">
        <v>0</v>
      </c>
      <c r="K2201">
        <v>0</v>
      </c>
      <c r="L2201">
        <v>3</v>
      </c>
      <c r="M2201">
        <v>3</v>
      </c>
      <c r="N2201">
        <v>4</v>
      </c>
      <c r="P2201">
        <v>0</v>
      </c>
      <c r="Q2201">
        <v>0</v>
      </c>
      <c r="R2201">
        <v>0</v>
      </c>
      <c r="S2201">
        <v>2</v>
      </c>
    </row>
    <row r="2202" spans="1:19" hidden="1" x14ac:dyDescent="0.35">
      <c r="A2202">
        <v>60190412600</v>
      </c>
      <c r="B2202" t="s">
        <v>2208</v>
      </c>
      <c r="C2202" t="str">
        <f>_xlfn.XLOOKUP(A2202,[1]Affiliations!$J$2:$J$5328,[1]Affiliations!$K$2:$K$5328,0)</f>
        <v>Universidade Federal do Rio Grande do Norte</v>
      </c>
      <c r="D2202">
        <v>0</v>
      </c>
      <c r="G2202">
        <v>0</v>
      </c>
    </row>
    <row r="2203" spans="1:19" x14ac:dyDescent="0.35">
      <c r="A2203">
        <v>37096917900</v>
      </c>
      <c r="B2203" t="s">
        <v>2173</v>
      </c>
      <c r="C2203" t="str">
        <f>_xlfn.XLOOKUP(A2203,[1]Affiliations!$J$2:$J$5328,[1]Affiliations!$K$2:$K$5328,0)</f>
        <v>Laboratório Nacional de Luz Síncrotron (LNLS)</v>
      </c>
      <c r="D2203">
        <v>17</v>
      </c>
      <c r="E2203">
        <v>234</v>
      </c>
      <c r="F2203">
        <v>13.764706</v>
      </c>
      <c r="G2203">
        <v>9</v>
      </c>
      <c r="H2203">
        <v>1</v>
      </c>
      <c r="I2203">
        <v>0</v>
      </c>
      <c r="J2203">
        <v>1</v>
      </c>
      <c r="K2203">
        <v>7</v>
      </c>
      <c r="L2203">
        <v>10</v>
      </c>
      <c r="M2203">
        <v>13</v>
      </c>
      <c r="N2203">
        <v>15</v>
      </c>
      <c r="P2203">
        <v>0</v>
      </c>
      <c r="Q2203">
        <v>0</v>
      </c>
      <c r="R2203">
        <v>3</v>
      </c>
      <c r="S2203">
        <v>6</v>
      </c>
    </row>
    <row r="2204" spans="1:19" x14ac:dyDescent="0.35">
      <c r="A2204">
        <v>49963629700</v>
      </c>
      <c r="B2204" t="s">
        <v>2416</v>
      </c>
      <c r="C2204" t="str">
        <f>_xlfn.XLOOKUP(A2204,[1]Affiliations!$J$2:$J$5328,[1]Affiliations!$K$2:$K$5328,0)</f>
        <v>Universidade de Brasília</v>
      </c>
      <c r="D2204">
        <v>30</v>
      </c>
      <c r="E2204">
        <v>596</v>
      </c>
      <c r="F2204">
        <v>19.866667</v>
      </c>
      <c r="G2204">
        <v>16</v>
      </c>
      <c r="H2204">
        <v>1</v>
      </c>
      <c r="I2204">
        <v>0</v>
      </c>
      <c r="J2204">
        <v>7</v>
      </c>
      <c r="K2204">
        <v>14</v>
      </c>
      <c r="L2204">
        <v>18</v>
      </c>
      <c r="M2204">
        <v>24</v>
      </c>
      <c r="N2204">
        <v>28</v>
      </c>
      <c r="P2204">
        <v>0</v>
      </c>
      <c r="Q2204">
        <v>1</v>
      </c>
      <c r="R2204">
        <v>3</v>
      </c>
      <c r="S2204">
        <v>14</v>
      </c>
    </row>
    <row r="2205" spans="1:19" hidden="1" x14ac:dyDescent="0.35">
      <c r="A2205">
        <v>57203417519</v>
      </c>
      <c r="B2205" t="s">
        <v>2211</v>
      </c>
      <c r="C2205" t="str">
        <f>_xlfn.XLOOKUP(A2205,[1]Affiliations!$J$2:$J$5328,[1]Affiliations!$K$2:$K$5328,0)</f>
        <v>Universidade Federal Rural do Rio de Janeiro (+1 more)</v>
      </c>
      <c r="D2205">
        <v>2</v>
      </c>
      <c r="E2205">
        <v>6</v>
      </c>
      <c r="F2205">
        <v>3</v>
      </c>
      <c r="G2205">
        <v>1</v>
      </c>
      <c r="H2205">
        <v>0.2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P2205">
        <v>0</v>
      </c>
      <c r="Q2205">
        <v>0</v>
      </c>
      <c r="R2205">
        <v>0</v>
      </c>
      <c r="S2205">
        <v>0</v>
      </c>
    </row>
    <row r="2206" spans="1:19" hidden="1" x14ac:dyDescent="0.35">
      <c r="A2206">
        <v>60151553100</v>
      </c>
      <c r="B2206" t="s">
        <v>2212</v>
      </c>
      <c r="C2206" t="str">
        <f>_xlfn.XLOOKUP(A2206,[1]Affiliations!$J$2:$J$5328,[1]Affiliations!$K$2:$K$5328,0)</f>
        <v>Universidade do Estado do Rio de Janeiro</v>
      </c>
      <c r="D2206">
        <v>0</v>
      </c>
      <c r="G2206">
        <v>0</v>
      </c>
    </row>
    <row r="2207" spans="1:19" hidden="1" x14ac:dyDescent="0.35">
      <c r="A2207">
        <v>57659312900</v>
      </c>
      <c r="B2207" t="s">
        <v>2213</v>
      </c>
      <c r="C2207" t="str">
        <f>_xlfn.XLOOKUP(A2207,[1]Affiliations!$J$2:$J$5328,[1]Affiliations!$K$2:$K$5328,0)</f>
        <v>Universidade Federal Rural do Rio de Janeiro</v>
      </c>
      <c r="D2207">
        <v>4</v>
      </c>
      <c r="E2207">
        <v>7</v>
      </c>
      <c r="F2207">
        <v>1.75</v>
      </c>
      <c r="G2207">
        <v>2</v>
      </c>
      <c r="H2207">
        <v>0.33</v>
      </c>
      <c r="I2207">
        <v>0</v>
      </c>
      <c r="J2207">
        <v>0</v>
      </c>
      <c r="K2207">
        <v>1</v>
      </c>
      <c r="L2207">
        <v>3</v>
      </c>
      <c r="M2207">
        <v>3</v>
      </c>
      <c r="N2207">
        <v>3</v>
      </c>
      <c r="P2207">
        <v>0</v>
      </c>
      <c r="Q2207">
        <v>0</v>
      </c>
      <c r="R2207">
        <v>0</v>
      </c>
      <c r="S2207">
        <v>0</v>
      </c>
    </row>
    <row r="2208" spans="1:19" hidden="1" x14ac:dyDescent="0.35">
      <c r="A2208">
        <v>16241415100</v>
      </c>
      <c r="B2208" t="s">
        <v>2214</v>
      </c>
      <c r="C2208" t="str">
        <f>_xlfn.XLOOKUP(A2208,[1]Affiliations!$J$2:$J$5328,[1]Affiliations!$K$2:$K$5328,0)</f>
        <v>Federal University of Santa Catarina</v>
      </c>
      <c r="D2208">
        <v>5</v>
      </c>
      <c r="E2208">
        <v>21</v>
      </c>
      <c r="F2208">
        <v>4.2</v>
      </c>
      <c r="G2208">
        <v>5</v>
      </c>
      <c r="H2208">
        <v>0.41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3</v>
      </c>
      <c r="P2208">
        <v>0</v>
      </c>
      <c r="Q2208">
        <v>0</v>
      </c>
      <c r="R2208">
        <v>0</v>
      </c>
      <c r="S2208">
        <v>0</v>
      </c>
    </row>
    <row r="2209" spans="1:19" hidden="1" x14ac:dyDescent="0.35">
      <c r="A2209">
        <v>57205271107</v>
      </c>
      <c r="B2209" t="s">
        <v>2215</v>
      </c>
      <c r="C2209" t="str">
        <f>_xlfn.XLOOKUP(A2209,[1]Affiliations!$J$2:$J$5328,[1]Affiliations!$K$2:$K$5328,0)</f>
        <v>Rio de Janeiro Federal Institute (+1 more)</v>
      </c>
      <c r="D2209">
        <v>1</v>
      </c>
      <c r="E2209">
        <v>4</v>
      </c>
      <c r="F2209">
        <v>4</v>
      </c>
      <c r="G2209">
        <v>1</v>
      </c>
      <c r="H2209">
        <v>7.0000000000000007E-2</v>
      </c>
      <c r="I2209">
        <v>0</v>
      </c>
      <c r="J2209">
        <v>0</v>
      </c>
      <c r="K2209">
        <v>0</v>
      </c>
      <c r="L2209">
        <v>0</v>
      </c>
      <c r="M2209">
        <v>1</v>
      </c>
      <c r="N2209">
        <v>1</v>
      </c>
      <c r="P2209">
        <v>0</v>
      </c>
      <c r="Q2209">
        <v>0</v>
      </c>
      <c r="R2209">
        <v>0</v>
      </c>
      <c r="S2209">
        <v>0</v>
      </c>
    </row>
    <row r="2210" spans="1:19" hidden="1" x14ac:dyDescent="0.35">
      <c r="A2210">
        <v>59454845900</v>
      </c>
      <c r="B2210" t="s">
        <v>2216</v>
      </c>
      <c r="C2210" t="str">
        <f>_xlfn.XLOOKUP(A2210,[1]Affiliations!$J$2:$J$5328,[1]Affiliations!$K$2:$K$5328,0)</f>
        <v>Universidade Federal de Alagoas</v>
      </c>
      <c r="D2210">
        <v>2</v>
      </c>
      <c r="E2210">
        <v>5</v>
      </c>
      <c r="F2210">
        <v>2.5</v>
      </c>
      <c r="G2210">
        <v>2</v>
      </c>
      <c r="H2210">
        <v>0.18</v>
      </c>
      <c r="I2210">
        <v>0</v>
      </c>
      <c r="J2210">
        <v>0</v>
      </c>
      <c r="K2210">
        <v>0</v>
      </c>
      <c r="L2210">
        <v>1</v>
      </c>
      <c r="M2210">
        <v>1</v>
      </c>
      <c r="N2210">
        <v>1</v>
      </c>
      <c r="P2210">
        <v>0</v>
      </c>
      <c r="Q2210">
        <v>0</v>
      </c>
      <c r="R2210">
        <v>0</v>
      </c>
      <c r="S2210">
        <v>0</v>
      </c>
    </row>
    <row r="2211" spans="1:19" x14ac:dyDescent="0.35">
      <c r="A2211">
        <v>6603422977</v>
      </c>
      <c r="B2211" t="s">
        <v>2601</v>
      </c>
      <c r="C2211" t="str">
        <f>_xlfn.XLOOKUP(A2211,[1]Affiliations!$J$2:$J$5328,[1]Affiliations!$K$2:$K$5328,0)</f>
        <v>DEMa</v>
      </c>
      <c r="D2211">
        <v>64</v>
      </c>
      <c r="E2211">
        <v>958</v>
      </c>
      <c r="F2211">
        <v>14.96875</v>
      </c>
      <c r="G2211">
        <v>28</v>
      </c>
      <c r="H2211">
        <v>1</v>
      </c>
      <c r="I2211">
        <v>0</v>
      </c>
      <c r="J2211">
        <v>5</v>
      </c>
      <c r="K2211">
        <v>22</v>
      </c>
      <c r="L2211">
        <v>44</v>
      </c>
      <c r="M2211">
        <v>52</v>
      </c>
      <c r="N2211">
        <v>60</v>
      </c>
      <c r="P2211">
        <v>0</v>
      </c>
      <c r="Q2211">
        <v>0</v>
      </c>
      <c r="R2211">
        <v>5</v>
      </c>
      <c r="S2211">
        <v>25</v>
      </c>
    </row>
    <row r="2212" spans="1:19" hidden="1" x14ac:dyDescent="0.35">
      <c r="A2212">
        <v>57223907621</v>
      </c>
      <c r="B2212" t="s">
        <v>2218</v>
      </c>
      <c r="C2212" t="str">
        <f>_xlfn.XLOOKUP(A2212,[1]Affiliations!$J$2:$J$5328,[1]Affiliations!$K$2:$K$5328,0)</f>
        <v>Instituto de Pesquisas da Marinha</v>
      </c>
      <c r="D2212">
        <v>1</v>
      </c>
      <c r="E2212">
        <v>3</v>
      </c>
      <c r="F2212">
        <v>3</v>
      </c>
      <c r="G2212">
        <v>1</v>
      </c>
      <c r="H2212">
        <v>0.72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P2212">
        <v>0</v>
      </c>
      <c r="Q2212">
        <v>0</v>
      </c>
      <c r="R2212">
        <v>0</v>
      </c>
      <c r="S2212">
        <v>0</v>
      </c>
    </row>
    <row r="2213" spans="1:19" hidden="1" x14ac:dyDescent="0.35">
      <c r="A2213">
        <v>57576694500</v>
      </c>
      <c r="B2213" t="s">
        <v>2219</v>
      </c>
      <c r="C2213" t="str">
        <f>_xlfn.XLOOKUP(A2213,[1]Affiliations!$J$2:$J$5328,[1]Affiliations!$K$2:$K$5328,0)</f>
        <v>Brazil and Eldorado Research Institute</v>
      </c>
      <c r="D2213">
        <v>1</v>
      </c>
      <c r="E2213">
        <v>80</v>
      </c>
      <c r="F2213">
        <v>80</v>
      </c>
      <c r="G2213">
        <v>1</v>
      </c>
      <c r="H2213">
        <v>1.41</v>
      </c>
      <c r="I2213">
        <v>1</v>
      </c>
      <c r="J2213">
        <v>1</v>
      </c>
      <c r="K2213">
        <v>1</v>
      </c>
      <c r="L2213">
        <v>1</v>
      </c>
      <c r="M2213">
        <v>1</v>
      </c>
      <c r="N2213">
        <v>1</v>
      </c>
      <c r="P2213">
        <v>1</v>
      </c>
      <c r="Q2213">
        <v>1</v>
      </c>
      <c r="R2213">
        <v>1</v>
      </c>
      <c r="S2213">
        <v>1</v>
      </c>
    </row>
    <row r="2214" spans="1:19" hidden="1" x14ac:dyDescent="0.35">
      <c r="A2214">
        <v>6507008531</v>
      </c>
      <c r="B2214" t="s">
        <v>2220</v>
      </c>
      <c r="C2214" t="str">
        <f>_xlfn.XLOOKUP(A2214,[1]Affiliations!$J$2:$J$5328,[1]Affiliations!$K$2:$K$5328,0)</f>
        <v>Instituto Nacional de Tecnologia</v>
      </c>
      <c r="D2214">
        <v>3</v>
      </c>
      <c r="E2214">
        <v>4</v>
      </c>
      <c r="F2214">
        <v>1.3333333999999999</v>
      </c>
      <c r="G2214">
        <v>1</v>
      </c>
      <c r="H2214">
        <v>0.05</v>
      </c>
      <c r="I2214">
        <v>0</v>
      </c>
      <c r="J2214">
        <v>0</v>
      </c>
      <c r="K2214">
        <v>0</v>
      </c>
      <c r="L2214">
        <v>1</v>
      </c>
      <c r="M2214">
        <v>1</v>
      </c>
      <c r="N2214">
        <v>1</v>
      </c>
      <c r="P2214">
        <v>0</v>
      </c>
      <c r="Q2214">
        <v>0</v>
      </c>
      <c r="R2214">
        <v>0</v>
      </c>
      <c r="S2214">
        <v>0</v>
      </c>
    </row>
    <row r="2215" spans="1:19" x14ac:dyDescent="0.35">
      <c r="A2215">
        <v>57194217534</v>
      </c>
      <c r="B2215" t="s">
        <v>2926</v>
      </c>
      <c r="C2215" t="str">
        <f>_xlfn.XLOOKUP(A2215,[1]Affiliations!$J$2:$J$5328,[1]Affiliations!$K$2:$K$5328,0)</f>
        <v>Federal University of Rio de Janeiro</v>
      </c>
      <c r="D2215">
        <v>9</v>
      </c>
      <c r="E2215">
        <v>192</v>
      </c>
      <c r="F2215">
        <v>21.333334000000001</v>
      </c>
      <c r="G2215">
        <v>7</v>
      </c>
      <c r="H2215">
        <v>1</v>
      </c>
      <c r="I2215">
        <v>0</v>
      </c>
      <c r="J2215">
        <v>3</v>
      </c>
      <c r="K2215">
        <v>5</v>
      </c>
      <c r="L2215">
        <v>7</v>
      </c>
      <c r="M2215">
        <v>8</v>
      </c>
      <c r="N2215">
        <v>8</v>
      </c>
      <c r="P2215">
        <v>0</v>
      </c>
      <c r="Q2215">
        <v>0</v>
      </c>
      <c r="R2215">
        <v>1</v>
      </c>
      <c r="S2215">
        <v>5</v>
      </c>
    </row>
    <row r="2216" spans="1:19" hidden="1" x14ac:dyDescent="0.35">
      <c r="A2216">
        <v>55690419400</v>
      </c>
      <c r="B2216" t="s">
        <v>2222</v>
      </c>
      <c r="C2216" t="str">
        <f>_xlfn.XLOOKUP(A2216,[1]Affiliations!$J$2:$J$5328,[1]Affiliations!$K$2:$K$5328,0)</f>
        <v>Federal University of Santa Catarina</v>
      </c>
      <c r="D2216">
        <v>21</v>
      </c>
      <c r="E2216">
        <v>94</v>
      </c>
      <c r="F2216">
        <v>4.4761905999999998</v>
      </c>
      <c r="G2216">
        <v>6</v>
      </c>
      <c r="H2216">
        <v>0.35</v>
      </c>
      <c r="I2216">
        <v>0</v>
      </c>
      <c r="J2216">
        <v>0</v>
      </c>
      <c r="K2216">
        <v>0</v>
      </c>
      <c r="L2216">
        <v>1</v>
      </c>
      <c r="M2216">
        <v>5</v>
      </c>
      <c r="N2216">
        <v>18</v>
      </c>
      <c r="P2216">
        <v>0</v>
      </c>
      <c r="Q2216">
        <v>0</v>
      </c>
      <c r="R2216">
        <v>0</v>
      </c>
      <c r="S2216">
        <v>1</v>
      </c>
    </row>
    <row r="2217" spans="1:19" x14ac:dyDescent="0.35">
      <c r="A2217">
        <v>57202890998</v>
      </c>
      <c r="B2217" t="s">
        <v>3345</v>
      </c>
      <c r="C2217" t="str">
        <f>_xlfn.XLOOKUP(A2217,[1]Affiliations!$J$2:$J$5328,[1]Affiliations!$K$2:$K$5328,0)</f>
        <v>Federal University of Rio de Janeiro</v>
      </c>
      <c r="D2217">
        <v>9</v>
      </c>
      <c r="E2217">
        <v>112</v>
      </c>
      <c r="F2217">
        <v>12.444445</v>
      </c>
      <c r="G2217">
        <v>4</v>
      </c>
      <c r="H2217">
        <v>1</v>
      </c>
      <c r="I2217">
        <v>0</v>
      </c>
      <c r="J2217">
        <v>1</v>
      </c>
      <c r="K2217">
        <v>1</v>
      </c>
      <c r="L2217">
        <v>2</v>
      </c>
      <c r="M2217">
        <v>5</v>
      </c>
      <c r="N2217">
        <v>6</v>
      </c>
      <c r="P2217">
        <v>0</v>
      </c>
      <c r="Q2217">
        <v>1</v>
      </c>
      <c r="R2217">
        <v>1</v>
      </c>
      <c r="S2217">
        <v>2</v>
      </c>
    </row>
    <row r="2218" spans="1:19" hidden="1" x14ac:dyDescent="0.35">
      <c r="A2218">
        <v>57964903800</v>
      </c>
      <c r="B2218" t="s">
        <v>2224</v>
      </c>
      <c r="C2218" t="str">
        <f>_xlfn.XLOOKUP(A2218,[1]Affiliations!$J$2:$J$5328,[1]Affiliations!$K$2:$K$5328,0)</f>
        <v>Federal University of Rio de Janeiro</v>
      </c>
      <c r="D2218">
        <v>1</v>
      </c>
      <c r="E2218">
        <v>9</v>
      </c>
      <c r="F2218">
        <v>9</v>
      </c>
      <c r="G2218">
        <v>1</v>
      </c>
      <c r="H2218">
        <v>0.53</v>
      </c>
      <c r="I2218">
        <v>0</v>
      </c>
      <c r="J2218">
        <v>0</v>
      </c>
      <c r="K2218">
        <v>0</v>
      </c>
      <c r="L2218">
        <v>0</v>
      </c>
      <c r="M2218">
        <v>1</v>
      </c>
      <c r="N2218">
        <v>1</v>
      </c>
      <c r="P2218">
        <v>0</v>
      </c>
      <c r="Q2218">
        <v>0</v>
      </c>
      <c r="R2218">
        <v>0</v>
      </c>
      <c r="S2218">
        <v>0</v>
      </c>
    </row>
    <row r="2219" spans="1:19" hidden="1" x14ac:dyDescent="0.35">
      <c r="A2219">
        <v>36058792700</v>
      </c>
      <c r="B2219" t="s">
        <v>2225</v>
      </c>
      <c r="C2219" t="str">
        <f>_xlfn.XLOOKUP(A2219,[1]Affiliations!$J$2:$J$5328,[1]Affiliations!$K$2:$K$5328,0)</f>
        <v>Universidade Federal do Rio Grande do Norte (+1 more)</v>
      </c>
      <c r="D2219">
        <v>2</v>
      </c>
      <c r="E2219">
        <v>75</v>
      </c>
      <c r="F2219">
        <v>37.5</v>
      </c>
      <c r="G2219">
        <v>3</v>
      </c>
      <c r="H2219">
        <v>3</v>
      </c>
      <c r="I2219">
        <v>0</v>
      </c>
      <c r="J2219">
        <v>2</v>
      </c>
      <c r="K2219">
        <v>2</v>
      </c>
      <c r="L2219">
        <v>2</v>
      </c>
      <c r="M2219">
        <v>2</v>
      </c>
      <c r="N2219">
        <v>2</v>
      </c>
      <c r="P2219">
        <v>0</v>
      </c>
      <c r="Q2219">
        <v>0</v>
      </c>
      <c r="R2219">
        <v>1</v>
      </c>
      <c r="S2219">
        <v>2</v>
      </c>
    </row>
    <row r="2220" spans="1:19" x14ac:dyDescent="0.35">
      <c r="A2220">
        <v>57212408220</v>
      </c>
      <c r="B2220" t="s">
        <v>3471</v>
      </c>
      <c r="C2220" t="str">
        <f>_xlfn.XLOOKUP(A2220,[1]Affiliations!$J$2:$J$5328,[1]Affiliations!$K$2:$K$5328,0)</f>
        <v>Universidade Federal do Espírito Santo (+1 more)</v>
      </c>
      <c r="D2220">
        <v>8</v>
      </c>
      <c r="E2220">
        <v>160</v>
      </c>
      <c r="F2220">
        <v>20</v>
      </c>
      <c r="G2220">
        <v>6</v>
      </c>
      <c r="H2220">
        <v>1</v>
      </c>
      <c r="I2220">
        <v>0</v>
      </c>
      <c r="J2220">
        <v>3</v>
      </c>
      <c r="K2220">
        <v>5</v>
      </c>
      <c r="L2220">
        <v>7</v>
      </c>
      <c r="M2220">
        <v>8</v>
      </c>
      <c r="N2220">
        <v>8</v>
      </c>
      <c r="P2220">
        <v>0</v>
      </c>
      <c r="Q2220">
        <v>0</v>
      </c>
      <c r="R2220">
        <v>2</v>
      </c>
      <c r="S2220">
        <v>5</v>
      </c>
    </row>
    <row r="2221" spans="1:19" x14ac:dyDescent="0.35">
      <c r="A2221">
        <v>57119332800</v>
      </c>
      <c r="B2221" t="s">
        <v>3568</v>
      </c>
      <c r="C2221" t="str">
        <f>_xlfn.XLOOKUP(A2221,[1]Affiliations!$J$2:$J$5328,[1]Affiliations!$K$2:$K$5328,0)</f>
        <v>Universidade Federal do Espírito Santo</v>
      </c>
      <c r="D2221">
        <v>5</v>
      </c>
      <c r="E2221">
        <v>154</v>
      </c>
      <c r="F2221">
        <v>30.8</v>
      </c>
      <c r="G2221">
        <v>4</v>
      </c>
      <c r="H2221">
        <v>1</v>
      </c>
      <c r="I2221">
        <v>0</v>
      </c>
      <c r="J2221">
        <v>1</v>
      </c>
      <c r="K2221">
        <v>1</v>
      </c>
      <c r="L2221">
        <v>3</v>
      </c>
      <c r="M2221">
        <v>3</v>
      </c>
      <c r="N2221">
        <v>4</v>
      </c>
      <c r="P2221">
        <v>0</v>
      </c>
      <c r="Q2221">
        <v>0</v>
      </c>
      <c r="R2221">
        <v>1</v>
      </c>
      <c r="S2221">
        <v>3</v>
      </c>
    </row>
    <row r="2222" spans="1:19" hidden="1" x14ac:dyDescent="0.35">
      <c r="A2222">
        <v>59235108100</v>
      </c>
      <c r="B2222" t="s">
        <v>2228</v>
      </c>
      <c r="C2222" t="str">
        <f>_xlfn.XLOOKUP(A2222,[1]Affiliations!$J$2:$J$5328,[1]Affiliations!$K$2:$K$5328,0)</f>
        <v>Federal University of Rio de Janeiro</v>
      </c>
      <c r="D2222">
        <v>0</v>
      </c>
      <c r="G2222">
        <v>0</v>
      </c>
    </row>
    <row r="2223" spans="1:19" hidden="1" x14ac:dyDescent="0.35">
      <c r="A2223">
        <v>57202813876</v>
      </c>
      <c r="B2223" t="s">
        <v>2229</v>
      </c>
      <c r="C2223" t="str">
        <f>_xlfn.XLOOKUP(A2223,[1]Affiliations!$J$2:$J$5328,[1]Affiliations!$K$2:$K$5328,0)</f>
        <v>Instituto Nacional de Tecnologia</v>
      </c>
      <c r="D2223">
        <v>4</v>
      </c>
      <c r="E2223">
        <v>13</v>
      </c>
      <c r="F2223">
        <v>3.25</v>
      </c>
      <c r="G2223">
        <v>3</v>
      </c>
      <c r="H2223">
        <v>0.11</v>
      </c>
      <c r="I2223">
        <v>0</v>
      </c>
      <c r="J2223">
        <v>0</v>
      </c>
      <c r="K2223">
        <v>0</v>
      </c>
      <c r="L2223">
        <v>1</v>
      </c>
      <c r="M2223">
        <v>1</v>
      </c>
      <c r="N2223">
        <v>2</v>
      </c>
      <c r="P2223">
        <v>0</v>
      </c>
      <c r="Q2223">
        <v>0</v>
      </c>
      <c r="R2223">
        <v>0</v>
      </c>
      <c r="S2223">
        <v>0</v>
      </c>
    </row>
    <row r="2224" spans="1:19" hidden="1" x14ac:dyDescent="0.35">
      <c r="A2224">
        <v>57212572684</v>
      </c>
      <c r="B2224" t="s">
        <v>2230</v>
      </c>
      <c r="C2224" t="str">
        <f>_xlfn.XLOOKUP(A2224,[1]Affiliations!$J$2:$J$5328,[1]Affiliations!$K$2:$K$5328,0)</f>
        <v>Universidade Federal do Ceará</v>
      </c>
      <c r="D2224">
        <v>11</v>
      </c>
      <c r="E2224">
        <v>51</v>
      </c>
      <c r="F2224">
        <v>4.6363634999999999</v>
      </c>
      <c r="G2224">
        <v>5</v>
      </c>
      <c r="H2224">
        <v>0.3</v>
      </c>
      <c r="I2224">
        <v>0</v>
      </c>
      <c r="J2224">
        <v>0</v>
      </c>
      <c r="K2224">
        <v>0</v>
      </c>
      <c r="L2224">
        <v>4</v>
      </c>
      <c r="M2224">
        <v>7</v>
      </c>
      <c r="N2224">
        <v>10</v>
      </c>
      <c r="P2224">
        <v>0</v>
      </c>
      <c r="Q2224">
        <v>0</v>
      </c>
      <c r="R2224">
        <v>0</v>
      </c>
      <c r="S2224">
        <v>0</v>
      </c>
    </row>
    <row r="2225" spans="1:19" x14ac:dyDescent="0.35">
      <c r="A2225">
        <v>59164762100</v>
      </c>
      <c r="B2225" t="s">
        <v>4090</v>
      </c>
      <c r="C2225" t="str">
        <f>_xlfn.XLOOKUP(A2225,[1]Affiliations!$J$2:$J$5328,[1]Affiliations!$K$2:$K$5328,0)</f>
        <v>Federal University of Rio de Janeiro</v>
      </c>
      <c r="D2225">
        <v>29</v>
      </c>
      <c r="E2225">
        <v>803</v>
      </c>
      <c r="F2225">
        <v>27.689654999999998</v>
      </c>
      <c r="G2225">
        <v>23</v>
      </c>
      <c r="H2225">
        <v>1</v>
      </c>
      <c r="I2225">
        <v>0</v>
      </c>
      <c r="J2225">
        <v>6</v>
      </c>
      <c r="K2225">
        <v>14</v>
      </c>
      <c r="L2225">
        <v>24</v>
      </c>
      <c r="M2225">
        <v>26</v>
      </c>
      <c r="N2225">
        <v>29</v>
      </c>
      <c r="P2225">
        <v>0</v>
      </c>
      <c r="Q2225">
        <v>2</v>
      </c>
      <c r="R2225">
        <v>5</v>
      </c>
      <c r="S2225">
        <v>18</v>
      </c>
    </row>
    <row r="2226" spans="1:19" hidden="1" x14ac:dyDescent="0.35">
      <c r="A2226">
        <v>57392964300</v>
      </c>
      <c r="B2226" t="s">
        <v>2232</v>
      </c>
      <c r="C2226" t="str">
        <f>_xlfn.XLOOKUP(A2226,[1]Affiliations!$J$2:$J$5328,[1]Affiliations!$K$2:$K$5328,0)</f>
        <v>Federal University of Rio de Janeiro</v>
      </c>
      <c r="D2226">
        <v>1</v>
      </c>
      <c r="E2226">
        <v>13</v>
      </c>
      <c r="F2226">
        <v>13</v>
      </c>
      <c r="G2226">
        <v>1</v>
      </c>
      <c r="H2226">
        <v>0.52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P2226">
        <v>0</v>
      </c>
      <c r="Q2226">
        <v>0</v>
      </c>
      <c r="R2226">
        <v>0</v>
      </c>
      <c r="S2226">
        <v>0</v>
      </c>
    </row>
    <row r="2227" spans="1:19" hidden="1" x14ac:dyDescent="0.35">
      <c r="A2227">
        <v>57611929600</v>
      </c>
      <c r="B2227" t="s">
        <v>2233</v>
      </c>
      <c r="C2227" t="str">
        <f>_xlfn.XLOOKUP(A2227,[1]Affiliations!$J$2:$J$5328,[1]Affiliations!$K$2:$K$5328,0)</f>
        <v>Federal University of Rio de Janeiro</v>
      </c>
      <c r="D2227">
        <v>2</v>
      </c>
      <c r="E2227">
        <v>6</v>
      </c>
      <c r="F2227">
        <v>3</v>
      </c>
      <c r="G2227">
        <v>1</v>
      </c>
      <c r="H2227">
        <v>0.2</v>
      </c>
      <c r="I2227">
        <v>0</v>
      </c>
      <c r="J2227">
        <v>0</v>
      </c>
      <c r="K2227">
        <v>0</v>
      </c>
      <c r="L2227">
        <v>1</v>
      </c>
      <c r="M2227">
        <v>1</v>
      </c>
      <c r="N2227">
        <v>2</v>
      </c>
      <c r="P2227">
        <v>0</v>
      </c>
      <c r="Q2227">
        <v>0</v>
      </c>
      <c r="R2227">
        <v>0</v>
      </c>
      <c r="S2227">
        <v>0</v>
      </c>
    </row>
    <row r="2228" spans="1:19" hidden="1" x14ac:dyDescent="0.35">
      <c r="A2228">
        <v>57563271700</v>
      </c>
      <c r="B2228" t="s">
        <v>2234</v>
      </c>
      <c r="C2228" t="str">
        <f>_xlfn.XLOOKUP(A2228,[1]Affiliations!$J$2:$J$5328,[1]Affiliations!$K$2:$K$5328,0)</f>
        <v>Vallourec Soluções Tubulares do Brasil</v>
      </c>
      <c r="D2228">
        <v>2</v>
      </c>
      <c r="E2228">
        <v>0</v>
      </c>
      <c r="F2228">
        <v>0</v>
      </c>
      <c r="G2228">
        <v>0</v>
      </c>
      <c r="H2228">
        <v>0</v>
      </c>
      <c r="P2228">
        <v>0</v>
      </c>
      <c r="Q2228">
        <v>0</v>
      </c>
      <c r="R2228">
        <v>0</v>
      </c>
      <c r="S2228">
        <v>0</v>
      </c>
    </row>
    <row r="2229" spans="1:19" x14ac:dyDescent="0.35">
      <c r="A2229">
        <v>56344550700</v>
      </c>
      <c r="B2229" t="s">
        <v>4300</v>
      </c>
      <c r="C2229" t="str">
        <f>_xlfn.XLOOKUP(A2229,[1]Affiliations!$J$2:$J$5328,[1]Affiliations!$K$2:$K$5328,0)</f>
        <v>Universidade do Estado do Rio de Janeiro</v>
      </c>
      <c r="D2229">
        <v>30</v>
      </c>
      <c r="E2229">
        <v>288</v>
      </c>
      <c r="F2229">
        <v>9.6</v>
      </c>
      <c r="G2229">
        <v>11</v>
      </c>
      <c r="H2229">
        <v>1</v>
      </c>
      <c r="I2229">
        <v>0</v>
      </c>
      <c r="J2229">
        <v>1</v>
      </c>
      <c r="K2229">
        <v>1</v>
      </c>
      <c r="L2229">
        <v>5</v>
      </c>
      <c r="M2229">
        <v>12</v>
      </c>
      <c r="N2229">
        <v>19</v>
      </c>
      <c r="P2229">
        <v>0</v>
      </c>
      <c r="Q2229">
        <v>0</v>
      </c>
      <c r="R2229">
        <v>1</v>
      </c>
      <c r="S2229">
        <v>8</v>
      </c>
    </row>
    <row r="2230" spans="1:19" hidden="1" x14ac:dyDescent="0.35">
      <c r="A2230">
        <v>57169784900</v>
      </c>
      <c r="B2230" t="s">
        <v>2236</v>
      </c>
      <c r="C2230" t="str">
        <f>_xlfn.XLOOKUP(A2230,[1]Affiliations!$J$2:$J$5328,[1]Affiliations!$K$2:$K$5328,0)</f>
        <v>Universidade Federal de Juiz de Fora</v>
      </c>
      <c r="D2230">
        <v>10</v>
      </c>
      <c r="E2230">
        <v>148</v>
      </c>
      <c r="F2230">
        <v>14.8</v>
      </c>
      <c r="G2230">
        <v>8</v>
      </c>
      <c r="H2230">
        <v>0.56999999999999995</v>
      </c>
      <c r="I2230">
        <v>0</v>
      </c>
      <c r="J2230">
        <v>0</v>
      </c>
      <c r="K2230">
        <v>3</v>
      </c>
      <c r="L2230">
        <v>10</v>
      </c>
      <c r="M2230">
        <v>10</v>
      </c>
      <c r="N2230">
        <v>10</v>
      </c>
      <c r="P2230">
        <v>0</v>
      </c>
      <c r="Q2230">
        <v>0</v>
      </c>
      <c r="R2230">
        <v>0</v>
      </c>
      <c r="S2230">
        <v>2</v>
      </c>
    </row>
    <row r="2231" spans="1:19" hidden="1" x14ac:dyDescent="0.35">
      <c r="A2231">
        <v>57561780100</v>
      </c>
      <c r="B2231" t="s">
        <v>2237</v>
      </c>
      <c r="C2231" t="str">
        <f>_xlfn.XLOOKUP(A2231,[1]Affiliations!$J$2:$J$5328,[1]Affiliations!$K$2:$K$5328,0)</f>
        <v>Universidade Federal de Juiz de Fora</v>
      </c>
      <c r="D2231">
        <v>3</v>
      </c>
      <c r="E2231">
        <v>60</v>
      </c>
      <c r="F2231">
        <v>20</v>
      </c>
      <c r="G2231">
        <v>3</v>
      </c>
      <c r="H2231">
        <v>2.12</v>
      </c>
      <c r="I2231">
        <v>0</v>
      </c>
      <c r="J2231">
        <v>1</v>
      </c>
      <c r="K2231">
        <v>2</v>
      </c>
      <c r="L2231">
        <v>3</v>
      </c>
      <c r="M2231">
        <v>3</v>
      </c>
      <c r="N2231">
        <v>3</v>
      </c>
      <c r="P2231">
        <v>0</v>
      </c>
      <c r="Q2231">
        <v>0</v>
      </c>
      <c r="R2231">
        <v>1</v>
      </c>
      <c r="S2231">
        <v>3</v>
      </c>
    </row>
    <row r="2232" spans="1:19" hidden="1" x14ac:dyDescent="0.35">
      <c r="A2232">
        <v>57221528828</v>
      </c>
      <c r="B2232" t="s">
        <v>2238</v>
      </c>
      <c r="C2232" t="str">
        <f>_xlfn.XLOOKUP(A2232,[1]Affiliations!$J$2:$J$5328,[1]Affiliations!$K$2:$K$5328,0)</f>
        <v>University of Campinas</v>
      </c>
      <c r="D2232">
        <v>1</v>
      </c>
      <c r="E2232">
        <v>1</v>
      </c>
      <c r="F2232">
        <v>1</v>
      </c>
      <c r="G2232">
        <v>1</v>
      </c>
      <c r="H2232">
        <v>0.59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P2232">
        <v>0</v>
      </c>
      <c r="Q2232">
        <v>0</v>
      </c>
      <c r="R2232">
        <v>0</v>
      </c>
      <c r="S2232">
        <v>0</v>
      </c>
    </row>
    <row r="2233" spans="1:19" x14ac:dyDescent="0.35">
      <c r="A2233">
        <v>55989141000</v>
      </c>
      <c r="B2233" t="s">
        <v>4978</v>
      </c>
      <c r="C2233" t="str">
        <f>_xlfn.XLOOKUP(A2233,[1]Affiliations!$J$2:$J$5328,[1]Affiliations!$K$2:$K$5328,0)</f>
        <v>Federal University of Rio de Janeiro</v>
      </c>
      <c r="D2233">
        <v>8</v>
      </c>
      <c r="E2233">
        <v>227</v>
      </c>
      <c r="F2233">
        <v>28.375</v>
      </c>
      <c r="G2233">
        <v>9</v>
      </c>
      <c r="H2233">
        <v>1</v>
      </c>
      <c r="I2233">
        <v>0</v>
      </c>
      <c r="J2233">
        <v>1</v>
      </c>
      <c r="K2233">
        <v>6</v>
      </c>
      <c r="L2233">
        <v>6</v>
      </c>
      <c r="M2233">
        <v>7</v>
      </c>
      <c r="N2233">
        <v>8</v>
      </c>
      <c r="P2233">
        <v>0</v>
      </c>
      <c r="Q2233">
        <v>1</v>
      </c>
      <c r="R2233">
        <v>2</v>
      </c>
      <c r="S2233">
        <v>3</v>
      </c>
    </row>
    <row r="2234" spans="1:19" x14ac:dyDescent="0.35">
      <c r="A2234">
        <v>6506663445</v>
      </c>
      <c r="B2234" t="s">
        <v>5057</v>
      </c>
      <c r="C2234" t="str">
        <f>_xlfn.XLOOKUP(A2234,[1]Affiliations!$J$2:$J$5328,[1]Affiliations!$K$2:$K$5328,0)</f>
        <v>Universidade Federal de Minas Gerais</v>
      </c>
      <c r="D2234">
        <v>30</v>
      </c>
      <c r="E2234">
        <v>599</v>
      </c>
      <c r="F2234">
        <v>19.966667000000001</v>
      </c>
      <c r="G2234">
        <v>21</v>
      </c>
      <c r="H2234">
        <v>1</v>
      </c>
      <c r="I2234">
        <v>0</v>
      </c>
      <c r="J2234">
        <v>4</v>
      </c>
      <c r="K2234">
        <v>5</v>
      </c>
      <c r="L2234">
        <v>8</v>
      </c>
      <c r="M2234">
        <v>24</v>
      </c>
      <c r="N2234">
        <v>27</v>
      </c>
      <c r="P2234">
        <v>0</v>
      </c>
      <c r="Q2234">
        <v>1</v>
      </c>
      <c r="R2234">
        <v>5</v>
      </c>
      <c r="S2234">
        <v>12</v>
      </c>
    </row>
    <row r="2235" spans="1:19" x14ac:dyDescent="0.35">
      <c r="A2235">
        <v>57194492320</v>
      </c>
      <c r="B2235" t="s">
        <v>5140</v>
      </c>
      <c r="C2235" t="str">
        <f>_xlfn.XLOOKUP(A2235,[1]Affiliations!$J$2:$J$5328,[1]Affiliations!$K$2:$K$5328,0)</f>
        <v>Federal University of Rio de Janeiro</v>
      </c>
      <c r="D2235">
        <v>14</v>
      </c>
      <c r="E2235">
        <v>163</v>
      </c>
      <c r="F2235">
        <v>11.642858</v>
      </c>
      <c r="G2235">
        <v>6</v>
      </c>
      <c r="H2235">
        <v>1</v>
      </c>
      <c r="I2235">
        <v>0</v>
      </c>
      <c r="J2235">
        <v>2</v>
      </c>
      <c r="K2235">
        <v>3</v>
      </c>
      <c r="L2235">
        <v>9</v>
      </c>
      <c r="M2235">
        <v>11</v>
      </c>
      <c r="N2235">
        <v>12</v>
      </c>
      <c r="P2235">
        <v>0</v>
      </c>
      <c r="Q2235">
        <v>1</v>
      </c>
      <c r="R2235">
        <v>1</v>
      </c>
      <c r="S2235">
        <v>2</v>
      </c>
    </row>
    <row r="2236" spans="1:19" hidden="1" x14ac:dyDescent="0.35">
      <c r="A2236">
        <v>56878372100</v>
      </c>
      <c r="B2236" t="s">
        <v>2242</v>
      </c>
      <c r="C2236" t="str">
        <f>_xlfn.XLOOKUP(A2236,[1]Affiliations!$J$2:$J$5328,[1]Affiliations!$K$2:$K$5328,0)</f>
        <v>Universidade Federal Fluminense (+2 more)</v>
      </c>
      <c r="D2236">
        <v>5</v>
      </c>
      <c r="E2236">
        <v>108</v>
      </c>
      <c r="F2236">
        <v>21.6</v>
      </c>
      <c r="G2236">
        <v>5</v>
      </c>
      <c r="H2236">
        <v>0.96</v>
      </c>
      <c r="I2236">
        <v>0</v>
      </c>
      <c r="J2236">
        <v>2</v>
      </c>
      <c r="K2236">
        <v>3</v>
      </c>
      <c r="L2236">
        <v>5</v>
      </c>
      <c r="M2236">
        <v>5</v>
      </c>
      <c r="N2236">
        <v>5</v>
      </c>
      <c r="P2236">
        <v>0</v>
      </c>
      <c r="Q2236">
        <v>0</v>
      </c>
      <c r="R2236">
        <v>0</v>
      </c>
      <c r="S2236">
        <v>5</v>
      </c>
    </row>
    <row r="2237" spans="1:19" x14ac:dyDescent="0.35">
      <c r="A2237">
        <v>57193115050</v>
      </c>
      <c r="B2237" t="s">
        <v>199</v>
      </c>
      <c r="C2237" t="str">
        <f>_xlfn.XLOOKUP(A2237,[1]Affiliations!$J$2:$J$5328,[1]Affiliations!$K$2:$K$5328,0)</f>
        <v>Universidade Federal de Santa Maria</v>
      </c>
      <c r="D2237">
        <v>13</v>
      </c>
      <c r="E2237">
        <v>228</v>
      </c>
      <c r="F2237">
        <v>17.538461999999999</v>
      </c>
      <c r="G2237">
        <v>11</v>
      </c>
      <c r="H2237">
        <v>0.99</v>
      </c>
      <c r="I2237">
        <v>0</v>
      </c>
      <c r="J2237">
        <v>2</v>
      </c>
      <c r="K2237">
        <v>3</v>
      </c>
      <c r="L2237">
        <v>8</v>
      </c>
      <c r="M2237">
        <v>13</v>
      </c>
      <c r="N2237">
        <v>13</v>
      </c>
      <c r="P2237">
        <v>0</v>
      </c>
      <c r="Q2237">
        <v>0</v>
      </c>
      <c r="R2237">
        <v>3</v>
      </c>
      <c r="S2237">
        <v>7</v>
      </c>
    </row>
    <row r="2238" spans="1:19" hidden="1" x14ac:dyDescent="0.35">
      <c r="A2238">
        <v>56338748700</v>
      </c>
      <c r="B2238" t="s">
        <v>2244</v>
      </c>
      <c r="C2238" t="str">
        <f>_xlfn.XLOOKUP(A2238,[1]Affiliations!$J$2:$J$5328,[1]Affiliations!$K$2:$K$5328,0)</f>
        <v>University of Campinas</v>
      </c>
      <c r="D2238">
        <v>1</v>
      </c>
      <c r="E2238">
        <v>13</v>
      </c>
      <c r="F2238">
        <v>13</v>
      </c>
      <c r="G2238">
        <v>2</v>
      </c>
      <c r="H2238">
        <v>0.88</v>
      </c>
      <c r="I2238">
        <v>0</v>
      </c>
      <c r="J2238">
        <v>0</v>
      </c>
      <c r="K2238">
        <v>0</v>
      </c>
      <c r="L2238">
        <v>1</v>
      </c>
      <c r="M2238">
        <v>1</v>
      </c>
      <c r="N2238">
        <v>1</v>
      </c>
      <c r="P2238">
        <v>0</v>
      </c>
      <c r="Q2238">
        <v>0</v>
      </c>
      <c r="R2238">
        <v>0</v>
      </c>
      <c r="S2238">
        <v>0</v>
      </c>
    </row>
    <row r="2239" spans="1:19" hidden="1" x14ac:dyDescent="0.35">
      <c r="A2239">
        <v>59234253300</v>
      </c>
      <c r="B2239" t="s">
        <v>2245</v>
      </c>
      <c r="C2239" t="str">
        <f>_xlfn.XLOOKUP(A2239,[1]Affiliations!$J$2:$J$5328,[1]Affiliations!$K$2:$K$5328,0)</f>
        <v>Universidade do Vale do Itajaí</v>
      </c>
      <c r="D2239">
        <v>2</v>
      </c>
      <c r="E2239">
        <v>3</v>
      </c>
      <c r="F2239">
        <v>1.5</v>
      </c>
      <c r="G2239">
        <v>1</v>
      </c>
      <c r="H2239">
        <v>0.2</v>
      </c>
      <c r="I2239">
        <v>0</v>
      </c>
      <c r="J2239">
        <v>0</v>
      </c>
      <c r="K2239">
        <v>0</v>
      </c>
      <c r="L2239">
        <v>1</v>
      </c>
      <c r="M2239">
        <v>1</v>
      </c>
      <c r="N2239">
        <v>2</v>
      </c>
      <c r="P2239">
        <v>0</v>
      </c>
      <c r="Q2239">
        <v>0</v>
      </c>
      <c r="R2239">
        <v>0</v>
      </c>
      <c r="S2239">
        <v>0</v>
      </c>
    </row>
    <row r="2240" spans="1:19" hidden="1" x14ac:dyDescent="0.35">
      <c r="A2240">
        <v>57223391141</v>
      </c>
      <c r="B2240" t="s">
        <v>2246</v>
      </c>
      <c r="C2240" t="str">
        <f>_xlfn.XLOOKUP(A2240,[1]Affiliations!$J$2:$J$5328,[1]Affiliations!$K$2:$K$5328,0)</f>
        <v>Universidade Federal do Espírito Santo</v>
      </c>
      <c r="D2240">
        <v>10</v>
      </c>
      <c r="E2240">
        <v>55</v>
      </c>
      <c r="F2240">
        <v>5.5</v>
      </c>
      <c r="G2240">
        <v>4</v>
      </c>
      <c r="H2240">
        <v>0.39</v>
      </c>
      <c r="I2240">
        <v>0</v>
      </c>
      <c r="J2240">
        <v>2</v>
      </c>
      <c r="K2240">
        <v>3</v>
      </c>
      <c r="L2240">
        <v>4</v>
      </c>
      <c r="M2240">
        <v>9</v>
      </c>
      <c r="N2240">
        <v>10</v>
      </c>
      <c r="P2240">
        <v>0</v>
      </c>
      <c r="Q2240">
        <v>0</v>
      </c>
      <c r="R2240">
        <v>0</v>
      </c>
      <c r="S2240">
        <v>1</v>
      </c>
    </row>
    <row r="2241" spans="1:19" hidden="1" x14ac:dyDescent="0.35">
      <c r="A2241">
        <v>57205483666</v>
      </c>
      <c r="B2241" t="s">
        <v>2247</v>
      </c>
      <c r="C2241" t="str">
        <f>_xlfn.XLOOKUP(A2241,[1]Affiliations!$J$2:$J$5328,[1]Affiliations!$K$2:$K$5328,0)</f>
        <v>ISDB FlowTech</v>
      </c>
      <c r="D2241">
        <v>4</v>
      </c>
      <c r="E2241">
        <v>16</v>
      </c>
      <c r="F2241">
        <v>4</v>
      </c>
      <c r="G2241">
        <v>3</v>
      </c>
      <c r="H2241">
        <v>0.39</v>
      </c>
      <c r="I2241">
        <v>0</v>
      </c>
      <c r="J2241">
        <v>0</v>
      </c>
      <c r="K2241">
        <v>0</v>
      </c>
      <c r="L2241">
        <v>2</v>
      </c>
      <c r="M2241">
        <v>2</v>
      </c>
      <c r="N2241">
        <v>2</v>
      </c>
      <c r="P2241">
        <v>0</v>
      </c>
      <c r="Q2241">
        <v>0</v>
      </c>
      <c r="R2241">
        <v>0</v>
      </c>
      <c r="S2241">
        <v>0</v>
      </c>
    </row>
    <row r="2242" spans="1:19" x14ac:dyDescent="0.35">
      <c r="A2242">
        <v>56369428600</v>
      </c>
      <c r="B2242" t="s">
        <v>258</v>
      </c>
      <c r="C2242" t="str">
        <f>_xlfn.XLOOKUP(A2242,[1]Affiliations!$J$2:$J$5328,[1]Affiliations!$K$2:$K$5328,0)</f>
        <v>Laboratório Nacional de Luz Síncrotron (LNLS)</v>
      </c>
      <c r="D2242">
        <v>35</v>
      </c>
      <c r="E2242">
        <v>577</v>
      </c>
      <c r="F2242">
        <v>16.485714000000002</v>
      </c>
      <c r="G2242">
        <v>15</v>
      </c>
      <c r="H2242">
        <v>0.99</v>
      </c>
      <c r="I2242">
        <v>1</v>
      </c>
      <c r="J2242">
        <v>5</v>
      </c>
      <c r="K2242">
        <v>15</v>
      </c>
      <c r="L2242">
        <v>20</v>
      </c>
      <c r="M2242">
        <v>23</v>
      </c>
      <c r="N2242">
        <v>26</v>
      </c>
      <c r="P2242">
        <v>0</v>
      </c>
      <c r="Q2242">
        <v>2</v>
      </c>
      <c r="R2242">
        <v>6</v>
      </c>
      <c r="S2242">
        <v>11</v>
      </c>
    </row>
    <row r="2243" spans="1:19" x14ac:dyDescent="0.35">
      <c r="A2243">
        <v>26428003500</v>
      </c>
      <c r="B2243" t="s">
        <v>412</v>
      </c>
      <c r="C2243" t="str">
        <f>_xlfn.XLOOKUP(A2243,[1]Affiliations!$J$2:$J$5328,[1]Affiliations!$K$2:$K$5328,0)</f>
        <v>Federal University of Rio de Janeiro</v>
      </c>
      <c r="D2243">
        <v>5</v>
      </c>
      <c r="E2243">
        <v>145</v>
      </c>
      <c r="F2243">
        <v>29</v>
      </c>
      <c r="G2243">
        <v>10</v>
      </c>
      <c r="H2243">
        <v>0.99</v>
      </c>
      <c r="I2243">
        <v>0</v>
      </c>
      <c r="J2243">
        <v>0</v>
      </c>
      <c r="K2243">
        <v>1</v>
      </c>
      <c r="L2243">
        <v>5</v>
      </c>
      <c r="M2243">
        <v>5</v>
      </c>
      <c r="N2243">
        <v>5</v>
      </c>
      <c r="P2243">
        <v>0</v>
      </c>
      <c r="Q2243">
        <v>0</v>
      </c>
      <c r="R2243">
        <v>2</v>
      </c>
      <c r="S2243">
        <v>2</v>
      </c>
    </row>
    <row r="2244" spans="1:19" hidden="1" x14ac:dyDescent="0.35">
      <c r="A2244">
        <v>57222087588</v>
      </c>
      <c r="B2244" t="s">
        <v>2250</v>
      </c>
      <c r="C2244" t="str">
        <f>_xlfn.XLOOKUP(A2244,[1]Affiliations!$J$2:$J$5328,[1]Affiliations!$K$2:$K$5328,0)</f>
        <v>Universidade de Brasília (+1 more)</v>
      </c>
      <c r="D2244">
        <v>2</v>
      </c>
      <c r="E2244">
        <v>61</v>
      </c>
      <c r="F2244">
        <v>30.5</v>
      </c>
      <c r="G2244">
        <v>2</v>
      </c>
      <c r="H2244">
        <v>2.98</v>
      </c>
      <c r="I2244">
        <v>0</v>
      </c>
      <c r="J2244">
        <v>1</v>
      </c>
      <c r="K2244">
        <v>1</v>
      </c>
      <c r="L2244">
        <v>2</v>
      </c>
      <c r="M2244">
        <v>2</v>
      </c>
      <c r="N2244">
        <v>2</v>
      </c>
      <c r="P2244">
        <v>0</v>
      </c>
      <c r="Q2244">
        <v>0</v>
      </c>
      <c r="R2244">
        <v>1</v>
      </c>
      <c r="S2244">
        <v>2</v>
      </c>
    </row>
    <row r="2245" spans="1:19" hidden="1" x14ac:dyDescent="0.35">
      <c r="A2245">
        <v>57197746735</v>
      </c>
      <c r="B2245" t="s">
        <v>2251</v>
      </c>
      <c r="C2245" t="str">
        <f>_xlfn.XLOOKUP(A2245,[1]Affiliations!$J$2:$J$5328,[1]Affiliations!$K$2:$K$5328,0)</f>
        <v>Universidade Federal de Minas Gerais</v>
      </c>
      <c r="D2245">
        <v>10</v>
      </c>
      <c r="E2245">
        <v>100</v>
      </c>
      <c r="F2245">
        <v>10</v>
      </c>
      <c r="G2245">
        <v>5</v>
      </c>
      <c r="H2245">
        <v>0.62</v>
      </c>
      <c r="I2245">
        <v>1</v>
      </c>
      <c r="J2245">
        <v>3</v>
      </c>
      <c r="K2245">
        <v>4</v>
      </c>
      <c r="L2245">
        <v>6</v>
      </c>
      <c r="M2245">
        <v>8</v>
      </c>
      <c r="N2245">
        <v>8</v>
      </c>
      <c r="P2245">
        <v>0</v>
      </c>
      <c r="Q2245">
        <v>0</v>
      </c>
      <c r="R2245">
        <v>0</v>
      </c>
      <c r="S2245">
        <v>2</v>
      </c>
    </row>
    <row r="2246" spans="1:19" hidden="1" x14ac:dyDescent="0.35">
      <c r="A2246">
        <v>59391712400</v>
      </c>
      <c r="B2246" t="s">
        <v>2252</v>
      </c>
      <c r="C2246" t="str">
        <f>_xlfn.XLOOKUP(A2246,[1]Affiliations!$J$2:$J$5328,[1]Affiliations!$K$2:$K$5328,0)</f>
        <v>Universidade Federal Rural do Rio de Janeiro</v>
      </c>
      <c r="D2246">
        <v>0</v>
      </c>
      <c r="G2246">
        <v>1</v>
      </c>
    </row>
    <row r="2247" spans="1:19" hidden="1" x14ac:dyDescent="0.35">
      <c r="A2247">
        <v>58667779900</v>
      </c>
      <c r="B2247" t="s">
        <v>2253</v>
      </c>
      <c r="C2247" t="str">
        <f>_xlfn.XLOOKUP(A2247,[1]Affiliations!$J$2:$J$5328,[1]Affiliations!$K$2:$K$5328,0)</f>
        <v>Universidade Federal Rural do Rio de Janeiro (+1 more)</v>
      </c>
      <c r="D2247">
        <v>5</v>
      </c>
      <c r="E2247">
        <v>17</v>
      </c>
      <c r="F2247">
        <v>3.4</v>
      </c>
      <c r="G2247">
        <v>3</v>
      </c>
      <c r="H2247">
        <v>0.35</v>
      </c>
      <c r="I2247">
        <v>0</v>
      </c>
      <c r="J2247">
        <v>1</v>
      </c>
      <c r="K2247">
        <v>5</v>
      </c>
      <c r="L2247">
        <v>5</v>
      </c>
      <c r="M2247">
        <v>5</v>
      </c>
      <c r="N2247">
        <v>5</v>
      </c>
      <c r="P2247">
        <v>0</v>
      </c>
      <c r="Q2247">
        <v>0</v>
      </c>
      <c r="R2247">
        <v>0</v>
      </c>
      <c r="S2247">
        <v>0</v>
      </c>
    </row>
    <row r="2248" spans="1:19" hidden="1" x14ac:dyDescent="0.35">
      <c r="A2248">
        <v>55443918000</v>
      </c>
      <c r="B2248" t="s">
        <v>2254</v>
      </c>
      <c r="C2248" t="str">
        <f>_xlfn.XLOOKUP(A2248,[1]Affiliations!$J$2:$J$5328,[1]Affiliations!$K$2:$K$5328,0)</f>
        <v>University of Campinas</v>
      </c>
      <c r="D2248">
        <v>5</v>
      </c>
      <c r="E2248">
        <v>39</v>
      </c>
      <c r="F2248">
        <v>7.8</v>
      </c>
      <c r="G2248">
        <v>4</v>
      </c>
      <c r="H2248">
        <v>0.54</v>
      </c>
      <c r="I2248">
        <v>0</v>
      </c>
      <c r="J2248">
        <v>0</v>
      </c>
      <c r="K2248">
        <v>1</v>
      </c>
      <c r="L2248">
        <v>2</v>
      </c>
      <c r="M2248">
        <v>4</v>
      </c>
      <c r="N2248">
        <v>4</v>
      </c>
      <c r="P2248">
        <v>0</v>
      </c>
      <c r="Q2248">
        <v>0</v>
      </c>
      <c r="R2248">
        <v>0</v>
      </c>
      <c r="S2248">
        <v>0</v>
      </c>
    </row>
    <row r="2249" spans="1:19" hidden="1" x14ac:dyDescent="0.35">
      <c r="A2249">
        <v>6603297592</v>
      </c>
      <c r="B2249" t="s">
        <v>2255</v>
      </c>
      <c r="C2249" t="str">
        <f>_xlfn.XLOOKUP(A2249,[1]Affiliations!$J$2:$J$5328,[1]Affiliations!$K$2:$K$5328,0)</f>
        <v>SPE (+1 more)</v>
      </c>
      <c r="D2249">
        <v>18</v>
      </c>
      <c r="E2249">
        <v>52</v>
      </c>
      <c r="F2249">
        <v>2.8888888000000001</v>
      </c>
      <c r="G2249">
        <v>13</v>
      </c>
      <c r="H2249">
        <v>0.25</v>
      </c>
      <c r="I2249">
        <v>0</v>
      </c>
      <c r="J2249">
        <v>0</v>
      </c>
      <c r="K2249">
        <v>0</v>
      </c>
      <c r="L2249">
        <v>0</v>
      </c>
      <c r="M2249">
        <v>1</v>
      </c>
      <c r="N2249">
        <v>1</v>
      </c>
      <c r="P2249">
        <v>0</v>
      </c>
      <c r="Q2249">
        <v>0</v>
      </c>
      <c r="R2249">
        <v>0</v>
      </c>
      <c r="S2249">
        <v>0</v>
      </c>
    </row>
    <row r="2250" spans="1:19" hidden="1" x14ac:dyDescent="0.35">
      <c r="A2250">
        <v>57214945755</v>
      </c>
      <c r="B2250" t="s">
        <v>2256</v>
      </c>
      <c r="C2250" t="str">
        <f>_xlfn.XLOOKUP(A2250,[1]Affiliations!$J$2:$J$5328,[1]Affiliations!$K$2:$K$5328,0)</f>
        <v>Pontifical Catholic University of Rio de Janeiro</v>
      </c>
      <c r="D2250">
        <v>27</v>
      </c>
      <c r="E2250">
        <v>9</v>
      </c>
      <c r="F2250">
        <v>0.33333333999999998</v>
      </c>
      <c r="G2250">
        <v>1</v>
      </c>
      <c r="H2250">
        <v>0.28999999999999998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P2250">
        <v>0</v>
      </c>
      <c r="Q2250">
        <v>0</v>
      </c>
      <c r="R2250">
        <v>0</v>
      </c>
      <c r="S2250">
        <v>0</v>
      </c>
    </row>
    <row r="2251" spans="1:19" hidden="1" x14ac:dyDescent="0.35">
      <c r="A2251">
        <v>57218158070</v>
      </c>
      <c r="B2251" t="s">
        <v>2257</v>
      </c>
      <c r="C2251" t="str">
        <f>_xlfn.XLOOKUP(A2251,[1]Affiliations!$J$2:$J$5328,[1]Affiliations!$K$2:$K$5328,0)</f>
        <v>Federal University of Rio de Janeiro</v>
      </c>
      <c r="D2251">
        <v>8</v>
      </c>
      <c r="E2251">
        <v>49</v>
      </c>
      <c r="F2251">
        <v>6.125</v>
      </c>
      <c r="G2251">
        <v>4</v>
      </c>
      <c r="H2251">
        <v>0.25</v>
      </c>
      <c r="I2251">
        <v>0</v>
      </c>
      <c r="J2251">
        <v>1</v>
      </c>
      <c r="K2251">
        <v>1</v>
      </c>
      <c r="L2251">
        <v>2</v>
      </c>
      <c r="M2251">
        <v>5</v>
      </c>
      <c r="N2251">
        <v>7</v>
      </c>
      <c r="P2251">
        <v>0</v>
      </c>
      <c r="Q2251">
        <v>0</v>
      </c>
      <c r="R2251">
        <v>0</v>
      </c>
      <c r="S2251">
        <v>0</v>
      </c>
    </row>
    <row r="2252" spans="1:19" hidden="1" x14ac:dyDescent="0.35">
      <c r="A2252">
        <v>57203902618</v>
      </c>
      <c r="B2252" t="s">
        <v>2258</v>
      </c>
      <c r="C2252" t="str">
        <f>_xlfn.XLOOKUP(A2252,[1]Affiliations!$J$2:$J$5328,[1]Affiliations!$K$2:$K$5328,0)</f>
        <v>Pontifical Catholic University of Rio de Janeiro</v>
      </c>
      <c r="D2252">
        <v>5</v>
      </c>
      <c r="E2252">
        <v>31</v>
      </c>
      <c r="F2252">
        <v>6.2</v>
      </c>
      <c r="G2252">
        <v>2</v>
      </c>
      <c r="H2252">
        <v>0.69</v>
      </c>
      <c r="I2252">
        <v>2</v>
      </c>
      <c r="J2252">
        <v>2</v>
      </c>
      <c r="K2252">
        <v>2</v>
      </c>
      <c r="L2252">
        <v>2</v>
      </c>
      <c r="M2252">
        <v>2</v>
      </c>
      <c r="N2252">
        <v>2</v>
      </c>
      <c r="P2252">
        <v>0</v>
      </c>
      <c r="Q2252">
        <v>0</v>
      </c>
      <c r="R2252">
        <v>0</v>
      </c>
      <c r="S2252">
        <v>1</v>
      </c>
    </row>
    <row r="2253" spans="1:19" hidden="1" x14ac:dyDescent="0.35">
      <c r="A2253">
        <v>59397437500</v>
      </c>
      <c r="B2253" t="s">
        <v>2259</v>
      </c>
      <c r="C2253" t="str">
        <f>_xlfn.XLOOKUP(A2253,[1]Affiliations!$J$2:$J$5328,[1]Affiliations!$K$2:$K$5328,0)</f>
        <v>Universidade Tecnológica Federal do Paraná</v>
      </c>
      <c r="D2253">
        <v>1</v>
      </c>
      <c r="E2253">
        <v>1</v>
      </c>
      <c r="F2253">
        <v>1</v>
      </c>
      <c r="G2253">
        <v>1</v>
      </c>
      <c r="H2253">
        <v>1.72</v>
      </c>
      <c r="P2253">
        <v>0</v>
      </c>
      <c r="Q2253">
        <v>0</v>
      </c>
      <c r="R2253">
        <v>0</v>
      </c>
      <c r="S2253">
        <v>0</v>
      </c>
    </row>
    <row r="2254" spans="1:19" hidden="1" x14ac:dyDescent="0.35">
      <c r="A2254">
        <v>57211534505</v>
      </c>
      <c r="B2254" t="s">
        <v>2260</v>
      </c>
      <c r="C2254" t="str">
        <f>_xlfn.XLOOKUP(A2254,[1]Affiliations!$J$2:$J$5328,[1]Affiliations!$K$2:$K$5328,0)</f>
        <v>Universidade Federal do Rio Grande do Sul</v>
      </c>
      <c r="D2254">
        <v>10</v>
      </c>
      <c r="E2254">
        <v>139</v>
      </c>
      <c r="F2254">
        <v>13.9</v>
      </c>
      <c r="G2254">
        <v>7</v>
      </c>
      <c r="H2254">
        <v>1.01</v>
      </c>
      <c r="I2254">
        <v>0</v>
      </c>
      <c r="J2254">
        <v>0</v>
      </c>
      <c r="K2254">
        <v>2</v>
      </c>
      <c r="L2254">
        <v>5</v>
      </c>
      <c r="M2254">
        <v>10</v>
      </c>
      <c r="N2254">
        <v>10</v>
      </c>
      <c r="P2254">
        <v>0</v>
      </c>
      <c r="Q2254">
        <v>0</v>
      </c>
      <c r="R2254">
        <v>0</v>
      </c>
      <c r="S2254">
        <v>5</v>
      </c>
    </row>
    <row r="2255" spans="1:19" hidden="1" x14ac:dyDescent="0.35">
      <c r="A2255">
        <v>8973687700</v>
      </c>
      <c r="B2255" t="s">
        <v>2261</v>
      </c>
      <c r="C2255" t="str">
        <f>_xlfn.XLOOKUP(A2255,[1]Affiliations!$J$2:$J$5328,[1]Affiliations!$K$2:$K$5328,0)</f>
        <v>Universidade de Brasília</v>
      </c>
      <c r="D2255">
        <v>36</v>
      </c>
      <c r="E2255">
        <v>160</v>
      </c>
      <c r="F2255">
        <v>4.4444447</v>
      </c>
      <c r="G2255">
        <v>8</v>
      </c>
      <c r="H2255">
        <v>0.56000000000000005</v>
      </c>
      <c r="I2255">
        <v>0</v>
      </c>
      <c r="J2255">
        <v>1</v>
      </c>
      <c r="K2255">
        <v>5</v>
      </c>
      <c r="L2255">
        <v>10</v>
      </c>
      <c r="M2255">
        <v>14</v>
      </c>
      <c r="N2255">
        <v>22</v>
      </c>
      <c r="P2255">
        <v>0</v>
      </c>
      <c r="Q2255">
        <v>0</v>
      </c>
      <c r="R2255">
        <v>0</v>
      </c>
      <c r="S2255">
        <v>1</v>
      </c>
    </row>
    <row r="2256" spans="1:19" x14ac:dyDescent="0.35">
      <c r="A2256">
        <v>7007008614</v>
      </c>
      <c r="B2256" t="s">
        <v>531</v>
      </c>
      <c r="C2256" t="str">
        <f>_xlfn.XLOOKUP(A2256,[1]Affiliations!$J$2:$J$5328,[1]Affiliations!$K$2:$K$5328,0)</f>
        <v>Federal University of Santa Catarina</v>
      </c>
      <c r="D2256">
        <v>33</v>
      </c>
      <c r="E2256">
        <v>738</v>
      </c>
      <c r="F2256">
        <v>22.363636</v>
      </c>
      <c r="G2256">
        <v>23</v>
      </c>
      <c r="H2256">
        <v>0.99</v>
      </c>
      <c r="I2256">
        <v>0</v>
      </c>
      <c r="J2256">
        <v>3</v>
      </c>
      <c r="K2256">
        <v>10</v>
      </c>
      <c r="L2256">
        <v>25</v>
      </c>
      <c r="M2256">
        <v>32</v>
      </c>
      <c r="N2256">
        <v>33</v>
      </c>
      <c r="P2256">
        <v>0</v>
      </c>
      <c r="Q2256">
        <v>4</v>
      </c>
      <c r="R2256">
        <v>8</v>
      </c>
      <c r="S2256">
        <v>13</v>
      </c>
    </row>
    <row r="2257" spans="1:19" x14ac:dyDescent="0.35">
      <c r="A2257">
        <v>7005756539</v>
      </c>
      <c r="B2257" t="s">
        <v>547</v>
      </c>
      <c r="C2257" t="str">
        <f>_xlfn.XLOOKUP(A2257,[1]Affiliations!$J$2:$J$5328,[1]Affiliations!$K$2:$K$5328,0)</f>
        <v>Federal University of Santa Catarina</v>
      </c>
      <c r="D2257">
        <v>37</v>
      </c>
      <c r="E2257">
        <v>972</v>
      </c>
      <c r="F2257">
        <v>26.27027</v>
      </c>
      <c r="G2257">
        <v>33</v>
      </c>
      <c r="H2257">
        <v>0.99</v>
      </c>
      <c r="I2257">
        <v>0</v>
      </c>
      <c r="J2257">
        <v>5</v>
      </c>
      <c r="K2257">
        <v>9</v>
      </c>
      <c r="L2257">
        <v>31</v>
      </c>
      <c r="M2257">
        <v>36</v>
      </c>
      <c r="N2257">
        <v>37</v>
      </c>
      <c r="P2257">
        <v>0</v>
      </c>
      <c r="Q2257">
        <v>4</v>
      </c>
      <c r="R2257">
        <v>4</v>
      </c>
      <c r="S2257">
        <v>14</v>
      </c>
    </row>
    <row r="2258" spans="1:19" hidden="1" x14ac:dyDescent="0.35">
      <c r="A2258">
        <v>21742730300</v>
      </c>
      <c r="B2258" t="s">
        <v>2264</v>
      </c>
      <c r="C2258" t="str">
        <f>_xlfn.XLOOKUP(A2258,[1]Affiliations!$J$2:$J$5328,[1]Affiliations!$K$2:$K$5328,0)</f>
        <v>SIMWORX</v>
      </c>
      <c r="D2258">
        <v>13</v>
      </c>
      <c r="E2258">
        <v>82</v>
      </c>
      <c r="F2258">
        <v>6.3076924999999999</v>
      </c>
      <c r="G2258">
        <v>6</v>
      </c>
      <c r="H2258">
        <v>0.31</v>
      </c>
      <c r="I2258">
        <v>0</v>
      </c>
      <c r="J2258">
        <v>2</v>
      </c>
      <c r="K2258">
        <v>3</v>
      </c>
      <c r="L2258">
        <v>7</v>
      </c>
      <c r="M2258">
        <v>9</v>
      </c>
      <c r="N2258">
        <v>10</v>
      </c>
      <c r="P2258">
        <v>0</v>
      </c>
      <c r="Q2258">
        <v>0</v>
      </c>
      <c r="R2258">
        <v>0</v>
      </c>
      <c r="S2258">
        <v>2</v>
      </c>
    </row>
    <row r="2259" spans="1:19" x14ac:dyDescent="0.35">
      <c r="A2259">
        <v>15025819300</v>
      </c>
      <c r="B2259" t="s">
        <v>882</v>
      </c>
      <c r="C2259" t="str">
        <f>_xlfn.XLOOKUP(A2259,[1]Affiliations!$J$2:$J$5328,[1]Affiliations!$K$2:$K$5328,0)</f>
        <v>Yerevan State University (+3 more)</v>
      </c>
      <c r="D2259">
        <v>118</v>
      </c>
      <c r="E2259">
        <v>2431</v>
      </c>
      <c r="F2259">
        <v>20.601693999999998</v>
      </c>
      <c r="G2259">
        <v>35</v>
      </c>
      <c r="H2259">
        <v>0.99</v>
      </c>
      <c r="I2259">
        <v>1</v>
      </c>
      <c r="J2259">
        <v>17</v>
      </c>
      <c r="K2259">
        <v>59</v>
      </c>
      <c r="L2259">
        <v>95</v>
      </c>
      <c r="M2259">
        <v>112</v>
      </c>
      <c r="N2259">
        <v>116</v>
      </c>
      <c r="P2259">
        <v>0</v>
      </c>
      <c r="Q2259">
        <v>1</v>
      </c>
      <c r="R2259">
        <v>10</v>
      </c>
      <c r="S2259">
        <v>61</v>
      </c>
    </row>
    <row r="2260" spans="1:19" hidden="1" x14ac:dyDescent="0.35">
      <c r="A2260">
        <v>59533675000</v>
      </c>
      <c r="B2260" t="s">
        <v>2266</v>
      </c>
      <c r="C2260" t="str">
        <f>_xlfn.XLOOKUP(A2260,[1]Affiliations!$J$2:$J$5328,[1]Affiliations!$K$2:$K$5328,0)</f>
        <v>Federal University of Rio de Janeiro</v>
      </c>
      <c r="D2260">
        <v>0</v>
      </c>
      <c r="G2260">
        <v>1</v>
      </c>
    </row>
    <row r="2261" spans="1:19" x14ac:dyDescent="0.35">
      <c r="A2261">
        <v>55816900900</v>
      </c>
      <c r="B2261" t="s">
        <v>1665</v>
      </c>
      <c r="C2261" t="str">
        <f>_xlfn.XLOOKUP(A2261,[1]Affiliations!$J$2:$J$5328,[1]Affiliations!$K$2:$K$5328,0)</f>
        <v>Federal University of Santa Catarina</v>
      </c>
      <c r="D2261">
        <v>48</v>
      </c>
      <c r="E2261">
        <v>840</v>
      </c>
      <c r="F2261">
        <v>17.5</v>
      </c>
      <c r="G2261">
        <v>20</v>
      </c>
      <c r="H2261">
        <v>0.99</v>
      </c>
      <c r="I2261">
        <v>1</v>
      </c>
      <c r="J2261">
        <v>10</v>
      </c>
      <c r="K2261">
        <v>15</v>
      </c>
      <c r="L2261">
        <v>27</v>
      </c>
      <c r="M2261">
        <v>44</v>
      </c>
      <c r="N2261">
        <v>48</v>
      </c>
      <c r="P2261">
        <v>0</v>
      </c>
      <c r="Q2261">
        <v>1</v>
      </c>
      <c r="R2261">
        <v>5</v>
      </c>
      <c r="S2261">
        <v>26</v>
      </c>
    </row>
    <row r="2262" spans="1:19" x14ac:dyDescent="0.35">
      <c r="A2262">
        <v>56786625500</v>
      </c>
      <c r="B2262" t="s">
        <v>1767</v>
      </c>
      <c r="C2262" t="str">
        <f>_xlfn.XLOOKUP(A2262,[1]Affiliations!$J$2:$J$5328,[1]Affiliations!$K$2:$K$5328,0)</f>
        <v>Federal University of Santa Catarina</v>
      </c>
      <c r="D2262">
        <v>116</v>
      </c>
      <c r="E2262">
        <v>3032</v>
      </c>
      <c r="F2262">
        <v>26.137931999999999</v>
      </c>
      <c r="G2262">
        <v>43</v>
      </c>
      <c r="H2262">
        <v>0.99</v>
      </c>
      <c r="I2262">
        <v>9</v>
      </c>
      <c r="J2262">
        <v>25</v>
      </c>
      <c r="K2262">
        <v>44</v>
      </c>
      <c r="L2262">
        <v>79</v>
      </c>
      <c r="M2262">
        <v>112</v>
      </c>
      <c r="N2262">
        <v>115</v>
      </c>
      <c r="P2262">
        <v>0</v>
      </c>
      <c r="Q2262">
        <v>9</v>
      </c>
      <c r="R2262">
        <v>25</v>
      </c>
      <c r="S2262">
        <v>58</v>
      </c>
    </row>
    <row r="2263" spans="1:19" hidden="1" x14ac:dyDescent="0.35">
      <c r="A2263">
        <v>54408353100</v>
      </c>
      <c r="B2263" t="s">
        <v>2269</v>
      </c>
      <c r="C2263" t="str">
        <f>_xlfn.XLOOKUP(A2263,[1]Affiliations!$J$2:$J$5328,[1]Affiliations!$K$2:$K$5328,0)</f>
        <v>Federal University of Rio de Janeiro</v>
      </c>
      <c r="D2263">
        <v>3</v>
      </c>
      <c r="E2263">
        <v>46</v>
      </c>
      <c r="F2263">
        <v>15.333333</v>
      </c>
      <c r="G2263">
        <v>5</v>
      </c>
      <c r="H2263">
        <v>0.57999999999999996</v>
      </c>
      <c r="I2263">
        <v>0</v>
      </c>
      <c r="J2263">
        <v>2</v>
      </c>
      <c r="K2263">
        <v>2</v>
      </c>
      <c r="L2263">
        <v>2</v>
      </c>
      <c r="M2263">
        <v>3</v>
      </c>
      <c r="N2263">
        <v>3</v>
      </c>
      <c r="P2263">
        <v>0</v>
      </c>
      <c r="Q2263">
        <v>0</v>
      </c>
      <c r="R2263">
        <v>0</v>
      </c>
      <c r="S2263">
        <v>1</v>
      </c>
    </row>
    <row r="2264" spans="1:19" x14ac:dyDescent="0.35">
      <c r="A2264">
        <v>7003554513</v>
      </c>
      <c r="B2264" t="s">
        <v>1950</v>
      </c>
      <c r="C2264" t="str">
        <f>_xlfn.XLOOKUP(A2264,[1]Affiliations!$J$2:$J$5328,[1]Affiliations!$K$2:$K$5328,0)</f>
        <v>Universidade Federal de Santa Maria (+1 more)</v>
      </c>
      <c r="D2264">
        <v>55</v>
      </c>
      <c r="E2264">
        <v>1354</v>
      </c>
      <c r="F2264">
        <v>24.618181</v>
      </c>
      <c r="G2264">
        <v>48</v>
      </c>
      <c r="H2264">
        <v>0.99</v>
      </c>
      <c r="I2264">
        <v>0</v>
      </c>
      <c r="J2264">
        <v>4</v>
      </c>
      <c r="K2264">
        <v>12</v>
      </c>
      <c r="L2264">
        <v>28</v>
      </c>
      <c r="M2264">
        <v>43</v>
      </c>
      <c r="N2264">
        <v>49</v>
      </c>
      <c r="P2264">
        <v>0</v>
      </c>
      <c r="Q2264">
        <v>3</v>
      </c>
      <c r="R2264">
        <v>9</v>
      </c>
      <c r="S2264">
        <v>26</v>
      </c>
    </row>
    <row r="2265" spans="1:19" hidden="1" x14ac:dyDescent="0.35">
      <c r="A2265">
        <v>59382987200</v>
      </c>
      <c r="B2265" t="s">
        <v>2271</v>
      </c>
      <c r="C2265" t="str">
        <f>_xlfn.XLOOKUP(A2265,[1]Affiliations!$J$2:$J$5328,[1]Affiliations!$K$2:$K$5328,0)</f>
        <v>Federal University of Rio de Janeiro</v>
      </c>
      <c r="D2265">
        <v>1</v>
      </c>
      <c r="E2265">
        <v>3</v>
      </c>
      <c r="F2265">
        <v>3</v>
      </c>
      <c r="G2265">
        <v>1</v>
      </c>
      <c r="H2265">
        <v>0.51</v>
      </c>
      <c r="I2265">
        <v>0</v>
      </c>
      <c r="J2265">
        <v>0</v>
      </c>
      <c r="K2265">
        <v>0</v>
      </c>
      <c r="L2265">
        <v>1</v>
      </c>
      <c r="M2265">
        <v>1</v>
      </c>
      <c r="N2265">
        <v>1</v>
      </c>
      <c r="P2265">
        <v>0</v>
      </c>
      <c r="Q2265">
        <v>0</v>
      </c>
      <c r="R2265">
        <v>0</v>
      </c>
      <c r="S2265">
        <v>0</v>
      </c>
    </row>
    <row r="2266" spans="1:19" x14ac:dyDescent="0.35">
      <c r="A2266">
        <v>12240398600</v>
      </c>
      <c r="B2266" t="s">
        <v>2192</v>
      </c>
      <c r="C2266" t="str">
        <f>_xlfn.XLOOKUP(A2266,[1]Affiliations!$J$2:$J$5328,[1]Affiliations!$K$2:$K$5328,0)</f>
        <v>Universidade Federal de Minas Gerais</v>
      </c>
      <c r="D2266">
        <v>101</v>
      </c>
      <c r="E2266">
        <v>1970</v>
      </c>
      <c r="F2266">
        <v>19.504950000000001</v>
      </c>
      <c r="G2266">
        <v>32</v>
      </c>
      <c r="H2266">
        <v>0.99</v>
      </c>
      <c r="I2266">
        <v>0</v>
      </c>
      <c r="J2266">
        <v>4</v>
      </c>
      <c r="K2266">
        <v>19</v>
      </c>
      <c r="L2266">
        <v>50</v>
      </c>
      <c r="M2266">
        <v>81</v>
      </c>
      <c r="N2266">
        <v>91</v>
      </c>
      <c r="P2266">
        <v>0</v>
      </c>
      <c r="Q2266">
        <v>7</v>
      </c>
      <c r="R2266">
        <v>13</v>
      </c>
      <c r="S2266">
        <v>32</v>
      </c>
    </row>
    <row r="2267" spans="1:19" hidden="1" x14ac:dyDescent="0.35">
      <c r="A2267">
        <v>59775828200</v>
      </c>
      <c r="B2267" t="s">
        <v>2273</v>
      </c>
      <c r="C2267" t="str">
        <f>_xlfn.XLOOKUP(A2267,[1]Affiliations!$J$2:$J$5328,[1]Affiliations!$K$2:$K$5328,0)</f>
        <v>DEMa</v>
      </c>
      <c r="D2267">
        <v>3</v>
      </c>
      <c r="E2267">
        <v>15</v>
      </c>
      <c r="F2267">
        <v>5</v>
      </c>
      <c r="G2267">
        <v>3</v>
      </c>
      <c r="H2267">
        <v>0.83</v>
      </c>
      <c r="I2267">
        <v>0</v>
      </c>
      <c r="J2267">
        <v>0</v>
      </c>
      <c r="K2267">
        <v>1</v>
      </c>
      <c r="L2267">
        <v>1</v>
      </c>
      <c r="M2267">
        <v>3</v>
      </c>
      <c r="N2267">
        <v>3</v>
      </c>
      <c r="P2267">
        <v>0</v>
      </c>
      <c r="Q2267">
        <v>0</v>
      </c>
      <c r="R2267">
        <v>0</v>
      </c>
      <c r="S2267">
        <v>1</v>
      </c>
    </row>
    <row r="2268" spans="1:19" hidden="1" x14ac:dyDescent="0.35">
      <c r="A2268">
        <v>57209848460</v>
      </c>
      <c r="B2268" t="s">
        <v>2274</v>
      </c>
      <c r="C2268" t="str">
        <f>_xlfn.XLOOKUP(A2268,[1]Affiliations!$J$2:$J$5328,[1]Affiliations!$K$2:$K$5328,0)</f>
        <v>Pontifical Catholic University of Rio de Janeiro</v>
      </c>
      <c r="D2268">
        <v>14</v>
      </c>
      <c r="E2268">
        <v>68</v>
      </c>
      <c r="F2268">
        <v>4.8571429999999998</v>
      </c>
      <c r="G2268">
        <v>4</v>
      </c>
      <c r="H2268">
        <v>0.67</v>
      </c>
      <c r="I2268">
        <v>0</v>
      </c>
      <c r="J2268">
        <v>1</v>
      </c>
      <c r="K2268">
        <v>2</v>
      </c>
      <c r="L2268">
        <v>4</v>
      </c>
      <c r="M2268">
        <v>4</v>
      </c>
      <c r="N2268">
        <v>7</v>
      </c>
      <c r="P2268">
        <v>0</v>
      </c>
      <c r="Q2268">
        <v>0</v>
      </c>
      <c r="R2268">
        <v>0</v>
      </c>
      <c r="S2268">
        <v>1</v>
      </c>
    </row>
    <row r="2269" spans="1:19" hidden="1" x14ac:dyDescent="0.35">
      <c r="A2269">
        <v>59250855900</v>
      </c>
      <c r="B2269" t="s">
        <v>2275</v>
      </c>
      <c r="C2269" t="str">
        <f>_xlfn.XLOOKUP(A2269,[1]Affiliations!$J$2:$J$5328,[1]Affiliations!$K$2:$K$5328,0)</f>
        <v>Universidade Federal de Minas Gerais</v>
      </c>
      <c r="D2269">
        <v>1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</v>
      </c>
      <c r="N2269">
        <v>1</v>
      </c>
      <c r="P2269">
        <v>0</v>
      </c>
      <c r="Q2269">
        <v>0</v>
      </c>
      <c r="R2269">
        <v>0</v>
      </c>
      <c r="S2269">
        <v>0</v>
      </c>
    </row>
    <row r="2270" spans="1:19" hidden="1" x14ac:dyDescent="0.35">
      <c r="A2270">
        <v>56964508000</v>
      </c>
      <c r="B2270" t="s">
        <v>2276</v>
      </c>
      <c r="C2270" t="str">
        <f>_xlfn.XLOOKUP(A2270,[1]Affiliations!$J$2:$J$5328,[1]Affiliations!$K$2:$K$5328,0)</f>
        <v>Centro Federal de Educação Tecnológica de Minas Gerais</v>
      </c>
      <c r="D2270">
        <v>3</v>
      </c>
      <c r="E2270">
        <v>84</v>
      </c>
      <c r="F2270">
        <v>28</v>
      </c>
      <c r="G2270">
        <v>3</v>
      </c>
      <c r="H2270">
        <v>0.73</v>
      </c>
      <c r="I2270">
        <v>1</v>
      </c>
      <c r="J2270">
        <v>2</v>
      </c>
      <c r="K2270">
        <v>2</v>
      </c>
      <c r="L2270">
        <v>3</v>
      </c>
      <c r="M2270">
        <v>3</v>
      </c>
      <c r="N2270">
        <v>3</v>
      </c>
      <c r="P2270">
        <v>0</v>
      </c>
      <c r="Q2270">
        <v>0</v>
      </c>
      <c r="R2270">
        <v>1</v>
      </c>
      <c r="S2270">
        <v>2</v>
      </c>
    </row>
    <row r="2271" spans="1:19" x14ac:dyDescent="0.35">
      <c r="A2271">
        <v>36052984700</v>
      </c>
      <c r="B2271" t="s">
        <v>2202</v>
      </c>
      <c r="C2271" t="str">
        <f>_xlfn.XLOOKUP(A2271,[1]Affiliations!$J$2:$J$5328,[1]Affiliations!$K$2:$K$5328,0)</f>
        <v>University of Campinas (+1 more)</v>
      </c>
      <c r="D2271">
        <v>139</v>
      </c>
      <c r="E2271">
        <v>2970</v>
      </c>
      <c r="F2271">
        <v>21.366907000000001</v>
      </c>
      <c r="G2271">
        <v>33</v>
      </c>
      <c r="H2271">
        <v>0.99</v>
      </c>
      <c r="I2271">
        <v>0</v>
      </c>
      <c r="J2271">
        <v>24</v>
      </c>
      <c r="K2271">
        <v>42</v>
      </c>
      <c r="L2271">
        <v>88</v>
      </c>
      <c r="M2271">
        <v>112</v>
      </c>
      <c r="N2271">
        <v>130</v>
      </c>
      <c r="P2271">
        <v>1</v>
      </c>
      <c r="Q2271">
        <v>5</v>
      </c>
      <c r="R2271">
        <v>27</v>
      </c>
      <c r="S2271">
        <v>73</v>
      </c>
    </row>
    <row r="2272" spans="1:19" x14ac:dyDescent="0.35">
      <c r="A2272">
        <v>7005147759</v>
      </c>
      <c r="B2272" t="s">
        <v>2428</v>
      </c>
      <c r="C2272" t="str">
        <f>_xlfn.XLOOKUP(A2272,[1]Affiliations!$J$2:$J$5328,[1]Affiliations!$K$2:$K$5328,0)</f>
        <v>Pontifical Catholic University of Rio de Janeiro</v>
      </c>
      <c r="D2272">
        <v>41</v>
      </c>
      <c r="E2272">
        <v>794</v>
      </c>
      <c r="F2272">
        <v>19.365853999999999</v>
      </c>
      <c r="G2272">
        <v>29</v>
      </c>
      <c r="H2272">
        <v>0.99</v>
      </c>
      <c r="I2272">
        <v>1</v>
      </c>
      <c r="J2272">
        <v>8</v>
      </c>
      <c r="K2272">
        <v>14</v>
      </c>
      <c r="L2272">
        <v>22</v>
      </c>
      <c r="M2272">
        <v>36</v>
      </c>
      <c r="N2272">
        <v>39</v>
      </c>
      <c r="P2272">
        <v>1</v>
      </c>
      <c r="Q2272">
        <v>1</v>
      </c>
      <c r="R2272">
        <v>3</v>
      </c>
      <c r="S2272">
        <v>12</v>
      </c>
    </row>
    <row r="2273" spans="1:19" hidden="1" x14ac:dyDescent="0.35">
      <c r="A2273">
        <v>56962754900</v>
      </c>
      <c r="B2273" t="s">
        <v>2279</v>
      </c>
      <c r="C2273" t="str">
        <f>_xlfn.XLOOKUP(A2273,[1]Affiliations!$J$2:$J$5328,[1]Affiliations!$K$2:$K$5328,0)</f>
        <v>Regional Nuclear SciencesCenter of Northeast (CRCN)</v>
      </c>
      <c r="D2273">
        <v>39</v>
      </c>
      <c r="E2273">
        <v>360</v>
      </c>
      <c r="F2273">
        <v>9.2307690000000004</v>
      </c>
      <c r="G2273">
        <v>16</v>
      </c>
      <c r="H2273">
        <v>0.4</v>
      </c>
      <c r="I2273">
        <v>0</v>
      </c>
      <c r="J2273">
        <v>5</v>
      </c>
      <c r="K2273">
        <v>6</v>
      </c>
      <c r="L2273">
        <v>14</v>
      </c>
      <c r="M2273">
        <v>35</v>
      </c>
      <c r="N2273">
        <v>38</v>
      </c>
      <c r="P2273">
        <v>0</v>
      </c>
      <c r="Q2273">
        <v>0</v>
      </c>
      <c r="R2273">
        <v>0</v>
      </c>
      <c r="S2273">
        <v>9</v>
      </c>
    </row>
    <row r="2274" spans="1:19" x14ac:dyDescent="0.35">
      <c r="A2274">
        <v>56006047700</v>
      </c>
      <c r="B2274" t="s">
        <v>2579</v>
      </c>
      <c r="C2274" t="str">
        <f>_xlfn.XLOOKUP(A2274,[1]Affiliations!$J$2:$J$5328,[1]Affiliations!$K$2:$K$5328,0)</f>
        <v>Federal University of Santa Catarina</v>
      </c>
      <c r="D2274">
        <v>12</v>
      </c>
      <c r="E2274">
        <v>259</v>
      </c>
      <c r="F2274">
        <v>21.583334000000001</v>
      </c>
      <c r="G2274">
        <v>11</v>
      </c>
      <c r="H2274">
        <v>0.99</v>
      </c>
      <c r="I2274">
        <v>3</v>
      </c>
      <c r="J2274">
        <v>6</v>
      </c>
      <c r="K2274">
        <v>7</v>
      </c>
      <c r="L2274">
        <v>11</v>
      </c>
      <c r="M2274">
        <v>12</v>
      </c>
      <c r="N2274">
        <v>12</v>
      </c>
      <c r="P2274">
        <v>0</v>
      </c>
      <c r="Q2274">
        <v>0</v>
      </c>
      <c r="R2274">
        <v>1</v>
      </c>
      <c r="S2274">
        <v>6</v>
      </c>
    </row>
    <row r="2275" spans="1:19" hidden="1" x14ac:dyDescent="0.35">
      <c r="A2275">
        <v>57742769800</v>
      </c>
      <c r="B2275" t="s">
        <v>2281</v>
      </c>
      <c r="C2275" t="str">
        <f>_xlfn.XLOOKUP(A2275,[1]Affiliations!$J$2:$J$5328,[1]Affiliations!$K$2:$K$5328,0)</f>
        <v>Instituto de Pesquisas Tecnologicas</v>
      </c>
      <c r="D2275">
        <v>1</v>
      </c>
      <c r="E2275">
        <v>5</v>
      </c>
      <c r="F2275">
        <v>5</v>
      </c>
      <c r="G2275">
        <v>1</v>
      </c>
      <c r="H2275">
        <v>3.21</v>
      </c>
      <c r="P2275">
        <v>0</v>
      </c>
      <c r="Q2275">
        <v>0</v>
      </c>
      <c r="R2275">
        <v>0</v>
      </c>
      <c r="S2275">
        <v>0</v>
      </c>
    </row>
    <row r="2276" spans="1:19" hidden="1" x14ac:dyDescent="0.35">
      <c r="A2276">
        <v>59909458200</v>
      </c>
      <c r="B2276" t="s">
        <v>2282</v>
      </c>
      <c r="C2276" t="str">
        <f>_xlfn.XLOOKUP(A2276,[1]Affiliations!$J$2:$J$5328,[1]Affiliations!$K$2:$K$5328,0)</f>
        <v>Universidade Federal de Pernambuco</v>
      </c>
      <c r="D2276">
        <v>0</v>
      </c>
      <c r="G2276">
        <v>0</v>
      </c>
    </row>
    <row r="2277" spans="1:19" x14ac:dyDescent="0.35">
      <c r="A2277">
        <v>56228614100</v>
      </c>
      <c r="B2277" t="s">
        <v>2754</v>
      </c>
      <c r="C2277" t="str">
        <f>_xlfn.XLOOKUP(A2277,[1]Affiliations!$J$2:$J$5328,[1]Affiliations!$K$2:$K$5328,0)</f>
        <v>DEMa</v>
      </c>
      <c r="D2277">
        <v>75</v>
      </c>
      <c r="E2277">
        <v>1428</v>
      </c>
      <c r="F2277">
        <v>19.04</v>
      </c>
      <c r="G2277">
        <v>24</v>
      </c>
      <c r="H2277">
        <v>0.99</v>
      </c>
      <c r="I2277">
        <v>2</v>
      </c>
      <c r="J2277">
        <v>10</v>
      </c>
      <c r="K2277">
        <v>26</v>
      </c>
      <c r="L2277">
        <v>53</v>
      </c>
      <c r="M2277">
        <v>67</v>
      </c>
      <c r="N2277">
        <v>72</v>
      </c>
      <c r="P2277">
        <v>0</v>
      </c>
      <c r="Q2277">
        <v>1</v>
      </c>
      <c r="R2277">
        <v>16</v>
      </c>
      <c r="S2277">
        <v>43</v>
      </c>
    </row>
    <row r="2278" spans="1:19" x14ac:dyDescent="0.35">
      <c r="A2278">
        <v>34977020900</v>
      </c>
      <c r="B2278" t="s">
        <v>2756</v>
      </c>
      <c r="C2278" t="str">
        <f>_xlfn.XLOOKUP(A2278,[1]Affiliations!$J$2:$J$5328,[1]Affiliations!$K$2:$K$5328,0)</f>
        <v>University of Campinas (+1 more)</v>
      </c>
      <c r="D2278">
        <v>121</v>
      </c>
      <c r="E2278">
        <v>1815</v>
      </c>
      <c r="F2278">
        <v>15</v>
      </c>
      <c r="G2278">
        <v>27</v>
      </c>
      <c r="H2278">
        <v>0.99</v>
      </c>
      <c r="I2278">
        <v>2</v>
      </c>
      <c r="J2278">
        <v>15</v>
      </c>
      <c r="K2278">
        <v>23</v>
      </c>
      <c r="L2278">
        <v>56</v>
      </c>
      <c r="M2278">
        <v>89</v>
      </c>
      <c r="N2278">
        <v>113</v>
      </c>
      <c r="P2278">
        <v>1</v>
      </c>
      <c r="Q2278">
        <v>4</v>
      </c>
      <c r="R2278">
        <v>7</v>
      </c>
      <c r="S2278">
        <v>35</v>
      </c>
    </row>
    <row r="2279" spans="1:19" hidden="1" x14ac:dyDescent="0.35">
      <c r="A2279">
        <v>56007702300</v>
      </c>
      <c r="B2279" t="s">
        <v>2285</v>
      </c>
      <c r="C2279" t="str">
        <f>_xlfn.XLOOKUP(A2279,[1]Affiliations!$J$2:$J$5328,[1]Affiliations!$K$2:$K$5328,0)</f>
        <v>Federal University of Rio de Janeiro</v>
      </c>
      <c r="D2279">
        <v>4</v>
      </c>
      <c r="E2279">
        <v>97</v>
      </c>
      <c r="F2279">
        <v>24.25</v>
      </c>
      <c r="G2279">
        <v>4</v>
      </c>
      <c r="H2279">
        <v>0.83</v>
      </c>
      <c r="I2279">
        <v>0</v>
      </c>
      <c r="J2279">
        <v>0</v>
      </c>
      <c r="K2279">
        <v>0</v>
      </c>
      <c r="L2279">
        <v>0</v>
      </c>
      <c r="M2279">
        <v>3</v>
      </c>
      <c r="N2279">
        <v>4</v>
      </c>
      <c r="P2279">
        <v>0</v>
      </c>
      <c r="Q2279">
        <v>1</v>
      </c>
      <c r="R2279">
        <v>1</v>
      </c>
      <c r="S2279">
        <v>1</v>
      </c>
    </row>
    <row r="2280" spans="1:19" hidden="1" x14ac:dyDescent="0.35">
      <c r="A2280">
        <v>57218588374</v>
      </c>
      <c r="B2280" t="s">
        <v>2286</v>
      </c>
      <c r="C2280" t="str">
        <f>_xlfn.XLOOKUP(A2280,[1]Affiliations!$J$2:$J$5328,[1]Affiliations!$K$2:$K$5328,0)</f>
        <v>Federal University of Rio de Janeiro</v>
      </c>
      <c r="D2280">
        <v>4</v>
      </c>
      <c r="E2280">
        <v>9</v>
      </c>
      <c r="F2280">
        <v>2.25</v>
      </c>
      <c r="G2280">
        <v>2</v>
      </c>
      <c r="H2280">
        <v>0.13</v>
      </c>
      <c r="I2280">
        <v>0</v>
      </c>
      <c r="J2280">
        <v>0</v>
      </c>
      <c r="K2280">
        <v>0</v>
      </c>
      <c r="L2280">
        <v>1</v>
      </c>
      <c r="M2280">
        <v>3</v>
      </c>
      <c r="N2280">
        <v>4</v>
      </c>
      <c r="P2280">
        <v>0</v>
      </c>
      <c r="Q2280">
        <v>0</v>
      </c>
      <c r="R2280">
        <v>0</v>
      </c>
      <c r="S2280">
        <v>0</v>
      </c>
    </row>
    <row r="2281" spans="1:19" x14ac:dyDescent="0.35">
      <c r="A2281">
        <v>57192709902</v>
      </c>
      <c r="B2281" t="s">
        <v>2866</v>
      </c>
      <c r="C2281" t="str">
        <f>_xlfn.XLOOKUP(A2281,[1]Affiliations!$J$2:$J$5328,[1]Affiliations!$K$2:$K$5328,0)</f>
        <v>Federal University of Rio de Janeiro</v>
      </c>
      <c r="D2281">
        <v>16</v>
      </c>
      <c r="E2281">
        <v>203</v>
      </c>
      <c r="F2281">
        <v>12.6875</v>
      </c>
      <c r="G2281">
        <v>6</v>
      </c>
      <c r="H2281">
        <v>0.99</v>
      </c>
      <c r="I2281">
        <v>0</v>
      </c>
      <c r="J2281">
        <v>0</v>
      </c>
      <c r="K2281">
        <v>1</v>
      </c>
      <c r="L2281">
        <v>8</v>
      </c>
      <c r="M2281">
        <v>9</v>
      </c>
      <c r="N2281">
        <v>14</v>
      </c>
      <c r="P2281">
        <v>0</v>
      </c>
      <c r="Q2281">
        <v>0</v>
      </c>
      <c r="R2281">
        <v>1</v>
      </c>
      <c r="S2281">
        <v>5</v>
      </c>
    </row>
    <row r="2282" spans="1:19" x14ac:dyDescent="0.35">
      <c r="A2282">
        <v>6701833605</v>
      </c>
      <c r="B2282" t="s">
        <v>2925</v>
      </c>
      <c r="C2282" t="str">
        <f>_xlfn.XLOOKUP(A2282,[1]Affiliations!$J$2:$J$5328,[1]Affiliations!$K$2:$K$5328,0)</f>
        <v>Federal University of Rio de Janeiro</v>
      </c>
      <c r="D2282">
        <v>34</v>
      </c>
      <c r="E2282">
        <v>297</v>
      </c>
      <c r="F2282">
        <v>8.7352939999999997</v>
      </c>
      <c r="G2282">
        <v>21</v>
      </c>
      <c r="H2282">
        <v>0.99</v>
      </c>
      <c r="I2282">
        <v>0</v>
      </c>
      <c r="J2282">
        <v>1</v>
      </c>
      <c r="K2282">
        <v>4</v>
      </c>
      <c r="L2282">
        <v>7</v>
      </c>
      <c r="M2282">
        <v>12</v>
      </c>
      <c r="N2282">
        <v>23</v>
      </c>
      <c r="P2282">
        <v>0</v>
      </c>
      <c r="Q2282">
        <v>0</v>
      </c>
      <c r="R2282">
        <v>1</v>
      </c>
      <c r="S2282">
        <v>9</v>
      </c>
    </row>
    <row r="2283" spans="1:19" x14ac:dyDescent="0.35">
      <c r="A2283">
        <v>9244952100</v>
      </c>
      <c r="B2283" t="s">
        <v>1755</v>
      </c>
      <c r="C2283" t="str">
        <f>_xlfn.XLOOKUP(A2283,[1]Affiliations!$J$2:$J$5328,[1]Affiliations!$K$2:$K$5328,0)</f>
        <v>Subsea 7 (+1 more)</v>
      </c>
      <c r="D2283">
        <v>64</v>
      </c>
      <c r="E2283">
        <v>842</v>
      </c>
      <c r="F2283">
        <v>13.15625</v>
      </c>
      <c r="G2283">
        <v>17</v>
      </c>
      <c r="H2283">
        <v>0.99</v>
      </c>
      <c r="I2283">
        <v>0</v>
      </c>
      <c r="J2283">
        <v>2</v>
      </c>
      <c r="K2283">
        <v>8</v>
      </c>
      <c r="L2283">
        <v>16</v>
      </c>
      <c r="M2283">
        <v>31</v>
      </c>
      <c r="N2283">
        <v>43</v>
      </c>
      <c r="P2283">
        <v>0</v>
      </c>
      <c r="Q2283">
        <v>1</v>
      </c>
      <c r="R2283">
        <v>6</v>
      </c>
      <c r="S2283">
        <v>17</v>
      </c>
    </row>
    <row r="2284" spans="1:19" hidden="1" x14ac:dyDescent="0.35">
      <c r="A2284">
        <v>7102415369</v>
      </c>
      <c r="B2284" t="s">
        <v>2290</v>
      </c>
      <c r="C2284" t="str">
        <f>_xlfn.XLOOKUP(A2284,[1]Affiliations!$J$2:$J$5328,[1]Affiliations!$K$2:$K$5328,0)</f>
        <v>Universidade Federal de Mato Grosso do Sul</v>
      </c>
      <c r="D2284">
        <v>45</v>
      </c>
      <c r="E2284">
        <v>244</v>
      </c>
      <c r="F2284">
        <v>5.4222219999999997</v>
      </c>
      <c r="G2284">
        <v>12</v>
      </c>
      <c r="H2284">
        <v>0.59</v>
      </c>
      <c r="I2284">
        <v>0</v>
      </c>
      <c r="J2284">
        <v>0</v>
      </c>
      <c r="K2284">
        <v>2</v>
      </c>
      <c r="L2284">
        <v>11</v>
      </c>
      <c r="M2284">
        <v>25</v>
      </c>
      <c r="N2284">
        <v>37</v>
      </c>
      <c r="P2284">
        <v>0</v>
      </c>
      <c r="Q2284">
        <v>0</v>
      </c>
      <c r="R2284">
        <v>0</v>
      </c>
      <c r="S2284">
        <v>5</v>
      </c>
    </row>
    <row r="2285" spans="1:19" hidden="1" x14ac:dyDescent="0.35">
      <c r="A2285">
        <v>57605389500</v>
      </c>
      <c r="B2285" t="s">
        <v>2291</v>
      </c>
      <c r="C2285" t="str">
        <f>_xlfn.XLOOKUP(A2285,[1]Affiliations!$J$2:$J$5328,[1]Affiliations!$K$2:$K$5328,0)</f>
        <v>Universidade Federal do Espírito Santo</v>
      </c>
      <c r="D2285">
        <v>3</v>
      </c>
      <c r="E2285">
        <v>29</v>
      </c>
      <c r="F2285">
        <v>9.6666670000000003</v>
      </c>
      <c r="G2285">
        <v>2</v>
      </c>
      <c r="H2285">
        <v>0.8</v>
      </c>
      <c r="I2285">
        <v>0</v>
      </c>
      <c r="J2285">
        <v>0</v>
      </c>
      <c r="K2285">
        <v>1</v>
      </c>
      <c r="L2285">
        <v>1</v>
      </c>
      <c r="M2285">
        <v>2</v>
      </c>
      <c r="N2285">
        <v>2</v>
      </c>
      <c r="P2285">
        <v>0</v>
      </c>
      <c r="Q2285">
        <v>1</v>
      </c>
      <c r="R2285">
        <v>1</v>
      </c>
      <c r="S2285">
        <v>1</v>
      </c>
    </row>
    <row r="2286" spans="1:19" hidden="1" x14ac:dyDescent="0.35">
      <c r="A2286">
        <v>57297070100</v>
      </c>
      <c r="B2286" t="s">
        <v>2292</v>
      </c>
      <c r="C2286" t="str">
        <f>_xlfn.XLOOKUP(A2286,[1]Affiliations!$J$2:$J$5328,[1]Affiliations!$K$2:$K$5328,0)</f>
        <v>Universidade Federal do Ceará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1</v>
      </c>
      <c r="P2286">
        <v>0</v>
      </c>
      <c r="Q2286">
        <v>0</v>
      </c>
      <c r="R2286">
        <v>0</v>
      </c>
      <c r="S2286">
        <v>0</v>
      </c>
    </row>
    <row r="2287" spans="1:19" x14ac:dyDescent="0.35">
      <c r="A2287">
        <v>56272344800</v>
      </c>
      <c r="B2287" t="s">
        <v>3255</v>
      </c>
      <c r="C2287" t="str">
        <f>_xlfn.XLOOKUP(A2287,[1]Affiliations!$J$2:$J$5328,[1]Affiliations!$K$2:$K$5328,0)</f>
        <v>Universidade Federal do Rio Grande do Norte</v>
      </c>
      <c r="D2287">
        <v>33</v>
      </c>
      <c r="E2287">
        <v>623</v>
      </c>
      <c r="F2287">
        <v>18.878788</v>
      </c>
      <c r="G2287">
        <v>16</v>
      </c>
      <c r="H2287">
        <v>0.99</v>
      </c>
      <c r="I2287">
        <v>0</v>
      </c>
      <c r="J2287">
        <v>2</v>
      </c>
      <c r="K2287">
        <v>13</v>
      </c>
      <c r="L2287">
        <v>23</v>
      </c>
      <c r="M2287">
        <v>26</v>
      </c>
      <c r="N2287">
        <v>28</v>
      </c>
      <c r="P2287">
        <v>0</v>
      </c>
      <c r="Q2287">
        <v>2</v>
      </c>
      <c r="R2287">
        <v>6</v>
      </c>
      <c r="S2287">
        <v>15</v>
      </c>
    </row>
    <row r="2288" spans="1:19" hidden="1" x14ac:dyDescent="0.35">
      <c r="A2288">
        <v>55914808600</v>
      </c>
      <c r="B2288" t="s">
        <v>2294</v>
      </c>
      <c r="C2288" t="str">
        <f>_xlfn.XLOOKUP(A2288,[1]Affiliations!$J$2:$J$5328,[1]Affiliations!$K$2:$K$5328,0)</f>
        <v>Universidade Federal de Uberlândia</v>
      </c>
      <c r="D2288">
        <v>2</v>
      </c>
      <c r="E2288">
        <v>9</v>
      </c>
      <c r="F2288">
        <v>4.5</v>
      </c>
      <c r="G2288">
        <v>2</v>
      </c>
      <c r="H2288">
        <v>0.68</v>
      </c>
      <c r="I2288">
        <v>0</v>
      </c>
      <c r="J2288">
        <v>0</v>
      </c>
      <c r="K2288">
        <v>0</v>
      </c>
      <c r="L2288">
        <v>0</v>
      </c>
      <c r="M2288">
        <v>2</v>
      </c>
      <c r="N2288">
        <v>2</v>
      </c>
      <c r="P2288">
        <v>0</v>
      </c>
      <c r="Q2288">
        <v>0</v>
      </c>
      <c r="R2288">
        <v>0</v>
      </c>
      <c r="S2288">
        <v>1</v>
      </c>
    </row>
    <row r="2289" spans="1:19" x14ac:dyDescent="0.35">
      <c r="A2289">
        <v>7006890090</v>
      </c>
      <c r="B2289" t="s">
        <v>3262</v>
      </c>
      <c r="C2289" t="str">
        <f>_xlfn.XLOOKUP(A2289,[1]Affiliations!$J$2:$J$5328,[1]Affiliations!$K$2:$K$5328,0)</f>
        <v>University of Campinas</v>
      </c>
      <c r="D2289">
        <v>39</v>
      </c>
      <c r="E2289">
        <v>747</v>
      </c>
      <c r="F2289">
        <v>19.153846999999999</v>
      </c>
      <c r="G2289">
        <v>27</v>
      </c>
      <c r="H2289">
        <v>0.99</v>
      </c>
      <c r="I2289">
        <v>0</v>
      </c>
      <c r="J2289">
        <v>4</v>
      </c>
      <c r="K2289">
        <v>10</v>
      </c>
      <c r="L2289">
        <v>17</v>
      </c>
      <c r="M2289">
        <v>28</v>
      </c>
      <c r="N2289">
        <v>33</v>
      </c>
      <c r="P2289">
        <v>0</v>
      </c>
      <c r="Q2289">
        <v>2</v>
      </c>
      <c r="R2289">
        <v>6</v>
      </c>
      <c r="S2289">
        <v>16</v>
      </c>
    </row>
    <row r="2290" spans="1:19" hidden="1" x14ac:dyDescent="0.35">
      <c r="A2290">
        <v>58845194400</v>
      </c>
      <c r="B2290" t="s">
        <v>2296</v>
      </c>
      <c r="C2290" t="str">
        <f>_xlfn.XLOOKUP(A2290,[1]Affiliations!$J$2:$J$5328,[1]Affiliations!$K$2:$K$5328,0)</f>
        <v>University of Campinas</v>
      </c>
      <c r="D2290">
        <v>1</v>
      </c>
      <c r="E2290">
        <v>2</v>
      </c>
      <c r="F2290">
        <v>2</v>
      </c>
      <c r="G2290">
        <v>1</v>
      </c>
      <c r="H2290">
        <v>0.24</v>
      </c>
      <c r="I2290">
        <v>0</v>
      </c>
      <c r="J2290">
        <v>0</v>
      </c>
      <c r="K2290">
        <v>0</v>
      </c>
      <c r="L2290">
        <v>1</v>
      </c>
      <c r="M2290">
        <v>1</v>
      </c>
      <c r="N2290">
        <v>1</v>
      </c>
      <c r="P2290">
        <v>0</v>
      </c>
      <c r="Q2290">
        <v>0</v>
      </c>
      <c r="R2290">
        <v>0</v>
      </c>
      <c r="S2290">
        <v>0</v>
      </c>
    </row>
    <row r="2291" spans="1:19" hidden="1" x14ac:dyDescent="0.35">
      <c r="A2291">
        <v>23479602700</v>
      </c>
      <c r="B2291" t="s">
        <v>2297</v>
      </c>
      <c r="C2291" t="str">
        <f>_xlfn.XLOOKUP(A2291,[1]Affiliations!$J$2:$J$5328,[1]Affiliations!$K$2:$K$5328,0)</f>
        <v>Geological Survey of Brazil (SGB)</v>
      </c>
      <c r="D2291">
        <v>5</v>
      </c>
      <c r="E2291">
        <v>61</v>
      </c>
      <c r="F2291">
        <v>12.2</v>
      </c>
      <c r="G2291">
        <v>7</v>
      </c>
      <c r="H2291">
        <v>1.2</v>
      </c>
      <c r="I2291">
        <v>0</v>
      </c>
      <c r="J2291">
        <v>0</v>
      </c>
      <c r="K2291">
        <v>0</v>
      </c>
      <c r="L2291">
        <v>2</v>
      </c>
      <c r="M2291">
        <v>3</v>
      </c>
      <c r="N2291">
        <v>3</v>
      </c>
      <c r="P2291">
        <v>0</v>
      </c>
      <c r="Q2291">
        <v>0</v>
      </c>
      <c r="R2291">
        <v>0</v>
      </c>
      <c r="S2291">
        <v>1</v>
      </c>
    </row>
    <row r="2292" spans="1:19" hidden="1" x14ac:dyDescent="0.35">
      <c r="A2292">
        <v>57209134984</v>
      </c>
      <c r="B2292" t="s">
        <v>2298</v>
      </c>
      <c r="C2292" t="str">
        <f>_xlfn.XLOOKUP(A2292,[1]Affiliations!$J$2:$J$5328,[1]Affiliations!$K$2:$K$5328,0)</f>
        <v>YPF</v>
      </c>
      <c r="D2292">
        <v>1</v>
      </c>
      <c r="E2292">
        <v>3</v>
      </c>
      <c r="F2292">
        <v>3</v>
      </c>
      <c r="G2292">
        <v>1</v>
      </c>
      <c r="H2292">
        <v>0.54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P2292">
        <v>0</v>
      </c>
      <c r="Q2292">
        <v>0</v>
      </c>
      <c r="R2292">
        <v>0</v>
      </c>
      <c r="S2292">
        <v>0</v>
      </c>
    </row>
    <row r="2293" spans="1:19" hidden="1" x14ac:dyDescent="0.35">
      <c r="A2293">
        <v>57060517400</v>
      </c>
      <c r="B2293" t="s">
        <v>2299</v>
      </c>
      <c r="C2293" t="str">
        <f>_xlfn.XLOOKUP(A2293,[1]Affiliations!$J$2:$J$5328,[1]Affiliations!$K$2:$K$5328,0)</f>
        <v>Universidade Federal do Paraná</v>
      </c>
      <c r="D2293">
        <v>2</v>
      </c>
      <c r="E2293">
        <v>10</v>
      </c>
      <c r="F2293">
        <v>5</v>
      </c>
      <c r="G2293">
        <v>1</v>
      </c>
      <c r="H2293">
        <v>0.21</v>
      </c>
      <c r="I2293">
        <v>0</v>
      </c>
      <c r="J2293">
        <v>0</v>
      </c>
      <c r="K2293">
        <v>0</v>
      </c>
      <c r="L2293">
        <v>0</v>
      </c>
      <c r="M2293">
        <v>1</v>
      </c>
      <c r="N2293">
        <v>2</v>
      </c>
      <c r="P2293">
        <v>0</v>
      </c>
      <c r="Q2293">
        <v>0</v>
      </c>
      <c r="R2293">
        <v>0</v>
      </c>
      <c r="S2293">
        <v>0</v>
      </c>
    </row>
    <row r="2294" spans="1:19" x14ac:dyDescent="0.35">
      <c r="A2294">
        <v>35561721100</v>
      </c>
      <c r="B2294" t="s">
        <v>3452</v>
      </c>
      <c r="C2294" t="str">
        <f>_xlfn.XLOOKUP(A2294,[1]Affiliations!$J$2:$J$5328,[1]Affiliations!$K$2:$K$5328,0)</f>
        <v>Federal University of Santa Catarina</v>
      </c>
      <c r="D2294">
        <v>138</v>
      </c>
      <c r="E2294">
        <v>3494</v>
      </c>
      <c r="F2294">
        <v>25.318840000000002</v>
      </c>
      <c r="G2294">
        <v>47</v>
      </c>
      <c r="H2294">
        <v>0.99</v>
      </c>
      <c r="I2294">
        <v>5</v>
      </c>
      <c r="J2294">
        <v>27</v>
      </c>
      <c r="K2294">
        <v>41</v>
      </c>
      <c r="L2294">
        <v>95</v>
      </c>
      <c r="M2294">
        <v>125</v>
      </c>
      <c r="N2294">
        <v>130</v>
      </c>
      <c r="P2294">
        <v>1</v>
      </c>
      <c r="Q2294">
        <v>14</v>
      </c>
      <c r="R2294">
        <v>25</v>
      </c>
      <c r="S2294">
        <v>81</v>
      </c>
    </row>
    <row r="2295" spans="1:19" x14ac:dyDescent="0.35">
      <c r="A2295">
        <v>56963551500</v>
      </c>
      <c r="B2295" t="s">
        <v>3474</v>
      </c>
      <c r="C2295" t="str">
        <f>_xlfn.XLOOKUP(A2295,[1]Affiliations!$J$2:$J$5328,[1]Affiliations!$K$2:$K$5328,0)</f>
        <v>Universidade Federal de Minas Gerais (+1 more)</v>
      </c>
      <c r="D2295">
        <v>12</v>
      </c>
      <c r="E2295">
        <v>245</v>
      </c>
      <c r="F2295">
        <v>20.416665999999999</v>
      </c>
      <c r="G2295">
        <v>11</v>
      </c>
      <c r="H2295">
        <v>0.99</v>
      </c>
      <c r="I2295">
        <v>2</v>
      </c>
      <c r="J2295">
        <v>6</v>
      </c>
      <c r="K2295">
        <v>7</v>
      </c>
      <c r="L2295">
        <v>10</v>
      </c>
      <c r="M2295">
        <v>12</v>
      </c>
      <c r="N2295">
        <v>12</v>
      </c>
      <c r="P2295">
        <v>0</v>
      </c>
      <c r="Q2295">
        <v>0</v>
      </c>
      <c r="R2295">
        <v>4</v>
      </c>
      <c r="S2295">
        <v>7</v>
      </c>
    </row>
    <row r="2296" spans="1:19" x14ac:dyDescent="0.35">
      <c r="A2296">
        <v>35449509400</v>
      </c>
      <c r="B2296" t="s">
        <v>3639</v>
      </c>
      <c r="C2296" t="str">
        <f>_xlfn.XLOOKUP(A2296,[1]Affiliations!$J$2:$J$5328,[1]Affiliations!$K$2:$K$5328,0)</f>
        <v>Universidade de São Paulo</v>
      </c>
      <c r="D2296">
        <v>47</v>
      </c>
      <c r="E2296">
        <v>1179</v>
      </c>
      <c r="F2296">
        <v>25.085106</v>
      </c>
      <c r="G2296">
        <v>44</v>
      </c>
      <c r="H2296">
        <v>0.99</v>
      </c>
      <c r="I2296">
        <v>0</v>
      </c>
      <c r="J2296">
        <v>4</v>
      </c>
      <c r="K2296">
        <v>9</v>
      </c>
      <c r="L2296">
        <v>35</v>
      </c>
      <c r="M2296">
        <v>43</v>
      </c>
      <c r="N2296">
        <v>46</v>
      </c>
      <c r="P2296">
        <v>0</v>
      </c>
      <c r="Q2296">
        <v>2</v>
      </c>
      <c r="R2296">
        <v>5</v>
      </c>
      <c r="S2296">
        <v>19</v>
      </c>
    </row>
    <row r="2297" spans="1:19" x14ac:dyDescent="0.35">
      <c r="A2297">
        <v>25522346700</v>
      </c>
      <c r="B2297" t="s">
        <v>3701</v>
      </c>
      <c r="C2297" t="str">
        <f>_xlfn.XLOOKUP(A2297,[1]Affiliations!$J$2:$J$5328,[1]Affiliations!$K$2:$K$5328,0)</f>
        <v>Federal University of Santa Catarina</v>
      </c>
      <c r="D2297">
        <v>41</v>
      </c>
      <c r="E2297">
        <v>764</v>
      </c>
      <c r="F2297">
        <v>18.634146000000001</v>
      </c>
      <c r="G2297">
        <v>19</v>
      </c>
      <c r="H2297">
        <v>0.99</v>
      </c>
      <c r="I2297">
        <v>2</v>
      </c>
      <c r="J2297">
        <v>8</v>
      </c>
      <c r="K2297">
        <v>16</v>
      </c>
      <c r="L2297">
        <v>26</v>
      </c>
      <c r="M2297">
        <v>41</v>
      </c>
      <c r="N2297">
        <v>41</v>
      </c>
      <c r="P2297">
        <v>0</v>
      </c>
      <c r="Q2297">
        <v>1</v>
      </c>
      <c r="R2297">
        <v>5</v>
      </c>
      <c r="S2297">
        <v>19</v>
      </c>
    </row>
    <row r="2298" spans="1:19" hidden="1" x14ac:dyDescent="0.35">
      <c r="A2298">
        <v>58602754200</v>
      </c>
      <c r="B2298" t="s">
        <v>2304</v>
      </c>
      <c r="C2298" t="str">
        <f>_xlfn.XLOOKUP(A2298,[1]Affiliations!$J$2:$J$5328,[1]Affiliations!$K$2:$K$5328,0)</f>
        <v>Universidade Federal Fluminense (+1 more)</v>
      </c>
      <c r="D2298">
        <v>4</v>
      </c>
      <c r="E2298">
        <v>2</v>
      </c>
      <c r="F2298">
        <v>0.5</v>
      </c>
      <c r="G2298">
        <v>1</v>
      </c>
      <c r="H2298">
        <v>0.25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P2298">
        <v>0</v>
      </c>
      <c r="Q2298">
        <v>0</v>
      </c>
      <c r="R2298">
        <v>0</v>
      </c>
      <c r="S2298">
        <v>0</v>
      </c>
    </row>
    <row r="2299" spans="1:19" x14ac:dyDescent="0.35">
      <c r="A2299">
        <v>55489420100</v>
      </c>
      <c r="B2299" t="s">
        <v>3899</v>
      </c>
      <c r="C2299" t="str">
        <f>_xlfn.XLOOKUP(A2299,[1]Affiliations!$J$2:$J$5328,[1]Affiliations!$K$2:$K$5328,0)</f>
        <v>Universidade Federal de Uberlândia</v>
      </c>
      <c r="D2299">
        <v>12</v>
      </c>
      <c r="E2299">
        <v>164</v>
      </c>
      <c r="F2299">
        <v>13.666667</v>
      </c>
      <c r="G2299">
        <v>8</v>
      </c>
      <c r="H2299">
        <v>0.99</v>
      </c>
      <c r="I2299">
        <v>0</v>
      </c>
      <c r="J2299">
        <v>0</v>
      </c>
      <c r="K2299">
        <v>1</v>
      </c>
      <c r="L2299">
        <v>6</v>
      </c>
      <c r="M2299">
        <v>8</v>
      </c>
      <c r="N2299">
        <v>8</v>
      </c>
      <c r="P2299">
        <v>0</v>
      </c>
      <c r="Q2299">
        <v>0</v>
      </c>
      <c r="R2299">
        <v>2</v>
      </c>
      <c r="S2299">
        <v>2</v>
      </c>
    </row>
    <row r="2300" spans="1:19" hidden="1" x14ac:dyDescent="0.35">
      <c r="A2300">
        <v>56509132700</v>
      </c>
      <c r="B2300" t="s">
        <v>2306</v>
      </c>
      <c r="C2300" t="str">
        <f>_xlfn.XLOOKUP(A2300,[1]Affiliations!$J$2:$J$5328,[1]Affiliations!$K$2:$K$5328,0)</f>
        <v>Federal University of Rio de Janeiro</v>
      </c>
      <c r="D2300">
        <v>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1</v>
      </c>
      <c r="M2300">
        <v>1</v>
      </c>
      <c r="N2300">
        <v>1</v>
      </c>
      <c r="P2300">
        <v>0</v>
      </c>
      <c r="Q2300">
        <v>0</v>
      </c>
      <c r="R2300">
        <v>0</v>
      </c>
      <c r="S2300">
        <v>0</v>
      </c>
    </row>
    <row r="2301" spans="1:19" x14ac:dyDescent="0.35">
      <c r="A2301">
        <v>57188865433</v>
      </c>
      <c r="B2301" t="s">
        <v>4010</v>
      </c>
      <c r="C2301" t="str">
        <f>_xlfn.XLOOKUP(A2301,[1]Affiliations!$J$2:$J$5328,[1]Affiliations!$K$2:$K$5328,0)</f>
        <v>Pontifícia Universidade Católica do Rio Grande do Sul</v>
      </c>
      <c r="D2301">
        <v>19</v>
      </c>
      <c r="E2301">
        <v>406</v>
      </c>
      <c r="F2301">
        <v>21.368421999999999</v>
      </c>
      <c r="G2301">
        <v>12</v>
      </c>
      <c r="H2301">
        <v>0.99</v>
      </c>
      <c r="I2301">
        <v>1</v>
      </c>
      <c r="J2301">
        <v>3</v>
      </c>
      <c r="K2301">
        <v>6</v>
      </c>
      <c r="L2301">
        <v>12</v>
      </c>
      <c r="M2301">
        <v>15</v>
      </c>
      <c r="N2301">
        <v>17</v>
      </c>
      <c r="P2301">
        <v>1</v>
      </c>
      <c r="Q2301">
        <v>1</v>
      </c>
      <c r="R2301">
        <v>1</v>
      </c>
      <c r="S2301">
        <v>13</v>
      </c>
    </row>
    <row r="2302" spans="1:19" x14ac:dyDescent="0.35">
      <c r="A2302">
        <v>6603363265</v>
      </c>
      <c r="B2302" t="s">
        <v>4068</v>
      </c>
      <c r="C2302" t="str">
        <f>_xlfn.XLOOKUP(A2302,[1]Affiliations!$J$2:$J$5328,[1]Affiliations!$K$2:$K$5328,0)</f>
        <v>University of Campinas</v>
      </c>
      <c r="D2302">
        <v>15</v>
      </c>
      <c r="E2302">
        <v>318</v>
      </c>
      <c r="F2302">
        <v>21.2</v>
      </c>
      <c r="G2302">
        <v>13</v>
      </c>
      <c r="H2302">
        <v>0.99</v>
      </c>
      <c r="I2302">
        <v>0</v>
      </c>
      <c r="J2302">
        <v>2</v>
      </c>
      <c r="K2302">
        <v>5</v>
      </c>
      <c r="L2302">
        <v>11</v>
      </c>
      <c r="M2302">
        <v>13</v>
      </c>
      <c r="N2302">
        <v>14</v>
      </c>
      <c r="P2302">
        <v>0</v>
      </c>
      <c r="Q2302">
        <v>0</v>
      </c>
      <c r="R2302">
        <v>3</v>
      </c>
      <c r="S2302">
        <v>6</v>
      </c>
    </row>
    <row r="2303" spans="1:19" hidden="1" x14ac:dyDescent="0.35">
      <c r="A2303">
        <v>57204034885</v>
      </c>
      <c r="B2303" t="s">
        <v>2309</v>
      </c>
      <c r="C2303" t="str">
        <f>_xlfn.XLOOKUP(A2303,[1]Affiliations!$J$2:$J$5328,[1]Affiliations!$K$2:$K$5328,0)</f>
        <v>Universidade Federal de Goiás</v>
      </c>
      <c r="D2303">
        <v>3</v>
      </c>
      <c r="E2303">
        <v>37</v>
      </c>
      <c r="F2303">
        <v>12.333333</v>
      </c>
      <c r="G2303">
        <v>2</v>
      </c>
      <c r="H2303">
        <v>0.84</v>
      </c>
      <c r="I2303">
        <v>0</v>
      </c>
      <c r="J2303">
        <v>0</v>
      </c>
      <c r="K2303">
        <v>1</v>
      </c>
      <c r="L2303">
        <v>1</v>
      </c>
      <c r="M2303">
        <v>2</v>
      </c>
      <c r="N2303">
        <v>2</v>
      </c>
      <c r="P2303">
        <v>0</v>
      </c>
      <c r="Q2303">
        <v>0</v>
      </c>
      <c r="R2303">
        <v>0</v>
      </c>
      <c r="S2303">
        <v>1</v>
      </c>
    </row>
    <row r="2304" spans="1:19" hidden="1" x14ac:dyDescent="0.35">
      <c r="A2304">
        <v>25031097000</v>
      </c>
      <c r="B2304" t="s">
        <v>2310</v>
      </c>
      <c r="C2304" t="str">
        <f>_xlfn.XLOOKUP(A2304,[1]Affiliations!$J$2:$J$5328,[1]Affiliations!$K$2:$K$5328,0)</f>
        <v>University of São Paulo (+3 more)</v>
      </c>
      <c r="D2304">
        <v>21</v>
      </c>
      <c r="E2304">
        <v>54</v>
      </c>
      <c r="F2304">
        <v>2.5714285000000001</v>
      </c>
      <c r="G2304">
        <v>6</v>
      </c>
      <c r="H2304">
        <v>0.31</v>
      </c>
      <c r="I2304">
        <v>0</v>
      </c>
      <c r="J2304">
        <v>1</v>
      </c>
      <c r="K2304">
        <v>2</v>
      </c>
      <c r="L2304">
        <v>4</v>
      </c>
      <c r="M2304">
        <v>7</v>
      </c>
      <c r="N2304">
        <v>10</v>
      </c>
      <c r="P2304">
        <v>0</v>
      </c>
      <c r="Q2304">
        <v>0</v>
      </c>
      <c r="R2304">
        <v>0</v>
      </c>
      <c r="S2304">
        <v>1</v>
      </c>
    </row>
    <row r="2305" spans="1:19" hidden="1" x14ac:dyDescent="0.35">
      <c r="A2305">
        <v>55621800300</v>
      </c>
      <c r="B2305" t="s">
        <v>2311</v>
      </c>
      <c r="C2305" t="str">
        <f>_xlfn.XLOOKUP(A2305,[1]Affiliations!$J$2:$J$5328,[1]Affiliations!$K$2:$K$5328,0)</f>
        <v>Instituto Nacional de Pesquisas Espaciais</v>
      </c>
      <c r="D2305">
        <v>7</v>
      </c>
      <c r="E2305">
        <v>52</v>
      </c>
      <c r="F2305">
        <v>7.4285709999999998</v>
      </c>
      <c r="G2305">
        <v>7</v>
      </c>
      <c r="H2305">
        <v>0.55000000000000004</v>
      </c>
      <c r="I2305">
        <v>0</v>
      </c>
      <c r="J2305">
        <v>1</v>
      </c>
      <c r="K2305">
        <v>1</v>
      </c>
      <c r="L2305">
        <v>2</v>
      </c>
      <c r="M2305">
        <v>3</v>
      </c>
      <c r="N2305">
        <v>5</v>
      </c>
      <c r="P2305">
        <v>0</v>
      </c>
      <c r="Q2305">
        <v>0</v>
      </c>
      <c r="R2305">
        <v>0</v>
      </c>
      <c r="S2305">
        <v>1</v>
      </c>
    </row>
    <row r="2306" spans="1:19" hidden="1" x14ac:dyDescent="0.35">
      <c r="A2306">
        <v>58184676000</v>
      </c>
      <c r="B2306" t="s">
        <v>2312</v>
      </c>
      <c r="C2306" t="str">
        <f>_xlfn.XLOOKUP(A2306,[1]Affiliations!$J$2:$J$5328,[1]Affiliations!$K$2:$K$5328,0)</f>
        <v>Universidade Federal Fluminense</v>
      </c>
      <c r="D2306">
        <v>1</v>
      </c>
      <c r="E2306">
        <v>1</v>
      </c>
      <c r="F2306">
        <v>1</v>
      </c>
      <c r="G2306">
        <v>1</v>
      </c>
      <c r="H2306">
        <v>0.14000000000000001</v>
      </c>
      <c r="I2306">
        <v>0</v>
      </c>
      <c r="J2306">
        <v>0</v>
      </c>
      <c r="K2306">
        <v>0</v>
      </c>
      <c r="L2306">
        <v>0</v>
      </c>
      <c r="M2306">
        <v>1</v>
      </c>
      <c r="N2306">
        <v>1</v>
      </c>
      <c r="P2306">
        <v>0</v>
      </c>
      <c r="Q2306">
        <v>0</v>
      </c>
      <c r="R2306">
        <v>0</v>
      </c>
      <c r="S2306">
        <v>0</v>
      </c>
    </row>
    <row r="2307" spans="1:19" hidden="1" x14ac:dyDescent="0.35">
      <c r="A2307">
        <v>59454920500</v>
      </c>
      <c r="B2307" t="s">
        <v>2313</v>
      </c>
      <c r="C2307" t="str">
        <f>_xlfn.XLOOKUP(A2307,[1]Affiliations!$J$2:$J$5328,[1]Affiliations!$K$2:$K$5328,0)</f>
        <v>Universidade Federal do Rio Grande do Norte</v>
      </c>
      <c r="D2307">
        <v>2</v>
      </c>
      <c r="E2307">
        <v>10</v>
      </c>
      <c r="F2307">
        <v>5</v>
      </c>
      <c r="G2307">
        <v>1</v>
      </c>
      <c r="H2307">
        <v>0.33</v>
      </c>
      <c r="I2307">
        <v>0</v>
      </c>
      <c r="J2307">
        <v>0</v>
      </c>
      <c r="K2307">
        <v>1</v>
      </c>
      <c r="L2307">
        <v>2</v>
      </c>
      <c r="M2307">
        <v>2</v>
      </c>
      <c r="N2307">
        <v>2</v>
      </c>
      <c r="P2307">
        <v>0</v>
      </c>
      <c r="Q2307">
        <v>0</v>
      </c>
      <c r="R2307">
        <v>0</v>
      </c>
      <c r="S2307">
        <v>0</v>
      </c>
    </row>
    <row r="2308" spans="1:19" hidden="1" x14ac:dyDescent="0.35">
      <c r="A2308">
        <v>58292320900</v>
      </c>
      <c r="B2308" t="s">
        <v>2314</v>
      </c>
      <c r="C2308" t="str">
        <f>_xlfn.XLOOKUP(A2308,[1]Affiliations!$J$2:$J$5328,[1]Affiliations!$K$2:$K$5328,0)</f>
        <v>Universidade Federal Fluminense (+1 more)</v>
      </c>
      <c r="D2308">
        <v>1</v>
      </c>
      <c r="E2308">
        <v>5</v>
      </c>
      <c r="F2308">
        <v>5</v>
      </c>
      <c r="G2308">
        <v>1</v>
      </c>
      <c r="H2308">
        <v>0.61</v>
      </c>
      <c r="I2308">
        <v>0</v>
      </c>
      <c r="J2308">
        <v>0</v>
      </c>
      <c r="K2308">
        <v>0</v>
      </c>
      <c r="L2308">
        <v>0</v>
      </c>
      <c r="M2308">
        <v>1</v>
      </c>
      <c r="N2308">
        <v>1</v>
      </c>
      <c r="P2308">
        <v>0</v>
      </c>
      <c r="Q2308">
        <v>0</v>
      </c>
      <c r="R2308">
        <v>0</v>
      </c>
      <c r="S2308">
        <v>0</v>
      </c>
    </row>
    <row r="2309" spans="1:19" hidden="1" x14ac:dyDescent="0.35">
      <c r="A2309">
        <v>56533417800</v>
      </c>
      <c r="B2309" t="s">
        <v>2315</v>
      </c>
      <c r="C2309" t="str">
        <f>_xlfn.XLOOKUP(A2309,[1]Affiliations!$J$2:$J$5328,[1]Affiliations!$K$2:$K$5328,0)</f>
        <v>Universidade Federal de Uberlândia</v>
      </c>
      <c r="D2309">
        <v>3</v>
      </c>
      <c r="E2309">
        <v>31</v>
      </c>
      <c r="F2309">
        <v>10.333333</v>
      </c>
      <c r="G2309">
        <v>4</v>
      </c>
      <c r="H2309">
        <v>0.78</v>
      </c>
      <c r="I2309">
        <v>0</v>
      </c>
      <c r="J2309">
        <v>0</v>
      </c>
      <c r="K2309">
        <v>1</v>
      </c>
      <c r="L2309">
        <v>2</v>
      </c>
      <c r="M2309">
        <v>2</v>
      </c>
      <c r="N2309">
        <v>3</v>
      </c>
      <c r="P2309">
        <v>0</v>
      </c>
      <c r="Q2309">
        <v>0</v>
      </c>
      <c r="R2309">
        <v>0</v>
      </c>
      <c r="S2309">
        <v>0</v>
      </c>
    </row>
    <row r="2310" spans="1:19" hidden="1" x14ac:dyDescent="0.35">
      <c r="A2310">
        <v>57195725022</v>
      </c>
      <c r="B2310" t="s">
        <v>2316</v>
      </c>
      <c r="C2310" t="str">
        <f>_xlfn.XLOOKUP(A2310,[1]Affiliations!$J$2:$J$5328,[1]Affiliations!$K$2:$K$5328,0)</f>
        <v>Universidade Federal do Ceará</v>
      </c>
      <c r="D2310">
        <v>1</v>
      </c>
      <c r="E2310">
        <v>98</v>
      </c>
      <c r="F2310">
        <v>98</v>
      </c>
      <c r="G2310">
        <v>1</v>
      </c>
      <c r="H2310">
        <v>4.37</v>
      </c>
      <c r="I2310">
        <v>0</v>
      </c>
      <c r="J2310">
        <v>0</v>
      </c>
      <c r="K2310">
        <v>0</v>
      </c>
      <c r="L2310">
        <v>0</v>
      </c>
      <c r="M2310">
        <v>1</v>
      </c>
      <c r="N2310">
        <v>1</v>
      </c>
      <c r="P2310">
        <v>0</v>
      </c>
      <c r="Q2310">
        <v>1</v>
      </c>
      <c r="R2310">
        <v>1</v>
      </c>
      <c r="S2310">
        <v>1</v>
      </c>
    </row>
    <row r="2311" spans="1:19" hidden="1" x14ac:dyDescent="0.35">
      <c r="A2311">
        <v>57189441683</v>
      </c>
      <c r="B2311" t="s">
        <v>2317</v>
      </c>
      <c r="C2311" t="str">
        <f>_xlfn.XLOOKUP(A2311,[1]Affiliations!$J$2:$J$5328,[1]Affiliations!$K$2:$K$5328,0)</f>
        <v>Federal University of Rio de Janeiro</v>
      </c>
      <c r="D2311">
        <v>4</v>
      </c>
      <c r="E2311">
        <v>81</v>
      </c>
      <c r="F2311">
        <v>20.25</v>
      </c>
      <c r="G2311">
        <v>3</v>
      </c>
      <c r="H2311">
        <v>0.34</v>
      </c>
      <c r="I2311">
        <v>0</v>
      </c>
      <c r="J2311">
        <v>0</v>
      </c>
      <c r="K2311">
        <v>1</v>
      </c>
      <c r="L2311">
        <v>4</v>
      </c>
      <c r="M2311">
        <v>4</v>
      </c>
      <c r="N2311">
        <v>4</v>
      </c>
      <c r="P2311">
        <v>0</v>
      </c>
      <c r="Q2311">
        <v>0</v>
      </c>
      <c r="R2311">
        <v>0</v>
      </c>
      <c r="S2311">
        <v>1</v>
      </c>
    </row>
    <row r="2312" spans="1:19" x14ac:dyDescent="0.35">
      <c r="A2312">
        <v>55851114100</v>
      </c>
      <c r="B2312" t="s">
        <v>4143</v>
      </c>
      <c r="C2312" t="str">
        <f>_xlfn.XLOOKUP(A2312,[1]Affiliations!$J$2:$J$5328,[1]Affiliations!$K$2:$K$5328,0)</f>
        <v>Universidade Federal de Minas Gerais (+1 more)</v>
      </c>
      <c r="D2312">
        <v>21</v>
      </c>
      <c r="E2312">
        <v>337</v>
      </c>
      <c r="F2312">
        <v>16.047619000000001</v>
      </c>
      <c r="G2312">
        <v>9</v>
      </c>
      <c r="H2312">
        <v>0.99</v>
      </c>
      <c r="I2312">
        <v>1</v>
      </c>
      <c r="J2312">
        <v>6</v>
      </c>
      <c r="K2312">
        <v>10</v>
      </c>
      <c r="L2312">
        <v>12</v>
      </c>
      <c r="M2312">
        <v>18</v>
      </c>
      <c r="N2312">
        <v>19</v>
      </c>
      <c r="P2312">
        <v>0</v>
      </c>
      <c r="Q2312">
        <v>0</v>
      </c>
      <c r="R2312">
        <v>1</v>
      </c>
      <c r="S2312">
        <v>10</v>
      </c>
    </row>
    <row r="2313" spans="1:19" hidden="1" x14ac:dyDescent="0.35">
      <c r="A2313">
        <v>58638841000</v>
      </c>
      <c r="B2313" t="s">
        <v>2319</v>
      </c>
      <c r="C2313" t="str">
        <f>_xlfn.XLOOKUP(A2313,[1]Affiliations!$J$2:$J$5328,[1]Affiliations!$K$2:$K$5328,0)</f>
        <v>Federal University of Rio de Janeiro</v>
      </c>
      <c r="D2313">
        <v>2</v>
      </c>
      <c r="E2313">
        <v>3</v>
      </c>
      <c r="F2313">
        <v>1.5</v>
      </c>
      <c r="G2313">
        <v>1</v>
      </c>
      <c r="H2313">
        <v>1.49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P2313">
        <v>0</v>
      </c>
      <c r="Q2313">
        <v>0</v>
      </c>
      <c r="R2313">
        <v>0</v>
      </c>
      <c r="S2313">
        <v>0</v>
      </c>
    </row>
    <row r="2314" spans="1:19" x14ac:dyDescent="0.35">
      <c r="A2314">
        <v>56940183900</v>
      </c>
      <c r="B2314" t="s">
        <v>4394</v>
      </c>
      <c r="C2314" t="str">
        <f>_xlfn.XLOOKUP(A2314,[1]Affiliations!$J$2:$J$5328,[1]Affiliations!$K$2:$K$5328,0)</f>
        <v>Pesquisa e Inovação em Energia Eólica-NIEPIEE (+1 more)</v>
      </c>
      <c r="D2314">
        <v>14</v>
      </c>
      <c r="E2314">
        <v>157</v>
      </c>
      <c r="F2314">
        <v>11.214286</v>
      </c>
      <c r="G2314">
        <v>7</v>
      </c>
      <c r="H2314">
        <v>0.99</v>
      </c>
      <c r="I2314">
        <v>2</v>
      </c>
      <c r="J2314">
        <v>3</v>
      </c>
      <c r="K2314">
        <v>3</v>
      </c>
      <c r="L2314">
        <v>6</v>
      </c>
      <c r="M2314">
        <v>7</v>
      </c>
      <c r="N2314">
        <v>9</v>
      </c>
      <c r="P2314">
        <v>0</v>
      </c>
      <c r="Q2314">
        <v>0</v>
      </c>
      <c r="R2314">
        <v>1</v>
      </c>
      <c r="S2314">
        <v>4</v>
      </c>
    </row>
    <row r="2315" spans="1:19" x14ac:dyDescent="0.35">
      <c r="A2315">
        <v>57212389112</v>
      </c>
      <c r="B2315" t="s">
        <v>4789</v>
      </c>
      <c r="C2315" t="str">
        <f>_xlfn.XLOOKUP(A2315,[1]Affiliations!$J$2:$J$5328,[1]Affiliations!$K$2:$K$5328,0)</f>
        <v>Universidade Federal de Juiz de Fora</v>
      </c>
      <c r="D2315">
        <v>9</v>
      </c>
      <c r="E2315">
        <v>151</v>
      </c>
      <c r="F2315">
        <v>16.777778999999999</v>
      </c>
      <c r="G2315">
        <v>7</v>
      </c>
      <c r="H2315">
        <v>0.99</v>
      </c>
      <c r="I2315">
        <v>0</v>
      </c>
      <c r="J2315">
        <v>2</v>
      </c>
      <c r="K2315">
        <v>5</v>
      </c>
      <c r="L2315">
        <v>9</v>
      </c>
      <c r="M2315">
        <v>9</v>
      </c>
      <c r="N2315">
        <v>9</v>
      </c>
      <c r="P2315">
        <v>0</v>
      </c>
      <c r="Q2315">
        <v>0</v>
      </c>
      <c r="R2315">
        <v>3</v>
      </c>
      <c r="S2315">
        <v>5</v>
      </c>
    </row>
    <row r="2316" spans="1:19" x14ac:dyDescent="0.35">
      <c r="A2316">
        <v>57190128044</v>
      </c>
      <c r="B2316" t="s">
        <v>4810</v>
      </c>
      <c r="C2316" t="str">
        <f>_xlfn.XLOOKUP(A2316,[1]Affiliations!$J$2:$J$5328,[1]Affiliations!$K$2:$K$5328,0)</f>
        <v>DEMa</v>
      </c>
      <c r="D2316">
        <v>22</v>
      </c>
      <c r="E2316">
        <v>424</v>
      </c>
      <c r="F2316">
        <v>19.272728000000001</v>
      </c>
      <c r="G2316">
        <v>18</v>
      </c>
      <c r="H2316">
        <v>0.99</v>
      </c>
      <c r="I2316">
        <v>0</v>
      </c>
      <c r="J2316">
        <v>3</v>
      </c>
      <c r="K2316">
        <v>10</v>
      </c>
      <c r="L2316">
        <v>17</v>
      </c>
      <c r="M2316">
        <v>20</v>
      </c>
      <c r="N2316">
        <v>20</v>
      </c>
      <c r="P2316">
        <v>0</v>
      </c>
      <c r="Q2316">
        <v>0</v>
      </c>
      <c r="R2316">
        <v>2</v>
      </c>
      <c r="S2316">
        <v>10</v>
      </c>
    </row>
    <row r="2317" spans="1:19" hidden="1" x14ac:dyDescent="0.35">
      <c r="A2317">
        <v>57437544600</v>
      </c>
      <c r="B2317" t="s">
        <v>2323</v>
      </c>
      <c r="C2317" t="str">
        <f>_xlfn.XLOOKUP(A2317,[1]Affiliations!$J$2:$J$5328,[1]Affiliations!$K$2:$K$5328,0)</f>
        <v>Center for Studies in Colloidal Systems (NUESC)/Institute of Technology and Research (ITP)</v>
      </c>
      <c r="D2317">
        <v>1</v>
      </c>
      <c r="E2317">
        <v>9</v>
      </c>
      <c r="F2317">
        <v>9</v>
      </c>
      <c r="G2317">
        <v>1</v>
      </c>
      <c r="H2317">
        <v>0.6</v>
      </c>
      <c r="I2317">
        <v>0</v>
      </c>
      <c r="J2317">
        <v>0</v>
      </c>
      <c r="K2317">
        <v>0</v>
      </c>
      <c r="L2317">
        <v>0</v>
      </c>
      <c r="M2317">
        <v>1</v>
      </c>
      <c r="N2317">
        <v>1</v>
      </c>
      <c r="P2317">
        <v>0</v>
      </c>
      <c r="Q2317">
        <v>0</v>
      </c>
      <c r="R2317">
        <v>0</v>
      </c>
      <c r="S2317">
        <v>0</v>
      </c>
    </row>
    <row r="2318" spans="1:19" hidden="1" x14ac:dyDescent="0.35">
      <c r="A2318">
        <v>55263199200</v>
      </c>
      <c r="B2318" t="s">
        <v>2324</v>
      </c>
      <c r="C2318" t="str">
        <f>_xlfn.XLOOKUP(A2318,[1]Affiliations!$J$2:$J$5328,[1]Affiliations!$K$2:$K$5328,0)</f>
        <v>Universidade Federal Rural do Rio de Janeiro</v>
      </c>
      <c r="D2318">
        <v>1</v>
      </c>
      <c r="E2318">
        <v>13</v>
      </c>
      <c r="F2318">
        <v>13</v>
      </c>
      <c r="G2318">
        <v>2</v>
      </c>
      <c r="H2318">
        <v>0.22</v>
      </c>
      <c r="I2318">
        <v>0</v>
      </c>
      <c r="J2318">
        <v>0</v>
      </c>
      <c r="K2318">
        <v>0</v>
      </c>
      <c r="L2318">
        <v>0</v>
      </c>
      <c r="M2318">
        <v>1</v>
      </c>
      <c r="N2318">
        <v>1</v>
      </c>
      <c r="P2318">
        <v>0</v>
      </c>
      <c r="Q2318">
        <v>0</v>
      </c>
      <c r="R2318">
        <v>0</v>
      </c>
      <c r="S2318">
        <v>0</v>
      </c>
    </row>
    <row r="2319" spans="1:19" hidden="1" x14ac:dyDescent="0.35">
      <c r="A2319">
        <v>59422279800</v>
      </c>
      <c r="B2319" t="s">
        <v>2325</v>
      </c>
      <c r="C2319" t="str">
        <f>_xlfn.XLOOKUP(A2319,[1]Affiliations!$J$2:$J$5328,[1]Affiliations!$K$2:$K$5328,0)</f>
        <v>Universidade Federal de Campina Grande</v>
      </c>
      <c r="D2319">
        <v>0</v>
      </c>
      <c r="G2319">
        <v>1</v>
      </c>
    </row>
    <row r="2320" spans="1:19" hidden="1" x14ac:dyDescent="0.35">
      <c r="A2320">
        <v>57204429843</v>
      </c>
      <c r="B2320" t="s">
        <v>2326</v>
      </c>
      <c r="C2320" t="str">
        <f>_xlfn.XLOOKUP(A2320,[1]Affiliations!$J$2:$J$5328,[1]Affiliations!$K$2:$K$5328,0)</f>
        <v>Federal University of Rio de Janeiro</v>
      </c>
      <c r="D2320">
        <v>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2</v>
      </c>
      <c r="P2320">
        <v>0</v>
      </c>
      <c r="Q2320">
        <v>0</v>
      </c>
      <c r="R2320">
        <v>0</v>
      </c>
      <c r="S2320">
        <v>0</v>
      </c>
    </row>
    <row r="2321" spans="1:19" hidden="1" x14ac:dyDescent="0.35">
      <c r="A2321">
        <v>14821968700</v>
      </c>
      <c r="B2321" t="s">
        <v>2327</v>
      </c>
      <c r="C2321" t="str">
        <f>_xlfn.XLOOKUP(A2321,[1]Affiliations!$J$2:$J$5328,[1]Affiliations!$K$2:$K$5328,0)</f>
        <v>Curitiba</v>
      </c>
      <c r="D2321">
        <v>4</v>
      </c>
      <c r="E2321">
        <v>60</v>
      </c>
      <c r="F2321">
        <v>15</v>
      </c>
      <c r="G2321">
        <v>9</v>
      </c>
      <c r="H2321">
        <v>0.65</v>
      </c>
      <c r="I2321">
        <v>1</v>
      </c>
      <c r="J2321">
        <v>2</v>
      </c>
      <c r="K2321">
        <v>2</v>
      </c>
      <c r="L2321">
        <v>2</v>
      </c>
      <c r="M2321">
        <v>2</v>
      </c>
      <c r="N2321">
        <v>2</v>
      </c>
      <c r="P2321">
        <v>0</v>
      </c>
      <c r="Q2321">
        <v>0</v>
      </c>
      <c r="R2321">
        <v>0</v>
      </c>
      <c r="S2321">
        <v>2</v>
      </c>
    </row>
    <row r="2322" spans="1:19" x14ac:dyDescent="0.35">
      <c r="A2322">
        <v>53980564200</v>
      </c>
      <c r="B2322" t="s">
        <v>4913</v>
      </c>
      <c r="C2322" t="str">
        <f>_xlfn.XLOOKUP(A2322,[1]Affiliations!$J$2:$J$5328,[1]Affiliations!$K$2:$K$5328,0)</f>
        <v>Federal University of Rio de Janeiro</v>
      </c>
      <c r="D2322">
        <v>53</v>
      </c>
      <c r="E2322">
        <v>737</v>
      </c>
      <c r="F2322">
        <v>13.905661</v>
      </c>
      <c r="G2322">
        <v>27</v>
      </c>
      <c r="H2322">
        <v>0.99</v>
      </c>
      <c r="I2322">
        <v>0</v>
      </c>
      <c r="J2322">
        <v>7</v>
      </c>
      <c r="K2322">
        <v>18</v>
      </c>
      <c r="L2322">
        <v>25</v>
      </c>
      <c r="M2322">
        <v>42</v>
      </c>
      <c r="N2322">
        <v>45</v>
      </c>
      <c r="P2322">
        <v>0</v>
      </c>
      <c r="Q2322">
        <v>2</v>
      </c>
      <c r="R2322">
        <v>5</v>
      </c>
      <c r="S2322">
        <v>17</v>
      </c>
    </row>
    <row r="2323" spans="1:19" hidden="1" x14ac:dyDescent="0.35">
      <c r="A2323">
        <v>56915384300</v>
      </c>
      <c r="B2323" t="s">
        <v>2329</v>
      </c>
      <c r="C2323" t="str">
        <f>_xlfn.XLOOKUP(A2323,[1]Affiliations!$J$2:$J$5328,[1]Affiliations!$K$2:$K$5328,0)</f>
        <v>Federal University of Rio de Janeiro</v>
      </c>
      <c r="D2323">
        <v>3</v>
      </c>
      <c r="E2323">
        <v>22</v>
      </c>
      <c r="F2323">
        <v>7.3333335000000002</v>
      </c>
      <c r="G2323">
        <v>3</v>
      </c>
      <c r="H2323">
        <v>0.84</v>
      </c>
      <c r="I2323">
        <v>0</v>
      </c>
      <c r="J2323">
        <v>0</v>
      </c>
      <c r="K2323">
        <v>0</v>
      </c>
      <c r="L2323">
        <v>0</v>
      </c>
      <c r="M2323">
        <v>2</v>
      </c>
      <c r="N2323">
        <v>3</v>
      </c>
      <c r="P2323">
        <v>0</v>
      </c>
      <c r="Q2323">
        <v>0</v>
      </c>
      <c r="R2323">
        <v>0</v>
      </c>
      <c r="S2323">
        <v>0</v>
      </c>
    </row>
    <row r="2324" spans="1:19" hidden="1" x14ac:dyDescent="0.35">
      <c r="A2324">
        <v>57219656620</v>
      </c>
      <c r="B2324" t="s">
        <v>2330</v>
      </c>
      <c r="C2324" t="str">
        <f>_xlfn.XLOOKUP(A2324,[1]Affiliations!$J$2:$J$5328,[1]Affiliations!$K$2:$K$5328,0)</f>
        <v>Centro Brasileiro de Pesquisas Físicas</v>
      </c>
      <c r="D2324">
        <v>2</v>
      </c>
      <c r="E2324">
        <v>31</v>
      </c>
      <c r="F2324">
        <v>15.5</v>
      </c>
      <c r="G2324">
        <v>2</v>
      </c>
      <c r="H2324">
        <v>1.17</v>
      </c>
      <c r="I2324">
        <v>0</v>
      </c>
      <c r="J2324">
        <v>0</v>
      </c>
      <c r="K2324">
        <v>0</v>
      </c>
      <c r="L2324">
        <v>1</v>
      </c>
      <c r="M2324">
        <v>2</v>
      </c>
      <c r="N2324">
        <v>2</v>
      </c>
      <c r="P2324">
        <v>0</v>
      </c>
      <c r="Q2324">
        <v>0</v>
      </c>
      <c r="R2324">
        <v>0</v>
      </c>
      <c r="S2324">
        <v>2</v>
      </c>
    </row>
    <row r="2325" spans="1:19" hidden="1" x14ac:dyDescent="0.35">
      <c r="A2325">
        <v>8643519100</v>
      </c>
      <c r="B2325" t="s">
        <v>2331</v>
      </c>
      <c r="C2325" t="str">
        <f>_xlfn.XLOOKUP(A2325,[1]Affiliations!$J$2:$J$5328,[1]Affiliations!$K$2:$K$5328,0)</f>
        <v>Federal University of Santa Catarina</v>
      </c>
      <c r="D2325">
        <v>7</v>
      </c>
      <c r="E2325">
        <v>93</v>
      </c>
      <c r="F2325">
        <v>13.285714</v>
      </c>
      <c r="G2325">
        <v>22</v>
      </c>
      <c r="H2325">
        <v>0.5</v>
      </c>
      <c r="I2325">
        <v>0</v>
      </c>
      <c r="J2325">
        <v>0</v>
      </c>
      <c r="K2325">
        <v>1</v>
      </c>
      <c r="L2325">
        <v>3</v>
      </c>
      <c r="M2325">
        <v>6</v>
      </c>
      <c r="N2325">
        <v>7</v>
      </c>
      <c r="P2325">
        <v>0</v>
      </c>
      <c r="Q2325">
        <v>0</v>
      </c>
      <c r="R2325">
        <v>0</v>
      </c>
      <c r="S2325">
        <v>1</v>
      </c>
    </row>
    <row r="2326" spans="1:19" hidden="1" x14ac:dyDescent="0.35">
      <c r="A2326">
        <v>56891571500</v>
      </c>
      <c r="B2326" t="s">
        <v>2332</v>
      </c>
      <c r="C2326" t="str">
        <f>_xlfn.XLOOKUP(A2326,[1]Affiliations!$J$2:$J$5328,[1]Affiliations!$K$2:$K$5328,0)</f>
        <v>Federal University of Santa Catarina</v>
      </c>
      <c r="D2326">
        <v>1</v>
      </c>
      <c r="E2326">
        <v>15</v>
      </c>
      <c r="F2326">
        <v>15</v>
      </c>
      <c r="G2326">
        <v>1</v>
      </c>
      <c r="H2326">
        <v>0.77</v>
      </c>
      <c r="I2326">
        <v>0</v>
      </c>
      <c r="J2326">
        <v>0</v>
      </c>
      <c r="K2326">
        <v>0</v>
      </c>
      <c r="L2326">
        <v>0</v>
      </c>
      <c r="M2326">
        <v>1</v>
      </c>
      <c r="N2326">
        <v>1</v>
      </c>
      <c r="P2326">
        <v>0</v>
      </c>
      <c r="Q2326">
        <v>0</v>
      </c>
      <c r="R2326">
        <v>0</v>
      </c>
      <c r="S2326">
        <v>0</v>
      </c>
    </row>
    <row r="2327" spans="1:19" x14ac:dyDescent="0.35">
      <c r="A2327">
        <v>55538620900</v>
      </c>
      <c r="B2327" t="s">
        <v>18</v>
      </c>
      <c r="C2327" t="str">
        <f>_xlfn.XLOOKUP(A2327,[1]Affiliations!$J$2:$J$5328,[1]Affiliations!$K$2:$K$5328,0)</f>
        <v>Pontifical Catholic University of Rio de Janeiro</v>
      </c>
      <c r="D2327">
        <v>11</v>
      </c>
      <c r="E2327">
        <v>200</v>
      </c>
      <c r="F2327">
        <v>18.181818</v>
      </c>
      <c r="G2327">
        <v>9</v>
      </c>
      <c r="H2327">
        <v>0.98</v>
      </c>
      <c r="I2327">
        <v>0</v>
      </c>
      <c r="J2327">
        <v>1</v>
      </c>
      <c r="K2327">
        <v>4</v>
      </c>
      <c r="L2327">
        <v>9</v>
      </c>
      <c r="M2327">
        <v>11</v>
      </c>
      <c r="N2327">
        <v>11</v>
      </c>
      <c r="P2327">
        <v>0</v>
      </c>
      <c r="Q2327">
        <v>0</v>
      </c>
      <c r="R2327">
        <v>1</v>
      </c>
      <c r="S2327">
        <v>7</v>
      </c>
    </row>
    <row r="2328" spans="1:19" hidden="1" x14ac:dyDescent="0.35">
      <c r="A2328">
        <v>56380620500</v>
      </c>
      <c r="B2328" t="s">
        <v>2334</v>
      </c>
      <c r="C2328" t="str">
        <f>_xlfn.XLOOKUP(A2328,[1]Affiliations!$J$2:$J$5328,[1]Affiliations!$K$2:$K$5328,0)</f>
        <v>Universidade Federal do Espírito Santo</v>
      </c>
      <c r="D2328">
        <v>0</v>
      </c>
      <c r="G2328">
        <v>0</v>
      </c>
    </row>
    <row r="2329" spans="1:19" hidden="1" x14ac:dyDescent="0.35">
      <c r="A2329">
        <v>55606199700</v>
      </c>
      <c r="B2329" t="s">
        <v>2335</v>
      </c>
      <c r="C2329" t="str">
        <f>_xlfn.XLOOKUP(A2329,[1]Affiliations!$J$2:$J$5328,[1]Affiliations!$K$2:$K$5328,0)</f>
        <v>Federal University of Rio de Janeiro</v>
      </c>
      <c r="D2329">
        <v>5</v>
      </c>
      <c r="E2329">
        <v>31</v>
      </c>
      <c r="F2329">
        <v>6.2</v>
      </c>
      <c r="G2329">
        <v>4</v>
      </c>
      <c r="H2329">
        <v>0.62</v>
      </c>
      <c r="I2329">
        <v>0</v>
      </c>
      <c r="J2329">
        <v>0</v>
      </c>
      <c r="K2329">
        <v>0</v>
      </c>
      <c r="L2329">
        <v>3</v>
      </c>
      <c r="M2329">
        <v>3</v>
      </c>
      <c r="N2329">
        <v>3</v>
      </c>
      <c r="P2329">
        <v>0</v>
      </c>
      <c r="Q2329">
        <v>0</v>
      </c>
      <c r="R2329">
        <v>0</v>
      </c>
      <c r="S2329">
        <v>0</v>
      </c>
    </row>
    <row r="2330" spans="1:19" x14ac:dyDescent="0.35">
      <c r="A2330">
        <v>57215010765</v>
      </c>
      <c r="B2330" t="s">
        <v>315</v>
      </c>
      <c r="C2330" t="str">
        <f>_xlfn.XLOOKUP(A2330,[1]Affiliations!$J$2:$J$5328,[1]Affiliations!$K$2:$K$5328,0)</f>
        <v>Universidade Federal de Minas Gerais</v>
      </c>
      <c r="D2330">
        <v>486</v>
      </c>
      <c r="E2330">
        <v>9287</v>
      </c>
      <c r="F2330">
        <v>19.109052999999999</v>
      </c>
      <c r="G2330">
        <v>64</v>
      </c>
      <c r="H2330">
        <v>0.98</v>
      </c>
      <c r="I2330">
        <v>6</v>
      </c>
      <c r="J2330">
        <v>29</v>
      </c>
      <c r="K2330">
        <v>83</v>
      </c>
      <c r="L2330">
        <v>248</v>
      </c>
      <c r="M2330">
        <v>359</v>
      </c>
      <c r="N2330">
        <v>409</v>
      </c>
      <c r="P2330">
        <v>4</v>
      </c>
      <c r="Q2330">
        <v>24</v>
      </c>
      <c r="R2330">
        <v>65</v>
      </c>
      <c r="S2330">
        <v>185</v>
      </c>
    </row>
    <row r="2331" spans="1:19" x14ac:dyDescent="0.35">
      <c r="A2331">
        <v>7003737445</v>
      </c>
      <c r="B2331" t="s">
        <v>527</v>
      </c>
      <c r="C2331" t="str">
        <f>_xlfn.XLOOKUP(A2331,[1]Affiliations!$J$2:$J$5328,[1]Affiliations!$K$2:$K$5328,0)</f>
        <v>Pontifícia Universidade Católica do Rio Grande do Sul</v>
      </c>
      <c r="D2331">
        <v>70</v>
      </c>
      <c r="E2331">
        <v>1753</v>
      </c>
      <c r="F2331">
        <v>25.042856</v>
      </c>
      <c r="G2331">
        <v>47</v>
      </c>
      <c r="H2331">
        <v>0.98</v>
      </c>
      <c r="I2331">
        <v>1</v>
      </c>
      <c r="J2331">
        <v>9</v>
      </c>
      <c r="K2331">
        <v>21</v>
      </c>
      <c r="L2331">
        <v>47</v>
      </c>
      <c r="M2331">
        <v>67</v>
      </c>
      <c r="N2331">
        <v>68</v>
      </c>
      <c r="P2331">
        <v>1</v>
      </c>
      <c r="Q2331">
        <v>4</v>
      </c>
      <c r="R2331">
        <v>9</v>
      </c>
      <c r="S2331">
        <v>32</v>
      </c>
    </row>
    <row r="2332" spans="1:19" hidden="1" x14ac:dyDescent="0.35">
      <c r="A2332">
        <v>8363634500</v>
      </c>
      <c r="B2332" t="s">
        <v>2338</v>
      </c>
      <c r="C2332" t="str">
        <f>_xlfn.XLOOKUP(A2332,[1]Affiliations!$J$2:$J$5328,[1]Affiliations!$K$2:$K$5328,0)</f>
        <v>Pontifical Catholic University of Rio de Janeiro (+1 more)</v>
      </c>
      <c r="D2332">
        <v>3</v>
      </c>
      <c r="E2332">
        <v>9</v>
      </c>
      <c r="F2332">
        <v>3</v>
      </c>
      <c r="G2332">
        <v>7</v>
      </c>
      <c r="H2332">
        <v>0.51</v>
      </c>
      <c r="I2332">
        <v>0</v>
      </c>
      <c r="J2332">
        <v>0</v>
      </c>
      <c r="K2332">
        <v>1</v>
      </c>
      <c r="L2332">
        <v>1</v>
      </c>
      <c r="M2332">
        <v>1</v>
      </c>
      <c r="N2332">
        <v>2</v>
      </c>
      <c r="P2332">
        <v>0</v>
      </c>
      <c r="Q2332">
        <v>0</v>
      </c>
      <c r="R2332">
        <v>0</v>
      </c>
      <c r="S2332">
        <v>0</v>
      </c>
    </row>
    <row r="2333" spans="1:19" x14ac:dyDescent="0.35">
      <c r="A2333">
        <v>7102246665</v>
      </c>
      <c r="B2333" t="s">
        <v>634</v>
      </c>
      <c r="C2333" t="str">
        <f>_xlfn.XLOOKUP(A2333,[1]Affiliations!$J$2:$J$5328,[1]Affiliations!$K$2:$K$5328,0)</f>
        <v>Pontifical Catholic University of Rio de Janeiro</v>
      </c>
      <c r="D2333">
        <v>21</v>
      </c>
      <c r="E2333">
        <v>532</v>
      </c>
      <c r="F2333">
        <v>25.333334000000001</v>
      </c>
      <c r="G2333">
        <v>15</v>
      </c>
      <c r="H2333">
        <v>0.98</v>
      </c>
      <c r="I2333">
        <v>0</v>
      </c>
      <c r="J2333">
        <v>1</v>
      </c>
      <c r="K2333">
        <v>3</v>
      </c>
      <c r="L2333">
        <v>15</v>
      </c>
      <c r="M2333">
        <v>18</v>
      </c>
      <c r="N2333">
        <v>21</v>
      </c>
      <c r="P2333">
        <v>0</v>
      </c>
      <c r="Q2333">
        <v>3</v>
      </c>
      <c r="R2333">
        <v>4</v>
      </c>
      <c r="S2333">
        <v>6</v>
      </c>
    </row>
    <row r="2334" spans="1:19" hidden="1" x14ac:dyDescent="0.35">
      <c r="A2334">
        <v>6603270728</v>
      </c>
      <c r="B2334" t="s">
        <v>2340</v>
      </c>
      <c r="C2334" t="str">
        <f>_xlfn.XLOOKUP(A2334,[1]Affiliations!$J$2:$J$5328,[1]Affiliations!$K$2:$K$5328,0)</f>
        <v>Federal University of Rio de Janeiro</v>
      </c>
      <c r="D2334">
        <v>40</v>
      </c>
      <c r="E2334">
        <v>236</v>
      </c>
      <c r="F2334">
        <v>5.9</v>
      </c>
      <c r="G2334">
        <v>12</v>
      </c>
      <c r="H2334">
        <v>0.45</v>
      </c>
      <c r="I2334">
        <v>0</v>
      </c>
      <c r="J2334">
        <v>3</v>
      </c>
      <c r="K2334">
        <v>4</v>
      </c>
      <c r="L2334">
        <v>12</v>
      </c>
      <c r="M2334">
        <v>24</v>
      </c>
      <c r="N2334">
        <v>25</v>
      </c>
      <c r="P2334">
        <v>0</v>
      </c>
      <c r="Q2334">
        <v>0</v>
      </c>
      <c r="R2334">
        <v>0</v>
      </c>
      <c r="S2334">
        <v>4</v>
      </c>
    </row>
    <row r="2335" spans="1:19" hidden="1" x14ac:dyDescent="0.35">
      <c r="A2335">
        <v>6603338627</v>
      </c>
      <c r="B2335" t="s">
        <v>2341</v>
      </c>
      <c r="C2335" t="str">
        <f>_xlfn.XLOOKUP(A2335,[1]Affiliations!$J$2:$J$5328,[1]Affiliations!$K$2:$K$5328,0)</f>
        <v>Universidade de São Paulo</v>
      </c>
      <c r="D2335">
        <v>1</v>
      </c>
      <c r="E2335">
        <v>0</v>
      </c>
      <c r="F2335">
        <v>0</v>
      </c>
      <c r="G2335">
        <v>9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1</v>
      </c>
      <c r="P2335">
        <v>0</v>
      </c>
      <c r="Q2335">
        <v>0</v>
      </c>
      <c r="R2335">
        <v>0</v>
      </c>
      <c r="S2335">
        <v>0</v>
      </c>
    </row>
    <row r="2336" spans="1:19" hidden="1" x14ac:dyDescent="0.35">
      <c r="A2336">
        <v>58193132800</v>
      </c>
      <c r="B2336" t="s">
        <v>2342</v>
      </c>
      <c r="C2336" t="str">
        <f>_xlfn.XLOOKUP(A2336,[1]Affiliations!$J$2:$J$5328,[1]Affiliations!$K$2:$K$5328,0)</f>
        <v>Federal University of Santa Catarina</v>
      </c>
      <c r="D2336">
        <v>3</v>
      </c>
      <c r="E2336">
        <v>69</v>
      </c>
      <c r="F2336">
        <v>23</v>
      </c>
      <c r="G2336">
        <v>3</v>
      </c>
      <c r="H2336">
        <v>2.33</v>
      </c>
      <c r="I2336">
        <v>0</v>
      </c>
      <c r="J2336">
        <v>2</v>
      </c>
      <c r="K2336">
        <v>3</v>
      </c>
      <c r="L2336">
        <v>3</v>
      </c>
      <c r="M2336">
        <v>3</v>
      </c>
      <c r="N2336">
        <v>3</v>
      </c>
      <c r="P2336">
        <v>0</v>
      </c>
      <c r="Q2336">
        <v>1</v>
      </c>
      <c r="R2336">
        <v>2</v>
      </c>
      <c r="S2336">
        <v>3</v>
      </c>
    </row>
    <row r="2337" spans="1:19" x14ac:dyDescent="0.35">
      <c r="A2337">
        <v>57189727453</v>
      </c>
      <c r="B2337" t="s">
        <v>636</v>
      </c>
      <c r="C2337" t="str">
        <f>_xlfn.XLOOKUP(A2337,[1]Affiliations!$J$2:$J$5328,[1]Affiliations!$K$2:$K$5328,0)</f>
        <v>Vizlab - X-Reality and GeoInformatics Lab (+1 more)</v>
      </c>
      <c r="D2337">
        <v>17</v>
      </c>
      <c r="E2337">
        <v>176</v>
      </c>
      <c r="F2337">
        <v>10.3529415</v>
      </c>
      <c r="G2337">
        <v>7</v>
      </c>
      <c r="H2337">
        <v>0.98</v>
      </c>
      <c r="I2337">
        <v>1</v>
      </c>
      <c r="J2337">
        <v>5</v>
      </c>
      <c r="K2337">
        <v>7</v>
      </c>
      <c r="L2337">
        <v>12</v>
      </c>
      <c r="M2337">
        <v>15</v>
      </c>
      <c r="N2337">
        <v>17</v>
      </c>
      <c r="P2337">
        <v>0</v>
      </c>
      <c r="Q2337">
        <v>1</v>
      </c>
      <c r="R2337">
        <v>2</v>
      </c>
      <c r="S2337">
        <v>8</v>
      </c>
    </row>
    <row r="2338" spans="1:19" x14ac:dyDescent="0.35">
      <c r="A2338">
        <v>7102125708</v>
      </c>
      <c r="B2338" t="s">
        <v>829</v>
      </c>
      <c r="C2338" t="str">
        <f>_xlfn.XLOOKUP(A2338,[1]Affiliations!$J$2:$J$5328,[1]Affiliations!$K$2:$K$5328,0)</f>
        <v>Pontifical Catholic University of Rio de Janeiro</v>
      </c>
      <c r="D2338">
        <v>80</v>
      </c>
      <c r="E2338">
        <v>416</v>
      </c>
      <c r="F2338">
        <v>5.2</v>
      </c>
      <c r="G2338">
        <v>16</v>
      </c>
      <c r="H2338">
        <v>0.98</v>
      </c>
      <c r="I2338">
        <v>0</v>
      </c>
      <c r="J2338">
        <v>3</v>
      </c>
      <c r="K2338">
        <v>3</v>
      </c>
      <c r="L2338">
        <v>7</v>
      </c>
      <c r="M2338">
        <v>30</v>
      </c>
      <c r="N2338">
        <v>41</v>
      </c>
      <c r="P2338">
        <v>0</v>
      </c>
      <c r="Q2338">
        <v>1</v>
      </c>
      <c r="R2338">
        <v>2</v>
      </c>
      <c r="S2338">
        <v>8</v>
      </c>
    </row>
    <row r="2339" spans="1:19" hidden="1" x14ac:dyDescent="0.35">
      <c r="A2339">
        <v>57578993900</v>
      </c>
      <c r="B2339" t="s">
        <v>2345</v>
      </c>
      <c r="C2339" t="str">
        <f>_xlfn.XLOOKUP(A2339,[1]Affiliations!$J$2:$J$5328,[1]Affiliations!$K$2:$K$5328,0)</f>
        <v>Universidade Federal do Rio Grande do Norte</v>
      </c>
      <c r="D2339">
        <v>2</v>
      </c>
      <c r="E2339">
        <v>39</v>
      </c>
      <c r="F2339">
        <v>19.5</v>
      </c>
      <c r="G2339">
        <v>2</v>
      </c>
      <c r="H2339">
        <v>2.0099999999999998</v>
      </c>
      <c r="I2339">
        <v>0</v>
      </c>
      <c r="J2339">
        <v>1</v>
      </c>
      <c r="K2339">
        <v>1</v>
      </c>
      <c r="L2339">
        <v>1</v>
      </c>
      <c r="M2339">
        <v>2</v>
      </c>
      <c r="N2339">
        <v>2</v>
      </c>
      <c r="P2339">
        <v>0</v>
      </c>
      <c r="Q2339">
        <v>0</v>
      </c>
      <c r="R2339">
        <v>1</v>
      </c>
      <c r="S2339">
        <v>1</v>
      </c>
    </row>
    <row r="2340" spans="1:19" x14ac:dyDescent="0.35">
      <c r="A2340">
        <v>7201854943</v>
      </c>
      <c r="B2340" t="s">
        <v>1219</v>
      </c>
      <c r="C2340" t="str">
        <f>_xlfn.XLOOKUP(A2340,[1]Affiliations!$J$2:$J$5328,[1]Affiliations!$K$2:$K$5328,0)</f>
        <v>Universidade Estadual do Oeste do Paraná</v>
      </c>
      <c r="D2340">
        <v>140</v>
      </c>
      <c r="E2340">
        <v>3008</v>
      </c>
      <c r="F2340">
        <v>21.485714000000002</v>
      </c>
      <c r="G2340">
        <v>41</v>
      </c>
      <c r="H2340">
        <v>0.98</v>
      </c>
      <c r="I2340">
        <v>1</v>
      </c>
      <c r="J2340">
        <v>16</v>
      </c>
      <c r="K2340">
        <v>37</v>
      </c>
      <c r="L2340">
        <v>83</v>
      </c>
      <c r="M2340">
        <v>116</v>
      </c>
      <c r="N2340">
        <v>131</v>
      </c>
      <c r="P2340">
        <v>0</v>
      </c>
      <c r="Q2340">
        <v>9</v>
      </c>
      <c r="R2340">
        <v>24</v>
      </c>
      <c r="S2340">
        <v>64</v>
      </c>
    </row>
    <row r="2341" spans="1:19" hidden="1" x14ac:dyDescent="0.35">
      <c r="A2341">
        <v>56583978100</v>
      </c>
      <c r="B2341" t="s">
        <v>2347</v>
      </c>
      <c r="C2341" t="str">
        <f>_xlfn.XLOOKUP(A2341,[1]Affiliations!$J$2:$J$5328,[1]Affiliations!$K$2:$K$5328,0)</f>
        <v>Universidade Federal Rural do Rio de Janeiro</v>
      </c>
      <c r="D2341">
        <v>4</v>
      </c>
      <c r="E2341">
        <v>20</v>
      </c>
      <c r="F2341">
        <v>5</v>
      </c>
      <c r="G2341">
        <v>4</v>
      </c>
      <c r="H2341">
        <v>0.71</v>
      </c>
      <c r="I2341">
        <v>0</v>
      </c>
      <c r="J2341">
        <v>0</v>
      </c>
      <c r="K2341">
        <v>1</v>
      </c>
      <c r="L2341">
        <v>3</v>
      </c>
      <c r="M2341">
        <v>4</v>
      </c>
      <c r="N2341">
        <v>4</v>
      </c>
      <c r="P2341">
        <v>0</v>
      </c>
      <c r="Q2341">
        <v>0</v>
      </c>
      <c r="R2341">
        <v>0</v>
      </c>
      <c r="S2341">
        <v>0</v>
      </c>
    </row>
    <row r="2342" spans="1:19" hidden="1" x14ac:dyDescent="0.35">
      <c r="A2342">
        <v>57200312388</v>
      </c>
      <c r="B2342" t="s">
        <v>2348</v>
      </c>
      <c r="C2342" t="str">
        <f>_xlfn.XLOOKUP(A2342,[1]Affiliations!$J$2:$J$5328,[1]Affiliations!$K$2:$K$5328,0)</f>
        <v>Federal University of Rio de Janeiro</v>
      </c>
      <c r="D2342">
        <v>1</v>
      </c>
      <c r="E2342">
        <v>5</v>
      </c>
      <c r="F2342">
        <v>5</v>
      </c>
      <c r="G2342">
        <v>1</v>
      </c>
      <c r="H2342">
        <v>0.18</v>
      </c>
      <c r="I2342">
        <v>0</v>
      </c>
      <c r="J2342">
        <v>0</v>
      </c>
      <c r="K2342">
        <v>0</v>
      </c>
      <c r="L2342">
        <v>1</v>
      </c>
      <c r="M2342">
        <v>1</v>
      </c>
      <c r="N2342">
        <v>1</v>
      </c>
      <c r="P2342">
        <v>0</v>
      </c>
      <c r="Q2342">
        <v>0</v>
      </c>
      <c r="R2342">
        <v>0</v>
      </c>
      <c r="S2342">
        <v>0</v>
      </c>
    </row>
    <row r="2343" spans="1:19" x14ac:dyDescent="0.35">
      <c r="A2343">
        <v>36443432900</v>
      </c>
      <c r="B2343" t="s">
        <v>1645</v>
      </c>
      <c r="C2343" t="str">
        <f>_xlfn.XLOOKUP(A2343,[1]Affiliations!$J$2:$J$5328,[1]Affiliations!$K$2:$K$5328,0)</f>
        <v>Universidade Estadual de Maringá</v>
      </c>
      <c r="D2343">
        <v>17</v>
      </c>
      <c r="E2343">
        <v>341</v>
      </c>
      <c r="F2343">
        <v>20.058823</v>
      </c>
      <c r="G2343">
        <v>15</v>
      </c>
      <c r="H2343">
        <v>0.98</v>
      </c>
      <c r="I2343">
        <v>0</v>
      </c>
      <c r="J2343">
        <v>1</v>
      </c>
      <c r="K2343">
        <v>4</v>
      </c>
      <c r="L2343">
        <v>12</v>
      </c>
      <c r="M2343">
        <v>16</v>
      </c>
      <c r="N2343">
        <v>17</v>
      </c>
      <c r="P2343">
        <v>0</v>
      </c>
      <c r="Q2343">
        <v>2</v>
      </c>
      <c r="R2343">
        <v>5</v>
      </c>
      <c r="S2343">
        <v>8</v>
      </c>
    </row>
    <row r="2344" spans="1:19" hidden="1" x14ac:dyDescent="0.35">
      <c r="A2344">
        <v>6504448951</v>
      </c>
      <c r="B2344" t="s">
        <v>2350</v>
      </c>
      <c r="C2344" t="str">
        <f>_xlfn.XLOOKUP(A2344,[1]Affiliations!$J$2:$J$5328,[1]Affiliations!$K$2:$K$5328,0)</f>
        <v>Federal University of Rio de Janeiro</v>
      </c>
      <c r="D2344">
        <v>7</v>
      </c>
      <c r="E2344">
        <v>121</v>
      </c>
      <c r="F2344">
        <v>17.285715</v>
      </c>
      <c r="G2344">
        <v>7</v>
      </c>
      <c r="H2344">
        <v>1.02</v>
      </c>
      <c r="I2344">
        <v>0</v>
      </c>
      <c r="J2344">
        <v>0</v>
      </c>
      <c r="K2344">
        <v>1</v>
      </c>
      <c r="L2344">
        <v>5</v>
      </c>
      <c r="M2344">
        <v>6</v>
      </c>
      <c r="N2344">
        <v>6</v>
      </c>
      <c r="P2344">
        <v>0</v>
      </c>
      <c r="Q2344">
        <v>0</v>
      </c>
      <c r="R2344">
        <v>0</v>
      </c>
      <c r="S2344">
        <v>5</v>
      </c>
    </row>
    <row r="2345" spans="1:19" x14ac:dyDescent="0.35">
      <c r="A2345">
        <v>55847948500</v>
      </c>
      <c r="B2345" t="s">
        <v>1918</v>
      </c>
      <c r="C2345" t="str">
        <f>_xlfn.XLOOKUP(A2345,[1]Affiliations!$J$2:$J$5328,[1]Affiliations!$K$2:$K$5328,0)</f>
        <v>Universidade Federal de Goiás</v>
      </c>
      <c r="D2345">
        <v>33</v>
      </c>
      <c r="E2345">
        <v>346</v>
      </c>
      <c r="F2345">
        <v>10.484848</v>
      </c>
      <c r="G2345">
        <v>10</v>
      </c>
      <c r="H2345">
        <v>0.98</v>
      </c>
      <c r="I2345">
        <v>1</v>
      </c>
      <c r="J2345">
        <v>3</v>
      </c>
      <c r="K2345">
        <v>3</v>
      </c>
      <c r="L2345">
        <v>16</v>
      </c>
      <c r="M2345">
        <v>28</v>
      </c>
      <c r="N2345">
        <v>31</v>
      </c>
      <c r="P2345">
        <v>0</v>
      </c>
      <c r="Q2345">
        <v>0</v>
      </c>
      <c r="R2345">
        <v>1</v>
      </c>
      <c r="S2345">
        <v>10</v>
      </c>
    </row>
    <row r="2346" spans="1:19" x14ac:dyDescent="0.35">
      <c r="A2346">
        <v>6602323155</v>
      </c>
      <c r="B2346" t="s">
        <v>2013</v>
      </c>
      <c r="C2346" t="str">
        <f>_xlfn.XLOOKUP(A2346,[1]Affiliations!$J$2:$J$5328,[1]Affiliations!$K$2:$K$5328,0)</f>
        <v>Programa de Pós Graduação Em Engenharia e Tecnologia Dos Materiais (PGETEMA) (+2 more)</v>
      </c>
      <c r="D2346">
        <v>91</v>
      </c>
      <c r="E2346">
        <v>1921</v>
      </c>
      <c r="F2346">
        <v>21.10989</v>
      </c>
      <c r="G2346">
        <v>33</v>
      </c>
      <c r="H2346">
        <v>0.98</v>
      </c>
      <c r="I2346">
        <v>1</v>
      </c>
      <c r="J2346">
        <v>8</v>
      </c>
      <c r="K2346">
        <v>19</v>
      </c>
      <c r="L2346">
        <v>45</v>
      </c>
      <c r="M2346">
        <v>73</v>
      </c>
      <c r="N2346">
        <v>86</v>
      </c>
      <c r="P2346">
        <v>1</v>
      </c>
      <c r="Q2346">
        <v>2</v>
      </c>
      <c r="R2346">
        <v>9</v>
      </c>
      <c r="S2346">
        <v>43</v>
      </c>
    </row>
    <row r="2347" spans="1:19" hidden="1" x14ac:dyDescent="0.35">
      <c r="A2347">
        <v>57845757600</v>
      </c>
      <c r="B2347" t="s">
        <v>2353</v>
      </c>
      <c r="C2347" t="str">
        <f>_xlfn.XLOOKUP(A2347,[1]Affiliations!$J$2:$J$5328,[1]Affiliations!$K$2:$K$5328,0)</f>
        <v>Universidade Federal de Minas Gerais</v>
      </c>
      <c r="D2347">
        <v>3</v>
      </c>
      <c r="E2347">
        <v>25</v>
      </c>
      <c r="F2347">
        <v>8.3333329999999997</v>
      </c>
      <c r="G2347">
        <v>2</v>
      </c>
      <c r="H2347">
        <v>1.35</v>
      </c>
      <c r="P2347">
        <v>0</v>
      </c>
      <c r="Q2347">
        <v>0</v>
      </c>
      <c r="R2347">
        <v>0</v>
      </c>
      <c r="S2347">
        <v>1</v>
      </c>
    </row>
    <row r="2348" spans="1:19" hidden="1" x14ac:dyDescent="0.35">
      <c r="A2348">
        <v>57208839036</v>
      </c>
      <c r="B2348" t="s">
        <v>2354</v>
      </c>
      <c r="C2348" t="str">
        <f>_xlfn.XLOOKUP(A2348,[1]Affiliations!$J$2:$J$5328,[1]Affiliations!$K$2:$K$5328,0)</f>
        <v>Universidade Tecnológica Federal do Paraná</v>
      </c>
      <c r="D2348">
        <v>4</v>
      </c>
      <c r="E2348">
        <v>51</v>
      </c>
      <c r="F2348">
        <v>12.75</v>
      </c>
      <c r="G2348">
        <v>4</v>
      </c>
      <c r="H2348">
        <v>0.67</v>
      </c>
      <c r="I2348">
        <v>0</v>
      </c>
      <c r="J2348">
        <v>0</v>
      </c>
      <c r="K2348">
        <v>1</v>
      </c>
      <c r="L2348">
        <v>4</v>
      </c>
      <c r="M2348">
        <v>4</v>
      </c>
      <c r="N2348">
        <v>4</v>
      </c>
      <c r="P2348">
        <v>0</v>
      </c>
      <c r="Q2348">
        <v>0</v>
      </c>
      <c r="R2348">
        <v>0</v>
      </c>
      <c r="S2348">
        <v>1</v>
      </c>
    </row>
    <row r="2349" spans="1:19" hidden="1" x14ac:dyDescent="0.35">
      <c r="A2349">
        <v>59670330200</v>
      </c>
      <c r="B2349" t="s">
        <v>2355</v>
      </c>
      <c r="C2349" t="str">
        <f>_xlfn.XLOOKUP(A2349,[1]Affiliations!$J$2:$J$5328,[1]Affiliations!$K$2:$K$5328,0)</f>
        <v>Universidade Federal Fluminense</v>
      </c>
      <c r="D2349">
        <v>0</v>
      </c>
      <c r="G2349">
        <v>0</v>
      </c>
    </row>
    <row r="2350" spans="1:19" hidden="1" x14ac:dyDescent="0.35">
      <c r="A2350">
        <v>7103169742</v>
      </c>
      <c r="B2350" t="s">
        <v>2356</v>
      </c>
      <c r="C2350" t="str">
        <f>_xlfn.XLOOKUP(A2350,[1]Affiliations!$J$2:$J$5328,[1]Affiliations!$K$2:$K$5328,0)</f>
        <v>Universidade Federal de Uberlândia</v>
      </c>
      <c r="D2350">
        <v>6</v>
      </c>
      <c r="E2350">
        <v>89</v>
      </c>
      <c r="F2350">
        <v>14.833333</v>
      </c>
      <c r="G2350">
        <v>11</v>
      </c>
      <c r="H2350">
        <v>0.76</v>
      </c>
      <c r="I2350">
        <v>0</v>
      </c>
      <c r="J2350">
        <v>0</v>
      </c>
      <c r="K2350">
        <v>0</v>
      </c>
      <c r="L2350">
        <v>4</v>
      </c>
      <c r="M2350">
        <v>4</v>
      </c>
      <c r="N2350">
        <v>4</v>
      </c>
      <c r="P2350">
        <v>0</v>
      </c>
      <c r="Q2350">
        <v>0</v>
      </c>
      <c r="R2350">
        <v>1</v>
      </c>
      <c r="S2350">
        <v>2</v>
      </c>
    </row>
    <row r="2351" spans="1:19" hidden="1" x14ac:dyDescent="0.35">
      <c r="A2351">
        <v>58194170800</v>
      </c>
      <c r="B2351" t="s">
        <v>2357</v>
      </c>
      <c r="C2351" t="str">
        <f>_xlfn.XLOOKUP(A2351,[1]Affiliations!$J$2:$J$5328,[1]Affiliations!$K$2:$K$5328,0)</f>
        <v>Instituto de Pesquisas da Marinha</v>
      </c>
      <c r="D2351">
        <v>3</v>
      </c>
      <c r="E2351">
        <v>7</v>
      </c>
      <c r="F2351">
        <v>2.3333333000000001</v>
      </c>
      <c r="G2351">
        <v>2</v>
      </c>
      <c r="H2351">
        <v>2.3199999999999998</v>
      </c>
      <c r="I2351">
        <v>0</v>
      </c>
      <c r="J2351">
        <v>0</v>
      </c>
      <c r="K2351">
        <v>0</v>
      </c>
      <c r="L2351">
        <v>2</v>
      </c>
      <c r="M2351">
        <v>2</v>
      </c>
      <c r="N2351">
        <v>2</v>
      </c>
      <c r="P2351">
        <v>0</v>
      </c>
      <c r="Q2351">
        <v>0</v>
      </c>
      <c r="R2351">
        <v>0</v>
      </c>
      <c r="S2351">
        <v>0</v>
      </c>
    </row>
    <row r="2352" spans="1:19" hidden="1" x14ac:dyDescent="0.35">
      <c r="A2352">
        <v>57223907673</v>
      </c>
      <c r="B2352" t="s">
        <v>2358</v>
      </c>
      <c r="C2352" t="str">
        <f>_xlfn.XLOOKUP(A2352,[1]Affiliations!$J$2:$J$5328,[1]Affiliations!$K$2:$K$5328,0)</f>
        <v>Instituto de Pesquisas da Marinha</v>
      </c>
      <c r="D2352">
        <v>1</v>
      </c>
      <c r="E2352">
        <v>3</v>
      </c>
      <c r="F2352">
        <v>3</v>
      </c>
      <c r="G2352">
        <v>1</v>
      </c>
      <c r="H2352">
        <v>0.72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P2352">
        <v>0</v>
      </c>
      <c r="Q2352">
        <v>0</v>
      </c>
      <c r="R2352">
        <v>0</v>
      </c>
      <c r="S2352">
        <v>0</v>
      </c>
    </row>
    <row r="2353" spans="1:19" hidden="1" x14ac:dyDescent="0.35">
      <c r="A2353">
        <v>8301219900</v>
      </c>
      <c r="B2353" t="s">
        <v>2359</v>
      </c>
      <c r="C2353" t="str">
        <f>_xlfn.XLOOKUP(A2353,[1]Affiliations!$J$2:$J$5328,[1]Affiliations!$K$2:$K$5328,0)</f>
        <v>Universidade Federal de Mato Grosso do Sul</v>
      </c>
      <c r="D2353">
        <v>13</v>
      </c>
      <c r="E2353">
        <v>44</v>
      </c>
      <c r="F2353">
        <v>3.3846153999999999</v>
      </c>
      <c r="G2353">
        <v>9</v>
      </c>
      <c r="H2353">
        <v>0.38</v>
      </c>
      <c r="I2353">
        <v>0</v>
      </c>
      <c r="J2353">
        <v>0</v>
      </c>
      <c r="K2353">
        <v>3</v>
      </c>
      <c r="L2353">
        <v>4</v>
      </c>
      <c r="M2353">
        <v>4</v>
      </c>
      <c r="N2353">
        <v>4</v>
      </c>
      <c r="P2353">
        <v>0</v>
      </c>
      <c r="Q2353">
        <v>0</v>
      </c>
      <c r="R2353">
        <v>0</v>
      </c>
      <c r="S2353">
        <v>1</v>
      </c>
    </row>
    <row r="2354" spans="1:19" x14ac:dyDescent="0.35">
      <c r="A2354">
        <v>57211574877</v>
      </c>
      <c r="B2354" t="s">
        <v>2522</v>
      </c>
      <c r="C2354" t="str">
        <f>_xlfn.XLOOKUP(A2354,[1]Affiliations!$J$2:$J$5328,[1]Affiliations!$K$2:$K$5328,0)</f>
        <v>Universidade Federal Fluminense</v>
      </c>
      <c r="D2354">
        <v>14</v>
      </c>
      <c r="E2354">
        <v>178</v>
      </c>
      <c r="F2354">
        <v>12.714286</v>
      </c>
      <c r="G2354">
        <v>8</v>
      </c>
      <c r="H2354">
        <v>0.98</v>
      </c>
      <c r="I2354">
        <v>1</v>
      </c>
      <c r="J2354">
        <v>6</v>
      </c>
      <c r="K2354">
        <v>8</v>
      </c>
      <c r="L2354">
        <v>11</v>
      </c>
      <c r="M2354">
        <v>13</v>
      </c>
      <c r="N2354">
        <v>14</v>
      </c>
      <c r="P2354">
        <v>0</v>
      </c>
      <c r="Q2354">
        <v>0</v>
      </c>
      <c r="R2354">
        <v>1</v>
      </c>
      <c r="S2354">
        <v>7</v>
      </c>
    </row>
    <row r="2355" spans="1:19" hidden="1" x14ac:dyDescent="0.35">
      <c r="A2355">
        <v>57223997087</v>
      </c>
      <c r="B2355" t="s">
        <v>2361</v>
      </c>
      <c r="C2355" t="str">
        <f>_xlfn.XLOOKUP(A2355,[1]Affiliations!$J$2:$J$5328,[1]Affiliations!$K$2:$K$5328,0)</f>
        <v>Federal University of Rio de Janeiro</v>
      </c>
      <c r="D2355">
        <v>2</v>
      </c>
      <c r="E2355">
        <v>35</v>
      </c>
      <c r="F2355">
        <v>17.5</v>
      </c>
      <c r="G2355">
        <v>2</v>
      </c>
      <c r="H2355">
        <v>0.85</v>
      </c>
      <c r="I2355">
        <v>0</v>
      </c>
      <c r="J2355">
        <v>1</v>
      </c>
      <c r="K2355">
        <v>1</v>
      </c>
      <c r="L2355">
        <v>1</v>
      </c>
      <c r="M2355">
        <v>2</v>
      </c>
      <c r="N2355">
        <v>2</v>
      </c>
      <c r="P2355">
        <v>0</v>
      </c>
      <c r="Q2355">
        <v>0</v>
      </c>
      <c r="R2355">
        <v>0</v>
      </c>
      <c r="S2355">
        <v>1</v>
      </c>
    </row>
    <row r="2356" spans="1:19" hidden="1" x14ac:dyDescent="0.35">
      <c r="A2356">
        <v>57196186031</v>
      </c>
      <c r="B2356" t="s">
        <v>2362</v>
      </c>
      <c r="C2356" t="str">
        <f>_xlfn.XLOOKUP(A2356,[1]Affiliations!$J$2:$J$5328,[1]Affiliations!$K$2:$K$5328,0)</f>
        <v>Universidade do Estado do Rio de Janeiro</v>
      </c>
      <c r="D2356">
        <v>1</v>
      </c>
      <c r="E2356">
        <v>14</v>
      </c>
      <c r="F2356">
        <v>14</v>
      </c>
      <c r="G2356">
        <v>1</v>
      </c>
      <c r="H2356">
        <v>0.75</v>
      </c>
      <c r="I2356">
        <v>0</v>
      </c>
      <c r="J2356">
        <v>0</v>
      </c>
      <c r="K2356">
        <v>1</v>
      </c>
      <c r="L2356">
        <v>1</v>
      </c>
      <c r="M2356">
        <v>1</v>
      </c>
      <c r="N2356">
        <v>1</v>
      </c>
      <c r="P2356">
        <v>0</v>
      </c>
      <c r="Q2356">
        <v>0</v>
      </c>
      <c r="R2356">
        <v>0</v>
      </c>
      <c r="S2356">
        <v>0</v>
      </c>
    </row>
    <row r="2357" spans="1:19" x14ac:dyDescent="0.35">
      <c r="A2357">
        <v>36094587600</v>
      </c>
      <c r="B2357" t="s">
        <v>2910</v>
      </c>
      <c r="C2357" t="str">
        <f>_xlfn.XLOOKUP(A2357,[1]Affiliations!$J$2:$J$5328,[1]Affiliations!$K$2:$K$5328,0)</f>
        <v>Universidade Federal Fluminense</v>
      </c>
      <c r="D2357">
        <v>12</v>
      </c>
      <c r="E2357">
        <v>271</v>
      </c>
      <c r="F2357">
        <v>22.583334000000001</v>
      </c>
      <c r="G2357">
        <v>10</v>
      </c>
      <c r="H2357">
        <v>0.98</v>
      </c>
      <c r="I2357">
        <v>0</v>
      </c>
      <c r="J2357">
        <v>4</v>
      </c>
      <c r="K2357">
        <v>6</v>
      </c>
      <c r="L2357">
        <v>10</v>
      </c>
      <c r="M2357">
        <v>11</v>
      </c>
      <c r="N2357">
        <v>11</v>
      </c>
      <c r="P2357">
        <v>0</v>
      </c>
      <c r="Q2357">
        <v>0</v>
      </c>
      <c r="R2357">
        <v>2</v>
      </c>
      <c r="S2357">
        <v>6</v>
      </c>
    </row>
    <row r="2358" spans="1:19" x14ac:dyDescent="0.35">
      <c r="A2358">
        <v>7005453570</v>
      </c>
      <c r="B2358" t="s">
        <v>3064</v>
      </c>
      <c r="C2358" t="str">
        <f>_xlfn.XLOOKUP(A2358,[1]Affiliations!$J$2:$J$5328,[1]Affiliations!$K$2:$K$5328,0)</f>
        <v>Federal University of Rio de Janeiro</v>
      </c>
      <c r="D2358">
        <v>20</v>
      </c>
      <c r="E2358">
        <v>458</v>
      </c>
      <c r="F2358">
        <v>22.9</v>
      </c>
      <c r="G2358">
        <v>23</v>
      </c>
      <c r="H2358">
        <v>0.98</v>
      </c>
      <c r="I2358">
        <v>0</v>
      </c>
      <c r="J2358">
        <v>3</v>
      </c>
      <c r="K2358">
        <v>5</v>
      </c>
      <c r="L2358">
        <v>13</v>
      </c>
      <c r="M2358">
        <v>16</v>
      </c>
      <c r="N2358">
        <v>20</v>
      </c>
      <c r="P2358">
        <v>1</v>
      </c>
      <c r="Q2358">
        <v>2</v>
      </c>
      <c r="R2358">
        <v>4</v>
      </c>
      <c r="S2358">
        <v>10</v>
      </c>
    </row>
    <row r="2359" spans="1:19" x14ac:dyDescent="0.35">
      <c r="A2359">
        <v>7003816291</v>
      </c>
      <c r="B2359" t="s">
        <v>3373</v>
      </c>
      <c r="C2359" t="str">
        <f>_xlfn.XLOOKUP(A2359,[1]Affiliations!$J$2:$J$5328,[1]Affiliations!$K$2:$K$5328,0)</f>
        <v>Prooceano</v>
      </c>
      <c r="D2359">
        <v>100</v>
      </c>
      <c r="E2359">
        <v>2167</v>
      </c>
      <c r="F2359">
        <v>21.67</v>
      </c>
      <c r="G2359">
        <v>32</v>
      </c>
      <c r="H2359">
        <v>0.98</v>
      </c>
      <c r="I2359">
        <v>3</v>
      </c>
      <c r="J2359">
        <v>22</v>
      </c>
      <c r="K2359">
        <v>31</v>
      </c>
      <c r="L2359">
        <v>51</v>
      </c>
      <c r="M2359">
        <v>69</v>
      </c>
      <c r="N2359">
        <v>72</v>
      </c>
      <c r="P2359">
        <v>0</v>
      </c>
      <c r="Q2359">
        <v>4</v>
      </c>
      <c r="R2359">
        <v>19</v>
      </c>
      <c r="S2359">
        <v>38</v>
      </c>
    </row>
    <row r="2360" spans="1:19" hidden="1" x14ac:dyDescent="0.35">
      <c r="A2360">
        <v>57215050582</v>
      </c>
      <c r="B2360" t="s">
        <v>2366</v>
      </c>
      <c r="C2360" t="str">
        <f>_xlfn.XLOOKUP(A2360,[1]Affiliations!$J$2:$J$5328,[1]Affiliations!$K$2:$K$5328,0)</f>
        <v>Pontifical Catholic University of Rio de Janeiro</v>
      </c>
      <c r="D2360">
        <v>4</v>
      </c>
      <c r="E2360">
        <v>31</v>
      </c>
      <c r="F2360">
        <v>7.75</v>
      </c>
      <c r="G2360">
        <v>3</v>
      </c>
      <c r="H2360">
        <v>0.39</v>
      </c>
      <c r="I2360">
        <v>0</v>
      </c>
      <c r="J2360">
        <v>0</v>
      </c>
      <c r="K2360">
        <v>0</v>
      </c>
      <c r="L2360">
        <v>2</v>
      </c>
      <c r="M2360">
        <v>3</v>
      </c>
      <c r="N2360">
        <v>4</v>
      </c>
      <c r="P2360">
        <v>0</v>
      </c>
      <c r="Q2360">
        <v>0</v>
      </c>
      <c r="R2360">
        <v>0</v>
      </c>
      <c r="S2360">
        <v>1</v>
      </c>
    </row>
    <row r="2361" spans="1:19" x14ac:dyDescent="0.35">
      <c r="A2361">
        <v>7006448167</v>
      </c>
      <c r="B2361" t="s">
        <v>3546</v>
      </c>
      <c r="C2361" t="str">
        <f>_xlfn.XLOOKUP(A2361,[1]Affiliations!$J$2:$J$5328,[1]Affiliations!$K$2:$K$5328,0)</f>
        <v>Federal University of Rio de Janeiro</v>
      </c>
      <c r="D2361">
        <v>33</v>
      </c>
      <c r="E2361">
        <v>745</v>
      </c>
      <c r="F2361">
        <v>22.575758</v>
      </c>
      <c r="G2361">
        <v>24</v>
      </c>
      <c r="H2361">
        <v>0.98</v>
      </c>
      <c r="I2361">
        <v>0</v>
      </c>
      <c r="J2361">
        <v>2</v>
      </c>
      <c r="K2361">
        <v>6</v>
      </c>
      <c r="L2361">
        <v>23</v>
      </c>
      <c r="M2361">
        <v>30</v>
      </c>
      <c r="N2361">
        <v>31</v>
      </c>
      <c r="P2361">
        <v>0</v>
      </c>
      <c r="Q2361">
        <v>2</v>
      </c>
      <c r="R2361">
        <v>6</v>
      </c>
      <c r="S2361">
        <v>19</v>
      </c>
    </row>
    <row r="2362" spans="1:19" x14ac:dyDescent="0.35">
      <c r="A2362">
        <v>8553878600</v>
      </c>
      <c r="B2362" t="s">
        <v>3576</v>
      </c>
      <c r="C2362" t="str">
        <f>_xlfn.XLOOKUP(A2362,[1]Affiliations!$J$2:$J$5328,[1]Affiliations!$K$2:$K$5328,0)</f>
        <v>Vizlab - X-Reality and GeoInformatics Lab</v>
      </c>
      <c r="D2362">
        <v>43</v>
      </c>
      <c r="E2362">
        <v>742</v>
      </c>
      <c r="F2362">
        <v>17.255814000000001</v>
      </c>
      <c r="G2362">
        <v>23</v>
      </c>
      <c r="H2362">
        <v>0.98</v>
      </c>
      <c r="I2362">
        <v>0</v>
      </c>
      <c r="J2362">
        <v>3</v>
      </c>
      <c r="K2362">
        <v>8</v>
      </c>
      <c r="L2362">
        <v>19</v>
      </c>
      <c r="M2362">
        <v>39</v>
      </c>
      <c r="N2362">
        <v>42</v>
      </c>
      <c r="P2362">
        <v>0</v>
      </c>
      <c r="Q2362">
        <v>1</v>
      </c>
      <c r="R2362">
        <v>4</v>
      </c>
      <c r="S2362">
        <v>16</v>
      </c>
    </row>
    <row r="2363" spans="1:19" x14ac:dyDescent="0.35">
      <c r="A2363">
        <v>57194493993</v>
      </c>
      <c r="B2363" t="s">
        <v>3717</v>
      </c>
      <c r="C2363" t="str">
        <f>_xlfn.XLOOKUP(A2363,[1]Affiliations!$J$2:$J$5328,[1]Affiliations!$K$2:$K$5328,0)</f>
        <v>Universidade Tiradentes (+2 more)</v>
      </c>
      <c r="D2363">
        <v>9</v>
      </c>
      <c r="E2363">
        <v>212</v>
      </c>
      <c r="F2363">
        <v>23.555554999999998</v>
      </c>
      <c r="G2363">
        <v>9</v>
      </c>
      <c r="H2363">
        <v>0.98</v>
      </c>
      <c r="I2363">
        <v>0</v>
      </c>
      <c r="J2363">
        <v>0</v>
      </c>
      <c r="K2363">
        <v>3</v>
      </c>
      <c r="L2363">
        <v>5</v>
      </c>
      <c r="M2363">
        <v>9</v>
      </c>
      <c r="N2363">
        <v>9</v>
      </c>
      <c r="P2363">
        <v>0</v>
      </c>
      <c r="Q2363">
        <v>1</v>
      </c>
      <c r="R2363">
        <v>2</v>
      </c>
      <c r="S2363">
        <v>5</v>
      </c>
    </row>
    <row r="2364" spans="1:19" hidden="1" x14ac:dyDescent="0.35">
      <c r="A2364">
        <v>57203161741</v>
      </c>
      <c r="B2364" t="s">
        <v>2370</v>
      </c>
      <c r="C2364" t="str">
        <f>_xlfn.XLOOKUP(A2364,[1]Affiliations!$J$2:$J$5328,[1]Affiliations!$K$2:$K$5328,0)</f>
        <v>Federal University of Rio de Janeiro</v>
      </c>
      <c r="D2364">
        <v>4</v>
      </c>
      <c r="E2364">
        <v>33</v>
      </c>
      <c r="F2364">
        <v>8.25</v>
      </c>
      <c r="G2364">
        <v>4</v>
      </c>
      <c r="H2364">
        <v>1.68</v>
      </c>
      <c r="P2364">
        <v>0</v>
      </c>
      <c r="Q2364">
        <v>0</v>
      </c>
      <c r="R2364">
        <v>0</v>
      </c>
      <c r="S2364">
        <v>0</v>
      </c>
    </row>
    <row r="2365" spans="1:19" hidden="1" x14ac:dyDescent="0.35">
      <c r="A2365">
        <v>57195286262</v>
      </c>
      <c r="B2365" t="s">
        <v>2371</v>
      </c>
      <c r="C2365" t="str">
        <f>_xlfn.XLOOKUP(A2365,[1]Affiliations!$J$2:$J$5328,[1]Affiliations!$K$2:$K$5328,0)</f>
        <v>LAMEMO - Modelling Methods in Engineering and Geophysics Laboratory</v>
      </c>
      <c r="D2365">
        <v>1</v>
      </c>
      <c r="E2365">
        <v>1</v>
      </c>
      <c r="F2365">
        <v>1</v>
      </c>
      <c r="G2365">
        <v>1</v>
      </c>
      <c r="H2365">
        <v>0.17</v>
      </c>
      <c r="I2365">
        <v>0</v>
      </c>
      <c r="J2365">
        <v>0</v>
      </c>
      <c r="K2365">
        <v>1</v>
      </c>
      <c r="L2365">
        <v>1</v>
      </c>
      <c r="M2365">
        <v>1</v>
      </c>
      <c r="N2365">
        <v>1</v>
      </c>
      <c r="P2365">
        <v>0</v>
      </c>
      <c r="Q2365">
        <v>0</v>
      </c>
      <c r="R2365">
        <v>0</v>
      </c>
      <c r="S2365">
        <v>0</v>
      </c>
    </row>
    <row r="2366" spans="1:19" x14ac:dyDescent="0.35">
      <c r="A2366">
        <v>6602752011</v>
      </c>
      <c r="B2366" t="s">
        <v>3793</v>
      </c>
      <c r="C2366" t="str">
        <f>_xlfn.XLOOKUP(A2366,[1]Affiliations!$J$2:$J$5328,[1]Affiliations!$K$2:$K$5328,0)</f>
        <v>Federal University of Rio de Janeiro</v>
      </c>
      <c r="D2366">
        <v>47</v>
      </c>
      <c r="E2366">
        <v>1241</v>
      </c>
      <c r="F2366">
        <v>26.404254999999999</v>
      </c>
      <c r="G2366">
        <v>29</v>
      </c>
      <c r="H2366">
        <v>0.98</v>
      </c>
      <c r="I2366">
        <v>0</v>
      </c>
      <c r="J2366">
        <v>5</v>
      </c>
      <c r="K2366">
        <v>14</v>
      </c>
      <c r="L2366">
        <v>25</v>
      </c>
      <c r="M2366">
        <v>43</v>
      </c>
      <c r="N2366">
        <v>46</v>
      </c>
      <c r="P2366">
        <v>1</v>
      </c>
      <c r="Q2366">
        <v>3</v>
      </c>
      <c r="R2366">
        <v>4</v>
      </c>
      <c r="S2366">
        <v>21</v>
      </c>
    </row>
    <row r="2367" spans="1:19" hidden="1" x14ac:dyDescent="0.35">
      <c r="A2367">
        <v>57220770532</v>
      </c>
      <c r="B2367" t="s">
        <v>2373</v>
      </c>
      <c r="C2367" t="str">
        <f>_xlfn.XLOOKUP(A2367,[1]Affiliations!$J$2:$J$5328,[1]Affiliations!$K$2:$K$5328,0)</f>
        <v>Universidade Federal de Sergipe</v>
      </c>
      <c r="D2367">
        <v>7</v>
      </c>
      <c r="E2367">
        <v>70</v>
      </c>
      <c r="F2367">
        <v>10</v>
      </c>
      <c r="G2367">
        <v>7</v>
      </c>
      <c r="H2367">
        <v>0.65</v>
      </c>
      <c r="I2367">
        <v>0</v>
      </c>
      <c r="J2367">
        <v>0</v>
      </c>
      <c r="K2367">
        <v>0</v>
      </c>
      <c r="L2367">
        <v>4</v>
      </c>
      <c r="M2367">
        <v>6</v>
      </c>
      <c r="N2367">
        <v>6</v>
      </c>
      <c r="P2367">
        <v>0</v>
      </c>
      <c r="Q2367">
        <v>0</v>
      </c>
      <c r="R2367">
        <v>0</v>
      </c>
      <c r="S2367">
        <v>1</v>
      </c>
    </row>
    <row r="2368" spans="1:19" x14ac:dyDescent="0.35">
      <c r="A2368">
        <v>57719470500</v>
      </c>
      <c r="B2368" t="s">
        <v>4137</v>
      </c>
      <c r="C2368" t="str">
        <f>_xlfn.XLOOKUP(A2368,[1]Affiliations!$J$2:$J$5328,[1]Affiliations!$K$2:$K$5328,0)</f>
        <v>Universidade Federal do Rio Grande do Sul</v>
      </c>
      <c r="D2368">
        <v>17</v>
      </c>
      <c r="E2368">
        <v>283</v>
      </c>
      <c r="F2368">
        <v>16.647058000000001</v>
      </c>
      <c r="G2368">
        <v>11</v>
      </c>
      <c r="H2368">
        <v>0.98</v>
      </c>
      <c r="I2368">
        <v>2</v>
      </c>
      <c r="J2368">
        <v>3</v>
      </c>
      <c r="K2368">
        <v>5</v>
      </c>
      <c r="L2368">
        <v>9</v>
      </c>
      <c r="M2368">
        <v>17</v>
      </c>
      <c r="N2368">
        <v>17</v>
      </c>
      <c r="P2368">
        <v>0</v>
      </c>
      <c r="Q2368">
        <v>0</v>
      </c>
      <c r="R2368">
        <v>1</v>
      </c>
      <c r="S2368">
        <v>8</v>
      </c>
    </row>
    <row r="2369" spans="1:19" hidden="1" x14ac:dyDescent="0.35">
      <c r="A2369">
        <v>7401486028</v>
      </c>
      <c r="B2369" t="s">
        <v>2375</v>
      </c>
      <c r="C2369" t="str">
        <f>_xlfn.XLOOKUP(A2369,[1]Affiliations!$J$2:$J$5328,[1]Affiliations!$K$2:$K$5328,0)</f>
        <v>Universidade de São Paulo</v>
      </c>
      <c r="D2369">
        <v>37</v>
      </c>
      <c r="E2369">
        <v>187</v>
      </c>
      <c r="F2369">
        <v>5.0540542999999998</v>
      </c>
      <c r="G2369">
        <v>13</v>
      </c>
      <c r="H2369">
        <v>0.46</v>
      </c>
      <c r="I2369">
        <v>0</v>
      </c>
      <c r="J2369">
        <v>2</v>
      </c>
      <c r="K2369">
        <v>7</v>
      </c>
      <c r="L2369">
        <v>10</v>
      </c>
      <c r="M2369">
        <v>14</v>
      </c>
      <c r="N2369">
        <v>28</v>
      </c>
      <c r="P2369">
        <v>0</v>
      </c>
      <c r="Q2369">
        <v>0</v>
      </c>
      <c r="R2369">
        <v>0</v>
      </c>
      <c r="S2369">
        <v>2</v>
      </c>
    </row>
    <row r="2370" spans="1:19" hidden="1" x14ac:dyDescent="0.35">
      <c r="A2370">
        <v>57196083982</v>
      </c>
      <c r="B2370" t="s">
        <v>2376</v>
      </c>
      <c r="C2370" t="str">
        <f>_xlfn.XLOOKUP(A2370,[1]Affiliations!$J$2:$J$5328,[1]Affiliations!$K$2:$K$5328,0)</f>
        <v>Ecopetrol International Exploration (+1 more)</v>
      </c>
      <c r="D2370">
        <v>4</v>
      </c>
      <c r="E2370">
        <v>30</v>
      </c>
      <c r="F2370">
        <v>7.5</v>
      </c>
      <c r="G2370">
        <v>4</v>
      </c>
      <c r="H2370">
        <v>0.44</v>
      </c>
      <c r="I2370">
        <v>0</v>
      </c>
      <c r="J2370">
        <v>1</v>
      </c>
      <c r="K2370">
        <v>1</v>
      </c>
      <c r="L2370">
        <v>1</v>
      </c>
      <c r="M2370">
        <v>1</v>
      </c>
      <c r="N2370">
        <v>2</v>
      </c>
      <c r="P2370">
        <v>0</v>
      </c>
      <c r="Q2370">
        <v>0</v>
      </c>
      <c r="R2370">
        <v>0</v>
      </c>
      <c r="S2370">
        <v>1</v>
      </c>
    </row>
    <row r="2371" spans="1:19" hidden="1" x14ac:dyDescent="0.35">
      <c r="A2371">
        <v>56470257900</v>
      </c>
      <c r="B2371" t="s">
        <v>2377</v>
      </c>
      <c r="C2371" t="str">
        <f>_xlfn.XLOOKUP(A2371,[1]Affiliations!$J$2:$J$5328,[1]Affiliations!$K$2:$K$5328,0)</f>
        <v>Instituto Nacional de Metrologia, Qualidade e Tecnologia</v>
      </c>
      <c r="D2371">
        <v>3</v>
      </c>
      <c r="E2371">
        <v>6</v>
      </c>
      <c r="F2371">
        <v>2</v>
      </c>
      <c r="G2371">
        <v>2</v>
      </c>
      <c r="H2371">
        <v>0.54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1</v>
      </c>
      <c r="P2371">
        <v>0</v>
      </c>
      <c r="Q2371">
        <v>0</v>
      </c>
      <c r="R2371">
        <v>0</v>
      </c>
      <c r="S2371">
        <v>0</v>
      </c>
    </row>
    <row r="2372" spans="1:19" hidden="1" x14ac:dyDescent="0.35">
      <c r="A2372">
        <v>7402249589</v>
      </c>
      <c r="B2372" t="s">
        <v>2378</v>
      </c>
      <c r="C2372" t="str">
        <f>_xlfn.XLOOKUP(A2372,[1]Affiliations!$J$2:$J$5328,[1]Affiliations!$K$2:$K$5328,0)</f>
        <v>Universidade Federal do Rio Grande do Norte (+1 more)</v>
      </c>
      <c r="D2372">
        <v>5</v>
      </c>
      <c r="E2372">
        <v>17</v>
      </c>
      <c r="F2372">
        <v>3.4</v>
      </c>
      <c r="G2372">
        <v>6</v>
      </c>
      <c r="H2372">
        <v>0.3</v>
      </c>
      <c r="I2372">
        <v>0</v>
      </c>
      <c r="J2372">
        <v>0</v>
      </c>
      <c r="K2372">
        <v>0</v>
      </c>
      <c r="L2372">
        <v>1</v>
      </c>
      <c r="M2372">
        <v>1</v>
      </c>
      <c r="N2372">
        <v>1</v>
      </c>
      <c r="P2372">
        <v>0</v>
      </c>
      <c r="Q2372">
        <v>0</v>
      </c>
      <c r="R2372">
        <v>0</v>
      </c>
      <c r="S2372">
        <v>0</v>
      </c>
    </row>
    <row r="2373" spans="1:19" x14ac:dyDescent="0.35">
      <c r="A2373">
        <v>7004919328</v>
      </c>
      <c r="B2373" t="s">
        <v>4166</v>
      </c>
      <c r="C2373" t="str">
        <f>_xlfn.XLOOKUP(A2373,[1]Affiliations!$J$2:$J$5328,[1]Affiliations!$K$2:$K$5328,0)</f>
        <v>Universidade Estadual do Norte Fluminense (+1 more)</v>
      </c>
      <c r="D2373">
        <v>142</v>
      </c>
      <c r="E2373">
        <v>3520</v>
      </c>
      <c r="F2373">
        <v>24.788733000000001</v>
      </c>
      <c r="G2373">
        <v>39</v>
      </c>
      <c r="H2373">
        <v>0.98</v>
      </c>
      <c r="I2373">
        <v>2</v>
      </c>
      <c r="J2373">
        <v>38</v>
      </c>
      <c r="K2373">
        <v>68</v>
      </c>
      <c r="L2373">
        <v>104</v>
      </c>
      <c r="M2373">
        <v>131</v>
      </c>
      <c r="N2373">
        <v>135</v>
      </c>
      <c r="P2373">
        <v>2</v>
      </c>
      <c r="Q2373">
        <v>10</v>
      </c>
      <c r="R2373">
        <v>22</v>
      </c>
      <c r="S2373">
        <v>57</v>
      </c>
    </row>
    <row r="2374" spans="1:19" hidden="1" x14ac:dyDescent="0.35">
      <c r="A2374">
        <v>57193669391</v>
      </c>
      <c r="B2374" t="s">
        <v>2380</v>
      </c>
      <c r="C2374" t="str">
        <f>_xlfn.XLOOKUP(A2374,[1]Affiliations!$J$2:$J$5328,[1]Affiliations!$K$2:$K$5328,0)</f>
        <v>Pontifical Catholic University of Rio de Janeiro</v>
      </c>
      <c r="D2374">
        <v>11</v>
      </c>
      <c r="E2374">
        <v>93</v>
      </c>
      <c r="F2374">
        <v>8.4545449999999995</v>
      </c>
      <c r="G2374">
        <v>7</v>
      </c>
      <c r="H2374">
        <v>2.2999999999999998</v>
      </c>
      <c r="I2374">
        <v>0</v>
      </c>
      <c r="J2374">
        <v>0</v>
      </c>
      <c r="K2374">
        <v>0</v>
      </c>
      <c r="L2374">
        <v>1</v>
      </c>
      <c r="M2374">
        <v>3</v>
      </c>
      <c r="N2374">
        <v>7</v>
      </c>
      <c r="P2374">
        <v>0</v>
      </c>
      <c r="Q2374">
        <v>0</v>
      </c>
      <c r="R2374">
        <v>1</v>
      </c>
      <c r="S2374">
        <v>4</v>
      </c>
    </row>
    <row r="2375" spans="1:19" hidden="1" x14ac:dyDescent="0.35">
      <c r="A2375">
        <v>21742798300</v>
      </c>
      <c r="B2375" t="s">
        <v>2381</v>
      </c>
      <c r="C2375" t="str">
        <f>_xlfn.XLOOKUP(A2375,[1]Affiliations!$J$2:$J$5328,[1]Affiliations!$K$2:$K$5328,0)</f>
        <v>Noosfera Projetos Especiais Ltda</v>
      </c>
      <c r="D2375">
        <v>1</v>
      </c>
      <c r="E2375">
        <v>5</v>
      </c>
      <c r="F2375">
        <v>5</v>
      </c>
      <c r="G2375">
        <v>2</v>
      </c>
      <c r="H2375">
        <v>7.0000000000000007E-2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P2375">
        <v>0</v>
      </c>
      <c r="Q2375">
        <v>0</v>
      </c>
      <c r="R2375">
        <v>0</v>
      </c>
      <c r="S2375">
        <v>0</v>
      </c>
    </row>
    <row r="2376" spans="1:19" x14ac:dyDescent="0.35">
      <c r="A2376">
        <v>35586027200</v>
      </c>
      <c r="B2376" t="s">
        <v>247</v>
      </c>
      <c r="C2376" t="str">
        <f>_xlfn.XLOOKUP(A2376,[1]Affiliations!$J$2:$J$5328,[1]Affiliations!$K$2:$K$5328,0)</f>
        <v>Federal University of Rio de Janeiro</v>
      </c>
      <c r="D2376">
        <v>133</v>
      </c>
      <c r="E2376">
        <v>2488</v>
      </c>
      <c r="F2376">
        <v>18.706765999999998</v>
      </c>
      <c r="G2376">
        <v>34</v>
      </c>
      <c r="H2376">
        <v>0.97</v>
      </c>
      <c r="I2376">
        <v>3</v>
      </c>
      <c r="J2376">
        <v>42</v>
      </c>
      <c r="K2376">
        <v>61</v>
      </c>
      <c r="L2376">
        <v>76</v>
      </c>
      <c r="M2376">
        <v>88</v>
      </c>
      <c r="N2376">
        <v>94</v>
      </c>
      <c r="P2376">
        <v>1</v>
      </c>
      <c r="Q2376">
        <v>7</v>
      </c>
      <c r="R2376">
        <v>14</v>
      </c>
      <c r="S2376">
        <v>53</v>
      </c>
    </row>
    <row r="2377" spans="1:19" hidden="1" x14ac:dyDescent="0.35">
      <c r="A2377">
        <v>57365345800</v>
      </c>
      <c r="B2377" t="s">
        <v>2383</v>
      </c>
      <c r="C2377" t="str">
        <f>_xlfn.XLOOKUP(A2377,[1]Affiliations!$J$2:$J$5328,[1]Affiliations!$K$2:$K$5328,0)</f>
        <v>Vizlab - X-Reality and GeoInformatics Lab</v>
      </c>
      <c r="D2377">
        <v>5</v>
      </c>
      <c r="E2377">
        <v>22</v>
      </c>
      <c r="F2377">
        <v>4.4000000000000004</v>
      </c>
      <c r="G2377">
        <v>3</v>
      </c>
      <c r="H2377">
        <v>0.49</v>
      </c>
      <c r="I2377">
        <v>0</v>
      </c>
      <c r="J2377">
        <v>0</v>
      </c>
      <c r="K2377">
        <v>3</v>
      </c>
      <c r="L2377">
        <v>3</v>
      </c>
      <c r="M2377">
        <v>4</v>
      </c>
      <c r="N2377">
        <v>4</v>
      </c>
      <c r="P2377">
        <v>0</v>
      </c>
      <c r="Q2377">
        <v>0</v>
      </c>
      <c r="R2377">
        <v>0</v>
      </c>
      <c r="S2377">
        <v>0</v>
      </c>
    </row>
    <row r="2378" spans="1:19" hidden="1" x14ac:dyDescent="0.35">
      <c r="A2378">
        <v>8689474100</v>
      </c>
      <c r="B2378" t="s">
        <v>2384</v>
      </c>
      <c r="C2378" t="str">
        <f>_xlfn.XLOOKUP(A2378,[1]Affiliations!$J$2:$J$5328,[1]Affiliations!$K$2:$K$5328,0)</f>
        <v>Universidade Federal Fluminense (+3 more)</v>
      </c>
      <c r="D2378">
        <v>21</v>
      </c>
      <c r="E2378">
        <v>95</v>
      </c>
      <c r="F2378">
        <v>4.5238094000000002</v>
      </c>
      <c r="G2378">
        <v>8</v>
      </c>
      <c r="H2378">
        <v>0.24</v>
      </c>
      <c r="I2378">
        <v>0</v>
      </c>
      <c r="J2378">
        <v>1</v>
      </c>
      <c r="K2378">
        <v>2</v>
      </c>
      <c r="L2378">
        <v>6</v>
      </c>
      <c r="M2378">
        <v>11</v>
      </c>
      <c r="N2378">
        <v>14</v>
      </c>
      <c r="P2378">
        <v>0</v>
      </c>
      <c r="Q2378">
        <v>0</v>
      </c>
      <c r="R2378">
        <v>0</v>
      </c>
      <c r="S2378">
        <v>1</v>
      </c>
    </row>
    <row r="2379" spans="1:19" x14ac:dyDescent="0.35">
      <c r="A2379">
        <v>36503429100</v>
      </c>
      <c r="B2379" t="s">
        <v>876</v>
      </c>
      <c r="C2379" t="str">
        <f>_xlfn.XLOOKUP(A2379,[1]Affiliations!$J$2:$J$5328,[1]Affiliations!$K$2:$K$5328,0)</f>
        <v>Vizlab - X-Reality and GeoInformatics Lab (+1 more)</v>
      </c>
      <c r="D2379">
        <v>20</v>
      </c>
      <c r="E2379">
        <v>215</v>
      </c>
      <c r="F2379">
        <v>10.75</v>
      </c>
      <c r="G2379">
        <v>9</v>
      </c>
      <c r="H2379">
        <v>0.97</v>
      </c>
      <c r="I2379">
        <v>0</v>
      </c>
      <c r="J2379">
        <v>5</v>
      </c>
      <c r="K2379">
        <v>8</v>
      </c>
      <c r="L2379">
        <v>11</v>
      </c>
      <c r="M2379">
        <v>18</v>
      </c>
      <c r="N2379">
        <v>19</v>
      </c>
      <c r="P2379">
        <v>0</v>
      </c>
      <c r="Q2379">
        <v>1</v>
      </c>
      <c r="R2379">
        <v>3</v>
      </c>
      <c r="S2379">
        <v>4</v>
      </c>
    </row>
    <row r="2380" spans="1:19" hidden="1" x14ac:dyDescent="0.35">
      <c r="A2380">
        <v>57221335892</v>
      </c>
      <c r="B2380" t="s">
        <v>2386</v>
      </c>
      <c r="C2380" t="str">
        <f>_xlfn.XLOOKUP(A2380,[1]Affiliations!$J$2:$J$5328,[1]Affiliations!$K$2:$K$5328,0)</f>
        <v>Universidade de São Paulo</v>
      </c>
      <c r="D2380">
        <v>7</v>
      </c>
      <c r="E2380">
        <v>39</v>
      </c>
      <c r="F2380">
        <v>5.5714290000000002</v>
      </c>
      <c r="G2380">
        <v>4</v>
      </c>
      <c r="H2380">
        <v>0.41</v>
      </c>
      <c r="I2380">
        <v>0</v>
      </c>
      <c r="J2380">
        <v>1</v>
      </c>
      <c r="K2380">
        <v>2</v>
      </c>
      <c r="L2380">
        <v>5</v>
      </c>
      <c r="M2380">
        <v>6</v>
      </c>
      <c r="N2380">
        <v>6</v>
      </c>
      <c r="P2380">
        <v>0</v>
      </c>
      <c r="Q2380">
        <v>0</v>
      </c>
      <c r="R2380">
        <v>0</v>
      </c>
      <c r="S2380">
        <v>0</v>
      </c>
    </row>
    <row r="2381" spans="1:19" hidden="1" x14ac:dyDescent="0.35">
      <c r="A2381">
        <v>57132124700</v>
      </c>
      <c r="B2381" t="s">
        <v>2387</v>
      </c>
      <c r="C2381" t="str">
        <f>_xlfn.XLOOKUP(A2381,[1]Affiliations!$J$2:$J$5328,[1]Affiliations!$K$2:$K$5328,0)</f>
        <v>Universidade Federal Fluminense</v>
      </c>
      <c r="D2381">
        <v>3</v>
      </c>
      <c r="E2381">
        <v>4</v>
      </c>
      <c r="F2381">
        <v>1.3333333999999999</v>
      </c>
      <c r="G2381">
        <v>1</v>
      </c>
      <c r="H2381">
        <v>0.02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1</v>
      </c>
      <c r="P2381">
        <v>0</v>
      </c>
      <c r="Q2381">
        <v>0</v>
      </c>
      <c r="R2381">
        <v>0</v>
      </c>
      <c r="S2381">
        <v>0</v>
      </c>
    </row>
    <row r="2382" spans="1:19" x14ac:dyDescent="0.35">
      <c r="A2382">
        <v>7005072518</v>
      </c>
      <c r="B2382" t="s">
        <v>988</v>
      </c>
      <c r="C2382" t="str">
        <f>_xlfn.XLOOKUP(A2382,[1]Affiliations!$J$2:$J$5328,[1]Affiliations!$K$2:$K$5328,0)</f>
        <v>Universidade do Estado do Rio de Janeiro</v>
      </c>
      <c r="D2382">
        <v>61</v>
      </c>
      <c r="E2382">
        <v>1589</v>
      </c>
      <c r="F2382">
        <v>26.049181000000001</v>
      </c>
      <c r="G2382">
        <v>22</v>
      </c>
      <c r="H2382">
        <v>0.97</v>
      </c>
      <c r="I2382">
        <v>2</v>
      </c>
      <c r="J2382">
        <v>4</v>
      </c>
      <c r="K2382">
        <v>7</v>
      </c>
      <c r="L2382">
        <v>23</v>
      </c>
      <c r="M2382">
        <v>41</v>
      </c>
      <c r="N2382">
        <v>50</v>
      </c>
      <c r="P2382">
        <v>1</v>
      </c>
      <c r="Q2382">
        <v>3</v>
      </c>
      <c r="R2382">
        <v>5</v>
      </c>
      <c r="S2382">
        <v>14</v>
      </c>
    </row>
    <row r="2383" spans="1:19" hidden="1" x14ac:dyDescent="0.35">
      <c r="A2383">
        <v>57204647120</v>
      </c>
      <c r="B2383" t="s">
        <v>2389</v>
      </c>
      <c r="C2383" t="str">
        <f>_xlfn.XLOOKUP(A2383,[1]Affiliations!$J$2:$J$5328,[1]Affiliations!$K$2:$K$5328,0)</f>
        <v>Universidade Estadual Paulista “Júlio de Mesquita Filho”</v>
      </c>
      <c r="D2383">
        <v>1</v>
      </c>
      <c r="E2383">
        <v>7</v>
      </c>
      <c r="F2383">
        <v>7</v>
      </c>
      <c r="G2383">
        <v>1</v>
      </c>
      <c r="H2383">
        <v>0.51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1</v>
      </c>
      <c r="P2383">
        <v>0</v>
      </c>
      <c r="Q2383">
        <v>0</v>
      </c>
      <c r="R2383">
        <v>0</v>
      </c>
      <c r="S2383">
        <v>0</v>
      </c>
    </row>
    <row r="2384" spans="1:19" hidden="1" x14ac:dyDescent="0.35">
      <c r="A2384">
        <v>7102545874</v>
      </c>
      <c r="B2384" t="s">
        <v>2390</v>
      </c>
      <c r="C2384" t="str">
        <f>_xlfn.XLOOKUP(A2384,[1]Affiliations!$J$2:$J$5328,[1]Affiliations!$K$2:$K$5328,0)</f>
        <v>Ministério da Ciência e Tecnologia (+1 more)</v>
      </c>
      <c r="D2384">
        <v>17</v>
      </c>
      <c r="E2384">
        <v>243</v>
      </c>
      <c r="F2384">
        <v>14.294117999999999</v>
      </c>
      <c r="G2384">
        <v>17</v>
      </c>
      <c r="H2384">
        <v>0.51</v>
      </c>
      <c r="I2384">
        <v>0</v>
      </c>
      <c r="J2384">
        <v>0</v>
      </c>
      <c r="K2384">
        <v>4</v>
      </c>
      <c r="L2384">
        <v>13</v>
      </c>
      <c r="M2384">
        <v>16</v>
      </c>
      <c r="N2384">
        <v>17</v>
      </c>
      <c r="P2384">
        <v>0</v>
      </c>
      <c r="Q2384">
        <v>0</v>
      </c>
      <c r="R2384">
        <v>0</v>
      </c>
      <c r="S2384">
        <v>6</v>
      </c>
    </row>
    <row r="2385" spans="1:19" hidden="1" x14ac:dyDescent="0.35">
      <c r="A2385">
        <v>57194106385</v>
      </c>
      <c r="B2385" t="s">
        <v>2391</v>
      </c>
      <c r="C2385" t="str">
        <f>_xlfn.XLOOKUP(A2385,[1]Affiliations!$J$2:$J$5328,[1]Affiliations!$K$2:$K$5328,0)</f>
        <v>Universidade de São Paulo</v>
      </c>
      <c r="D2385">
        <v>4</v>
      </c>
      <c r="E2385">
        <v>78</v>
      </c>
      <c r="F2385">
        <v>19.5</v>
      </c>
      <c r="G2385">
        <v>3</v>
      </c>
      <c r="H2385">
        <v>0.57999999999999996</v>
      </c>
      <c r="I2385">
        <v>0</v>
      </c>
      <c r="J2385">
        <v>0</v>
      </c>
      <c r="K2385">
        <v>1</v>
      </c>
      <c r="L2385">
        <v>2</v>
      </c>
      <c r="M2385">
        <v>4</v>
      </c>
      <c r="N2385">
        <v>4</v>
      </c>
      <c r="P2385">
        <v>0</v>
      </c>
      <c r="Q2385">
        <v>0</v>
      </c>
      <c r="R2385">
        <v>1</v>
      </c>
      <c r="S2385">
        <v>1</v>
      </c>
    </row>
    <row r="2386" spans="1:19" x14ac:dyDescent="0.35">
      <c r="A2386">
        <v>7102895730</v>
      </c>
      <c r="B2386" t="s">
        <v>1435</v>
      </c>
      <c r="C2386" t="str">
        <f>_xlfn.XLOOKUP(A2386,[1]Affiliations!$J$2:$J$5328,[1]Affiliations!$K$2:$K$5328,0)</f>
        <v>Universidade Estadual de Maringá</v>
      </c>
      <c r="D2386">
        <v>31</v>
      </c>
      <c r="E2386">
        <v>886</v>
      </c>
      <c r="F2386">
        <v>28.580645000000001</v>
      </c>
      <c r="G2386">
        <v>23</v>
      </c>
      <c r="H2386">
        <v>0.97</v>
      </c>
      <c r="I2386">
        <v>0</v>
      </c>
      <c r="J2386">
        <v>2</v>
      </c>
      <c r="K2386">
        <v>6</v>
      </c>
      <c r="L2386">
        <v>16</v>
      </c>
      <c r="M2386">
        <v>24</v>
      </c>
      <c r="N2386">
        <v>26</v>
      </c>
      <c r="P2386">
        <v>0</v>
      </c>
      <c r="Q2386">
        <v>4</v>
      </c>
      <c r="R2386">
        <v>10</v>
      </c>
      <c r="S2386">
        <v>19</v>
      </c>
    </row>
    <row r="2387" spans="1:19" hidden="1" x14ac:dyDescent="0.35">
      <c r="A2387">
        <v>57210158419</v>
      </c>
      <c r="B2387" t="s">
        <v>2393</v>
      </c>
      <c r="C2387" t="str">
        <f>_xlfn.XLOOKUP(A2387,[1]Affiliations!$J$2:$J$5328,[1]Affiliations!$K$2:$K$5328,0)</f>
        <v>Federal University of Rio de Janeiro</v>
      </c>
      <c r="D2387">
        <v>2</v>
      </c>
      <c r="E2387">
        <v>5</v>
      </c>
      <c r="F2387">
        <v>2.5</v>
      </c>
      <c r="G2387">
        <v>1</v>
      </c>
      <c r="H2387">
        <v>0.13</v>
      </c>
      <c r="I2387">
        <v>0</v>
      </c>
      <c r="J2387">
        <v>0</v>
      </c>
      <c r="K2387">
        <v>0</v>
      </c>
      <c r="L2387">
        <v>2</v>
      </c>
      <c r="M2387">
        <v>2</v>
      </c>
      <c r="N2387">
        <v>2</v>
      </c>
      <c r="P2387">
        <v>0</v>
      </c>
      <c r="Q2387">
        <v>0</v>
      </c>
      <c r="R2387">
        <v>0</v>
      </c>
      <c r="S2387">
        <v>0</v>
      </c>
    </row>
    <row r="2388" spans="1:19" hidden="1" x14ac:dyDescent="0.35">
      <c r="A2388">
        <v>53981216000</v>
      </c>
      <c r="B2388" t="s">
        <v>2394</v>
      </c>
      <c r="C2388" t="str">
        <f>_xlfn.XLOOKUP(A2388,[1]Affiliations!$J$2:$J$5328,[1]Affiliations!$K$2:$K$5328,0)</f>
        <v>Universidade de São Paulo</v>
      </c>
      <c r="D2388">
        <v>1</v>
      </c>
      <c r="E2388">
        <v>0</v>
      </c>
      <c r="F2388">
        <v>0</v>
      </c>
      <c r="G2388">
        <v>1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P2388">
        <v>0</v>
      </c>
      <c r="Q2388">
        <v>0</v>
      </c>
      <c r="R2388">
        <v>0</v>
      </c>
      <c r="S2388">
        <v>0</v>
      </c>
    </row>
    <row r="2389" spans="1:19" hidden="1" x14ac:dyDescent="0.35">
      <c r="A2389">
        <v>6504493073</v>
      </c>
      <c r="B2389" t="s">
        <v>2395</v>
      </c>
      <c r="C2389" t="str">
        <f>_xlfn.XLOOKUP(A2389,[1]Affiliations!$J$2:$J$5328,[1]Affiliations!$K$2:$K$5328,0)</f>
        <v>Universidade Federal de Uberlândia</v>
      </c>
      <c r="D2389">
        <v>18</v>
      </c>
      <c r="E2389">
        <v>156</v>
      </c>
      <c r="F2389">
        <v>8.6666670000000003</v>
      </c>
      <c r="G2389">
        <v>8</v>
      </c>
      <c r="H2389">
        <v>0.5</v>
      </c>
      <c r="I2389">
        <v>0</v>
      </c>
      <c r="J2389">
        <v>1</v>
      </c>
      <c r="K2389">
        <v>2</v>
      </c>
      <c r="L2389">
        <v>5</v>
      </c>
      <c r="M2389">
        <v>8</v>
      </c>
      <c r="N2389">
        <v>11</v>
      </c>
      <c r="P2389">
        <v>0</v>
      </c>
      <c r="Q2389">
        <v>0</v>
      </c>
      <c r="R2389">
        <v>0</v>
      </c>
      <c r="S2389">
        <v>3</v>
      </c>
    </row>
    <row r="2390" spans="1:19" hidden="1" x14ac:dyDescent="0.35">
      <c r="A2390">
        <v>7006781957</v>
      </c>
      <c r="B2390" t="s">
        <v>2396</v>
      </c>
      <c r="C2390" t="str">
        <f>_xlfn.XLOOKUP(A2390,[1]Affiliations!$J$2:$J$5328,[1]Affiliations!$K$2:$K$5328,0)</f>
        <v>Universidade Federal do Rio Grande do Sul</v>
      </c>
      <c r="D2390">
        <v>4</v>
      </c>
      <c r="E2390">
        <v>17</v>
      </c>
      <c r="F2390">
        <v>4.25</v>
      </c>
      <c r="G2390">
        <v>3</v>
      </c>
      <c r="H2390">
        <v>0.84</v>
      </c>
      <c r="I2390">
        <v>0</v>
      </c>
      <c r="J2390">
        <v>0</v>
      </c>
      <c r="K2390">
        <v>0</v>
      </c>
      <c r="L2390">
        <v>1</v>
      </c>
      <c r="M2390">
        <v>2</v>
      </c>
      <c r="N2390">
        <v>3</v>
      </c>
      <c r="P2390">
        <v>0</v>
      </c>
      <c r="Q2390">
        <v>0</v>
      </c>
      <c r="R2390">
        <v>0</v>
      </c>
      <c r="S2390">
        <v>0</v>
      </c>
    </row>
    <row r="2391" spans="1:19" hidden="1" x14ac:dyDescent="0.35">
      <c r="A2391">
        <v>36899940600</v>
      </c>
      <c r="B2391" t="s">
        <v>2397</v>
      </c>
      <c r="C2391" t="str">
        <f>_xlfn.XLOOKUP(A2391,[1]Affiliations!$J$2:$J$5328,[1]Affiliations!$K$2:$K$5328,0)</f>
        <v>Instituto Instituto Federal de Educação, Ciência e Tecnologia Sul-rio-grandense</v>
      </c>
      <c r="D2391">
        <v>2</v>
      </c>
      <c r="E2391">
        <v>2</v>
      </c>
      <c r="F2391">
        <v>1</v>
      </c>
      <c r="G2391">
        <v>6</v>
      </c>
      <c r="H2391">
        <v>0.16</v>
      </c>
      <c r="I2391">
        <v>0</v>
      </c>
      <c r="J2391">
        <v>0</v>
      </c>
      <c r="K2391">
        <v>0</v>
      </c>
      <c r="L2391">
        <v>1</v>
      </c>
      <c r="M2391">
        <v>1</v>
      </c>
      <c r="N2391">
        <v>1</v>
      </c>
      <c r="P2391">
        <v>0</v>
      </c>
      <c r="Q2391">
        <v>0</v>
      </c>
      <c r="R2391">
        <v>0</v>
      </c>
      <c r="S2391">
        <v>0</v>
      </c>
    </row>
    <row r="2392" spans="1:19" hidden="1" x14ac:dyDescent="0.35">
      <c r="A2392">
        <v>14022681800</v>
      </c>
      <c r="B2392" t="s">
        <v>2398</v>
      </c>
      <c r="C2392" t="str">
        <f>_xlfn.XLOOKUP(A2392,[1]Affiliations!$J$2:$J$5328,[1]Affiliations!$K$2:$K$5328,0)</f>
        <v>Pontifical Catholic University of Rio de Janeiro (+3 more)</v>
      </c>
      <c r="D2392">
        <v>7</v>
      </c>
      <c r="E2392">
        <v>68</v>
      </c>
      <c r="F2392">
        <v>9.7142859999999995</v>
      </c>
      <c r="G2392">
        <v>5</v>
      </c>
      <c r="H2392">
        <v>0.6</v>
      </c>
      <c r="I2392">
        <v>0</v>
      </c>
      <c r="J2392">
        <v>1</v>
      </c>
      <c r="K2392">
        <v>3</v>
      </c>
      <c r="L2392">
        <v>4</v>
      </c>
      <c r="M2392">
        <v>5</v>
      </c>
      <c r="N2392">
        <v>6</v>
      </c>
      <c r="P2392">
        <v>0</v>
      </c>
      <c r="Q2392">
        <v>0</v>
      </c>
      <c r="R2392">
        <v>0</v>
      </c>
      <c r="S2392">
        <v>2</v>
      </c>
    </row>
    <row r="2393" spans="1:19" x14ac:dyDescent="0.35">
      <c r="A2393">
        <v>24733621100</v>
      </c>
      <c r="B2393" t="s">
        <v>1534</v>
      </c>
      <c r="C2393" t="str">
        <f>_xlfn.XLOOKUP(A2393,[1]Affiliations!$J$2:$J$5328,[1]Affiliations!$K$2:$K$5328,0)</f>
        <v>CEFET</v>
      </c>
      <c r="D2393">
        <v>20</v>
      </c>
      <c r="E2393">
        <v>293</v>
      </c>
      <c r="F2393">
        <v>14.65</v>
      </c>
      <c r="G2393">
        <v>14</v>
      </c>
      <c r="H2393">
        <v>0.97</v>
      </c>
      <c r="I2393">
        <v>1</v>
      </c>
      <c r="J2393">
        <v>3</v>
      </c>
      <c r="K2393">
        <v>3</v>
      </c>
      <c r="L2393">
        <v>6</v>
      </c>
      <c r="M2393">
        <v>8</v>
      </c>
      <c r="N2393">
        <v>11</v>
      </c>
      <c r="P2393">
        <v>0</v>
      </c>
      <c r="Q2393">
        <v>1</v>
      </c>
      <c r="R2393">
        <v>1</v>
      </c>
      <c r="S2393">
        <v>9</v>
      </c>
    </row>
    <row r="2394" spans="1:19" x14ac:dyDescent="0.35">
      <c r="A2394">
        <v>56369067800</v>
      </c>
      <c r="B2394" t="s">
        <v>1589</v>
      </c>
      <c r="C2394" t="str">
        <f>_xlfn.XLOOKUP(A2394,[1]Affiliations!$J$2:$J$5328,[1]Affiliations!$K$2:$K$5328,0)</f>
        <v>Universidade Federal de Pernambuco (+1 more)</v>
      </c>
      <c r="D2394">
        <v>25</v>
      </c>
      <c r="E2394">
        <v>364</v>
      </c>
      <c r="F2394">
        <v>14.56</v>
      </c>
      <c r="G2394">
        <v>12</v>
      </c>
      <c r="H2394">
        <v>0.97</v>
      </c>
      <c r="I2394">
        <v>0</v>
      </c>
      <c r="J2394">
        <v>6</v>
      </c>
      <c r="K2394">
        <v>8</v>
      </c>
      <c r="L2394">
        <v>16</v>
      </c>
      <c r="M2394">
        <v>19</v>
      </c>
      <c r="N2394">
        <v>20</v>
      </c>
      <c r="P2394">
        <v>0</v>
      </c>
      <c r="Q2394">
        <v>0</v>
      </c>
      <c r="R2394">
        <v>2</v>
      </c>
      <c r="S2394">
        <v>12</v>
      </c>
    </row>
    <row r="2395" spans="1:19" hidden="1" x14ac:dyDescent="0.35">
      <c r="A2395">
        <v>58711613400</v>
      </c>
      <c r="B2395" t="s">
        <v>2401</v>
      </c>
      <c r="C2395" t="str">
        <f>_xlfn.XLOOKUP(A2395,[1]Affiliations!$J$2:$J$5328,[1]Affiliations!$K$2:$K$5328,0)</f>
        <v>Universidade Federal do Rio Grande do Sul</v>
      </c>
      <c r="D2395">
        <v>2</v>
      </c>
      <c r="E2395">
        <v>16</v>
      </c>
      <c r="F2395">
        <v>8</v>
      </c>
      <c r="G2395">
        <v>1</v>
      </c>
      <c r="H2395">
        <v>1</v>
      </c>
      <c r="I2395">
        <v>0</v>
      </c>
      <c r="J2395">
        <v>1</v>
      </c>
      <c r="K2395">
        <v>1</v>
      </c>
      <c r="L2395">
        <v>1</v>
      </c>
      <c r="M2395">
        <v>1</v>
      </c>
      <c r="N2395">
        <v>1</v>
      </c>
      <c r="P2395">
        <v>0</v>
      </c>
      <c r="Q2395">
        <v>0</v>
      </c>
      <c r="R2395">
        <v>0</v>
      </c>
      <c r="S2395">
        <v>1</v>
      </c>
    </row>
    <row r="2396" spans="1:19" hidden="1" x14ac:dyDescent="0.35">
      <c r="A2396">
        <v>55595793800</v>
      </c>
      <c r="B2396" t="s">
        <v>2402</v>
      </c>
      <c r="C2396" t="str">
        <f>_xlfn.XLOOKUP(A2396,[1]Affiliations!$J$2:$J$5328,[1]Affiliations!$K$2:$K$5328,0)</f>
        <v>Universidade Federal do Rio Grande do Sul (+1 more)</v>
      </c>
      <c r="D2396">
        <v>5</v>
      </c>
      <c r="E2396">
        <v>75</v>
      </c>
      <c r="F2396">
        <v>15</v>
      </c>
      <c r="G2396">
        <v>5</v>
      </c>
      <c r="H2396">
        <v>0.48</v>
      </c>
      <c r="I2396">
        <v>0</v>
      </c>
      <c r="J2396">
        <v>1</v>
      </c>
      <c r="K2396">
        <v>4</v>
      </c>
      <c r="L2396">
        <v>5</v>
      </c>
      <c r="M2396">
        <v>5</v>
      </c>
      <c r="N2396">
        <v>5</v>
      </c>
      <c r="P2396">
        <v>0</v>
      </c>
      <c r="Q2396">
        <v>0</v>
      </c>
      <c r="R2396">
        <v>0</v>
      </c>
      <c r="S2396">
        <v>2</v>
      </c>
    </row>
    <row r="2397" spans="1:19" hidden="1" x14ac:dyDescent="0.35">
      <c r="A2397">
        <v>57204725064</v>
      </c>
      <c r="B2397" t="s">
        <v>2403</v>
      </c>
      <c r="C2397" t="str">
        <f>_xlfn.XLOOKUP(A2397,[1]Affiliations!$J$2:$J$5328,[1]Affiliations!$K$2:$K$5328,0)</f>
        <v>Federal University of Santa Catarina</v>
      </c>
      <c r="D2397">
        <v>2</v>
      </c>
      <c r="E2397">
        <v>29</v>
      </c>
      <c r="F2397">
        <v>14.5</v>
      </c>
      <c r="G2397">
        <v>2</v>
      </c>
      <c r="H2397">
        <v>0.82</v>
      </c>
      <c r="I2397">
        <v>0</v>
      </c>
      <c r="J2397">
        <v>0</v>
      </c>
      <c r="K2397">
        <v>1</v>
      </c>
      <c r="L2397">
        <v>1</v>
      </c>
      <c r="M2397">
        <v>1</v>
      </c>
      <c r="N2397">
        <v>2</v>
      </c>
      <c r="P2397">
        <v>0</v>
      </c>
      <c r="Q2397">
        <v>0</v>
      </c>
      <c r="R2397">
        <v>0</v>
      </c>
      <c r="S2397">
        <v>1</v>
      </c>
    </row>
    <row r="2398" spans="1:19" hidden="1" x14ac:dyDescent="0.35">
      <c r="A2398">
        <v>57204732231</v>
      </c>
      <c r="B2398" t="s">
        <v>2404</v>
      </c>
      <c r="C2398" t="str">
        <f>_xlfn.XLOOKUP(A2398,[1]Affiliations!$J$2:$J$5328,[1]Affiliations!$K$2:$K$5328,0)</f>
        <v>Universidade Federal do Rio Grande do Sul</v>
      </c>
      <c r="D2398">
        <v>3</v>
      </c>
      <c r="E2398">
        <v>42</v>
      </c>
      <c r="F2398">
        <v>14</v>
      </c>
      <c r="G2398">
        <v>3</v>
      </c>
      <c r="H2398">
        <v>1.1399999999999999</v>
      </c>
      <c r="I2398">
        <v>0</v>
      </c>
      <c r="J2398">
        <v>1</v>
      </c>
      <c r="K2398">
        <v>1</v>
      </c>
      <c r="L2398">
        <v>1</v>
      </c>
      <c r="M2398">
        <v>2</v>
      </c>
      <c r="N2398">
        <v>3</v>
      </c>
      <c r="P2398">
        <v>0</v>
      </c>
      <c r="Q2398">
        <v>0</v>
      </c>
      <c r="R2398">
        <v>0</v>
      </c>
      <c r="S2398">
        <v>2</v>
      </c>
    </row>
    <row r="2399" spans="1:19" hidden="1" x14ac:dyDescent="0.35">
      <c r="A2399">
        <v>57192955766</v>
      </c>
      <c r="B2399" t="s">
        <v>2405</v>
      </c>
      <c r="C2399" t="str">
        <f>_xlfn.XLOOKUP(A2399,[1]Affiliations!$J$2:$J$5328,[1]Affiliations!$K$2:$K$5328,0)</f>
        <v>Universidade Federal de Itajubá (+1 more)</v>
      </c>
      <c r="D2399">
        <v>8</v>
      </c>
      <c r="E2399">
        <v>27</v>
      </c>
      <c r="F2399">
        <v>3.375</v>
      </c>
      <c r="G2399">
        <v>3</v>
      </c>
      <c r="H2399">
        <v>0.23</v>
      </c>
      <c r="I2399">
        <v>0</v>
      </c>
      <c r="J2399">
        <v>0</v>
      </c>
      <c r="K2399">
        <v>0</v>
      </c>
      <c r="L2399">
        <v>2</v>
      </c>
      <c r="M2399">
        <v>3</v>
      </c>
      <c r="N2399">
        <v>3</v>
      </c>
      <c r="P2399">
        <v>0</v>
      </c>
      <c r="Q2399">
        <v>0</v>
      </c>
      <c r="R2399">
        <v>0</v>
      </c>
      <c r="S2399">
        <v>0</v>
      </c>
    </row>
    <row r="2400" spans="1:19" x14ac:dyDescent="0.35">
      <c r="A2400">
        <v>36809205900</v>
      </c>
      <c r="B2400" t="s">
        <v>1858</v>
      </c>
      <c r="C2400" t="str">
        <f>_xlfn.XLOOKUP(A2400,[1]Affiliations!$J$2:$J$5328,[1]Affiliations!$K$2:$K$5328,0)</f>
        <v>Vizlab - X-Reality and GeoInformatics Lab</v>
      </c>
      <c r="D2400">
        <v>21</v>
      </c>
      <c r="E2400">
        <v>403</v>
      </c>
      <c r="F2400">
        <v>19.190474999999999</v>
      </c>
      <c r="G2400">
        <v>9</v>
      </c>
      <c r="H2400">
        <v>0.97</v>
      </c>
      <c r="I2400">
        <v>3</v>
      </c>
      <c r="J2400">
        <v>5</v>
      </c>
      <c r="K2400">
        <v>7</v>
      </c>
      <c r="L2400">
        <v>11</v>
      </c>
      <c r="M2400">
        <v>16</v>
      </c>
      <c r="N2400">
        <v>20</v>
      </c>
      <c r="P2400">
        <v>1</v>
      </c>
      <c r="Q2400">
        <v>1</v>
      </c>
      <c r="R2400">
        <v>2</v>
      </c>
      <c r="S2400">
        <v>3</v>
      </c>
    </row>
    <row r="2401" spans="1:19" x14ac:dyDescent="0.35">
      <c r="A2401">
        <v>6602138143</v>
      </c>
      <c r="B2401" t="s">
        <v>2594</v>
      </c>
      <c r="C2401" t="str">
        <f>_xlfn.XLOOKUP(A2401,[1]Affiliations!$J$2:$J$5328,[1]Affiliations!$K$2:$K$5328,0)</f>
        <v>Universidade do Estado do Rio de Janeiro</v>
      </c>
      <c r="D2401">
        <v>60</v>
      </c>
      <c r="E2401">
        <v>1003</v>
      </c>
      <c r="F2401">
        <v>16.716667000000001</v>
      </c>
      <c r="G2401">
        <v>27</v>
      </c>
      <c r="H2401">
        <v>0.97</v>
      </c>
      <c r="I2401">
        <v>0</v>
      </c>
      <c r="J2401">
        <v>7</v>
      </c>
      <c r="K2401">
        <v>16</v>
      </c>
      <c r="L2401">
        <v>32</v>
      </c>
      <c r="M2401">
        <v>56</v>
      </c>
      <c r="N2401">
        <v>57</v>
      </c>
      <c r="P2401">
        <v>0</v>
      </c>
      <c r="Q2401">
        <v>3</v>
      </c>
      <c r="R2401">
        <v>7</v>
      </c>
      <c r="S2401">
        <v>17</v>
      </c>
    </row>
    <row r="2402" spans="1:19" hidden="1" x14ac:dyDescent="0.35">
      <c r="A2402">
        <v>59388285500</v>
      </c>
      <c r="B2402" t="s">
        <v>2408</v>
      </c>
      <c r="C2402" t="str">
        <f>_xlfn.XLOOKUP(A2402,[1]Affiliations!$J$2:$J$5328,[1]Affiliations!$K$2:$K$5328,0)</f>
        <v>ESSS</v>
      </c>
      <c r="D2402">
        <v>2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1</v>
      </c>
      <c r="P2402">
        <v>0</v>
      </c>
      <c r="Q2402">
        <v>0</v>
      </c>
      <c r="R2402">
        <v>0</v>
      </c>
      <c r="S2402">
        <v>0</v>
      </c>
    </row>
    <row r="2403" spans="1:19" x14ac:dyDescent="0.35">
      <c r="A2403">
        <v>57204625430</v>
      </c>
      <c r="B2403" t="s">
        <v>2600</v>
      </c>
      <c r="C2403" t="str">
        <f>_xlfn.XLOOKUP(A2403,[1]Affiliations!$J$2:$J$5328,[1]Affiliations!$K$2:$K$5328,0)</f>
        <v>Federal University of Rio de Janeiro</v>
      </c>
      <c r="D2403">
        <v>18</v>
      </c>
      <c r="E2403">
        <v>259</v>
      </c>
      <c r="F2403">
        <v>14.388889000000001</v>
      </c>
      <c r="G2403">
        <v>9</v>
      </c>
      <c r="H2403">
        <v>0.97</v>
      </c>
      <c r="I2403">
        <v>0</v>
      </c>
      <c r="J2403">
        <v>1</v>
      </c>
      <c r="K2403">
        <v>6</v>
      </c>
      <c r="L2403">
        <v>13</v>
      </c>
      <c r="M2403">
        <v>16</v>
      </c>
      <c r="N2403">
        <v>17</v>
      </c>
      <c r="P2403">
        <v>0</v>
      </c>
      <c r="Q2403">
        <v>0</v>
      </c>
      <c r="R2403">
        <v>3</v>
      </c>
      <c r="S2403">
        <v>12</v>
      </c>
    </row>
    <row r="2404" spans="1:19" hidden="1" x14ac:dyDescent="0.35">
      <c r="A2404">
        <v>58143901200</v>
      </c>
      <c r="B2404" t="s">
        <v>2410</v>
      </c>
      <c r="C2404" t="str">
        <f>_xlfn.XLOOKUP(A2404,[1]Affiliations!$J$2:$J$5328,[1]Affiliations!$K$2:$K$5328,0)</f>
        <v>Federal University of Santa Catarina</v>
      </c>
      <c r="D2404">
        <v>3</v>
      </c>
      <c r="E2404">
        <v>26</v>
      </c>
      <c r="F2404">
        <v>8.6666670000000003</v>
      </c>
      <c r="G2404">
        <v>3</v>
      </c>
      <c r="H2404">
        <v>0.72</v>
      </c>
      <c r="I2404">
        <v>0</v>
      </c>
      <c r="J2404">
        <v>2</v>
      </c>
      <c r="K2404">
        <v>2</v>
      </c>
      <c r="L2404">
        <v>3</v>
      </c>
      <c r="M2404">
        <v>3</v>
      </c>
      <c r="N2404">
        <v>3</v>
      </c>
      <c r="P2404">
        <v>0</v>
      </c>
      <c r="Q2404">
        <v>0</v>
      </c>
      <c r="R2404">
        <v>0</v>
      </c>
      <c r="S2404">
        <v>2</v>
      </c>
    </row>
    <row r="2405" spans="1:19" hidden="1" x14ac:dyDescent="0.35">
      <c r="A2405">
        <v>24471548300</v>
      </c>
      <c r="B2405" t="s">
        <v>2411</v>
      </c>
      <c r="C2405" t="str">
        <f>_xlfn.XLOOKUP(A2405,[1]Affiliations!$J$2:$J$5328,[1]Affiliations!$K$2:$K$5328,0)</f>
        <v>Universidade Federal de Santa Maria</v>
      </c>
      <c r="D2405">
        <v>2</v>
      </c>
      <c r="E2405">
        <v>33</v>
      </c>
      <c r="F2405">
        <v>16.5</v>
      </c>
      <c r="G2405">
        <v>3</v>
      </c>
      <c r="H2405">
        <v>0.97</v>
      </c>
      <c r="I2405">
        <v>0</v>
      </c>
      <c r="J2405">
        <v>0</v>
      </c>
      <c r="K2405">
        <v>0</v>
      </c>
      <c r="L2405">
        <v>1</v>
      </c>
      <c r="M2405">
        <v>1</v>
      </c>
      <c r="N2405">
        <v>2</v>
      </c>
      <c r="P2405">
        <v>0</v>
      </c>
      <c r="Q2405">
        <v>0</v>
      </c>
      <c r="R2405">
        <v>0</v>
      </c>
      <c r="S2405">
        <v>1</v>
      </c>
    </row>
    <row r="2406" spans="1:19" hidden="1" x14ac:dyDescent="0.35">
      <c r="A2406">
        <v>57201401291</v>
      </c>
      <c r="B2406" t="s">
        <v>2412</v>
      </c>
      <c r="C2406" t="str">
        <f>_xlfn.XLOOKUP(A2406,[1]Affiliations!$J$2:$J$5328,[1]Affiliations!$K$2:$K$5328,0)</f>
        <v>ATNAS</v>
      </c>
      <c r="D2406">
        <v>1</v>
      </c>
      <c r="E2406">
        <v>0</v>
      </c>
      <c r="F2406">
        <v>0</v>
      </c>
      <c r="G2406">
        <v>0</v>
      </c>
      <c r="H2406">
        <v>0</v>
      </c>
      <c r="P2406">
        <v>0</v>
      </c>
      <c r="Q2406">
        <v>0</v>
      </c>
      <c r="R2406">
        <v>0</v>
      </c>
      <c r="S2406">
        <v>0</v>
      </c>
    </row>
    <row r="2407" spans="1:19" hidden="1" x14ac:dyDescent="0.35">
      <c r="A2407">
        <v>56425440100</v>
      </c>
      <c r="B2407" t="s">
        <v>2413</v>
      </c>
      <c r="C2407" t="str">
        <f>_xlfn.XLOOKUP(A2407,[1]Affiliations!$J$2:$J$5328,[1]Affiliations!$K$2:$K$5328,0)</f>
        <v>Universidade de Caxias do Sul</v>
      </c>
      <c r="D2407">
        <v>0</v>
      </c>
      <c r="G2407">
        <v>1</v>
      </c>
    </row>
    <row r="2408" spans="1:19" x14ac:dyDescent="0.35">
      <c r="A2408">
        <v>56362755700</v>
      </c>
      <c r="B2408" t="s">
        <v>2759</v>
      </c>
      <c r="C2408" t="str">
        <f>_xlfn.XLOOKUP(A2408,[1]Affiliations!$J$2:$J$5328,[1]Affiliations!$K$2:$K$5328,0)</f>
        <v>Vizlab - X-Reality and GeoInformatics Lab</v>
      </c>
      <c r="D2408">
        <v>23</v>
      </c>
      <c r="E2408">
        <v>231</v>
      </c>
      <c r="F2408">
        <v>10.043478</v>
      </c>
      <c r="G2408">
        <v>9</v>
      </c>
      <c r="H2408">
        <v>0.97</v>
      </c>
      <c r="I2408">
        <v>0</v>
      </c>
      <c r="J2408">
        <v>5</v>
      </c>
      <c r="K2408">
        <v>7</v>
      </c>
      <c r="L2408">
        <v>14</v>
      </c>
      <c r="M2408">
        <v>19</v>
      </c>
      <c r="N2408">
        <v>22</v>
      </c>
      <c r="P2408">
        <v>0</v>
      </c>
      <c r="Q2408">
        <v>0</v>
      </c>
      <c r="R2408">
        <v>3</v>
      </c>
      <c r="S2408">
        <v>7</v>
      </c>
    </row>
    <row r="2409" spans="1:19" x14ac:dyDescent="0.35">
      <c r="A2409">
        <v>7005446439</v>
      </c>
      <c r="B2409" t="s">
        <v>2853</v>
      </c>
      <c r="C2409" t="str">
        <f>_xlfn.XLOOKUP(A2409,[1]Affiliations!$J$2:$J$5328,[1]Affiliations!$K$2:$K$5328,0)</f>
        <v>Federal University of Santa Catarina</v>
      </c>
      <c r="D2409">
        <v>40</v>
      </c>
      <c r="E2409">
        <v>545</v>
      </c>
      <c r="F2409">
        <v>13.625</v>
      </c>
      <c r="G2409">
        <v>16</v>
      </c>
      <c r="H2409">
        <v>0.97</v>
      </c>
      <c r="I2409">
        <v>0</v>
      </c>
      <c r="J2409">
        <v>3</v>
      </c>
      <c r="K2409">
        <v>14</v>
      </c>
      <c r="L2409">
        <v>22</v>
      </c>
      <c r="M2409">
        <v>30</v>
      </c>
      <c r="N2409">
        <v>34</v>
      </c>
      <c r="P2409">
        <v>0</v>
      </c>
      <c r="Q2409">
        <v>1</v>
      </c>
      <c r="R2409">
        <v>5</v>
      </c>
      <c r="S2409">
        <v>13</v>
      </c>
    </row>
    <row r="2410" spans="1:19" x14ac:dyDescent="0.35">
      <c r="A2410">
        <v>57219932076</v>
      </c>
      <c r="B2410" t="s">
        <v>2875</v>
      </c>
      <c r="C2410" t="str">
        <f>_xlfn.XLOOKUP(A2410,[1]Affiliations!$J$2:$J$5328,[1]Affiliations!$K$2:$K$5328,0)</f>
        <v>Universidade Federal da Bahia</v>
      </c>
      <c r="D2410">
        <v>12</v>
      </c>
      <c r="E2410">
        <v>207</v>
      </c>
      <c r="F2410">
        <v>17.25</v>
      </c>
      <c r="G2410">
        <v>8</v>
      </c>
      <c r="H2410">
        <v>0.97</v>
      </c>
      <c r="I2410">
        <v>0</v>
      </c>
      <c r="J2410">
        <v>0</v>
      </c>
      <c r="K2410">
        <v>6</v>
      </c>
      <c r="L2410">
        <v>9</v>
      </c>
      <c r="M2410">
        <v>11</v>
      </c>
      <c r="N2410">
        <v>12</v>
      </c>
      <c r="P2410">
        <v>0</v>
      </c>
      <c r="Q2410">
        <v>2</v>
      </c>
      <c r="R2410">
        <v>3</v>
      </c>
      <c r="S2410">
        <v>5</v>
      </c>
    </row>
    <row r="2411" spans="1:19" x14ac:dyDescent="0.35">
      <c r="A2411">
        <v>7004418300</v>
      </c>
      <c r="B2411" t="s">
        <v>3013</v>
      </c>
      <c r="C2411" t="str">
        <f>_xlfn.XLOOKUP(A2411,[1]Affiliations!$J$2:$J$5328,[1]Affiliations!$K$2:$K$5328,0)</f>
        <v>Universidade do Estado do Rio de Janeiro</v>
      </c>
      <c r="D2411">
        <v>67</v>
      </c>
      <c r="E2411">
        <v>1720</v>
      </c>
      <c r="F2411">
        <v>25.671641999999999</v>
      </c>
      <c r="G2411">
        <v>32</v>
      </c>
      <c r="H2411">
        <v>0.97</v>
      </c>
      <c r="I2411">
        <v>0</v>
      </c>
      <c r="J2411">
        <v>8</v>
      </c>
      <c r="K2411">
        <v>12</v>
      </c>
      <c r="L2411">
        <v>40</v>
      </c>
      <c r="M2411">
        <v>52</v>
      </c>
      <c r="N2411">
        <v>57</v>
      </c>
      <c r="P2411">
        <v>1</v>
      </c>
      <c r="Q2411">
        <v>2</v>
      </c>
      <c r="R2411">
        <v>11</v>
      </c>
      <c r="S2411">
        <v>27</v>
      </c>
    </row>
    <row r="2412" spans="1:19" hidden="1" x14ac:dyDescent="0.35">
      <c r="A2412">
        <v>57192009473</v>
      </c>
      <c r="B2412" t="s">
        <v>2418</v>
      </c>
      <c r="C2412" t="str">
        <f>_xlfn.XLOOKUP(A2412,[1]Affiliations!$J$2:$J$5328,[1]Affiliations!$K$2:$K$5328,0)</f>
        <v>Universidade de São Paulo (+2 more)</v>
      </c>
      <c r="D2412">
        <v>19</v>
      </c>
      <c r="E2412">
        <v>311</v>
      </c>
      <c r="F2412">
        <v>16.368421999999999</v>
      </c>
      <c r="G2412">
        <v>10</v>
      </c>
      <c r="H2412">
        <v>0.96</v>
      </c>
      <c r="I2412">
        <v>0</v>
      </c>
      <c r="J2412">
        <v>0</v>
      </c>
      <c r="K2412">
        <v>0</v>
      </c>
      <c r="L2412">
        <v>12</v>
      </c>
      <c r="M2412">
        <v>16</v>
      </c>
      <c r="N2412">
        <v>16</v>
      </c>
      <c r="P2412">
        <v>0</v>
      </c>
      <c r="Q2412">
        <v>0</v>
      </c>
      <c r="R2412">
        <v>3</v>
      </c>
      <c r="S2412">
        <v>6</v>
      </c>
    </row>
    <row r="2413" spans="1:19" hidden="1" x14ac:dyDescent="0.35">
      <c r="A2413">
        <v>57190070693</v>
      </c>
      <c r="B2413" t="s">
        <v>2419</v>
      </c>
      <c r="C2413" t="str">
        <f>_xlfn.XLOOKUP(A2413,[1]Affiliations!$J$2:$J$5328,[1]Affiliations!$K$2:$K$5328,0)</f>
        <v>Federal University of Rio de Janeiro</v>
      </c>
      <c r="D2413">
        <v>7</v>
      </c>
      <c r="E2413">
        <v>84</v>
      </c>
      <c r="F2413">
        <v>12</v>
      </c>
      <c r="G2413">
        <v>5</v>
      </c>
      <c r="H2413">
        <v>0.91</v>
      </c>
      <c r="I2413">
        <v>0</v>
      </c>
      <c r="J2413">
        <v>2</v>
      </c>
      <c r="K2413">
        <v>3</v>
      </c>
      <c r="L2413">
        <v>3</v>
      </c>
      <c r="M2413">
        <v>4</v>
      </c>
      <c r="N2413">
        <v>6</v>
      </c>
      <c r="P2413">
        <v>0</v>
      </c>
      <c r="Q2413">
        <v>0</v>
      </c>
      <c r="R2413">
        <v>0</v>
      </c>
      <c r="S2413">
        <v>3</v>
      </c>
    </row>
    <row r="2414" spans="1:19" x14ac:dyDescent="0.35">
      <c r="A2414">
        <v>59317120700</v>
      </c>
      <c r="B2414" t="s">
        <v>3825</v>
      </c>
      <c r="C2414" t="str">
        <f>_xlfn.XLOOKUP(A2414,[1]Affiliations!$J$2:$J$5328,[1]Affiliations!$K$2:$K$5328,0)</f>
        <v>Universidade de São Paulo</v>
      </c>
      <c r="D2414">
        <v>67</v>
      </c>
      <c r="E2414">
        <v>773</v>
      </c>
      <c r="F2414">
        <v>11.537312999999999</v>
      </c>
      <c r="G2414">
        <v>19</v>
      </c>
      <c r="H2414">
        <v>0.97</v>
      </c>
      <c r="I2414">
        <v>0</v>
      </c>
      <c r="J2414">
        <v>1</v>
      </c>
      <c r="K2414">
        <v>8</v>
      </c>
      <c r="L2414">
        <v>22</v>
      </c>
      <c r="M2414">
        <v>32</v>
      </c>
      <c r="N2414">
        <v>34</v>
      </c>
      <c r="P2414">
        <v>0</v>
      </c>
      <c r="Q2414">
        <v>0</v>
      </c>
      <c r="R2414">
        <v>3</v>
      </c>
      <c r="S2414">
        <v>14</v>
      </c>
    </row>
    <row r="2415" spans="1:19" hidden="1" x14ac:dyDescent="0.35">
      <c r="A2415">
        <v>57217102418</v>
      </c>
      <c r="B2415" t="s">
        <v>2421</v>
      </c>
      <c r="C2415" t="str">
        <f>_xlfn.XLOOKUP(A2415,[1]Affiliations!$J$2:$J$5328,[1]Affiliations!$K$2:$K$5328,0)</f>
        <v>Serviço Nacional de Aprendizagem Industrial</v>
      </c>
      <c r="D2415">
        <v>1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P2415">
        <v>0</v>
      </c>
      <c r="Q2415">
        <v>0</v>
      </c>
      <c r="R2415">
        <v>0</v>
      </c>
      <c r="S2415">
        <v>0</v>
      </c>
    </row>
    <row r="2416" spans="1:19" hidden="1" x14ac:dyDescent="0.35">
      <c r="A2416">
        <v>55982685400</v>
      </c>
      <c r="B2416" t="s">
        <v>2422</v>
      </c>
      <c r="C2416" t="str">
        <f>_xlfn.XLOOKUP(A2416,[1]Affiliations!$J$2:$J$5328,[1]Affiliations!$K$2:$K$5328,0)</f>
        <v>Federal University of Santa Catarina</v>
      </c>
      <c r="D2416">
        <v>8</v>
      </c>
      <c r="E2416">
        <v>78</v>
      </c>
      <c r="F2416">
        <v>9.75</v>
      </c>
      <c r="G2416">
        <v>6</v>
      </c>
      <c r="H2416">
        <v>0.51</v>
      </c>
      <c r="I2416">
        <v>0</v>
      </c>
      <c r="J2416">
        <v>0</v>
      </c>
      <c r="K2416">
        <v>2</v>
      </c>
      <c r="L2416">
        <v>5</v>
      </c>
      <c r="M2416">
        <v>5</v>
      </c>
      <c r="N2416">
        <v>5</v>
      </c>
      <c r="P2416">
        <v>0</v>
      </c>
      <c r="Q2416">
        <v>0</v>
      </c>
      <c r="R2416">
        <v>0</v>
      </c>
      <c r="S2416">
        <v>2</v>
      </c>
    </row>
    <row r="2417" spans="1:19" hidden="1" x14ac:dyDescent="0.35">
      <c r="A2417">
        <v>57221079993</v>
      </c>
      <c r="B2417" t="s">
        <v>2423</v>
      </c>
      <c r="C2417" t="str">
        <f>_xlfn.XLOOKUP(A2417,[1]Affiliations!$J$2:$J$5328,[1]Affiliations!$K$2:$K$5328,0)</f>
        <v>Federal University of Rio de Janeiro</v>
      </c>
      <c r="D2417">
        <v>2</v>
      </c>
      <c r="E2417">
        <v>1</v>
      </c>
      <c r="F2417">
        <v>0.5</v>
      </c>
      <c r="G2417">
        <v>1</v>
      </c>
      <c r="H2417">
        <v>0.13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1</v>
      </c>
      <c r="P2417">
        <v>0</v>
      </c>
      <c r="Q2417">
        <v>0</v>
      </c>
      <c r="R2417">
        <v>0</v>
      </c>
      <c r="S2417">
        <v>0</v>
      </c>
    </row>
    <row r="2418" spans="1:19" hidden="1" x14ac:dyDescent="0.35">
      <c r="A2418">
        <v>58549202500</v>
      </c>
      <c r="B2418" t="s">
        <v>2424</v>
      </c>
      <c r="C2418" t="str">
        <f>_xlfn.XLOOKUP(A2418,[1]Affiliations!$J$2:$J$5328,[1]Affiliations!$K$2:$K$5328,0)</f>
        <v>Universidade Tecnológica Federal do Paraná</v>
      </c>
      <c r="D2418">
        <v>1</v>
      </c>
      <c r="E2418">
        <v>6</v>
      </c>
      <c r="F2418">
        <v>6</v>
      </c>
      <c r="G2418">
        <v>1</v>
      </c>
      <c r="H2418">
        <v>0.61</v>
      </c>
      <c r="I2418">
        <v>0</v>
      </c>
      <c r="J2418">
        <v>0</v>
      </c>
      <c r="K2418">
        <v>0</v>
      </c>
      <c r="L2418">
        <v>0</v>
      </c>
      <c r="M2418">
        <v>1</v>
      </c>
      <c r="N2418">
        <v>1</v>
      </c>
      <c r="P2418">
        <v>0</v>
      </c>
      <c r="Q2418">
        <v>0</v>
      </c>
      <c r="R2418">
        <v>0</v>
      </c>
      <c r="S2418">
        <v>0</v>
      </c>
    </row>
    <row r="2419" spans="1:19" x14ac:dyDescent="0.35">
      <c r="A2419">
        <v>6603501503</v>
      </c>
      <c r="B2419" t="s">
        <v>4255</v>
      </c>
      <c r="C2419" t="str">
        <f>_xlfn.XLOOKUP(A2419,[1]Affiliations!$J$2:$J$5328,[1]Affiliations!$K$2:$K$5328,0)</f>
        <v>Laboratório Nacional de Luz Síncrotron (LNLS)</v>
      </c>
      <c r="D2419">
        <v>40</v>
      </c>
      <c r="E2419">
        <v>934</v>
      </c>
      <c r="F2419">
        <v>23.35</v>
      </c>
      <c r="G2419">
        <v>22</v>
      </c>
      <c r="H2419">
        <v>0.97</v>
      </c>
      <c r="I2419">
        <v>4</v>
      </c>
      <c r="J2419">
        <v>9</v>
      </c>
      <c r="K2419">
        <v>20</v>
      </c>
      <c r="L2419">
        <v>33</v>
      </c>
      <c r="M2419">
        <v>38</v>
      </c>
      <c r="N2419">
        <v>39</v>
      </c>
      <c r="P2419">
        <v>0</v>
      </c>
      <c r="Q2419">
        <v>3</v>
      </c>
      <c r="R2419">
        <v>9</v>
      </c>
      <c r="S2419">
        <v>25</v>
      </c>
    </row>
    <row r="2420" spans="1:19" hidden="1" x14ac:dyDescent="0.35">
      <c r="A2420">
        <v>36969321500</v>
      </c>
      <c r="B2420" t="s">
        <v>2426</v>
      </c>
      <c r="C2420" t="str">
        <f>_xlfn.XLOOKUP(A2420,[1]Affiliations!$J$2:$J$5328,[1]Affiliations!$K$2:$K$5328,0)</f>
        <v>Universidade Federal de Santa Maria</v>
      </c>
      <c r="D2420">
        <v>9</v>
      </c>
      <c r="E2420">
        <v>129</v>
      </c>
      <c r="F2420">
        <v>14.333333</v>
      </c>
      <c r="G2420">
        <v>9</v>
      </c>
      <c r="H2420">
        <v>0.86</v>
      </c>
      <c r="I2420">
        <v>0</v>
      </c>
      <c r="J2420">
        <v>1</v>
      </c>
      <c r="K2420">
        <v>1</v>
      </c>
      <c r="L2420">
        <v>2</v>
      </c>
      <c r="M2420">
        <v>8</v>
      </c>
      <c r="N2420">
        <v>9</v>
      </c>
      <c r="P2420">
        <v>0</v>
      </c>
      <c r="Q2420">
        <v>0</v>
      </c>
      <c r="R2420">
        <v>0</v>
      </c>
      <c r="S2420">
        <v>0</v>
      </c>
    </row>
    <row r="2421" spans="1:19" hidden="1" x14ac:dyDescent="0.35">
      <c r="A2421">
        <v>59251253300</v>
      </c>
      <c r="B2421" t="s">
        <v>2427</v>
      </c>
      <c r="C2421" t="str">
        <f>_xlfn.XLOOKUP(A2421,[1]Affiliations!$J$2:$J$5328,[1]Affiliations!$K$2:$K$5328,0)</f>
        <v>Universidade Federal de Minas Gerais</v>
      </c>
      <c r="D2421">
        <v>1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</v>
      </c>
      <c r="N2421">
        <v>1</v>
      </c>
      <c r="P2421">
        <v>0</v>
      </c>
      <c r="Q2421">
        <v>0</v>
      </c>
      <c r="R2421">
        <v>0</v>
      </c>
      <c r="S2421">
        <v>0</v>
      </c>
    </row>
    <row r="2422" spans="1:19" x14ac:dyDescent="0.35">
      <c r="A2422">
        <v>56526528000</v>
      </c>
      <c r="B2422" t="s">
        <v>4964</v>
      </c>
      <c r="C2422" t="str">
        <f>_xlfn.XLOOKUP(A2422,[1]Affiliations!$J$2:$J$5328,[1]Affiliations!$K$2:$K$5328,0)</f>
        <v>Universidade Federal do Rio Grande do Norte</v>
      </c>
      <c r="D2422">
        <v>7</v>
      </c>
      <c r="E2422">
        <v>64</v>
      </c>
      <c r="F2422">
        <v>9.1428580000000004</v>
      </c>
      <c r="G2422">
        <v>5</v>
      </c>
      <c r="H2422">
        <v>0.97</v>
      </c>
      <c r="I2422">
        <v>0</v>
      </c>
      <c r="J2422">
        <v>1</v>
      </c>
      <c r="K2422">
        <v>1</v>
      </c>
      <c r="L2422">
        <v>4</v>
      </c>
      <c r="M2422">
        <v>5</v>
      </c>
      <c r="N2422">
        <v>5</v>
      </c>
      <c r="P2422">
        <v>0</v>
      </c>
      <c r="Q2422">
        <v>0</v>
      </c>
      <c r="R2422">
        <v>1</v>
      </c>
      <c r="S2422">
        <v>1</v>
      </c>
    </row>
    <row r="2423" spans="1:19" hidden="1" x14ac:dyDescent="0.35">
      <c r="A2423">
        <v>57512283900</v>
      </c>
      <c r="B2423" t="s">
        <v>2429</v>
      </c>
      <c r="C2423" t="str">
        <f>_xlfn.XLOOKUP(A2423,[1]Affiliations!$J$2:$J$5328,[1]Affiliations!$K$2:$K$5328,0)</f>
        <v>DEMa</v>
      </c>
      <c r="D2423">
        <v>2</v>
      </c>
      <c r="E2423">
        <v>13</v>
      </c>
      <c r="F2423">
        <v>6.5</v>
      </c>
      <c r="G2423">
        <v>3</v>
      </c>
      <c r="H2423">
        <v>1.1299999999999999</v>
      </c>
      <c r="I2423">
        <v>0</v>
      </c>
      <c r="J2423">
        <v>0</v>
      </c>
      <c r="K2423">
        <v>1</v>
      </c>
      <c r="L2423">
        <v>1</v>
      </c>
      <c r="M2423">
        <v>2</v>
      </c>
      <c r="N2423">
        <v>2</v>
      </c>
      <c r="P2423">
        <v>0</v>
      </c>
      <c r="Q2423">
        <v>0</v>
      </c>
      <c r="R2423">
        <v>0</v>
      </c>
      <c r="S2423">
        <v>1</v>
      </c>
    </row>
    <row r="2424" spans="1:19" hidden="1" x14ac:dyDescent="0.35">
      <c r="A2424">
        <v>7006603610</v>
      </c>
      <c r="B2424" t="s">
        <v>2430</v>
      </c>
      <c r="C2424" t="str">
        <f>_xlfn.XLOOKUP(A2424,[1]Affiliations!$J$2:$J$5328,[1]Affiliations!$K$2:$K$5328,0)</f>
        <v>Comissão Nacional de Energia Nuclear</v>
      </c>
      <c r="D2424">
        <v>4</v>
      </c>
      <c r="E2424">
        <v>61</v>
      </c>
      <c r="F2424">
        <v>15.25</v>
      </c>
      <c r="G2424">
        <v>16</v>
      </c>
      <c r="H2424">
        <v>0.61</v>
      </c>
      <c r="I2424">
        <v>0</v>
      </c>
      <c r="J2424">
        <v>0</v>
      </c>
      <c r="K2424">
        <v>0</v>
      </c>
      <c r="L2424">
        <v>1</v>
      </c>
      <c r="M2424">
        <v>4</v>
      </c>
      <c r="N2424">
        <v>4</v>
      </c>
      <c r="P2424">
        <v>0</v>
      </c>
      <c r="Q2424">
        <v>0</v>
      </c>
      <c r="R2424">
        <v>0</v>
      </c>
      <c r="S2424">
        <v>1</v>
      </c>
    </row>
    <row r="2425" spans="1:19" x14ac:dyDescent="0.35">
      <c r="A2425">
        <v>47261477000</v>
      </c>
      <c r="B2425" t="s">
        <v>5084</v>
      </c>
      <c r="C2425" t="str">
        <f>_xlfn.XLOOKUP(A2425,[1]Affiliations!$J$2:$J$5328,[1]Affiliations!$K$2:$K$5328,0)</f>
        <v>Universidade do Estado do Rio de Janeiro</v>
      </c>
      <c r="D2425">
        <v>60</v>
      </c>
      <c r="E2425">
        <v>1100</v>
      </c>
      <c r="F2425">
        <v>18.333334000000001</v>
      </c>
      <c r="G2425">
        <v>27</v>
      </c>
      <c r="H2425">
        <v>0.97</v>
      </c>
      <c r="I2425">
        <v>1</v>
      </c>
      <c r="J2425">
        <v>9</v>
      </c>
      <c r="K2425">
        <v>20</v>
      </c>
      <c r="L2425">
        <v>34</v>
      </c>
      <c r="M2425">
        <v>54</v>
      </c>
      <c r="N2425">
        <v>56</v>
      </c>
      <c r="P2425">
        <v>0</v>
      </c>
      <c r="Q2425">
        <v>2</v>
      </c>
      <c r="R2425">
        <v>7</v>
      </c>
      <c r="S2425">
        <v>23</v>
      </c>
    </row>
    <row r="2426" spans="1:19" hidden="1" x14ac:dyDescent="0.35">
      <c r="A2426">
        <v>57269824400</v>
      </c>
      <c r="B2426" t="s">
        <v>2432</v>
      </c>
      <c r="C2426" t="str">
        <f>_xlfn.XLOOKUP(A2426,[1]Affiliations!$J$2:$J$5328,[1]Affiliations!$K$2:$K$5328,0)</f>
        <v>Federal University of Santa Catarina</v>
      </c>
      <c r="D2426">
        <v>3</v>
      </c>
      <c r="E2426">
        <v>54</v>
      </c>
      <c r="F2426">
        <v>18</v>
      </c>
      <c r="G2426">
        <v>3</v>
      </c>
      <c r="H2426">
        <v>1.21</v>
      </c>
      <c r="I2426">
        <v>0</v>
      </c>
      <c r="J2426">
        <v>1</v>
      </c>
      <c r="K2426">
        <v>1</v>
      </c>
      <c r="L2426">
        <v>1</v>
      </c>
      <c r="M2426">
        <v>3</v>
      </c>
      <c r="N2426">
        <v>3</v>
      </c>
      <c r="P2426">
        <v>0</v>
      </c>
      <c r="Q2426">
        <v>0</v>
      </c>
      <c r="R2426">
        <v>0</v>
      </c>
      <c r="S2426">
        <v>3</v>
      </c>
    </row>
    <row r="2427" spans="1:19" x14ac:dyDescent="0.35">
      <c r="A2427">
        <v>8427992600</v>
      </c>
      <c r="B2427" t="s">
        <v>5223</v>
      </c>
      <c r="C2427" t="str">
        <f>_xlfn.XLOOKUP(A2427,[1]Affiliations!$J$2:$J$5328,[1]Affiliations!$K$2:$K$5328,0)</f>
        <v>Universidade de Brasília</v>
      </c>
      <c r="D2427">
        <v>25</v>
      </c>
      <c r="E2427">
        <v>515</v>
      </c>
      <c r="F2427">
        <v>20.6</v>
      </c>
      <c r="G2427">
        <v>17</v>
      </c>
      <c r="H2427">
        <v>0.97</v>
      </c>
      <c r="I2427">
        <v>0</v>
      </c>
      <c r="J2427">
        <v>3</v>
      </c>
      <c r="K2427">
        <v>10</v>
      </c>
      <c r="L2427">
        <v>20</v>
      </c>
      <c r="M2427">
        <v>25</v>
      </c>
      <c r="N2427">
        <v>25</v>
      </c>
      <c r="P2427">
        <v>0</v>
      </c>
      <c r="Q2427">
        <v>0</v>
      </c>
      <c r="R2427">
        <v>3</v>
      </c>
      <c r="S2427">
        <v>12</v>
      </c>
    </row>
    <row r="2428" spans="1:19" hidden="1" x14ac:dyDescent="0.35">
      <c r="A2428">
        <v>57201400595</v>
      </c>
      <c r="B2428" t="s">
        <v>2434</v>
      </c>
      <c r="C2428" t="str">
        <f>_xlfn.XLOOKUP(A2428,[1]Affiliations!$J$2:$J$5328,[1]Affiliations!$K$2:$K$5328,0)</f>
        <v>ATNAS</v>
      </c>
      <c r="D2428">
        <v>1</v>
      </c>
      <c r="E2428">
        <v>0</v>
      </c>
      <c r="F2428">
        <v>0</v>
      </c>
      <c r="G2428">
        <v>0</v>
      </c>
      <c r="H2428">
        <v>0</v>
      </c>
      <c r="P2428">
        <v>0</v>
      </c>
      <c r="Q2428">
        <v>0</v>
      </c>
      <c r="R2428">
        <v>0</v>
      </c>
      <c r="S2428">
        <v>0</v>
      </c>
    </row>
    <row r="2429" spans="1:19" hidden="1" x14ac:dyDescent="0.35">
      <c r="A2429">
        <v>23392423600</v>
      </c>
      <c r="B2429" t="s">
        <v>2435</v>
      </c>
      <c r="C2429" t="str">
        <f>_xlfn.XLOOKUP(A2429,[1]Affiliations!$J$2:$J$5328,[1]Affiliations!$K$2:$K$5328,0)</f>
        <v>Federal University of Rio de Janeiro</v>
      </c>
      <c r="D2429">
        <v>5</v>
      </c>
      <c r="E2429">
        <v>25</v>
      </c>
      <c r="F2429">
        <v>5</v>
      </c>
      <c r="G2429">
        <v>4</v>
      </c>
      <c r="H2429">
        <v>0.48</v>
      </c>
      <c r="I2429">
        <v>0</v>
      </c>
      <c r="J2429">
        <v>1</v>
      </c>
      <c r="K2429">
        <v>2</v>
      </c>
      <c r="L2429">
        <v>3</v>
      </c>
      <c r="M2429">
        <v>3</v>
      </c>
      <c r="N2429">
        <v>3</v>
      </c>
      <c r="P2429">
        <v>0</v>
      </c>
      <c r="Q2429">
        <v>0</v>
      </c>
      <c r="R2429">
        <v>0</v>
      </c>
      <c r="S2429">
        <v>1</v>
      </c>
    </row>
    <row r="2430" spans="1:19" hidden="1" x14ac:dyDescent="0.35">
      <c r="A2430">
        <v>57209457262</v>
      </c>
      <c r="B2430" t="s">
        <v>2436</v>
      </c>
      <c r="C2430" t="str">
        <f>_xlfn.XLOOKUP(A2430,[1]Affiliations!$J$2:$J$5328,[1]Affiliations!$K$2:$K$5328,0)</f>
        <v>Universidade Federal do Paraná</v>
      </c>
      <c r="D2430">
        <v>1</v>
      </c>
      <c r="E2430">
        <v>9</v>
      </c>
      <c r="F2430">
        <v>9</v>
      </c>
      <c r="G2430">
        <v>1</v>
      </c>
      <c r="H2430">
        <v>0.42</v>
      </c>
      <c r="I2430">
        <v>0</v>
      </c>
      <c r="J2430">
        <v>0</v>
      </c>
      <c r="K2430">
        <v>0</v>
      </c>
      <c r="L2430">
        <v>0</v>
      </c>
      <c r="M2430">
        <v>1</v>
      </c>
      <c r="N2430">
        <v>1</v>
      </c>
      <c r="P2430">
        <v>0</v>
      </c>
      <c r="Q2430">
        <v>0</v>
      </c>
      <c r="R2430">
        <v>0</v>
      </c>
      <c r="S2430">
        <v>0</v>
      </c>
    </row>
    <row r="2431" spans="1:19" hidden="1" x14ac:dyDescent="0.35">
      <c r="A2431">
        <v>59723283700</v>
      </c>
      <c r="B2431" t="s">
        <v>2437</v>
      </c>
      <c r="C2431" t="str">
        <f>_xlfn.XLOOKUP(A2431,[1]Affiliations!$J$2:$J$5328,[1]Affiliations!$K$2:$K$5328,0)</f>
        <v>Universidade Federal Fluminense (+1 more)</v>
      </c>
      <c r="D2431">
        <v>0</v>
      </c>
      <c r="G2431">
        <v>0</v>
      </c>
    </row>
    <row r="2432" spans="1:19" hidden="1" x14ac:dyDescent="0.35">
      <c r="A2432">
        <v>57214243203</v>
      </c>
      <c r="B2432" t="s">
        <v>2438</v>
      </c>
      <c r="C2432" t="str">
        <f>_xlfn.XLOOKUP(A2432,[1]Affiliations!$J$2:$J$5328,[1]Affiliations!$K$2:$K$5328,0)</f>
        <v>Universidade Federal do Ceará</v>
      </c>
      <c r="D2432">
        <v>1</v>
      </c>
      <c r="E2432">
        <v>12</v>
      </c>
      <c r="F2432">
        <v>12</v>
      </c>
      <c r="G2432">
        <v>1</v>
      </c>
      <c r="H2432">
        <v>0.57999999999999996</v>
      </c>
      <c r="I2432">
        <v>0</v>
      </c>
      <c r="J2432">
        <v>0</v>
      </c>
      <c r="K2432">
        <v>0</v>
      </c>
      <c r="L2432">
        <v>1</v>
      </c>
      <c r="M2432">
        <v>1</v>
      </c>
      <c r="N2432">
        <v>1</v>
      </c>
      <c r="P2432">
        <v>0</v>
      </c>
      <c r="Q2432">
        <v>0</v>
      </c>
      <c r="R2432">
        <v>0</v>
      </c>
      <c r="S2432">
        <v>0</v>
      </c>
    </row>
    <row r="2433" spans="1:19" hidden="1" x14ac:dyDescent="0.35">
      <c r="A2433">
        <v>8406082300</v>
      </c>
      <c r="B2433" t="s">
        <v>2439</v>
      </c>
      <c r="C2433" t="str">
        <f>_xlfn.XLOOKUP(A2433,[1]Affiliations!$J$2:$J$5328,[1]Affiliations!$K$2:$K$5328,0)</f>
        <v>Universidade Federal Fluminense</v>
      </c>
      <c r="D2433">
        <v>1</v>
      </c>
      <c r="E2433">
        <v>1</v>
      </c>
      <c r="F2433">
        <v>1</v>
      </c>
      <c r="G2433">
        <v>1</v>
      </c>
      <c r="H2433">
        <v>7.0000000000000007E-2</v>
      </c>
      <c r="I2433">
        <v>0</v>
      </c>
      <c r="J2433">
        <v>0</v>
      </c>
      <c r="K2433">
        <v>1</v>
      </c>
      <c r="L2433">
        <v>1</v>
      </c>
      <c r="M2433">
        <v>1</v>
      </c>
      <c r="N2433">
        <v>1</v>
      </c>
      <c r="P2433">
        <v>0</v>
      </c>
      <c r="Q2433">
        <v>0</v>
      </c>
      <c r="R2433">
        <v>0</v>
      </c>
      <c r="S2433">
        <v>0</v>
      </c>
    </row>
    <row r="2434" spans="1:19" x14ac:dyDescent="0.35">
      <c r="A2434">
        <v>11739290800</v>
      </c>
      <c r="B2434" t="s">
        <v>538</v>
      </c>
      <c r="C2434" t="str">
        <f>_xlfn.XLOOKUP(A2434,[1]Affiliations!$J$2:$J$5328,[1]Affiliations!$K$2:$K$5328,0)</f>
        <v>Universidade Federal do Rio Grande do Sul (+1 more)</v>
      </c>
      <c r="D2434">
        <v>35</v>
      </c>
      <c r="E2434">
        <v>813</v>
      </c>
      <c r="F2434">
        <v>23.228570000000001</v>
      </c>
      <c r="G2434">
        <v>17</v>
      </c>
      <c r="H2434">
        <v>0.96</v>
      </c>
      <c r="I2434">
        <v>1</v>
      </c>
      <c r="J2434">
        <v>6</v>
      </c>
      <c r="K2434">
        <v>11</v>
      </c>
      <c r="L2434">
        <v>21</v>
      </c>
      <c r="M2434">
        <v>33</v>
      </c>
      <c r="N2434">
        <v>34</v>
      </c>
      <c r="P2434">
        <v>0</v>
      </c>
      <c r="Q2434">
        <v>2</v>
      </c>
      <c r="R2434">
        <v>3</v>
      </c>
      <c r="S2434">
        <v>15</v>
      </c>
    </row>
    <row r="2435" spans="1:19" x14ac:dyDescent="0.35">
      <c r="A2435">
        <v>57200535221</v>
      </c>
      <c r="B2435" t="s">
        <v>1052</v>
      </c>
      <c r="C2435" t="str">
        <f>_xlfn.XLOOKUP(A2435,[1]Affiliations!$J$2:$J$5328,[1]Affiliations!$K$2:$K$5328,0)</f>
        <v>Federal University of Rio de Janeiro</v>
      </c>
      <c r="D2435">
        <v>7</v>
      </c>
      <c r="E2435">
        <v>151</v>
      </c>
      <c r="F2435">
        <v>21.571428000000001</v>
      </c>
      <c r="G2435">
        <v>5</v>
      </c>
      <c r="H2435">
        <v>0.96</v>
      </c>
      <c r="I2435">
        <v>0</v>
      </c>
      <c r="J2435">
        <v>4</v>
      </c>
      <c r="K2435">
        <v>4</v>
      </c>
      <c r="L2435">
        <v>4</v>
      </c>
      <c r="M2435">
        <v>5</v>
      </c>
      <c r="N2435">
        <v>6</v>
      </c>
      <c r="P2435">
        <v>0</v>
      </c>
      <c r="Q2435">
        <v>0</v>
      </c>
      <c r="R2435">
        <v>1</v>
      </c>
      <c r="S2435">
        <v>5</v>
      </c>
    </row>
    <row r="2436" spans="1:19" hidden="1" x14ac:dyDescent="0.35">
      <c r="A2436">
        <v>58125772800</v>
      </c>
      <c r="B2436" t="s">
        <v>2442</v>
      </c>
      <c r="C2436" t="str">
        <f>_xlfn.XLOOKUP(A2436,[1]Affiliations!$J$2:$J$5328,[1]Affiliations!$K$2:$K$5328,0)</f>
        <v>Universidade Federal de Alagoas</v>
      </c>
      <c r="D2436">
        <v>1</v>
      </c>
      <c r="E2436">
        <v>1</v>
      </c>
      <c r="F2436">
        <v>1</v>
      </c>
      <c r="G2436">
        <v>1</v>
      </c>
      <c r="H2436">
        <v>0.49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1</v>
      </c>
      <c r="P2436">
        <v>0</v>
      </c>
      <c r="Q2436">
        <v>0</v>
      </c>
      <c r="R2436">
        <v>0</v>
      </c>
      <c r="S2436">
        <v>0</v>
      </c>
    </row>
    <row r="2437" spans="1:19" x14ac:dyDescent="0.35">
      <c r="A2437">
        <v>57205663719</v>
      </c>
      <c r="B2437" t="s">
        <v>1816</v>
      </c>
      <c r="C2437" t="str">
        <f>_xlfn.XLOOKUP(A2437,[1]Affiliations!$J$2:$J$5328,[1]Affiliations!$K$2:$K$5328,0)</f>
        <v>Universidade Federal da Bahia</v>
      </c>
      <c r="D2437">
        <v>6</v>
      </c>
      <c r="E2437">
        <v>87</v>
      </c>
      <c r="F2437">
        <v>14.5</v>
      </c>
      <c r="G2437">
        <v>5</v>
      </c>
      <c r="H2437">
        <v>0.96</v>
      </c>
      <c r="I2437">
        <v>0</v>
      </c>
      <c r="J2437">
        <v>0</v>
      </c>
      <c r="K2437">
        <v>2</v>
      </c>
      <c r="L2437">
        <v>2</v>
      </c>
      <c r="M2437">
        <v>2</v>
      </c>
      <c r="N2437">
        <v>5</v>
      </c>
      <c r="P2437">
        <v>0</v>
      </c>
      <c r="Q2437">
        <v>0</v>
      </c>
      <c r="R2437">
        <v>1</v>
      </c>
      <c r="S2437">
        <v>4</v>
      </c>
    </row>
    <row r="2438" spans="1:19" hidden="1" x14ac:dyDescent="0.35">
      <c r="A2438">
        <v>56237465500</v>
      </c>
      <c r="B2438" t="s">
        <v>2444</v>
      </c>
      <c r="C2438" t="str">
        <f>_xlfn.XLOOKUP(A2438,[1]Affiliations!$J$2:$J$5328,[1]Affiliations!$K$2:$K$5328,0)</f>
        <v>Federal University of Rio de Janeiro</v>
      </c>
      <c r="D2438">
        <v>6</v>
      </c>
      <c r="E2438">
        <v>106</v>
      </c>
      <c r="F2438">
        <v>17.666665999999999</v>
      </c>
      <c r="G2438">
        <v>6</v>
      </c>
      <c r="H2438">
        <v>0.42</v>
      </c>
      <c r="I2438">
        <v>0</v>
      </c>
      <c r="J2438">
        <v>1</v>
      </c>
      <c r="K2438">
        <v>4</v>
      </c>
      <c r="L2438">
        <v>4</v>
      </c>
      <c r="M2438">
        <v>5</v>
      </c>
      <c r="N2438">
        <v>5</v>
      </c>
      <c r="P2438">
        <v>0</v>
      </c>
      <c r="Q2438">
        <v>0</v>
      </c>
      <c r="R2438">
        <v>0</v>
      </c>
      <c r="S2438">
        <v>1</v>
      </c>
    </row>
    <row r="2439" spans="1:19" x14ac:dyDescent="0.35">
      <c r="A2439">
        <v>57212155011</v>
      </c>
      <c r="B2439" t="s">
        <v>2003</v>
      </c>
      <c r="C2439" t="str">
        <f>_xlfn.XLOOKUP(A2439,[1]Affiliations!$J$2:$J$5328,[1]Affiliations!$K$2:$K$5328,0)</f>
        <v>Universidade Federal de Minas Gerais</v>
      </c>
      <c r="D2439">
        <v>11</v>
      </c>
      <c r="E2439">
        <v>93</v>
      </c>
      <c r="F2439">
        <v>8.4545449999999995</v>
      </c>
      <c r="G2439">
        <v>6</v>
      </c>
      <c r="H2439">
        <v>0.96</v>
      </c>
      <c r="I2439">
        <v>1</v>
      </c>
      <c r="J2439">
        <v>2</v>
      </c>
      <c r="K2439">
        <v>2</v>
      </c>
      <c r="L2439">
        <v>6</v>
      </c>
      <c r="M2439">
        <v>8</v>
      </c>
      <c r="N2439">
        <v>10</v>
      </c>
      <c r="P2439">
        <v>0</v>
      </c>
      <c r="Q2439">
        <v>1</v>
      </c>
      <c r="R2439">
        <v>2</v>
      </c>
      <c r="S2439">
        <v>5</v>
      </c>
    </row>
    <row r="2440" spans="1:19" hidden="1" x14ac:dyDescent="0.35">
      <c r="A2440">
        <v>58317297800</v>
      </c>
      <c r="B2440" t="s">
        <v>2446</v>
      </c>
      <c r="C2440" t="str">
        <f>_xlfn.XLOOKUP(A2440,[1]Affiliations!$J$2:$J$5328,[1]Affiliations!$K$2:$K$5328,0)</f>
        <v>FIPT</v>
      </c>
      <c r="D2440">
        <v>1</v>
      </c>
      <c r="E2440">
        <v>1</v>
      </c>
      <c r="F2440">
        <v>1</v>
      </c>
      <c r="G2440">
        <v>1</v>
      </c>
      <c r="H2440">
        <v>0.09</v>
      </c>
      <c r="I2440">
        <v>0</v>
      </c>
      <c r="J2440">
        <v>0</v>
      </c>
      <c r="K2440">
        <v>0</v>
      </c>
      <c r="L2440">
        <v>1</v>
      </c>
      <c r="M2440">
        <v>1</v>
      </c>
      <c r="N2440">
        <v>1</v>
      </c>
      <c r="P2440">
        <v>0</v>
      </c>
      <c r="Q2440">
        <v>0</v>
      </c>
      <c r="R2440">
        <v>0</v>
      </c>
      <c r="S2440">
        <v>0</v>
      </c>
    </row>
    <row r="2441" spans="1:19" x14ac:dyDescent="0.35">
      <c r="A2441">
        <v>57202309752</v>
      </c>
      <c r="B2441" t="s">
        <v>2406</v>
      </c>
      <c r="C2441" t="str">
        <f>_xlfn.XLOOKUP(A2441,[1]Affiliations!$J$2:$J$5328,[1]Affiliations!$K$2:$K$5328,0)</f>
        <v>Federal University of Rio de Janeiro</v>
      </c>
      <c r="D2441">
        <v>5</v>
      </c>
      <c r="E2441">
        <v>97</v>
      </c>
      <c r="F2441">
        <v>19.399999999999999</v>
      </c>
      <c r="G2441">
        <v>6</v>
      </c>
      <c r="H2441">
        <v>0.96</v>
      </c>
      <c r="I2441">
        <v>0</v>
      </c>
      <c r="J2441">
        <v>3</v>
      </c>
      <c r="K2441">
        <v>3</v>
      </c>
      <c r="L2441">
        <v>4</v>
      </c>
      <c r="M2441">
        <v>5</v>
      </c>
      <c r="N2441">
        <v>5</v>
      </c>
      <c r="P2441">
        <v>0</v>
      </c>
      <c r="Q2441">
        <v>0</v>
      </c>
      <c r="R2441">
        <v>1</v>
      </c>
      <c r="S2441">
        <v>3</v>
      </c>
    </row>
    <row r="2442" spans="1:19" hidden="1" x14ac:dyDescent="0.35">
      <c r="A2442">
        <v>58978533800</v>
      </c>
      <c r="B2442" t="s">
        <v>2448</v>
      </c>
      <c r="C2442" t="str">
        <f>_xlfn.XLOOKUP(A2442,[1]Affiliations!$J$2:$J$5328,[1]Affiliations!$K$2:$K$5328,0)</f>
        <v>Universidade Federal do Ceará</v>
      </c>
      <c r="D2442">
        <v>1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1</v>
      </c>
      <c r="N2442">
        <v>1</v>
      </c>
      <c r="P2442">
        <v>0</v>
      </c>
      <c r="Q2442">
        <v>0</v>
      </c>
      <c r="R2442">
        <v>0</v>
      </c>
      <c r="S2442">
        <v>0</v>
      </c>
    </row>
    <row r="2443" spans="1:19" hidden="1" x14ac:dyDescent="0.35">
      <c r="A2443">
        <v>58835894200</v>
      </c>
      <c r="B2443" t="s">
        <v>2449</v>
      </c>
      <c r="C2443" t="str">
        <f>_xlfn.XLOOKUP(A2443,[1]Affiliations!$J$2:$J$5328,[1]Affiliations!$K$2:$K$5328,0)</f>
        <v>Universidade Federal dos Vales do Jequitinhonha e Mucuri (+1 more)</v>
      </c>
      <c r="D2443">
        <v>1</v>
      </c>
      <c r="E2443">
        <v>3</v>
      </c>
      <c r="F2443">
        <v>3</v>
      </c>
      <c r="G2443">
        <v>1</v>
      </c>
      <c r="H2443">
        <v>2.09</v>
      </c>
      <c r="P2443">
        <v>0</v>
      </c>
      <c r="Q2443">
        <v>0</v>
      </c>
      <c r="R2443">
        <v>0</v>
      </c>
      <c r="S2443">
        <v>0</v>
      </c>
    </row>
    <row r="2444" spans="1:19" x14ac:dyDescent="0.35">
      <c r="A2444">
        <v>57201112483</v>
      </c>
      <c r="B2444" t="s">
        <v>2819</v>
      </c>
      <c r="C2444" t="str">
        <f>_xlfn.XLOOKUP(A2444,[1]Affiliations!$J$2:$J$5328,[1]Affiliations!$K$2:$K$5328,0)</f>
        <v>Universidade Federal do Rio Grande do Sul (+1 more)</v>
      </c>
      <c r="D2444">
        <v>12</v>
      </c>
      <c r="E2444">
        <v>162</v>
      </c>
      <c r="F2444">
        <v>13.5</v>
      </c>
      <c r="G2444">
        <v>8</v>
      </c>
      <c r="H2444">
        <v>0.96</v>
      </c>
      <c r="I2444">
        <v>0</v>
      </c>
      <c r="J2444">
        <v>4</v>
      </c>
      <c r="K2444">
        <v>6</v>
      </c>
      <c r="L2444">
        <v>6</v>
      </c>
      <c r="M2444">
        <v>11</v>
      </c>
      <c r="N2444">
        <v>12</v>
      </c>
      <c r="P2444">
        <v>0</v>
      </c>
      <c r="Q2444">
        <v>1</v>
      </c>
      <c r="R2444">
        <v>1</v>
      </c>
      <c r="S2444">
        <v>4</v>
      </c>
    </row>
    <row r="2445" spans="1:19" hidden="1" x14ac:dyDescent="0.35">
      <c r="A2445">
        <v>59995850800</v>
      </c>
      <c r="B2445" t="s">
        <v>2451</v>
      </c>
      <c r="C2445" t="str">
        <f>_xlfn.XLOOKUP(A2445,[1]Affiliations!$J$2:$J$5328,[1]Affiliations!$K$2:$K$5328,0)</f>
        <v>Federal University of Rio de Janeiro</v>
      </c>
      <c r="D2445">
        <v>0</v>
      </c>
      <c r="G2445">
        <v>1</v>
      </c>
    </row>
    <row r="2446" spans="1:19" x14ac:dyDescent="0.35">
      <c r="A2446">
        <v>27467582900</v>
      </c>
      <c r="B2446" t="s">
        <v>2915</v>
      </c>
      <c r="C2446" t="str">
        <f>_xlfn.XLOOKUP(A2446,[1]Affiliations!$J$2:$J$5328,[1]Affiliations!$K$2:$K$5328,0)</f>
        <v>Universidade Federal de Pernambuco</v>
      </c>
      <c r="D2446">
        <v>73</v>
      </c>
      <c r="E2446">
        <v>778</v>
      </c>
      <c r="F2446">
        <v>10.657534999999999</v>
      </c>
      <c r="G2446">
        <v>18</v>
      </c>
      <c r="H2446">
        <v>0.96</v>
      </c>
      <c r="I2446">
        <v>0</v>
      </c>
      <c r="J2446">
        <v>13</v>
      </c>
      <c r="K2446">
        <v>18</v>
      </c>
      <c r="L2446">
        <v>27</v>
      </c>
      <c r="M2446">
        <v>32</v>
      </c>
      <c r="N2446">
        <v>34</v>
      </c>
      <c r="P2446">
        <v>0</v>
      </c>
      <c r="Q2446">
        <v>3</v>
      </c>
      <c r="R2446">
        <v>5</v>
      </c>
      <c r="S2446">
        <v>17</v>
      </c>
    </row>
    <row r="2447" spans="1:19" hidden="1" x14ac:dyDescent="0.35">
      <c r="A2447">
        <v>57476354900</v>
      </c>
      <c r="B2447" t="s">
        <v>2453</v>
      </c>
      <c r="C2447" t="str">
        <f>_xlfn.XLOOKUP(A2447,[1]Affiliations!$J$2:$J$5328,[1]Affiliations!$K$2:$K$5328,0)</f>
        <v>Universidade de Brasília</v>
      </c>
      <c r="D2447">
        <v>3</v>
      </c>
      <c r="E2447">
        <v>7</v>
      </c>
      <c r="F2447">
        <v>2.3333333000000001</v>
      </c>
      <c r="G2447">
        <v>1</v>
      </c>
      <c r="H2447">
        <v>0.82</v>
      </c>
      <c r="I2447">
        <v>0</v>
      </c>
      <c r="J2447">
        <v>1</v>
      </c>
      <c r="K2447">
        <v>1</v>
      </c>
      <c r="L2447">
        <v>1</v>
      </c>
      <c r="M2447">
        <v>1</v>
      </c>
      <c r="N2447">
        <v>1</v>
      </c>
      <c r="P2447">
        <v>0</v>
      </c>
      <c r="Q2447">
        <v>0</v>
      </c>
      <c r="R2447">
        <v>0</v>
      </c>
      <c r="S2447">
        <v>0</v>
      </c>
    </row>
    <row r="2448" spans="1:19" hidden="1" x14ac:dyDescent="0.35">
      <c r="A2448">
        <v>58384039800</v>
      </c>
      <c r="B2448" t="s">
        <v>2454</v>
      </c>
      <c r="C2448" t="str">
        <f>_xlfn.XLOOKUP(A2448,[1]Affiliations!$J$2:$J$5328,[1]Affiliations!$K$2:$K$5328,0)</f>
        <v>Universidade Federal de Lavras</v>
      </c>
      <c r="D2448">
        <v>1</v>
      </c>
      <c r="E2448">
        <v>8</v>
      </c>
      <c r="F2448">
        <v>8</v>
      </c>
      <c r="G2448">
        <v>2</v>
      </c>
      <c r="H2448">
        <v>1.19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1</v>
      </c>
      <c r="P2448">
        <v>0</v>
      </c>
      <c r="Q2448">
        <v>0</v>
      </c>
      <c r="R2448">
        <v>0</v>
      </c>
      <c r="S2448">
        <v>0</v>
      </c>
    </row>
    <row r="2449" spans="1:19" hidden="1" x14ac:dyDescent="0.35">
      <c r="A2449">
        <v>57191862423</v>
      </c>
      <c r="B2449" t="s">
        <v>2455</v>
      </c>
      <c r="C2449" t="str">
        <f>_xlfn.XLOOKUP(A2449,[1]Affiliations!$J$2:$J$5328,[1]Affiliations!$K$2:$K$5328,0)</f>
        <v>Universidade do Estado do Rio de Janeiro (+1 more)</v>
      </c>
      <c r="D2449">
        <v>2</v>
      </c>
      <c r="E2449">
        <v>55</v>
      </c>
      <c r="F2449">
        <v>27.5</v>
      </c>
      <c r="G2449">
        <v>1</v>
      </c>
      <c r="H2449">
        <v>1.22</v>
      </c>
      <c r="I2449">
        <v>0</v>
      </c>
      <c r="J2449">
        <v>1</v>
      </c>
      <c r="K2449">
        <v>1</v>
      </c>
      <c r="L2449">
        <v>1</v>
      </c>
      <c r="M2449">
        <v>1</v>
      </c>
      <c r="N2449">
        <v>2</v>
      </c>
      <c r="P2449">
        <v>0</v>
      </c>
      <c r="Q2449">
        <v>0</v>
      </c>
      <c r="R2449">
        <v>1</v>
      </c>
      <c r="S2449">
        <v>1</v>
      </c>
    </row>
    <row r="2450" spans="1:19" hidden="1" x14ac:dyDescent="0.35">
      <c r="A2450">
        <v>54583539500</v>
      </c>
      <c r="B2450" t="s">
        <v>2456</v>
      </c>
      <c r="C2450" t="str">
        <f>_xlfn.XLOOKUP(A2450,[1]Affiliations!$J$2:$J$5328,[1]Affiliations!$K$2:$K$5328,0)</f>
        <v>University of Campinas</v>
      </c>
      <c r="D2450">
        <v>4</v>
      </c>
      <c r="E2450">
        <v>103</v>
      </c>
      <c r="F2450">
        <v>25.75</v>
      </c>
      <c r="G2450">
        <v>3</v>
      </c>
      <c r="H2450">
        <v>1.28</v>
      </c>
      <c r="I2450">
        <v>0</v>
      </c>
      <c r="J2450">
        <v>0</v>
      </c>
      <c r="K2450">
        <v>0</v>
      </c>
      <c r="L2450">
        <v>2</v>
      </c>
      <c r="M2450">
        <v>2</v>
      </c>
      <c r="N2450">
        <v>2</v>
      </c>
      <c r="P2450">
        <v>0</v>
      </c>
      <c r="Q2450">
        <v>0</v>
      </c>
      <c r="R2450">
        <v>1</v>
      </c>
      <c r="S2450">
        <v>2</v>
      </c>
    </row>
    <row r="2451" spans="1:19" hidden="1" x14ac:dyDescent="0.35">
      <c r="A2451">
        <v>57195448865</v>
      </c>
      <c r="B2451" t="s">
        <v>2457</v>
      </c>
      <c r="C2451" t="str">
        <f>_xlfn.XLOOKUP(A2451,[1]Affiliations!$J$2:$J$5328,[1]Affiliations!$K$2:$K$5328,0)</f>
        <v>Universidade Federal Fluminense</v>
      </c>
      <c r="D2451">
        <v>0</v>
      </c>
      <c r="G2451">
        <v>1</v>
      </c>
    </row>
    <row r="2452" spans="1:19" hidden="1" x14ac:dyDescent="0.35">
      <c r="A2452">
        <v>11738879800</v>
      </c>
      <c r="B2452" t="s">
        <v>2458</v>
      </c>
      <c r="C2452" t="str">
        <f>_xlfn.XLOOKUP(A2452,[1]Affiliations!$J$2:$J$5328,[1]Affiliations!$K$2:$K$5328,0)</f>
        <v>Universidade Federal do Rio Grande do Sul</v>
      </c>
      <c r="D2452">
        <v>20</v>
      </c>
      <c r="E2452">
        <v>128</v>
      </c>
      <c r="F2452">
        <v>6.4</v>
      </c>
      <c r="G2452">
        <v>9</v>
      </c>
      <c r="H2452">
        <v>0.54</v>
      </c>
      <c r="I2452">
        <v>0</v>
      </c>
      <c r="J2452">
        <v>2</v>
      </c>
      <c r="K2452">
        <v>2</v>
      </c>
      <c r="L2452">
        <v>8</v>
      </c>
      <c r="M2452">
        <v>18</v>
      </c>
      <c r="N2452">
        <v>18</v>
      </c>
      <c r="P2452">
        <v>0</v>
      </c>
      <c r="Q2452">
        <v>0</v>
      </c>
      <c r="R2452">
        <v>0</v>
      </c>
      <c r="S2452">
        <v>3</v>
      </c>
    </row>
    <row r="2453" spans="1:19" x14ac:dyDescent="0.35">
      <c r="A2453">
        <v>6507836843</v>
      </c>
      <c r="B2453" t="s">
        <v>3117</v>
      </c>
      <c r="C2453" t="str">
        <f>_xlfn.XLOOKUP(A2453,[1]Affiliations!$J$2:$J$5328,[1]Affiliations!$K$2:$K$5328,0)</f>
        <v>Universidade Estadual Paulista “Júlio de Mesquita Filho” (+1 more)</v>
      </c>
      <c r="D2453">
        <v>82</v>
      </c>
      <c r="E2453">
        <v>999</v>
      </c>
      <c r="F2453">
        <v>12.182926999999999</v>
      </c>
      <c r="G2453">
        <v>23</v>
      </c>
      <c r="H2453">
        <v>0.96</v>
      </c>
      <c r="I2453">
        <v>3</v>
      </c>
      <c r="J2453">
        <v>6</v>
      </c>
      <c r="K2453">
        <v>17</v>
      </c>
      <c r="L2453">
        <v>27</v>
      </c>
      <c r="M2453">
        <v>37</v>
      </c>
      <c r="N2453">
        <v>40</v>
      </c>
      <c r="P2453">
        <v>0</v>
      </c>
      <c r="Q2453">
        <v>2</v>
      </c>
      <c r="R2453">
        <v>7</v>
      </c>
      <c r="S2453">
        <v>18</v>
      </c>
    </row>
    <row r="2454" spans="1:19" hidden="1" x14ac:dyDescent="0.35">
      <c r="A2454">
        <v>7101662648</v>
      </c>
      <c r="B2454" t="s">
        <v>2460</v>
      </c>
      <c r="C2454" t="str">
        <f>_xlfn.XLOOKUP(A2454,[1]Affiliations!$J$2:$J$5328,[1]Affiliations!$K$2:$K$5328,0)</f>
        <v>University of Campinas</v>
      </c>
      <c r="D2454">
        <v>32</v>
      </c>
      <c r="E2454">
        <v>307</v>
      </c>
      <c r="F2454">
        <v>9.59375</v>
      </c>
      <c r="G2454">
        <v>14</v>
      </c>
      <c r="H2454">
        <v>0.72</v>
      </c>
      <c r="I2454">
        <v>0</v>
      </c>
      <c r="J2454">
        <v>9</v>
      </c>
      <c r="K2454">
        <v>16</v>
      </c>
      <c r="L2454">
        <v>26</v>
      </c>
      <c r="M2454">
        <v>30</v>
      </c>
      <c r="N2454">
        <v>32</v>
      </c>
      <c r="P2454">
        <v>0</v>
      </c>
      <c r="Q2454">
        <v>0</v>
      </c>
      <c r="R2454">
        <v>0</v>
      </c>
      <c r="S2454">
        <v>4</v>
      </c>
    </row>
    <row r="2455" spans="1:19" hidden="1" x14ac:dyDescent="0.35">
      <c r="A2455">
        <v>59893878400</v>
      </c>
      <c r="B2455" t="s">
        <v>2461</v>
      </c>
      <c r="C2455" t="str">
        <f>_xlfn.XLOOKUP(A2455,[1]Affiliations!$J$2:$J$5328,[1]Affiliations!$K$2:$K$5328,0)</f>
        <v>University of Campinas</v>
      </c>
      <c r="D2455">
        <v>0</v>
      </c>
      <c r="G2455">
        <v>0</v>
      </c>
    </row>
    <row r="2456" spans="1:19" hidden="1" x14ac:dyDescent="0.35">
      <c r="A2456">
        <v>55761811600</v>
      </c>
      <c r="B2456" t="s">
        <v>2462</v>
      </c>
      <c r="C2456" t="str">
        <f>_xlfn.XLOOKUP(A2456,[1]Affiliations!$J$2:$J$5328,[1]Affiliations!$K$2:$K$5328,0)</f>
        <v>Federal University of Rio de Janeiro</v>
      </c>
      <c r="D2456">
        <v>4</v>
      </c>
      <c r="E2456">
        <v>171</v>
      </c>
      <c r="F2456">
        <v>42.75</v>
      </c>
      <c r="G2456">
        <v>5</v>
      </c>
      <c r="H2456">
        <v>1.08</v>
      </c>
      <c r="I2456">
        <v>0</v>
      </c>
      <c r="J2456">
        <v>1</v>
      </c>
      <c r="K2456">
        <v>2</v>
      </c>
      <c r="L2456">
        <v>3</v>
      </c>
      <c r="M2456">
        <v>4</v>
      </c>
      <c r="N2456">
        <v>4</v>
      </c>
      <c r="P2456">
        <v>0</v>
      </c>
      <c r="Q2456">
        <v>1</v>
      </c>
      <c r="R2456">
        <v>2</v>
      </c>
      <c r="S2456">
        <v>3</v>
      </c>
    </row>
    <row r="2457" spans="1:19" hidden="1" x14ac:dyDescent="0.35">
      <c r="A2457">
        <v>57196404751</v>
      </c>
      <c r="B2457" t="s">
        <v>2463</v>
      </c>
      <c r="C2457" t="str">
        <f>_xlfn.XLOOKUP(A2457,[1]Affiliations!$J$2:$J$5328,[1]Affiliations!$K$2:$K$5328,0)</f>
        <v>Universidade Federal de Alfenas</v>
      </c>
      <c r="D2457">
        <v>1</v>
      </c>
      <c r="E2457">
        <v>6</v>
      </c>
      <c r="F2457">
        <v>6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</v>
      </c>
      <c r="N2457">
        <v>1</v>
      </c>
      <c r="P2457">
        <v>0</v>
      </c>
      <c r="Q2457">
        <v>0</v>
      </c>
      <c r="R2457">
        <v>0</v>
      </c>
      <c r="S2457">
        <v>0</v>
      </c>
    </row>
    <row r="2458" spans="1:19" hidden="1" x14ac:dyDescent="0.35">
      <c r="A2458">
        <v>58928046900</v>
      </c>
      <c r="B2458" t="s">
        <v>2464</v>
      </c>
      <c r="C2458" t="str">
        <f>_xlfn.XLOOKUP(A2458,[1]Affiliations!$J$2:$J$5328,[1]Affiliations!$K$2:$K$5328,0)</f>
        <v>Pontifical Catholic University of Rio de Janeiro</v>
      </c>
      <c r="D2458">
        <v>1</v>
      </c>
      <c r="E2458">
        <v>6</v>
      </c>
      <c r="F2458">
        <v>6</v>
      </c>
      <c r="G2458">
        <v>1</v>
      </c>
      <c r="H2458">
        <v>0.78</v>
      </c>
      <c r="I2458">
        <v>0</v>
      </c>
      <c r="J2458">
        <v>0</v>
      </c>
      <c r="K2458">
        <v>0</v>
      </c>
      <c r="L2458">
        <v>1</v>
      </c>
      <c r="M2458">
        <v>1</v>
      </c>
      <c r="N2458">
        <v>1</v>
      </c>
      <c r="P2458">
        <v>0</v>
      </c>
      <c r="Q2458">
        <v>0</v>
      </c>
      <c r="R2458">
        <v>0</v>
      </c>
      <c r="S2458">
        <v>1</v>
      </c>
    </row>
    <row r="2459" spans="1:19" x14ac:dyDescent="0.35">
      <c r="A2459">
        <v>55803313400</v>
      </c>
      <c r="B2459" t="s">
        <v>3209</v>
      </c>
      <c r="C2459" t="str">
        <f>_xlfn.XLOOKUP(A2459,[1]Affiliations!$J$2:$J$5328,[1]Affiliations!$K$2:$K$5328,0)</f>
        <v>Universidade Federal do ABC</v>
      </c>
      <c r="D2459">
        <v>70</v>
      </c>
      <c r="E2459">
        <v>1433</v>
      </c>
      <c r="F2459">
        <v>20.471428</v>
      </c>
      <c r="G2459">
        <v>22</v>
      </c>
      <c r="H2459">
        <v>0.96</v>
      </c>
      <c r="I2459">
        <v>0</v>
      </c>
      <c r="J2459">
        <v>6</v>
      </c>
      <c r="K2459">
        <v>15</v>
      </c>
      <c r="L2459">
        <v>49</v>
      </c>
      <c r="M2459">
        <v>67</v>
      </c>
      <c r="N2459">
        <v>69</v>
      </c>
      <c r="P2459">
        <v>0</v>
      </c>
      <c r="Q2459">
        <v>4</v>
      </c>
      <c r="R2459">
        <v>10</v>
      </c>
      <c r="S2459">
        <v>35</v>
      </c>
    </row>
    <row r="2460" spans="1:19" x14ac:dyDescent="0.35">
      <c r="A2460">
        <v>7006807266</v>
      </c>
      <c r="B2460" t="s">
        <v>3676</v>
      </c>
      <c r="C2460" t="str">
        <f>_xlfn.XLOOKUP(A2460,[1]Affiliations!$J$2:$J$5328,[1]Affiliations!$K$2:$K$5328,0)</f>
        <v>Universidade Regional Integrada do Alto Uruguai e das Missões (+1 more)</v>
      </c>
      <c r="D2460">
        <v>253</v>
      </c>
      <c r="E2460">
        <v>6815</v>
      </c>
      <c r="F2460">
        <v>26.936758000000001</v>
      </c>
      <c r="G2460">
        <v>53</v>
      </c>
      <c r="H2460">
        <v>0.96</v>
      </c>
      <c r="I2460">
        <v>10</v>
      </c>
      <c r="J2460">
        <v>33</v>
      </c>
      <c r="K2460">
        <v>61</v>
      </c>
      <c r="L2460">
        <v>123</v>
      </c>
      <c r="M2460">
        <v>224</v>
      </c>
      <c r="N2460">
        <v>241</v>
      </c>
      <c r="P2460">
        <v>2</v>
      </c>
      <c r="Q2460">
        <v>19</v>
      </c>
      <c r="R2460">
        <v>46</v>
      </c>
      <c r="S2460">
        <v>131</v>
      </c>
    </row>
    <row r="2461" spans="1:19" hidden="1" x14ac:dyDescent="0.35">
      <c r="A2461">
        <v>57216178839</v>
      </c>
      <c r="B2461" t="s">
        <v>2467</v>
      </c>
      <c r="C2461" t="str">
        <f>_xlfn.XLOOKUP(A2461,[1]Affiliations!$J$2:$J$5328,[1]Affiliations!$K$2:$K$5328,0)</f>
        <v>Federal University of Rio de Janeiro</v>
      </c>
      <c r="D2461">
        <v>1</v>
      </c>
      <c r="E2461">
        <v>13</v>
      </c>
      <c r="F2461">
        <v>13</v>
      </c>
      <c r="G2461">
        <v>1</v>
      </c>
      <c r="H2461">
        <v>0.43</v>
      </c>
      <c r="I2461">
        <v>0</v>
      </c>
      <c r="J2461">
        <v>0</v>
      </c>
      <c r="K2461">
        <v>0</v>
      </c>
      <c r="L2461">
        <v>1</v>
      </c>
      <c r="M2461">
        <v>1</v>
      </c>
      <c r="N2461">
        <v>1</v>
      </c>
      <c r="P2461">
        <v>0</v>
      </c>
      <c r="Q2461">
        <v>0</v>
      </c>
      <c r="R2461">
        <v>0</v>
      </c>
      <c r="S2461">
        <v>0</v>
      </c>
    </row>
    <row r="2462" spans="1:19" x14ac:dyDescent="0.35">
      <c r="A2462">
        <v>25822542600</v>
      </c>
      <c r="B2462" t="s">
        <v>3750</v>
      </c>
      <c r="C2462" t="str">
        <f>_xlfn.XLOOKUP(A2462,[1]Affiliations!$J$2:$J$5328,[1]Affiliations!$K$2:$K$5328,0)</f>
        <v>Federal University of Rio de Janeiro</v>
      </c>
      <c r="D2462">
        <v>5</v>
      </c>
      <c r="E2462">
        <v>273</v>
      </c>
      <c r="F2462">
        <v>54.6</v>
      </c>
      <c r="G2462">
        <v>7</v>
      </c>
      <c r="H2462">
        <v>0.96</v>
      </c>
      <c r="I2462">
        <v>0</v>
      </c>
      <c r="J2462">
        <v>1</v>
      </c>
      <c r="K2462">
        <v>2</v>
      </c>
      <c r="L2462">
        <v>5</v>
      </c>
      <c r="M2462">
        <v>5</v>
      </c>
      <c r="N2462">
        <v>5</v>
      </c>
      <c r="P2462">
        <v>0</v>
      </c>
      <c r="Q2462">
        <v>1</v>
      </c>
      <c r="R2462">
        <v>2</v>
      </c>
      <c r="S2462">
        <v>3</v>
      </c>
    </row>
    <row r="2463" spans="1:19" hidden="1" x14ac:dyDescent="0.35">
      <c r="A2463">
        <v>57934943100</v>
      </c>
      <c r="B2463" t="s">
        <v>2469</v>
      </c>
      <c r="C2463" t="str">
        <f>_xlfn.XLOOKUP(A2463,[1]Affiliations!$J$2:$J$5328,[1]Affiliations!$K$2:$K$5328,0)</f>
        <v>Universidade Federal do Piauí</v>
      </c>
      <c r="D2463">
        <v>3</v>
      </c>
      <c r="E2463">
        <v>34</v>
      </c>
      <c r="F2463">
        <v>11.333333</v>
      </c>
      <c r="G2463">
        <v>4</v>
      </c>
      <c r="H2463">
        <v>0.94</v>
      </c>
      <c r="I2463">
        <v>0</v>
      </c>
      <c r="J2463">
        <v>1</v>
      </c>
      <c r="K2463">
        <v>1</v>
      </c>
      <c r="L2463">
        <v>2</v>
      </c>
      <c r="M2463">
        <v>3</v>
      </c>
      <c r="N2463">
        <v>3</v>
      </c>
      <c r="P2463">
        <v>0</v>
      </c>
      <c r="Q2463">
        <v>0</v>
      </c>
      <c r="R2463">
        <v>0</v>
      </c>
      <c r="S2463">
        <v>1</v>
      </c>
    </row>
    <row r="2464" spans="1:19" hidden="1" x14ac:dyDescent="0.35">
      <c r="A2464">
        <v>57219130329</v>
      </c>
      <c r="B2464" t="s">
        <v>2006</v>
      </c>
      <c r="C2464" t="str">
        <f>_xlfn.XLOOKUP(A2464,[1]Affiliations!$J$2:$J$5328,[1]Affiliations!$K$2:$K$5328,0)</f>
        <v>LABSOLDA Welding Institute (+1 more)</v>
      </c>
      <c r="D2464">
        <v>70</v>
      </c>
      <c r="E2464">
        <v>611</v>
      </c>
      <c r="F2464">
        <v>8.7285719999999998</v>
      </c>
      <c r="G2464">
        <v>16</v>
      </c>
      <c r="H2464">
        <v>0.43</v>
      </c>
      <c r="I2464">
        <v>0</v>
      </c>
      <c r="J2464">
        <v>1</v>
      </c>
      <c r="K2464">
        <v>2</v>
      </c>
      <c r="L2464">
        <v>14</v>
      </c>
      <c r="M2464">
        <v>39</v>
      </c>
      <c r="N2464">
        <v>55</v>
      </c>
      <c r="P2464">
        <v>0</v>
      </c>
      <c r="Q2464">
        <v>0</v>
      </c>
      <c r="R2464">
        <v>0</v>
      </c>
      <c r="S2464">
        <v>10</v>
      </c>
    </row>
    <row r="2465" spans="1:19" hidden="1" x14ac:dyDescent="0.35">
      <c r="A2465">
        <v>59226101000</v>
      </c>
      <c r="B2465" t="s">
        <v>2470</v>
      </c>
      <c r="C2465" t="str">
        <f>_xlfn.XLOOKUP(A2465,[1]Affiliations!$J$2:$J$5328,[1]Affiliations!$K$2:$K$5328,0)</f>
        <v>Federal University of Rio de Janeiro</v>
      </c>
      <c r="D2465">
        <v>1</v>
      </c>
      <c r="E2465">
        <v>4</v>
      </c>
      <c r="F2465">
        <v>4</v>
      </c>
      <c r="G2465">
        <v>1</v>
      </c>
      <c r="H2465">
        <v>0.56000000000000005</v>
      </c>
      <c r="I2465">
        <v>0</v>
      </c>
      <c r="J2465">
        <v>0</v>
      </c>
      <c r="K2465">
        <v>0</v>
      </c>
      <c r="L2465">
        <v>1</v>
      </c>
      <c r="M2465">
        <v>1</v>
      </c>
      <c r="N2465">
        <v>1</v>
      </c>
      <c r="P2465">
        <v>0</v>
      </c>
      <c r="Q2465">
        <v>0</v>
      </c>
      <c r="R2465">
        <v>0</v>
      </c>
      <c r="S2465">
        <v>0</v>
      </c>
    </row>
    <row r="2466" spans="1:19" hidden="1" x14ac:dyDescent="0.35">
      <c r="A2466">
        <v>57215785185</v>
      </c>
      <c r="B2466" t="s">
        <v>2471</v>
      </c>
      <c r="C2466" t="str">
        <f>_xlfn.XLOOKUP(A2466,[1]Affiliations!$J$2:$J$5328,[1]Affiliations!$K$2:$K$5328,0)</f>
        <v>NIDF (+2 more)</v>
      </c>
      <c r="D2466">
        <v>4</v>
      </c>
      <c r="E2466">
        <v>33</v>
      </c>
      <c r="F2466">
        <v>8.25</v>
      </c>
      <c r="G2466">
        <v>3</v>
      </c>
      <c r="H2466">
        <v>4.67</v>
      </c>
      <c r="I2466">
        <v>0</v>
      </c>
      <c r="J2466">
        <v>0</v>
      </c>
      <c r="K2466">
        <v>0</v>
      </c>
      <c r="L2466">
        <v>1</v>
      </c>
      <c r="M2466">
        <v>1</v>
      </c>
      <c r="N2466">
        <v>2</v>
      </c>
      <c r="P2466">
        <v>0</v>
      </c>
      <c r="Q2466">
        <v>0</v>
      </c>
      <c r="R2466">
        <v>0</v>
      </c>
      <c r="S2466">
        <v>1</v>
      </c>
    </row>
    <row r="2467" spans="1:19" hidden="1" x14ac:dyDescent="0.35">
      <c r="A2467">
        <v>57212360461</v>
      </c>
      <c r="B2467" t="s">
        <v>2472</v>
      </c>
      <c r="C2467" t="str">
        <f>_xlfn.XLOOKUP(A2467,[1]Affiliations!$J$2:$J$5328,[1]Affiliations!$K$2:$K$5328,0)</f>
        <v>Universidade de São Paulo</v>
      </c>
      <c r="D2467">
        <v>2</v>
      </c>
      <c r="E2467">
        <v>21</v>
      </c>
      <c r="F2467">
        <v>10.5</v>
      </c>
      <c r="G2467">
        <v>2</v>
      </c>
      <c r="H2467">
        <v>0.34</v>
      </c>
      <c r="I2467">
        <v>0</v>
      </c>
      <c r="J2467">
        <v>0</v>
      </c>
      <c r="K2467">
        <v>1</v>
      </c>
      <c r="L2467">
        <v>1</v>
      </c>
      <c r="M2467">
        <v>1</v>
      </c>
      <c r="N2467">
        <v>2</v>
      </c>
      <c r="P2467">
        <v>0</v>
      </c>
      <c r="Q2467">
        <v>0</v>
      </c>
      <c r="R2467">
        <v>0</v>
      </c>
      <c r="S2467">
        <v>0</v>
      </c>
    </row>
    <row r="2468" spans="1:19" hidden="1" x14ac:dyDescent="0.35">
      <c r="A2468">
        <v>35388149900</v>
      </c>
      <c r="B2468" t="s">
        <v>2473</v>
      </c>
      <c r="C2468" t="str">
        <f>_xlfn.XLOOKUP(A2468,[1]Affiliations!$J$2:$J$5328,[1]Affiliations!$K$2:$K$5328,0)</f>
        <v>Universidade Federal do Espírito Santo (+2 more)</v>
      </c>
      <c r="D2468">
        <v>34</v>
      </c>
      <c r="E2468">
        <v>356</v>
      </c>
      <c r="F2468">
        <v>10.470589</v>
      </c>
      <c r="G2468">
        <v>15</v>
      </c>
      <c r="H2468">
        <v>0.6</v>
      </c>
      <c r="I2468">
        <v>0</v>
      </c>
      <c r="J2468">
        <v>1</v>
      </c>
      <c r="K2468">
        <v>4</v>
      </c>
      <c r="L2468">
        <v>18</v>
      </c>
      <c r="M2468">
        <v>26</v>
      </c>
      <c r="N2468">
        <v>31</v>
      </c>
      <c r="P2468">
        <v>0</v>
      </c>
      <c r="Q2468">
        <v>0</v>
      </c>
      <c r="R2468">
        <v>0</v>
      </c>
      <c r="S2468">
        <v>7</v>
      </c>
    </row>
    <row r="2469" spans="1:19" hidden="1" x14ac:dyDescent="0.35">
      <c r="A2469">
        <v>57197513785</v>
      </c>
      <c r="B2469" t="s">
        <v>2474</v>
      </c>
      <c r="C2469" t="str">
        <f>_xlfn.XLOOKUP(A2469,[1]Affiliations!$J$2:$J$5328,[1]Affiliations!$K$2:$K$5328,0)</f>
        <v>Universidade Federal do Rio Grande do Sul</v>
      </c>
      <c r="D2469">
        <v>1</v>
      </c>
      <c r="E2469">
        <v>0</v>
      </c>
      <c r="F2469">
        <v>0</v>
      </c>
      <c r="G2469">
        <v>0</v>
      </c>
      <c r="H2469">
        <v>0</v>
      </c>
      <c r="P2469">
        <v>0</v>
      </c>
      <c r="Q2469">
        <v>0</v>
      </c>
      <c r="R2469">
        <v>0</v>
      </c>
      <c r="S2469">
        <v>0</v>
      </c>
    </row>
    <row r="2470" spans="1:19" hidden="1" x14ac:dyDescent="0.35">
      <c r="A2470">
        <v>55782391900</v>
      </c>
      <c r="B2470" t="s">
        <v>2475</v>
      </c>
      <c r="C2470" t="str">
        <f>_xlfn.XLOOKUP(A2470,[1]Affiliations!$J$2:$J$5328,[1]Affiliations!$K$2:$K$5328,0)</f>
        <v>Universidade do Estado do Rio de Janeiro</v>
      </c>
      <c r="D2470">
        <v>2</v>
      </c>
      <c r="E2470">
        <v>58</v>
      </c>
      <c r="F2470">
        <v>29</v>
      </c>
      <c r="G2470">
        <v>5</v>
      </c>
      <c r="H2470">
        <v>0.97</v>
      </c>
      <c r="I2470">
        <v>0</v>
      </c>
      <c r="J2470">
        <v>0</v>
      </c>
      <c r="K2470">
        <v>1</v>
      </c>
      <c r="L2470">
        <v>2</v>
      </c>
      <c r="M2470">
        <v>2</v>
      </c>
      <c r="N2470">
        <v>2</v>
      </c>
      <c r="P2470">
        <v>0</v>
      </c>
      <c r="Q2470">
        <v>0</v>
      </c>
      <c r="R2470">
        <v>0</v>
      </c>
      <c r="S2470">
        <v>2</v>
      </c>
    </row>
    <row r="2471" spans="1:19" hidden="1" x14ac:dyDescent="0.35">
      <c r="A2471">
        <v>56118797200</v>
      </c>
      <c r="B2471" t="s">
        <v>2476</v>
      </c>
      <c r="C2471" t="str">
        <f>_xlfn.XLOOKUP(A2471,[1]Affiliations!$J$2:$J$5328,[1]Affiliations!$K$2:$K$5328,0)</f>
        <v>Universidade Federal Fluminense</v>
      </c>
      <c r="D2471">
        <v>8</v>
      </c>
      <c r="E2471">
        <v>107</v>
      </c>
      <c r="F2471">
        <v>13.375</v>
      </c>
      <c r="G2471">
        <v>5</v>
      </c>
      <c r="H2471">
        <v>0.63</v>
      </c>
      <c r="I2471">
        <v>0</v>
      </c>
      <c r="J2471">
        <v>0</v>
      </c>
      <c r="K2471">
        <v>0</v>
      </c>
      <c r="L2471">
        <v>0</v>
      </c>
      <c r="M2471">
        <v>5</v>
      </c>
      <c r="N2471">
        <v>8</v>
      </c>
      <c r="P2471">
        <v>0</v>
      </c>
      <c r="Q2471">
        <v>0</v>
      </c>
      <c r="R2471">
        <v>0</v>
      </c>
      <c r="S2471">
        <v>3</v>
      </c>
    </row>
    <row r="2472" spans="1:19" hidden="1" x14ac:dyDescent="0.35">
      <c r="A2472">
        <v>14015605500</v>
      </c>
      <c r="B2472" t="s">
        <v>2477</v>
      </c>
      <c r="C2472" t="str">
        <f>_xlfn.XLOOKUP(A2472,[1]Affiliations!$J$2:$J$5328,[1]Affiliations!$K$2:$K$5328,0)</f>
        <v>PGT-Petroleum Geoscience Technology Ltd. (+2 more)</v>
      </c>
      <c r="D2472">
        <v>1</v>
      </c>
      <c r="E2472">
        <v>23</v>
      </c>
      <c r="F2472">
        <v>23</v>
      </c>
      <c r="G2472">
        <v>9</v>
      </c>
      <c r="H2472">
        <v>1.67</v>
      </c>
      <c r="I2472">
        <v>0</v>
      </c>
      <c r="J2472">
        <v>0</v>
      </c>
      <c r="K2472">
        <v>0</v>
      </c>
      <c r="L2472">
        <v>0</v>
      </c>
      <c r="M2472">
        <v>1</v>
      </c>
      <c r="N2472">
        <v>1</v>
      </c>
      <c r="P2472">
        <v>0</v>
      </c>
      <c r="Q2472">
        <v>0</v>
      </c>
      <c r="R2472">
        <v>0</v>
      </c>
      <c r="S2472">
        <v>1</v>
      </c>
    </row>
    <row r="2473" spans="1:19" hidden="1" x14ac:dyDescent="0.35">
      <c r="A2473">
        <v>57296991000</v>
      </c>
      <c r="B2473" t="s">
        <v>2478</v>
      </c>
      <c r="C2473" t="str">
        <f>_xlfn.XLOOKUP(A2473,[1]Affiliations!$J$2:$J$5328,[1]Affiliations!$K$2:$K$5328,0)</f>
        <v>Universidade de São Paulo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1</v>
      </c>
      <c r="P2473">
        <v>0</v>
      </c>
      <c r="Q2473">
        <v>0</v>
      </c>
      <c r="R2473">
        <v>0</v>
      </c>
      <c r="S2473">
        <v>0</v>
      </c>
    </row>
    <row r="2474" spans="1:19" x14ac:dyDescent="0.35">
      <c r="A2474">
        <v>55228702400</v>
      </c>
      <c r="B2474" t="s">
        <v>3804</v>
      </c>
      <c r="C2474" t="str">
        <f>_xlfn.XLOOKUP(A2474,[1]Affiliations!$J$2:$J$5328,[1]Affiliations!$K$2:$K$5328,0)</f>
        <v>Centro Nacional de Pesquisa em Energia e Materiais</v>
      </c>
      <c r="D2474">
        <v>8</v>
      </c>
      <c r="E2474">
        <v>193</v>
      </c>
      <c r="F2474">
        <v>24.125</v>
      </c>
      <c r="G2474">
        <v>7</v>
      </c>
      <c r="H2474">
        <v>0.96</v>
      </c>
      <c r="I2474">
        <v>2</v>
      </c>
      <c r="J2474">
        <v>3</v>
      </c>
      <c r="K2474">
        <v>5</v>
      </c>
      <c r="L2474">
        <v>7</v>
      </c>
      <c r="M2474">
        <v>8</v>
      </c>
      <c r="N2474">
        <v>8</v>
      </c>
      <c r="P2474">
        <v>0</v>
      </c>
      <c r="Q2474">
        <v>0</v>
      </c>
      <c r="R2474">
        <v>1</v>
      </c>
      <c r="S2474">
        <v>5</v>
      </c>
    </row>
    <row r="2475" spans="1:19" hidden="1" x14ac:dyDescent="0.35">
      <c r="A2475">
        <v>56817928000</v>
      </c>
      <c r="B2475" t="s">
        <v>2480</v>
      </c>
      <c r="C2475" t="str">
        <f>_xlfn.XLOOKUP(A2475,[1]Affiliations!$J$2:$J$5328,[1]Affiliations!$K$2:$K$5328,0)</f>
        <v>NIDF (+1 more)</v>
      </c>
      <c r="D2475">
        <v>2</v>
      </c>
      <c r="E2475">
        <v>0</v>
      </c>
      <c r="F2475">
        <v>0</v>
      </c>
      <c r="G2475">
        <v>0</v>
      </c>
      <c r="H2475">
        <v>0</v>
      </c>
      <c r="P2475">
        <v>0</v>
      </c>
      <c r="Q2475">
        <v>0</v>
      </c>
      <c r="R2475">
        <v>0</v>
      </c>
      <c r="S2475">
        <v>0</v>
      </c>
    </row>
    <row r="2476" spans="1:19" hidden="1" x14ac:dyDescent="0.35">
      <c r="A2476">
        <v>25642567100</v>
      </c>
      <c r="B2476" t="s">
        <v>2481</v>
      </c>
      <c r="C2476" t="str">
        <f>_xlfn.XLOOKUP(A2476,[1]Affiliations!$J$2:$J$5328,[1]Affiliations!$K$2:$K$5328,0)</f>
        <v>Institute of Marine Studies Admiral Paulo Moreira (IEAPM)</v>
      </c>
      <c r="D2476">
        <v>6</v>
      </c>
      <c r="E2476">
        <v>117</v>
      </c>
      <c r="F2476">
        <v>19.5</v>
      </c>
      <c r="G2476">
        <v>9</v>
      </c>
      <c r="H2476">
        <v>0.98</v>
      </c>
      <c r="I2476">
        <v>0</v>
      </c>
      <c r="J2476">
        <v>0</v>
      </c>
      <c r="K2476">
        <v>0</v>
      </c>
      <c r="L2476">
        <v>3</v>
      </c>
      <c r="M2476">
        <v>4</v>
      </c>
      <c r="N2476">
        <v>5</v>
      </c>
      <c r="P2476">
        <v>0</v>
      </c>
      <c r="Q2476">
        <v>0</v>
      </c>
      <c r="R2476">
        <v>0</v>
      </c>
      <c r="S2476">
        <v>6</v>
      </c>
    </row>
    <row r="2477" spans="1:19" hidden="1" x14ac:dyDescent="0.35">
      <c r="A2477">
        <v>57641258900</v>
      </c>
      <c r="B2477" t="s">
        <v>2482</v>
      </c>
      <c r="C2477" t="str">
        <f>_xlfn.XLOOKUP(A2477,[1]Affiliations!$J$2:$J$5328,[1]Affiliations!$K$2:$K$5328,0)</f>
        <v>Universidade Federal de São João del-Rei</v>
      </c>
      <c r="D2477">
        <v>2</v>
      </c>
      <c r="E2477">
        <v>65</v>
      </c>
      <c r="F2477">
        <v>32.5</v>
      </c>
      <c r="G2477">
        <v>2</v>
      </c>
      <c r="H2477">
        <v>1.28</v>
      </c>
      <c r="I2477">
        <v>0</v>
      </c>
      <c r="J2477">
        <v>0</v>
      </c>
      <c r="K2477">
        <v>1</v>
      </c>
      <c r="L2477">
        <v>2</v>
      </c>
      <c r="M2477">
        <v>2</v>
      </c>
      <c r="N2477">
        <v>2</v>
      </c>
      <c r="P2477">
        <v>0</v>
      </c>
      <c r="Q2477">
        <v>0</v>
      </c>
      <c r="R2477">
        <v>0</v>
      </c>
      <c r="S2477">
        <v>2</v>
      </c>
    </row>
    <row r="2478" spans="1:19" hidden="1" x14ac:dyDescent="0.35">
      <c r="A2478">
        <v>35578689400</v>
      </c>
      <c r="B2478" t="s">
        <v>2483</v>
      </c>
      <c r="C2478" t="str">
        <f>_xlfn.XLOOKUP(A2478,[1]Affiliations!$J$2:$J$5328,[1]Affiliations!$K$2:$K$5328,0)</f>
        <v>Petróleo Brasileiro S.A. (+1 more)</v>
      </c>
      <c r="D2478">
        <v>1</v>
      </c>
      <c r="E2478">
        <v>23</v>
      </c>
      <c r="F2478">
        <v>23</v>
      </c>
      <c r="G2478">
        <v>11</v>
      </c>
      <c r="H2478">
        <v>0.33</v>
      </c>
      <c r="I2478">
        <v>0</v>
      </c>
      <c r="J2478">
        <v>0</v>
      </c>
      <c r="K2478">
        <v>1</v>
      </c>
      <c r="L2478">
        <v>1</v>
      </c>
      <c r="M2478">
        <v>1</v>
      </c>
      <c r="N2478">
        <v>1</v>
      </c>
      <c r="P2478">
        <v>0</v>
      </c>
      <c r="Q2478">
        <v>0</v>
      </c>
      <c r="R2478">
        <v>0</v>
      </c>
      <c r="S2478">
        <v>1</v>
      </c>
    </row>
    <row r="2479" spans="1:19" hidden="1" x14ac:dyDescent="0.35">
      <c r="A2479">
        <v>36091305900</v>
      </c>
      <c r="B2479" t="s">
        <v>2484</v>
      </c>
      <c r="C2479" t="str">
        <f>_xlfn.XLOOKUP(A2479,[1]Affiliations!$J$2:$J$5328,[1]Affiliations!$K$2:$K$5328,0)</f>
        <v>Federal University of Rio de Janeiro</v>
      </c>
      <c r="D2479">
        <v>1</v>
      </c>
      <c r="E2479">
        <v>1</v>
      </c>
      <c r="F2479">
        <v>1</v>
      </c>
      <c r="G2479">
        <v>2</v>
      </c>
      <c r="H2479">
        <v>0.1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1</v>
      </c>
      <c r="P2479">
        <v>0</v>
      </c>
      <c r="Q2479">
        <v>0</v>
      </c>
      <c r="R2479">
        <v>0</v>
      </c>
      <c r="S2479">
        <v>0</v>
      </c>
    </row>
    <row r="2480" spans="1:19" hidden="1" x14ac:dyDescent="0.35">
      <c r="A2480">
        <v>7102981205</v>
      </c>
      <c r="B2480" t="s">
        <v>2485</v>
      </c>
      <c r="C2480" t="str">
        <f>_xlfn.XLOOKUP(A2480,[1]Affiliations!$J$2:$J$5328,[1]Affiliations!$K$2:$K$5328,0)</f>
        <v>Universidade Federal do Rio Grande do Sul</v>
      </c>
      <c r="D2480">
        <v>38</v>
      </c>
      <c r="E2480">
        <v>620</v>
      </c>
      <c r="F2480">
        <v>16.31579</v>
      </c>
      <c r="G2480">
        <v>20</v>
      </c>
      <c r="H2480">
        <v>0.71</v>
      </c>
      <c r="I2480">
        <v>0</v>
      </c>
      <c r="J2480">
        <v>6</v>
      </c>
      <c r="K2480">
        <v>13</v>
      </c>
      <c r="L2480">
        <v>28</v>
      </c>
      <c r="M2480">
        <v>37</v>
      </c>
      <c r="N2480">
        <v>37</v>
      </c>
      <c r="P2480">
        <v>0</v>
      </c>
      <c r="Q2480">
        <v>0</v>
      </c>
      <c r="R2480">
        <v>0</v>
      </c>
      <c r="S2480">
        <v>13</v>
      </c>
    </row>
    <row r="2481" spans="1:19" x14ac:dyDescent="0.35">
      <c r="A2481">
        <v>57208385761</v>
      </c>
      <c r="B2481" t="s">
        <v>3904</v>
      </c>
      <c r="C2481" t="str">
        <f>_xlfn.XLOOKUP(A2481,[1]Affiliations!$J$2:$J$5328,[1]Affiliations!$K$2:$K$5328,0)</f>
        <v>Universidade Estadual de Maringá</v>
      </c>
      <c r="D2481">
        <v>7</v>
      </c>
      <c r="E2481">
        <v>167</v>
      </c>
      <c r="F2481">
        <v>23.857143000000001</v>
      </c>
      <c r="G2481">
        <v>6</v>
      </c>
      <c r="H2481">
        <v>0.96</v>
      </c>
      <c r="I2481">
        <v>0</v>
      </c>
      <c r="J2481">
        <v>0</v>
      </c>
      <c r="K2481">
        <v>2</v>
      </c>
      <c r="L2481">
        <v>6</v>
      </c>
      <c r="M2481">
        <v>7</v>
      </c>
      <c r="N2481">
        <v>7</v>
      </c>
      <c r="P2481">
        <v>0</v>
      </c>
      <c r="Q2481">
        <v>1</v>
      </c>
      <c r="R2481">
        <v>2</v>
      </c>
      <c r="S2481">
        <v>4</v>
      </c>
    </row>
    <row r="2482" spans="1:19" hidden="1" x14ac:dyDescent="0.35">
      <c r="A2482">
        <v>57215185652</v>
      </c>
      <c r="B2482" t="s">
        <v>2487</v>
      </c>
      <c r="C2482" t="str">
        <f>_xlfn.XLOOKUP(A2482,[1]Affiliations!$J$2:$J$5328,[1]Affiliations!$K$2:$K$5328,0)</f>
        <v>Instituto Tecnológico da Aeronáutica</v>
      </c>
      <c r="D2482">
        <v>3</v>
      </c>
      <c r="E2482">
        <v>62</v>
      </c>
      <c r="F2482">
        <v>20.666665999999999</v>
      </c>
      <c r="G2482">
        <v>3</v>
      </c>
      <c r="H2482">
        <v>0.89</v>
      </c>
      <c r="I2482">
        <v>0</v>
      </c>
      <c r="J2482">
        <v>0</v>
      </c>
      <c r="K2482">
        <v>0</v>
      </c>
      <c r="L2482">
        <v>1</v>
      </c>
      <c r="M2482">
        <v>2</v>
      </c>
      <c r="N2482">
        <v>2</v>
      </c>
      <c r="P2482">
        <v>0</v>
      </c>
      <c r="Q2482">
        <v>0</v>
      </c>
      <c r="R2482">
        <v>1</v>
      </c>
      <c r="S2482">
        <v>1</v>
      </c>
    </row>
    <row r="2483" spans="1:19" x14ac:dyDescent="0.35">
      <c r="A2483">
        <v>56950977800</v>
      </c>
      <c r="B2483" t="s">
        <v>4034</v>
      </c>
      <c r="C2483" t="str">
        <f>_xlfn.XLOOKUP(A2483,[1]Affiliations!$J$2:$J$5328,[1]Affiliations!$K$2:$K$5328,0)</f>
        <v>Universidade Federal do Espírito Santo</v>
      </c>
      <c r="D2483">
        <v>6</v>
      </c>
      <c r="E2483">
        <v>179</v>
      </c>
      <c r="F2483">
        <v>29.833334000000001</v>
      </c>
      <c r="G2483">
        <v>6</v>
      </c>
      <c r="H2483">
        <v>0.96</v>
      </c>
      <c r="I2483">
        <v>0</v>
      </c>
      <c r="J2483">
        <v>2</v>
      </c>
      <c r="K2483">
        <v>6</v>
      </c>
      <c r="L2483">
        <v>6</v>
      </c>
      <c r="M2483">
        <v>6</v>
      </c>
      <c r="N2483">
        <v>6</v>
      </c>
      <c r="P2483">
        <v>0</v>
      </c>
      <c r="Q2483">
        <v>0</v>
      </c>
      <c r="R2483">
        <v>2</v>
      </c>
      <c r="S2483">
        <v>3</v>
      </c>
    </row>
    <row r="2484" spans="1:19" hidden="1" x14ac:dyDescent="0.35">
      <c r="A2484">
        <v>58663224000</v>
      </c>
      <c r="B2484" t="s">
        <v>2489</v>
      </c>
      <c r="C2484" t="str">
        <f>_xlfn.XLOOKUP(A2484,[1]Affiliations!$J$2:$J$5328,[1]Affiliations!$K$2:$K$5328,0)</f>
        <v>Universidade Federal de Campina Grande</v>
      </c>
      <c r="D2484">
        <v>3</v>
      </c>
      <c r="E2484">
        <v>2</v>
      </c>
      <c r="F2484">
        <v>0.66666669999999995</v>
      </c>
      <c r="G2484">
        <v>1</v>
      </c>
      <c r="H2484">
        <v>7.0000000000000007E-2</v>
      </c>
      <c r="I2484">
        <v>0</v>
      </c>
      <c r="J2484">
        <v>0</v>
      </c>
      <c r="K2484">
        <v>0</v>
      </c>
      <c r="L2484">
        <v>1</v>
      </c>
      <c r="M2484">
        <v>3</v>
      </c>
      <c r="N2484">
        <v>3</v>
      </c>
      <c r="P2484">
        <v>0</v>
      </c>
      <c r="Q2484">
        <v>0</v>
      </c>
      <c r="R2484">
        <v>0</v>
      </c>
      <c r="S2484">
        <v>0</v>
      </c>
    </row>
    <row r="2485" spans="1:19" x14ac:dyDescent="0.35">
      <c r="A2485">
        <v>57198083811</v>
      </c>
      <c r="B2485" t="s">
        <v>4320</v>
      </c>
      <c r="C2485" t="str">
        <f>_xlfn.XLOOKUP(A2485,[1]Affiliations!$J$2:$J$5328,[1]Affiliations!$K$2:$K$5328,0)</f>
        <v>Universidade Federal do Espírito Santo (+10 more)</v>
      </c>
      <c r="D2485">
        <v>221</v>
      </c>
      <c r="E2485">
        <v>4413</v>
      </c>
      <c r="F2485">
        <v>19.968326999999999</v>
      </c>
      <c r="G2485">
        <v>43</v>
      </c>
      <c r="H2485">
        <v>0.96</v>
      </c>
      <c r="I2485">
        <v>0</v>
      </c>
      <c r="J2485">
        <v>27</v>
      </c>
      <c r="K2485">
        <v>49</v>
      </c>
      <c r="L2485">
        <v>118</v>
      </c>
      <c r="M2485">
        <v>179</v>
      </c>
      <c r="N2485">
        <v>206</v>
      </c>
      <c r="P2485">
        <v>0</v>
      </c>
      <c r="Q2485">
        <v>7</v>
      </c>
      <c r="R2485">
        <v>26</v>
      </c>
      <c r="S2485">
        <v>106</v>
      </c>
    </row>
    <row r="2486" spans="1:19" hidden="1" x14ac:dyDescent="0.35">
      <c r="A2486">
        <v>59251942000</v>
      </c>
      <c r="B2486" t="s">
        <v>2491</v>
      </c>
      <c r="C2486" t="str">
        <f>_xlfn.XLOOKUP(A2486,[1]Affiliations!$J$2:$J$5328,[1]Affiliations!$K$2:$K$5328,0)</f>
        <v>Universidade de São Paulo</v>
      </c>
      <c r="D2486">
        <v>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P2486">
        <v>0</v>
      </c>
      <c r="Q2486">
        <v>0</v>
      </c>
      <c r="R2486">
        <v>0</v>
      </c>
      <c r="S2486">
        <v>0</v>
      </c>
    </row>
    <row r="2487" spans="1:19" x14ac:dyDescent="0.35">
      <c r="A2487">
        <v>16317079900</v>
      </c>
      <c r="B2487" t="s">
        <v>4384</v>
      </c>
      <c r="C2487" t="str">
        <f>_xlfn.XLOOKUP(A2487,[1]Affiliations!$J$2:$J$5328,[1]Affiliations!$K$2:$K$5328,0)</f>
        <v>Universidade de São Paulo</v>
      </c>
      <c r="D2487">
        <v>14</v>
      </c>
      <c r="E2487">
        <v>201</v>
      </c>
      <c r="F2487">
        <v>14.357142</v>
      </c>
      <c r="G2487">
        <v>10</v>
      </c>
      <c r="H2487">
        <v>0.96</v>
      </c>
      <c r="I2487">
        <v>0</v>
      </c>
      <c r="J2487">
        <v>3</v>
      </c>
      <c r="K2487">
        <v>6</v>
      </c>
      <c r="L2487">
        <v>12</v>
      </c>
      <c r="M2487">
        <v>14</v>
      </c>
      <c r="N2487">
        <v>14</v>
      </c>
      <c r="P2487">
        <v>0</v>
      </c>
      <c r="Q2487">
        <v>1</v>
      </c>
      <c r="R2487">
        <v>1</v>
      </c>
      <c r="S2487">
        <v>4</v>
      </c>
    </row>
    <row r="2488" spans="1:19" x14ac:dyDescent="0.35">
      <c r="A2488">
        <v>56313591900</v>
      </c>
      <c r="B2488" t="s">
        <v>4493</v>
      </c>
      <c r="C2488" t="str">
        <f>_xlfn.XLOOKUP(A2488,[1]Affiliations!$J$2:$J$5328,[1]Affiliations!$K$2:$K$5328,0)</f>
        <v>University of Campinas</v>
      </c>
      <c r="D2488">
        <v>57</v>
      </c>
      <c r="E2488">
        <v>1186</v>
      </c>
      <c r="F2488">
        <v>20.807017999999999</v>
      </c>
      <c r="G2488">
        <v>21</v>
      </c>
      <c r="H2488">
        <v>0.96</v>
      </c>
      <c r="I2488">
        <v>0</v>
      </c>
      <c r="J2488">
        <v>7</v>
      </c>
      <c r="K2488">
        <v>16</v>
      </c>
      <c r="L2488">
        <v>41</v>
      </c>
      <c r="M2488">
        <v>50</v>
      </c>
      <c r="N2488">
        <v>56</v>
      </c>
      <c r="P2488">
        <v>0</v>
      </c>
      <c r="Q2488">
        <v>2</v>
      </c>
      <c r="R2488">
        <v>9</v>
      </c>
      <c r="S2488">
        <v>24</v>
      </c>
    </row>
    <row r="2489" spans="1:19" x14ac:dyDescent="0.35">
      <c r="A2489">
        <v>6507984178</v>
      </c>
      <c r="B2489" t="s">
        <v>4604</v>
      </c>
      <c r="C2489" t="str">
        <f>_xlfn.XLOOKUP(A2489,[1]Affiliations!$J$2:$J$5328,[1]Affiliations!$K$2:$K$5328,0)</f>
        <v>Federal University of Rio de Janeiro</v>
      </c>
      <c r="D2489">
        <v>33</v>
      </c>
      <c r="E2489">
        <v>606</v>
      </c>
      <c r="F2489">
        <v>18.363636</v>
      </c>
      <c r="G2489">
        <v>17</v>
      </c>
      <c r="H2489">
        <v>0.96</v>
      </c>
      <c r="I2489">
        <v>0</v>
      </c>
      <c r="J2489">
        <v>0</v>
      </c>
      <c r="K2489">
        <v>1</v>
      </c>
      <c r="L2489">
        <v>11</v>
      </c>
      <c r="M2489">
        <v>19</v>
      </c>
      <c r="N2489">
        <v>25</v>
      </c>
      <c r="P2489">
        <v>0</v>
      </c>
      <c r="Q2489">
        <v>2</v>
      </c>
      <c r="R2489">
        <v>3</v>
      </c>
      <c r="S2489">
        <v>14</v>
      </c>
    </row>
    <row r="2490" spans="1:19" hidden="1" x14ac:dyDescent="0.35">
      <c r="A2490">
        <v>57191751426</v>
      </c>
      <c r="B2490" t="s">
        <v>2495</v>
      </c>
      <c r="C2490" t="str">
        <f>_xlfn.XLOOKUP(A2490,[1]Affiliations!$J$2:$J$5328,[1]Affiliations!$K$2:$K$5328,0)</f>
        <v>University of Campinas</v>
      </c>
      <c r="D2490">
        <v>1</v>
      </c>
      <c r="E2490">
        <v>75</v>
      </c>
      <c r="F2490">
        <v>75</v>
      </c>
      <c r="G2490">
        <v>1</v>
      </c>
      <c r="H2490">
        <v>2.61</v>
      </c>
      <c r="I2490">
        <v>0</v>
      </c>
      <c r="J2490">
        <v>0</v>
      </c>
      <c r="K2490">
        <v>0</v>
      </c>
      <c r="L2490">
        <v>1</v>
      </c>
      <c r="M2490">
        <v>1</v>
      </c>
      <c r="N2490">
        <v>1</v>
      </c>
      <c r="P2490">
        <v>0</v>
      </c>
      <c r="Q2490">
        <v>0</v>
      </c>
      <c r="R2490">
        <v>1</v>
      </c>
      <c r="S2490">
        <v>1</v>
      </c>
    </row>
    <row r="2491" spans="1:19" hidden="1" x14ac:dyDescent="0.35">
      <c r="A2491">
        <v>57231729300</v>
      </c>
      <c r="B2491" t="s">
        <v>2496</v>
      </c>
      <c r="C2491" t="str">
        <f>_xlfn.XLOOKUP(A2491,[1]Affiliations!$J$2:$J$5328,[1]Affiliations!$K$2:$K$5328,0)</f>
        <v>Universidade Federal Fluminense</v>
      </c>
      <c r="D2491">
        <v>3</v>
      </c>
      <c r="E2491">
        <v>15</v>
      </c>
      <c r="F2491">
        <v>5</v>
      </c>
      <c r="G2491">
        <v>1</v>
      </c>
      <c r="H2491">
        <v>0.3</v>
      </c>
      <c r="I2491">
        <v>0</v>
      </c>
      <c r="J2491">
        <v>0</v>
      </c>
      <c r="K2491">
        <v>0</v>
      </c>
      <c r="L2491">
        <v>2</v>
      </c>
      <c r="M2491">
        <v>2</v>
      </c>
      <c r="N2491">
        <v>2</v>
      </c>
      <c r="P2491">
        <v>0</v>
      </c>
      <c r="Q2491">
        <v>0</v>
      </c>
      <c r="R2491">
        <v>0</v>
      </c>
      <c r="S2491">
        <v>1</v>
      </c>
    </row>
    <row r="2492" spans="1:19" hidden="1" x14ac:dyDescent="0.35">
      <c r="A2492">
        <v>57201300226</v>
      </c>
      <c r="B2492" t="s">
        <v>2497</v>
      </c>
      <c r="C2492" t="str">
        <f>_xlfn.XLOOKUP(A2492,[1]Affiliations!$J$2:$J$5328,[1]Affiliations!$K$2:$K$5328,0)</f>
        <v>Federal University of Rio de Janeiro</v>
      </c>
      <c r="D2492">
        <v>8</v>
      </c>
      <c r="E2492">
        <v>43</v>
      </c>
      <c r="F2492">
        <v>5.375</v>
      </c>
      <c r="G2492">
        <v>2</v>
      </c>
      <c r="H2492">
        <v>0.59</v>
      </c>
      <c r="I2492">
        <v>0</v>
      </c>
      <c r="J2492">
        <v>0</v>
      </c>
      <c r="K2492">
        <v>0</v>
      </c>
      <c r="L2492">
        <v>2</v>
      </c>
      <c r="M2492">
        <v>2</v>
      </c>
      <c r="N2492">
        <v>6</v>
      </c>
      <c r="P2492">
        <v>0</v>
      </c>
      <c r="Q2492">
        <v>0</v>
      </c>
      <c r="R2492">
        <v>0</v>
      </c>
      <c r="S2492">
        <v>0</v>
      </c>
    </row>
    <row r="2493" spans="1:19" hidden="1" x14ac:dyDescent="0.35">
      <c r="A2493">
        <v>7202571053</v>
      </c>
      <c r="B2493" t="s">
        <v>2498</v>
      </c>
      <c r="C2493" t="str">
        <f>_xlfn.XLOOKUP(A2493,[1]Affiliations!$J$2:$J$5328,[1]Affiliations!$K$2:$K$5328,0)</f>
        <v>Petróleo Brasileiro S.A. (+1 more)</v>
      </c>
      <c r="D2493">
        <v>6</v>
      </c>
      <c r="E2493">
        <v>82</v>
      </c>
      <c r="F2493">
        <v>13.666667</v>
      </c>
      <c r="G2493">
        <v>20</v>
      </c>
      <c r="H2493">
        <v>0.59</v>
      </c>
      <c r="I2493">
        <v>0</v>
      </c>
      <c r="J2493">
        <v>0</v>
      </c>
      <c r="K2493">
        <v>3</v>
      </c>
      <c r="L2493">
        <v>5</v>
      </c>
      <c r="M2493">
        <v>6</v>
      </c>
      <c r="N2493">
        <v>6</v>
      </c>
      <c r="P2493">
        <v>0</v>
      </c>
      <c r="Q2493">
        <v>0</v>
      </c>
      <c r="R2493">
        <v>0</v>
      </c>
      <c r="S2493">
        <v>1</v>
      </c>
    </row>
    <row r="2494" spans="1:19" hidden="1" x14ac:dyDescent="0.35">
      <c r="A2494">
        <v>57194194633</v>
      </c>
      <c r="B2494" t="s">
        <v>2499</v>
      </c>
      <c r="C2494" t="str">
        <f>_xlfn.XLOOKUP(A2494,[1]Affiliations!$J$2:$J$5328,[1]Affiliations!$K$2:$K$5328,0)</f>
        <v>Paradigm Brazil (+3 more)</v>
      </c>
      <c r="D2494">
        <v>7</v>
      </c>
      <c r="E2494">
        <v>68</v>
      </c>
      <c r="F2494">
        <v>9.7142859999999995</v>
      </c>
      <c r="G2494">
        <v>7</v>
      </c>
      <c r="H2494">
        <v>3.72</v>
      </c>
      <c r="I2494">
        <v>0</v>
      </c>
      <c r="J2494">
        <v>0</v>
      </c>
      <c r="K2494">
        <v>0</v>
      </c>
      <c r="L2494">
        <v>0</v>
      </c>
      <c r="M2494">
        <v>1</v>
      </c>
      <c r="N2494">
        <v>2</v>
      </c>
      <c r="P2494">
        <v>0</v>
      </c>
      <c r="Q2494">
        <v>0</v>
      </c>
      <c r="R2494">
        <v>0</v>
      </c>
      <c r="S2494">
        <v>0</v>
      </c>
    </row>
    <row r="2495" spans="1:19" hidden="1" x14ac:dyDescent="0.35">
      <c r="A2495">
        <v>57203300613</v>
      </c>
      <c r="B2495" t="s">
        <v>2500</v>
      </c>
      <c r="C2495" t="str">
        <f>_xlfn.XLOOKUP(A2495,[1]Affiliations!$J$2:$J$5328,[1]Affiliations!$K$2:$K$5328,0)</f>
        <v>Universidade do Estado do Rio de Janeiro (+1 more)</v>
      </c>
      <c r="D2495">
        <v>5</v>
      </c>
      <c r="E2495">
        <v>96</v>
      </c>
      <c r="F2495">
        <v>19.2</v>
      </c>
      <c r="G2495">
        <v>5</v>
      </c>
      <c r="H2495">
        <v>0.66</v>
      </c>
      <c r="I2495">
        <v>0</v>
      </c>
      <c r="J2495">
        <v>2</v>
      </c>
      <c r="K2495">
        <v>4</v>
      </c>
      <c r="L2495">
        <v>4</v>
      </c>
      <c r="M2495">
        <v>5</v>
      </c>
      <c r="N2495">
        <v>5</v>
      </c>
      <c r="P2495">
        <v>0</v>
      </c>
      <c r="Q2495">
        <v>0</v>
      </c>
      <c r="R2495">
        <v>0</v>
      </c>
      <c r="S2495">
        <v>4</v>
      </c>
    </row>
    <row r="2496" spans="1:19" hidden="1" x14ac:dyDescent="0.35">
      <c r="A2496">
        <v>56013883200</v>
      </c>
      <c r="B2496" t="s">
        <v>2501</v>
      </c>
      <c r="C2496" t="str">
        <f>_xlfn.XLOOKUP(A2496,[1]Affiliations!$J$2:$J$5328,[1]Affiliations!$K$2:$K$5328,0)</f>
        <v>Universidade Federal do Espírito Santo</v>
      </c>
      <c r="D2496">
        <v>16</v>
      </c>
      <c r="E2496">
        <v>116</v>
      </c>
      <c r="F2496">
        <v>7.25</v>
      </c>
      <c r="G2496">
        <v>7</v>
      </c>
      <c r="H2496">
        <v>0.48</v>
      </c>
      <c r="I2496">
        <v>0</v>
      </c>
      <c r="J2496">
        <v>2</v>
      </c>
      <c r="K2496">
        <v>3</v>
      </c>
      <c r="L2496">
        <v>12</v>
      </c>
      <c r="M2496">
        <v>14</v>
      </c>
      <c r="N2496">
        <v>15</v>
      </c>
      <c r="P2496">
        <v>0</v>
      </c>
      <c r="Q2496">
        <v>0</v>
      </c>
      <c r="R2496">
        <v>0</v>
      </c>
      <c r="S2496">
        <v>4</v>
      </c>
    </row>
    <row r="2497" spans="1:19" hidden="1" x14ac:dyDescent="0.35">
      <c r="A2497">
        <v>57069431700</v>
      </c>
      <c r="B2497" t="s">
        <v>2502</v>
      </c>
      <c r="C2497" t="str">
        <f>_xlfn.XLOOKUP(A2497,[1]Affiliations!$J$2:$J$5328,[1]Affiliations!$K$2:$K$5328,0)</f>
        <v>Paradigm Brazil (+6 more)</v>
      </c>
      <c r="D2497">
        <v>12</v>
      </c>
      <c r="E2497">
        <v>91</v>
      </c>
      <c r="F2497">
        <v>7.5833335000000002</v>
      </c>
      <c r="G2497">
        <v>7</v>
      </c>
      <c r="H2497">
        <v>2.95</v>
      </c>
      <c r="I2497">
        <v>0</v>
      </c>
      <c r="J2497">
        <v>0</v>
      </c>
      <c r="K2497">
        <v>0</v>
      </c>
      <c r="L2497">
        <v>2</v>
      </c>
      <c r="M2497">
        <v>4</v>
      </c>
      <c r="N2497">
        <v>5</v>
      </c>
      <c r="P2497">
        <v>0</v>
      </c>
      <c r="Q2497">
        <v>0</v>
      </c>
      <c r="R2497">
        <v>0</v>
      </c>
      <c r="S2497">
        <v>0</v>
      </c>
    </row>
    <row r="2498" spans="1:19" hidden="1" x14ac:dyDescent="0.35">
      <c r="A2498">
        <v>56341205100</v>
      </c>
      <c r="B2498" t="s">
        <v>2503</v>
      </c>
      <c r="C2498" t="str">
        <f>_xlfn.XLOOKUP(A2498,[1]Affiliations!$J$2:$J$5328,[1]Affiliations!$K$2:$K$5328,0)</f>
        <v>Universidade Federal do Rio Grande do Sul</v>
      </c>
      <c r="D2498">
        <v>6</v>
      </c>
      <c r="E2498">
        <v>21</v>
      </c>
      <c r="F2498">
        <v>3.5</v>
      </c>
      <c r="G2498">
        <v>4</v>
      </c>
      <c r="H2498">
        <v>0.3</v>
      </c>
      <c r="I2498">
        <v>1</v>
      </c>
      <c r="J2498">
        <v>1</v>
      </c>
      <c r="K2498">
        <v>2</v>
      </c>
      <c r="L2498">
        <v>3</v>
      </c>
      <c r="M2498">
        <v>4</v>
      </c>
      <c r="N2498">
        <v>4</v>
      </c>
      <c r="P2498">
        <v>0</v>
      </c>
      <c r="Q2498">
        <v>0</v>
      </c>
      <c r="R2498">
        <v>0</v>
      </c>
      <c r="S2498">
        <v>0</v>
      </c>
    </row>
    <row r="2499" spans="1:19" hidden="1" x14ac:dyDescent="0.35">
      <c r="A2499">
        <v>57214121090</v>
      </c>
      <c r="B2499" t="s">
        <v>2504</v>
      </c>
      <c r="C2499" t="str">
        <f>_xlfn.XLOOKUP(A2499,[1]Affiliations!$J$2:$J$5328,[1]Affiliations!$K$2:$K$5328,0)</f>
        <v>Universidade de São Paulo (+1 more)</v>
      </c>
      <c r="D2499">
        <v>11</v>
      </c>
      <c r="E2499">
        <v>34</v>
      </c>
      <c r="F2499">
        <v>3.0909089999999999</v>
      </c>
      <c r="G2499">
        <v>4</v>
      </c>
      <c r="H2499">
        <v>0.22</v>
      </c>
      <c r="I2499">
        <v>0</v>
      </c>
      <c r="J2499">
        <v>1</v>
      </c>
      <c r="K2499">
        <v>2</v>
      </c>
      <c r="L2499">
        <v>5</v>
      </c>
      <c r="M2499">
        <v>9</v>
      </c>
      <c r="N2499">
        <v>10</v>
      </c>
      <c r="P2499">
        <v>0</v>
      </c>
      <c r="Q2499">
        <v>0</v>
      </c>
      <c r="R2499">
        <v>0</v>
      </c>
      <c r="S2499">
        <v>0</v>
      </c>
    </row>
    <row r="2500" spans="1:19" x14ac:dyDescent="0.35">
      <c r="A2500">
        <v>56584603000</v>
      </c>
      <c r="B2500" t="s">
        <v>5142</v>
      </c>
      <c r="C2500" t="str">
        <f>_xlfn.XLOOKUP(A2500,[1]Affiliations!$J$2:$J$5328,[1]Affiliations!$K$2:$K$5328,0)</f>
        <v>Universidade de São Paulo</v>
      </c>
      <c r="D2500">
        <v>70</v>
      </c>
      <c r="E2500">
        <v>1036</v>
      </c>
      <c r="F2500">
        <v>14.8</v>
      </c>
      <c r="G2500">
        <v>21</v>
      </c>
      <c r="H2500">
        <v>0.96</v>
      </c>
      <c r="I2500">
        <v>0</v>
      </c>
      <c r="J2500">
        <v>8</v>
      </c>
      <c r="K2500">
        <v>26</v>
      </c>
      <c r="L2500">
        <v>44</v>
      </c>
      <c r="M2500">
        <v>60</v>
      </c>
      <c r="N2500">
        <v>68</v>
      </c>
      <c r="P2500">
        <v>0</v>
      </c>
      <c r="Q2500">
        <v>0</v>
      </c>
      <c r="R2500">
        <v>4</v>
      </c>
      <c r="S2500">
        <v>28</v>
      </c>
    </row>
    <row r="2501" spans="1:19" hidden="1" x14ac:dyDescent="0.35">
      <c r="A2501">
        <v>58542224800</v>
      </c>
      <c r="B2501" t="s">
        <v>2506</v>
      </c>
      <c r="C2501" t="str">
        <f>_xlfn.XLOOKUP(A2501,[1]Affiliations!$J$2:$J$5328,[1]Affiliations!$K$2:$K$5328,0)</f>
        <v>Universidade de São Paulo (+1 more)</v>
      </c>
      <c r="D2501">
        <v>2</v>
      </c>
      <c r="E2501">
        <v>8</v>
      </c>
      <c r="F2501">
        <v>4</v>
      </c>
      <c r="G2501">
        <v>2</v>
      </c>
      <c r="H2501">
        <v>0.93</v>
      </c>
      <c r="I2501">
        <v>0</v>
      </c>
      <c r="J2501">
        <v>0</v>
      </c>
      <c r="K2501">
        <v>0</v>
      </c>
      <c r="L2501">
        <v>1</v>
      </c>
      <c r="M2501">
        <v>1</v>
      </c>
      <c r="N2501">
        <v>2</v>
      </c>
      <c r="P2501">
        <v>0</v>
      </c>
      <c r="Q2501">
        <v>0</v>
      </c>
      <c r="R2501">
        <v>0</v>
      </c>
      <c r="S2501">
        <v>1</v>
      </c>
    </row>
    <row r="2502" spans="1:19" hidden="1" x14ac:dyDescent="0.35">
      <c r="A2502">
        <v>57205403364</v>
      </c>
      <c r="B2502" t="s">
        <v>2507</v>
      </c>
      <c r="C2502" t="str">
        <f>_xlfn.XLOOKUP(A2502,[1]Affiliations!$J$2:$J$5328,[1]Affiliations!$K$2:$K$5328,0)</f>
        <v>Federal University of Rio de Janeiro</v>
      </c>
      <c r="D2502">
        <v>4</v>
      </c>
      <c r="E2502">
        <v>72</v>
      </c>
      <c r="F2502">
        <v>18</v>
      </c>
      <c r="G2502">
        <v>3</v>
      </c>
      <c r="H2502">
        <v>0.7</v>
      </c>
      <c r="I2502">
        <v>0</v>
      </c>
      <c r="J2502">
        <v>0</v>
      </c>
      <c r="K2502">
        <v>0</v>
      </c>
      <c r="L2502">
        <v>2</v>
      </c>
      <c r="M2502">
        <v>3</v>
      </c>
      <c r="N2502">
        <v>4</v>
      </c>
      <c r="P2502">
        <v>0</v>
      </c>
      <c r="Q2502">
        <v>0</v>
      </c>
      <c r="R2502">
        <v>0</v>
      </c>
      <c r="S2502">
        <v>2</v>
      </c>
    </row>
    <row r="2503" spans="1:19" hidden="1" x14ac:dyDescent="0.35">
      <c r="A2503">
        <v>57195148246</v>
      </c>
      <c r="B2503" t="s">
        <v>2508</v>
      </c>
      <c r="C2503" t="str">
        <f>_xlfn.XLOOKUP(A2503,[1]Affiliations!$J$2:$J$5328,[1]Affiliations!$K$2:$K$5328,0)</f>
        <v>Pontifícia Universidade Católica do Rio Grande do Sul</v>
      </c>
      <c r="D2503">
        <v>5</v>
      </c>
      <c r="E2503">
        <v>33</v>
      </c>
      <c r="F2503">
        <v>6.6</v>
      </c>
      <c r="G2503">
        <v>2</v>
      </c>
      <c r="H2503">
        <v>0.25</v>
      </c>
      <c r="I2503">
        <v>0</v>
      </c>
      <c r="J2503">
        <v>0</v>
      </c>
      <c r="K2503">
        <v>0</v>
      </c>
      <c r="L2503">
        <v>1</v>
      </c>
      <c r="M2503">
        <v>3</v>
      </c>
      <c r="N2503">
        <v>3</v>
      </c>
      <c r="P2503">
        <v>0</v>
      </c>
      <c r="Q2503">
        <v>0</v>
      </c>
      <c r="R2503">
        <v>0</v>
      </c>
      <c r="S2503">
        <v>1</v>
      </c>
    </row>
    <row r="2504" spans="1:19" hidden="1" x14ac:dyDescent="0.35">
      <c r="A2504">
        <v>59146301200</v>
      </c>
      <c r="B2504" t="s">
        <v>2509</v>
      </c>
      <c r="C2504" t="str">
        <f>_xlfn.XLOOKUP(A2504,[1]Affiliations!$J$2:$J$5328,[1]Affiliations!$K$2:$K$5328,0)</f>
        <v>Universidade Federal do Rio Grande do Sul</v>
      </c>
      <c r="D2504">
        <v>1</v>
      </c>
      <c r="E2504">
        <v>1</v>
      </c>
      <c r="F2504">
        <v>1</v>
      </c>
      <c r="G2504">
        <v>1</v>
      </c>
      <c r="H2504">
        <v>0.22</v>
      </c>
      <c r="I2504">
        <v>0</v>
      </c>
      <c r="J2504">
        <v>0</v>
      </c>
      <c r="K2504">
        <v>0</v>
      </c>
      <c r="L2504">
        <v>1</v>
      </c>
      <c r="M2504">
        <v>1</v>
      </c>
      <c r="N2504">
        <v>1</v>
      </c>
      <c r="P2504">
        <v>0</v>
      </c>
      <c r="Q2504">
        <v>0</v>
      </c>
      <c r="R2504">
        <v>0</v>
      </c>
      <c r="S2504">
        <v>0</v>
      </c>
    </row>
    <row r="2505" spans="1:19" x14ac:dyDescent="0.35">
      <c r="A2505">
        <v>54989568600</v>
      </c>
      <c r="B2505" t="s">
        <v>65</v>
      </c>
      <c r="C2505" t="str">
        <f>_xlfn.XLOOKUP(A2505,[1]Affiliations!$J$2:$J$5328,[1]Affiliations!$K$2:$K$5328,0)</f>
        <v>Instituto Nacional de Tecnologia</v>
      </c>
      <c r="D2505">
        <v>16</v>
      </c>
      <c r="E2505">
        <v>601</v>
      </c>
      <c r="F2505">
        <v>37.5625</v>
      </c>
      <c r="G2505">
        <v>11</v>
      </c>
      <c r="H2505">
        <v>0.95</v>
      </c>
      <c r="I2505">
        <v>0</v>
      </c>
      <c r="J2505">
        <v>1</v>
      </c>
      <c r="K2505">
        <v>6</v>
      </c>
      <c r="L2505">
        <v>14</v>
      </c>
      <c r="M2505">
        <v>16</v>
      </c>
      <c r="N2505">
        <v>16</v>
      </c>
      <c r="P2505">
        <v>1</v>
      </c>
      <c r="Q2505">
        <v>1</v>
      </c>
      <c r="R2505">
        <v>3</v>
      </c>
      <c r="S2505">
        <v>10</v>
      </c>
    </row>
    <row r="2506" spans="1:19" hidden="1" x14ac:dyDescent="0.35">
      <c r="A2506">
        <v>55804372300</v>
      </c>
      <c r="B2506" t="s">
        <v>2511</v>
      </c>
      <c r="C2506" t="str">
        <f>_xlfn.XLOOKUP(A2506,[1]Affiliations!$J$2:$J$5328,[1]Affiliations!$K$2:$K$5328,0)</f>
        <v>Universidade Federal Rural do Rio de Janeiro (+1 more)</v>
      </c>
      <c r="D2506">
        <v>0</v>
      </c>
      <c r="G2506">
        <v>2</v>
      </c>
    </row>
    <row r="2507" spans="1:19" hidden="1" x14ac:dyDescent="0.35">
      <c r="A2507">
        <v>57223245072</v>
      </c>
      <c r="B2507" t="s">
        <v>2512</v>
      </c>
      <c r="C2507">
        <f>_xlfn.XLOOKUP(A2507,[1]Affiliations!$J$2:$J$5328,[1]Affiliations!$K$2:$K$5328,0)</f>
        <v>0</v>
      </c>
      <c r="D2507">
        <v>2</v>
      </c>
      <c r="E2507">
        <v>10</v>
      </c>
      <c r="F2507">
        <v>5</v>
      </c>
      <c r="G2507">
        <v>2</v>
      </c>
      <c r="H2507">
        <v>0.28000000000000003</v>
      </c>
      <c r="I2507">
        <v>0</v>
      </c>
      <c r="J2507">
        <v>0</v>
      </c>
      <c r="K2507">
        <v>0</v>
      </c>
      <c r="L2507">
        <v>0</v>
      </c>
      <c r="M2507">
        <v>1</v>
      </c>
      <c r="N2507">
        <v>2</v>
      </c>
      <c r="P2507">
        <v>0</v>
      </c>
      <c r="Q2507">
        <v>0</v>
      </c>
      <c r="R2507">
        <v>0</v>
      </c>
      <c r="S2507">
        <v>0</v>
      </c>
    </row>
    <row r="2508" spans="1:19" hidden="1" x14ac:dyDescent="0.35">
      <c r="A2508">
        <v>57214936648</v>
      </c>
      <c r="B2508" t="s">
        <v>2513</v>
      </c>
      <c r="C2508" t="str">
        <f>_xlfn.XLOOKUP(A2508,[1]Affiliations!$J$2:$J$5328,[1]Affiliations!$K$2:$K$5328,0)</f>
        <v>Universidade Federal de Alagoas</v>
      </c>
      <c r="D2508">
        <v>4</v>
      </c>
      <c r="E2508">
        <v>24</v>
      </c>
      <c r="F2508">
        <v>6</v>
      </c>
      <c r="G2508">
        <v>2</v>
      </c>
      <c r="H2508">
        <v>0.3</v>
      </c>
      <c r="I2508">
        <v>0</v>
      </c>
      <c r="J2508">
        <v>1</v>
      </c>
      <c r="K2508">
        <v>1</v>
      </c>
      <c r="L2508">
        <v>2</v>
      </c>
      <c r="M2508">
        <v>2</v>
      </c>
      <c r="N2508">
        <v>2</v>
      </c>
      <c r="P2508">
        <v>0</v>
      </c>
      <c r="Q2508">
        <v>0</v>
      </c>
      <c r="R2508">
        <v>0</v>
      </c>
      <c r="S2508">
        <v>0</v>
      </c>
    </row>
    <row r="2509" spans="1:19" x14ac:dyDescent="0.35">
      <c r="A2509">
        <v>16174439400</v>
      </c>
      <c r="B2509" t="s">
        <v>337</v>
      </c>
      <c r="C2509" t="str">
        <f>_xlfn.XLOOKUP(A2509,[1]Affiliations!$J$2:$J$5328,[1]Affiliations!$K$2:$K$5328,0)</f>
        <v>Universidade Federal de Itajubá</v>
      </c>
      <c r="D2509">
        <v>88</v>
      </c>
      <c r="E2509">
        <v>1532</v>
      </c>
      <c r="F2509">
        <v>17.409089999999999</v>
      </c>
      <c r="G2509">
        <v>28</v>
      </c>
      <c r="H2509">
        <v>0.95</v>
      </c>
      <c r="I2509">
        <v>2</v>
      </c>
      <c r="J2509">
        <v>16</v>
      </c>
      <c r="K2509">
        <v>23</v>
      </c>
      <c r="L2509">
        <v>57</v>
      </c>
      <c r="M2509">
        <v>69</v>
      </c>
      <c r="N2509">
        <v>80</v>
      </c>
      <c r="P2509">
        <v>0</v>
      </c>
      <c r="Q2509">
        <v>3</v>
      </c>
      <c r="R2509">
        <v>8</v>
      </c>
      <c r="S2509">
        <v>31</v>
      </c>
    </row>
    <row r="2510" spans="1:19" hidden="1" x14ac:dyDescent="0.35">
      <c r="A2510">
        <v>14821868500</v>
      </c>
      <c r="B2510" t="s">
        <v>2515</v>
      </c>
      <c r="C2510" t="str">
        <f>_xlfn.XLOOKUP(A2510,[1]Affiliations!$J$2:$J$5328,[1]Affiliations!$K$2:$K$5328,0)</f>
        <v>Universidade Estadual Paulista “Júlio de Mesquita Filho”</v>
      </c>
      <c r="D2510">
        <v>19</v>
      </c>
      <c r="E2510">
        <v>260</v>
      </c>
      <c r="F2510">
        <v>13.684210999999999</v>
      </c>
      <c r="G2510">
        <v>12</v>
      </c>
      <c r="H2510">
        <v>0.61</v>
      </c>
      <c r="I2510">
        <v>0</v>
      </c>
      <c r="J2510">
        <v>1</v>
      </c>
      <c r="K2510">
        <v>2</v>
      </c>
      <c r="L2510">
        <v>8</v>
      </c>
      <c r="M2510">
        <v>16</v>
      </c>
      <c r="N2510">
        <v>18</v>
      </c>
      <c r="P2510">
        <v>0</v>
      </c>
      <c r="Q2510">
        <v>0</v>
      </c>
      <c r="R2510">
        <v>0</v>
      </c>
      <c r="S2510">
        <v>6</v>
      </c>
    </row>
    <row r="2511" spans="1:19" x14ac:dyDescent="0.35">
      <c r="A2511">
        <v>57211513631</v>
      </c>
      <c r="B2511" t="s">
        <v>390</v>
      </c>
      <c r="C2511" t="str">
        <f>_xlfn.XLOOKUP(A2511,[1]Affiliations!$J$2:$J$5328,[1]Affiliations!$K$2:$K$5328,0)</f>
        <v>Federal University of Rio de Janeiro</v>
      </c>
      <c r="D2511">
        <v>7</v>
      </c>
      <c r="E2511">
        <v>107</v>
      </c>
      <c r="F2511">
        <v>15.285714</v>
      </c>
      <c r="G2511">
        <v>4</v>
      </c>
      <c r="H2511">
        <v>0.95</v>
      </c>
      <c r="I2511">
        <v>0</v>
      </c>
      <c r="J2511">
        <v>1</v>
      </c>
      <c r="K2511">
        <v>2</v>
      </c>
      <c r="L2511">
        <v>4</v>
      </c>
      <c r="M2511">
        <v>4</v>
      </c>
      <c r="N2511">
        <v>5</v>
      </c>
      <c r="P2511">
        <v>0</v>
      </c>
      <c r="Q2511">
        <v>0</v>
      </c>
      <c r="R2511">
        <v>1</v>
      </c>
      <c r="S2511">
        <v>2</v>
      </c>
    </row>
    <row r="2512" spans="1:19" x14ac:dyDescent="0.35">
      <c r="A2512">
        <v>57195509203</v>
      </c>
      <c r="B2512" t="s">
        <v>630</v>
      </c>
      <c r="C2512" t="str">
        <f>_xlfn.XLOOKUP(A2512,[1]Affiliations!$J$2:$J$5328,[1]Affiliations!$K$2:$K$5328,0)</f>
        <v>Universidade Federal de Santa Maria</v>
      </c>
      <c r="D2512">
        <v>9</v>
      </c>
      <c r="E2512">
        <v>131</v>
      </c>
      <c r="F2512">
        <v>14.555555</v>
      </c>
      <c r="G2512">
        <v>7</v>
      </c>
      <c r="H2512">
        <v>0.95</v>
      </c>
      <c r="I2512">
        <v>0</v>
      </c>
      <c r="J2512">
        <v>2</v>
      </c>
      <c r="K2512">
        <v>2</v>
      </c>
      <c r="L2512">
        <v>8</v>
      </c>
      <c r="M2512">
        <v>8</v>
      </c>
      <c r="N2512">
        <v>9</v>
      </c>
      <c r="P2512">
        <v>0</v>
      </c>
      <c r="Q2512">
        <v>1</v>
      </c>
      <c r="R2512">
        <v>2</v>
      </c>
      <c r="S2512">
        <v>4</v>
      </c>
    </row>
    <row r="2513" spans="1:19" hidden="1" x14ac:dyDescent="0.35">
      <c r="A2513">
        <v>57200259626</v>
      </c>
      <c r="B2513" t="s">
        <v>2518</v>
      </c>
      <c r="C2513" t="str">
        <f>_xlfn.XLOOKUP(A2513,[1]Affiliations!$J$2:$J$5328,[1]Affiliations!$K$2:$K$5328,0)</f>
        <v>Federal University of Rio de Janeiro</v>
      </c>
      <c r="D2513">
        <v>2</v>
      </c>
      <c r="E2513">
        <v>6</v>
      </c>
      <c r="F2513">
        <v>3</v>
      </c>
      <c r="G2513">
        <v>1</v>
      </c>
      <c r="H2513">
        <v>0.42</v>
      </c>
      <c r="P2513">
        <v>0</v>
      </c>
      <c r="Q2513">
        <v>0</v>
      </c>
      <c r="R2513">
        <v>0</v>
      </c>
      <c r="S2513">
        <v>0</v>
      </c>
    </row>
    <row r="2514" spans="1:19" hidden="1" x14ac:dyDescent="0.35">
      <c r="A2514">
        <v>57672733300</v>
      </c>
      <c r="B2514" t="s">
        <v>2519</v>
      </c>
      <c r="C2514" t="str">
        <f>_xlfn.XLOOKUP(A2514,[1]Affiliations!$J$2:$J$5328,[1]Affiliations!$K$2:$K$5328,0)</f>
        <v>Universidade Federal de Santa Maria</v>
      </c>
      <c r="D2514">
        <v>1</v>
      </c>
      <c r="E2514">
        <v>16</v>
      </c>
      <c r="F2514">
        <v>16</v>
      </c>
      <c r="G2514">
        <v>1</v>
      </c>
      <c r="H2514">
        <v>1.02</v>
      </c>
      <c r="I2514">
        <v>0</v>
      </c>
      <c r="J2514">
        <v>1</v>
      </c>
      <c r="K2514">
        <v>1</v>
      </c>
      <c r="L2514">
        <v>1</v>
      </c>
      <c r="M2514">
        <v>1</v>
      </c>
      <c r="N2514">
        <v>1</v>
      </c>
      <c r="P2514">
        <v>0</v>
      </c>
      <c r="Q2514">
        <v>0</v>
      </c>
      <c r="R2514">
        <v>0</v>
      </c>
      <c r="S2514">
        <v>1</v>
      </c>
    </row>
    <row r="2515" spans="1:19" hidden="1" x14ac:dyDescent="0.35">
      <c r="A2515">
        <v>22957824800</v>
      </c>
      <c r="B2515" t="s">
        <v>2520</v>
      </c>
      <c r="C2515" t="str">
        <f>_xlfn.XLOOKUP(A2515,[1]Affiliations!$J$2:$J$5328,[1]Affiliations!$K$2:$K$5328,0)</f>
        <v>Universidade Federal do Rio Grande do Sul</v>
      </c>
      <c r="D2515">
        <v>1</v>
      </c>
      <c r="E2515">
        <v>16</v>
      </c>
      <c r="F2515">
        <v>16</v>
      </c>
      <c r="G2515">
        <v>7</v>
      </c>
      <c r="H2515">
        <v>0.84</v>
      </c>
      <c r="I2515">
        <v>0</v>
      </c>
      <c r="J2515">
        <v>0</v>
      </c>
      <c r="K2515">
        <v>0</v>
      </c>
      <c r="L2515">
        <v>0</v>
      </c>
      <c r="M2515">
        <v>1</v>
      </c>
      <c r="N2515">
        <v>1</v>
      </c>
      <c r="P2515">
        <v>0</v>
      </c>
      <c r="Q2515">
        <v>0</v>
      </c>
      <c r="R2515">
        <v>0</v>
      </c>
      <c r="S2515">
        <v>0</v>
      </c>
    </row>
    <row r="2516" spans="1:19" hidden="1" x14ac:dyDescent="0.35">
      <c r="A2516">
        <v>56560066000</v>
      </c>
      <c r="B2516" t="s">
        <v>2521</v>
      </c>
      <c r="C2516" t="str">
        <f>_xlfn.XLOOKUP(A2516,[1]Affiliations!$J$2:$J$5328,[1]Affiliations!$K$2:$K$5328,0)</f>
        <v>Universidade Federal de Santa Maria</v>
      </c>
      <c r="D2516">
        <v>3</v>
      </c>
      <c r="E2516">
        <v>33</v>
      </c>
      <c r="F2516">
        <v>11</v>
      </c>
      <c r="G2516">
        <v>3</v>
      </c>
      <c r="H2516">
        <v>0.49</v>
      </c>
      <c r="I2516">
        <v>0</v>
      </c>
      <c r="J2516">
        <v>0</v>
      </c>
      <c r="K2516">
        <v>2</v>
      </c>
      <c r="L2516">
        <v>2</v>
      </c>
      <c r="M2516">
        <v>3</v>
      </c>
      <c r="N2516">
        <v>3</v>
      </c>
      <c r="P2516">
        <v>0</v>
      </c>
      <c r="Q2516">
        <v>0</v>
      </c>
      <c r="R2516">
        <v>0</v>
      </c>
      <c r="S2516">
        <v>0</v>
      </c>
    </row>
    <row r="2517" spans="1:19" x14ac:dyDescent="0.35">
      <c r="A2517">
        <v>55191597100</v>
      </c>
      <c r="B2517" t="s">
        <v>1643</v>
      </c>
      <c r="C2517" t="str">
        <f>_xlfn.XLOOKUP(A2517,[1]Affiliations!$J$2:$J$5328,[1]Affiliations!$K$2:$K$5328,0)</f>
        <v>Vizlab - X-Reality and GeoInformatics Lab (+1 more)</v>
      </c>
      <c r="D2517">
        <v>66</v>
      </c>
      <c r="E2517">
        <v>988</v>
      </c>
      <c r="F2517">
        <v>14.969697</v>
      </c>
      <c r="G2517">
        <v>24</v>
      </c>
      <c r="H2517">
        <v>0.95</v>
      </c>
      <c r="I2517">
        <v>3</v>
      </c>
      <c r="J2517">
        <v>7</v>
      </c>
      <c r="K2517">
        <v>12</v>
      </c>
      <c r="L2517">
        <v>35</v>
      </c>
      <c r="M2517">
        <v>52</v>
      </c>
      <c r="N2517">
        <v>59</v>
      </c>
      <c r="P2517">
        <v>0</v>
      </c>
      <c r="Q2517">
        <v>0</v>
      </c>
      <c r="R2517">
        <v>4</v>
      </c>
      <c r="S2517">
        <v>22</v>
      </c>
    </row>
    <row r="2518" spans="1:19" x14ac:dyDescent="0.35">
      <c r="A2518">
        <v>36699482400</v>
      </c>
      <c r="B2518" t="s">
        <v>2240</v>
      </c>
      <c r="C2518" t="str">
        <f>_xlfn.XLOOKUP(A2518,[1]Affiliations!$J$2:$J$5328,[1]Affiliations!$K$2:$K$5328,0)</f>
        <v>Universidade Federal Fluminense</v>
      </c>
      <c r="D2518">
        <v>56</v>
      </c>
      <c r="E2518">
        <v>1130</v>
      </c>
      <c r="F2518">
        <v>20.178571999999999</v>
      </c>
      <c r="G2518">
        <v>16</v>
      </c>
      <c r="H2518">
        <v>0.95</v>
      </c>
      <c r="I2518">
        <v>0</v>
      </c>
      <c r="J2518">
        <v>10</v>
      </c>
      <c r="K2518">
        <v>11</v>
      </c>
      <c r="L2518">
        <v>18</v>
      </c>
      <c r="M2518">
        <v>28</v>
      </c>
      <c r="N2518">
        <v>37</v>
      </c>
      <c r="P2518">
        <v>3</v>
      </c>
      <c r="Q2518">
        <v>7</v>
      </c>
      <c r="R2518">
        <v>8</v>
      </c>
      <c r="S2518">
        <v>16</v>
      </c>
    </row>
    <row r="2519" spans="1:19" x14ac:dyDescent="0.35">
      <c r="A2519">
        <v>6603060000</v>
      </c>
      <c r="B2519" t="s">
        <v>2343</v>
      </c>
      <c r="C2519" t="str">
        <f>_xlfn.XLOOKUP(A2519,[1]Affiliations!$J$2:$J$5328,[1]Affiliations!$K$2:$K$5328,0)</f>
        <v>Universidade de Brasília</v>
      </c>
      <c r="D2519">
        <v>98</v>
      </c>
      <c r="E2519">
        <v>1805</v>
      </c>
      <c r="F2519">
        <v>18.418367</v>
      </c>
      <c r="G2519">
        <v>39</v>
      </c>
      <c r="H2519">
        <v>0.95</v>
      </c>
      <c r="I2519">
        <v>2</v>
      </c>
      <c r="J2519">
        <v>9</v>
      </c>
      <c r="K2519">
        <v>22</v>
      </c>
      <c r="L2519">
        <v>51</v>
      </c>
      <c r="M2519">
        <v>93</v>
      </c>
      <c r="N2519">
        <v>96</v>
      </c>
      <c r="P2519">
        <v>0</v>
      </c>
      <c r="Q2519">
        <v>2</v>
      </c>
      <c r="R2519">
        <v>9</v>
      </c>
      <c r="S2519">
        <v>40</v>
      </c>
    </row>
    <row r="2520" spans="1:19" hidden="1" x14ac:dyDescent="0.35">
      <c r="A2520">
        <v>57195629737</v>
      </c>
      <c r="B2520" t="s">
        <v>2525</v>
      </c>
      <c r="C2520" t="str">
        <f>_xlfn.XLOOKUP(A2520,[1]Affiliations!$J$2:$J$5328,[1]Affiliations!$K$2:$K$5328,0)</f>
        <v>Engineering Simulation and Scientific Software</v>
      </c>
      <c r="D2520">
        <v>2</v>
      </c>
      <c r="E2520">
        <v>6</v>
      </c>
      <c r="F2520">
        <v>3</v>
      </c>
      <c r="G2520">
        <v>2</v>
      </c>
      <c r="H2520">
        <v>0.28999999999999998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1</v>
      </c>
      <c r="P2520">
        <v>0</v>
      </c>
      <c r="Q2520">
        <v>0</v>
      </c>
      <c r="R2520">
        <v>0</v>
      </c>
      <c r="S2520">
        <v>0</v>
      </c>
    </row>
    <row r="2521" spans="1:19" hidden="1" x14ac:dyDescent="0.35">
      <c r="A2521">
        <v>57216916701</v>
      </c>
      <c r="B2521" t="s">
        <v>2526</v>
      </c>
      <c r="C2521" t="str">
        <f>_xlfn.XLOOKUP(A2521,[1]Affiliations!$J$2:$J$5328,[1]Affiliations!$K$2:$K$5328,0)</f>
        <v>Pontifical Catholic University of Rio de Janeiro</v>
      </c>
      <c r="D2521">
        <v>1</v>
      </c>
      <c r="E2521">
        <v>36</v>
      </c>
      <c r="F2521">
        <v>36</v>
      </c>
      <c r="G2521">
        <v>1</v>
      </c>
      <c r="H2521">
        <v>1.32</v>
      </c>
      <c r="I2521">
        <v>0</v>
      </c>
      <c r="J2521">
        <v>0</v>
      </c>
      <c r="K2521">
        <v>0</v>
      </c>
      <c r="L2521">
        <v>1</v>
      </c>
      <c r="M2521">
        <v>1</v>
      </c>
      <c r="N2521">
        <v>1</v>
      </c>
      <c r="P2521">
        <v>0</v>
      </c>
      <c r="Q2521">
        <v>0</v>
      </c>
      <c r="R2521">
        <v>0</v>
      </c>
      <c r="S2521">
        <v>1</v>
      </c>
    </row>
    <row r="2522" spans="1:19" hidden="1" x14ac:dyDescent="0.35">
      <c r="A2522">
        <v>57202776942</v>
      </c>
      <c r="B2522" t="s">
        <v>2527</v>
      </c>
      <c r="C2522" t="str">
        <f>_xlfn.XLOOKUP(A2522,[1]Affiliations!$J$2:$J$5328,[1]Affiliations!$K$2:$K$5328,0)</f>
        <v>Universidade Federal Rural do Rio de Janeiro</v>
      </c>
      <c r="D2522">
        <v>6</v>
      </c>
      <c r="E2522">
        <v>83</v>
      </c>
      <c r="F2522">
        <v>13.833333</v>
      </c>
      <c r="G2522">
        <v>4</v>
      </c>
      <c r="H2522">
        <v>1.66</v>
      </c>
      <c r="I2522">
        <v>0</v>
      </c>
      <c r="J2522">
        <v>0</v>
      </c>
      <c r="K2522">
        <v>0</v>
      </c>
      <c r="L2522">
        <v>1</v>
      </c>
      <c r="M2522">
        <v>1</v>
      </c>
      <c r="N2522">
        <v>4</v>
      </c>
      <c r="P2522">
        <v>0</v>
      </c>
      <c r="Q2522">
        <v>0</v>
      </c>
      <c r="R2522">
        <v>1</v>
      </c>
      <c r="S2522">
        <v>1</v>
      </c>
    </row>
    <row r="2523" spans="1:19" hidden="1" x14ac:dyDescent="0.35">
      <c r="A2523">
        <v>57210561192</v>
      </c>
      <c r="B2523" t="s">
        <v>2528</v>
      </c>
      <c r="C2523" t="str">
        <f>_xlfn.XLOOKUP(A2523,[1]Affiliations!$J$2:$J$5328,[1]Affiliations!$K$2:$K$5328,0)</f>
        <v>Federal University of Rio de Janeiro</v>
      </c>
      <c r="D2523">
        <v>1</v>
      </c>
      <c r="E2523">
        <v>15</v>
      </c>
      <c r="F2523">
        <v>15</v>
      </c>
      <c r="G2523">
        <v>1</v>
      </c>
      <c r="H2523">
        <v>0.75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P2523">
        <v>0</v>
      </c>
      <c r="Q2523">
        <v>0</v>
      </c>
      <c r="R2523">
        <v>0</v>
      </c>
      <c r="S2523">
        <v>0</v>
      </c>
    </row>
    <row r="2524" spans="1:19" hidden="1" x14ac:dyDescent="0.35">
      <c r="A2524">
        <v>57191405066</v>
      </c>
      <c r="B2524" t="s">
        <v>2529</v>
      </c>
      <c r="C2524" t="str">
        <f>_xlfn.XLOOKUP(A2524,[1]Affiliations!$J$2:$J$5328,[1]Affiliations!$K$2:$K$5328,0)</f>
        <v>Federal University of Rio de Janeiro</v>
      </c>
      <c r="D2524">
        <v>9</v>
      </c>
      <c r="E2524">
        <v>107</v>
      </c>
      <c r="F2524">
        <v>11.888889000000001</v>
      </c>
      <c r="G2524">
        <v>6</v>
      </c>
      <c r="H2524">
        <v>0.44</v>
      </c>
      <c r="I2524">
        <v>0</v>
      </c>
      <c r="J2524">
        <v>2</v>
      </c>
      <c r="K2524">
        <v>2</v>
      </c>
      <c r="L2524">
        <v>5</v>
      </c>
      <c r="M2524">
        <v>7</v>
      </c>
      <c r="N2524">
        <v>7</v>
      </c>
      <c r="P2524">
        <v>0</v>
      </c>
      <c r="Q2524">
        <v>0</v>
      </c>
      <c r="R2524">
        <v>0</v>
      </c>
      <c r="S2524">
        <v>3</v>
      </c>
    </row>
    <row r="2525" spans="1:19" hidden="1" x14ac:dyDescent="0.35">
      <c r="A2525">
        <v>55345345000</v>
      </c>
      <c r="B2525" t="s">
        <v>2530</v>
      </c>
      <c r="C2525" t="str">
        <f>_xlfn.XLOOKUP(A2525,[1]Affiliations!$J$2:$J$5328,[1]Affiliations!$K$2:$K$5328,0)</f>
        <v>Instituto Instituto Federal de Educação, Ciência e Tecnologia Sul-rio-grandense</v>
      </c>
      <c r="D2525">
        <v>0</v>
      </c>
      <c r="G2525">
        <v>2</v>
      </c>
    </row>
    <row r="2526" spans="1:19" x14ac:dyDescent="0.35">
      <c r="A2526">
        <v>7007052106</v>
      </c>
      <c r="B2526" t="s">
        <v>2425</v>
      </c>
      <c r="C2526" t="str">
        <f>_xlfn.XLOOKUP(A2526,[1]Affiliations!$J$2:$J$5328,[1]Affiliations!$K$2:$K$5328,0)</f>
        <v>Centro Nacional de Pesquisa em Energia e Materiais</v>
      </c>
      <c r="D2526">
        <v>67</v>
      </c>
      <c r="E2526">
        <v>1484</v>
      </c>
      <c r="F2526">
        <v>22.149253999999999</v>
      </c>
      <c r="G2526">
        <v>29</v>
      </c>
      <c r="H2526">
        <v>0.95</v>
      </c>
      <c r="I2526">
        <v>6</v>
      </c>
      <c r="J2526">
        <v>21</v>
      </c>
      <c r="K2526">
        <v>41</v>
      </c>
      <c r="L2526">
        <v>56</v>
      </c>
      <c r="M2526">
        <v>63</v>
      </c>
      <c r="N2526">
        <v>63</v>
      </c>
      <c r="P2526">
        <v>0</v>
      </c>
      <c r="Q2526">
        <v>4</v>
      </c>
      <c r="R2526">
        <v>10</v>
      </c>
      <c r="S2526">
        <v>28</v>
      </c>
    </row>
    <row r="2527" spans="1:19" hidden="1" x14ac:dyDescent="0.35">
      <c r="A2527">
        <v>57193862855</v>
      </c>
      <c r="B2527" t="s">
        <v>2532</v>
      </c>
      <c r="C2527" t="str">
        <f>_xlfn.XLOOKUP(A2527,[1]Affiliations!$J$2:$J$5328,[1]Affiliations!$K$2:$K$5328,0)</f>
        <v>Universidade Federal de Uberlândia</v>
      </c>
      <c r="D2527">
        <v>2</v>
      </c>
      <c r="E2527">
        <v>3</v>
      </c>
      <c r="F2527">
        <v>1.5</v>
      </c>
      <c r="G2527">
        <v>1</v>
      </c>
      <c r="H2527">
        <v>0.1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1</v>
      </c>
      <c r="P2527">
        <v>0</v>
      </c>
      <c r="Q2527">
        <v>0</v>
      </c>
      <c r="R2527">
        <v>0</v>
      </c>
      <c r="S2527">
        <v>0</v>
      </c>
    </row>
    <row r="2528" spans="1:19" x14ac:dyDescent="0.35">
      <c r="A2528">
        <v>7401644666</v>
      </c>
      <c r="B2528" t="s">
        <v>2630</v>
      </c>
      <c r="C2528" t="str">
        <f>_xlfn.XLOOKUP(A2528,[1]Affiliations!$J$2:$J$5328,[1]Affiliations!$K$2:$K$5328,0)</f>
        <v>Federal University of Rio de Janeiro</v>
      </c>
      <c r="D2528">
        <v>49</v>
      </c>
      <c r="E2528">
        <v>501</v>
      </c>
      <c r="F2528">
        <v>10.224489999999999</v>
      </c>
      <c r="G2528">
        <v>34</v>
      </c>
      <c r="H2528">
        <v>0.95</v>
      </c>
      <c r="I2528">
        <v>1</v>
      </c>
      <c r="J2528">
        <v>5</v>
      </c>
      <c r="K2528">
        <v>9</v>
      </c>
      <c r="L2528">
        <v>12</v>
      </c>
      <c r="M2528">
        <v>21</v>
      </c>
      <c r="N2528">
        <v>33</v>
      </c>
      <c r="P2528">
        <v>0</v>
      </c>
      <c r="Q2528">
        <v>0</v>
      </c>
      <c r="R2528">
        <v>2</v>
      </c>
      <c r="S2528">
        <v>14</v>
      </c>
    </row>
    <row r="2529" spans="1:19" x14ac:dyDescent="0.35">
      <c r="A2529">
        <v>7101855424</v>
      </c>
      <c r="B2529" t="s">
        <v>2974</v>
      </c>
      <c r="C2529" t="str">
        <f>_xlfn.XLOOKUP(A2529,[1]Affiliations!$J$2:$J$5328,[1]Affiliations!$K$2:$K$5328,0)</f>
        <v>Federal University of Rio de Janeiro</v>
      </c>
      <c r="D2529">
        <v>220</v>
      </c>
      <c r="E2529">
        <v>3348</v>
      </c>
      <c r="F2529">
        <v>15.218182000000001</v>
      </c>
      <c r="G2529">
        <v>37</v>
      </c>
      <c r="H2529">
        <v>0.95</v>
      </c>
      <c r="I2529">
        <v>1</v>
      </c>
      <c r="J2529">
        <v>36</v>
      </c>
      <c r="K2529">
        <v>54</v>
      </c>
      <c r="L2529">
        <v>82</v>
      </c>
      <c r="M2529">
        <v>146</v>
      </c>
      <c r="N2529">
        <v>196</v>
      </c>
      <c r="P2529">
        <v>0</v>
      </c>
      <c r="Q2529">
        <v>3</v>
      </c>
      <c r="R2529">
        <v>20</v>
      </c>
      <c r="S2529">
        <v>55</v>
      </c>
    </row>
    <row r="2530" spans="1:19" hidden="1" x14ac:dyDescent="0.35">
      <c r="A2530">
        <v>57190136212</v>
      </c>
      <c r="B2530" t="s">
        <v>2535</v>
      </c>
      <c r="C2530" t="str">
        <f>_xlfn.XLOOKUP(A2530,[1]Affiliations!$J$2:$J$5328,[1]Affiliations!$K$2:$K$5328,0)</f>
        <v>Universidade Federal de Minas Gerais (+1 more)</v>
      </c>
      <c r="D2530">
        <v>3</v>
      </c>
      <c r="E2530">
        <v>44</v>
      </c>
      <c r="F2530">
        <v>14.666667</v>
      </c>
      <c r="G2530">
        <v>3</v>
      </c>
      <c r="H2530">
        <v>0.5</v>
      </c>
      <c r="I2530">
        <v>0</v>
      </c>
      <c r="J2530">
        <v>0</v>
      </c>
      <c r="K2530">
        <v>0</v>
      </c>
      <c r="L2530">
        <v>3</v>
      </c>
      <c r="M2530">
        <v>3</v>
      </c>
      <c r="N2530">
        <v>3</v>
      </c>
      <c r="P2530">
        <v>0</v>
      </c>
      <c r="Q2530">
        <v>0</v>
      </c>
      <c r="R2530">
        <v>0</v>
      </c>
      <c r="S2530">
        <v>1</v>
      </c>
    </row>
    <row r="2531" spans="1:19" hidden="1" x14ac:dyDescent="0.35">
      <c r="A2531">
        <v>8408006800</v>
      </c>
      <c r="B2531" t="s">
        <v>2536</v>
      </c>
      <c r="C2531" t="str">
        <f>_xlfn.XLOOKUP(A2531,[1]Affiliations!$J$2:$J$5328,[1]Affiliations!$K$2:$K$5328,0)</f>
        <v>Universidade do Estado do Rio de Janeiro (+1 more)</v>
      </c>
      <c r="D2531">
        <v>14</v>
      </c>
      <c r="E2531">
        <v>138</v>
      </c>
      <c r="F2531">
        <v>9.8571419999999996</v>
      </c>
      <c r="G2531">
        <v>8</v>
      </c>
      <c r="H2531">
        <v>0.6</v>
      </c>
      <c r="I2531">
        <v>0</v>
      </c>
      <c r="J2531">
        <v>0</v>
      </c>
      <c r="K2531">
        <v>0</v>
      </c>
      <c r="L2531">
        <v>1</v>
      </c>
      <c r="M2531">
        <v>6</v>
      </c>
      <c r="N2531">
        <v>7</v>
      </c>
      <c r="P2531">
        <v>0</v>
      </c>
      <c r="Q2531">
        <v>0</v>
      </c>
      <c r="R2531">
        <v>0</v>
      </c>
      <c r="S2531">
        <v>4</v>
      </c>
    </row>
    <row r="2532" spans="1:19" x14ac:dyDescent="0.35">
      <c r="A2532">
        <v>57204951658</v>
      </c>
      <c r="B2532" t="s">
        <v>3031</v>
      </c>
      <c r="C2532" t="str">
        <f>_xlfn.XLOOKUP(A2532,[1]Affiliations!$J$2:$J$5328,[1]Affiliations!$K$2:$K$5328,0)</f>
        <v>Universidade Federal de Pernambuco</v>
      </c>
      <c r="D2532">
        <v>13</v>
      </c>
      <c r="E2532">
        <v>109</v>
      </c>
      <c r="F2532">
        <v>8.3846150000000002</v>
      </c>
      <c r="G2532">
        <v>6</v>
      </c>
      <c r="H2532">
        <v>0.95</v>
      </c>
      <c r="I2532">
        <v>0</v>
      </c>
      <c r="J2532">
        <v>2</v>
      </c>
      <c r="K2532">
        <v>3</v>
      </c>
      <c r="L2532">
        <v>4</v>
      </c>
      <c r="M2532">
        <v>5</v>
      </c>
      <c r="N2532">
        <v>5</v>
      </c>
      <c r="P2532">
        <v>0</v>
      </c>
      <c r="Q2532">
        <v>1</v>
      </c>
      <c r="R2532">
        <v>2</v>
      </c>
      <c r="S2532">
        <v>3</v>
      </c>
    </row>
    <row r="2533" spans="1:19" hidden="1" x14ac:dyDescent="0.35">
      <c r="A2533">
        <v>57218297410</v>
      </c>
      <c r="B2533" t="s">
        <v>2538</v>
      </c>
      <c r="C2533" t="str">
        <f>_xlfn.XLOOKUP(A2533,[1]Affiliations!$J$2:$J$5328,[1]Affiliations!$K$2:$K$5328,0)</f>
        <v>Federal University of Rio de Janeiro</v>
      </c>
      <c r="D2533">
        <v>5</v>
      </c>
      <c r="E2533">
        <v>18</v>
      </c>
      <c r="F2533">
        <v>3.6</v>
      </c>
      <c r="G2533">
        <v>3</v>
      </c>
      <c r="H2533">
        <v>0.23</v>
      </c>
      <c r="I2533">
        <v>0</v>
      </c>
      <c r="J2533">
        <v>1</v>
      </c>
      <c r="K2533">
        <v>2</v>
      </c>
      <c r="L2533">
        <v>3</v>
      </c>
      <c r="M2533">
        <v>3</v>
      </c>
      <c r="N2533">
        <v>4</v>
      </c>
      <c r="P2533">
        <v>0</v>
      </c>
      <c r="Q2533">
        <v>0</v>
      </c>
      <c r="R2533">
        <v>0</v>
      </c>
      <c r="S2533">
        <v>0</v>
      </c>
    </row>
    <row r="2534" spans="1:19" hidden="1" x14ac:dyDescent="0.35">
      <c r="A2534">
        <v>58857939000</v>
      </c>
      <c r="B2534" t="s">
        <v>2539</v>
      </c>
      <c r="C2534" t="str">
        <f>_xlfn.XLOOKUP(A2534,[1]Affiliations!$J$2:$J$5328,[1]Affiliations!$K$2:$K$5328,0)</f>
        <v>Federal University of Rio de Janeiro</v>
      </c>
      <c r="D2534">
        <v>0</v>
      </c>
      <c r="G2534">
        <v>0</v>
      </c>
    </row>
    <row r="2535" spans="1:19" hidden="1" x14ac:dyDescent="0.35">
      <c r="A2535">
        <v>56208041500</v>
      </c>
      <c r="B2535" t="s">
        <v>2540</v>
      </c>
      <c r="C2535" t="str">
        <f>_xlfn.XLOOKUP(A2535,[1]Affiliations!$J$2:$J$5328,[1]Affiliations!$K$2:$K$5328,0)</f>
        <v>Federal University of Rio de Janeiro</v>
      </c>
      <c r="D2535">
        <v>4</v>
      </c>
      <c r="E2535">
        <v>54</v>
      </c>
      <c r="F2535">
        <v>13.5</v>
      </c>
      <c r="G2535">
        <v>5</v>
      </c>
      <c r="H2535">
        <v>0.15</v>
      </c>
      <c r="I2535">
        <v>0</v>
      </c>
      <c r="J2535">
        <v>0</v>
      </c>
      <c r="K2535">
        <v>1</v>
      </c>
      <c r="L2535">
        <v>1</v>
      </c>
      <c r="M2535">
        <v>1</v>
      </c>
      <c r="N2535">
        <v>2</v>
      </c>
      <c r="P2535">
        <v>0</v>
      </c>
      <c r="Q2535">
        <v>0</v>
      </c>
      <c r="R2535">
        <v>0</v>
      </c>
      <c r="S2535">
        <v>1</v>
      </c>
    </row>
    <row r="2536" spans="1:19" hidden="1" x14ac:dyDescent="0.35">
      <c r="A2536">
        <v>57193994751</v>
      </c>
      <c r="B2536" t="s">
        <v>2541</v>
      </c>
      <c r="C2536" t="str">
        <f>_xlfn.XLOOKUP(A2536,[1]Affiliations!$J$2:$J$5328,[1]Affiliations!$K$2:$K$5328,0)</f>
        <v>Federal University of Rio de Janeiro</v>
      </c>
      <c r="D2536">
        <v>2</v>
      </c>
      <c r="E2536">
        <v>23</v>
      </c>
      <c r="F2536">
        <v>11.5</v>
      </c>
      <c r="G2536">
        <v>2</v>
      </c>
      <c r="H2536">
        <v>0.12</v>
      </c>
      <c r="I2536">
        <v>0</v>
      </c>
      <c r="J2536">
        <v>0</v>
      </c>
      <c r="K2536">
        <v>0</v>
      </c>
      <c r="L2536">
        <v>0</v>
      </c>
      <c r="M2536">
        <v>1</v>
      </c>
      <c r="N2536">
        <v>2</v>
      </c>
      <c r="P2536">
        <v>0</v>
      </c>
      <c r="Q2536">
        <v>0</v>
      </c>
      <c r="R2536">
        <v>0</v>
      </c>
      <c r="S2536">
        <v>0</v>
      </c>
    </row>
    <row r="2537" spans="1:19" hidden="1" x14ac:dyDescent="0.35">
      <c r="A2537">
        <v>56423215500</v>
      </c>
      <c r="B2537" t="s">
        <v>2542</v>
      </c>
      <c r="C2537" t="str">
        <f>_xlfn.XLOOKUP(A2537,[1]Affiliations!$J$2:$J$5328,[1]Affiliations!$K$2:$K$5328,0)</f>
        <v>Pontifical Catholic University of Rio de Janeiro (+1 more)</v>
      </c>
      <c r="D2537">
        <v>1</v>
      </c>
      <c r="E2537">
        <v>6</v>
      </c>
      <c r="F2537">
        <v>6</v>
      </c>
      <c r="G2537">
        <v>2</v>
      </c>
      <c r="H2537">
        <v>0.17</v>
      </c>
      <c r="I2537">
        <v>0</v>
      </c>
      <c r="J2537">
        <v>0</v>
      </c>
      <c r="K2537">
        <v>1</v>
      </c>
      <c r="L2537">
        <v>1</v>
      </c>
      <c r="M2537">
        <v>1</v>
      </c>
      <c r="N2537">
        <v>1</v>
      </c>
      <c r="P2537">
        <v>0</v>
      </c>
      <c r="Q2537">
        <v>0</v>
      </c>
      <c r="R2537">
        <v>0</v>
      </c>
      <c r="S2537">
        <v>0</v>
      </c>
    </row>
    <row r="2538" spans="1:19" hidden="1" x14ac:dyDescent="0.35">
      <c r="A2538">
        <v>16416699300</v>
      </c>
      <c r="B2538" t="s">
        <v>2543</v>
      </c>
      <c r="C2538" t="str">
        <f>_xlfn.XLOOKUP(A2538,[1]Affiliations!$J$2:$J$5328,[1]Affiliations!$K$2:$K$5328,0)</f>
        <v>National Laboratory for Scientific Computation-LNCC (+1 more)</v>
      </c>
      <c r="D2538">
        <v>1</v>
      </c>
      <c r="E2538">
        <v>2</v>
      </c>
      <c r="F2538">
        <v>2</v>
      </c>
      <c r="G2538">
        <v>6</v>
      </c>
      <c r="H2538">
        <v>0.16</v>
      </c>
      <c r="I2538">
        <v>0</v>
      </c>
      <c r="J2538">
        <v>0</v>
      </c>
      <c r="K2538">
        <v>0</v>
      </c>
      <c r="L2538">
        <v>1</v>
      </c>
      <c r="M2538">
        <v>1</v>
      </c>
      <c r="N2538">
        <v>1</v>
      </c>
      <c r="P2538">
        <v>0</v>
      </c>
      <c r="Q2538">
        <v>0</v>
      </c>
      <c r="R2538">
        <v>0</v>
      </c>
      <c r="S2538">
        <v>0</v>
      </c>
    </row>
    <row r="2539" spans="1:19" hidden="1" x14ac:dyDescent="0.35">
      <c r="A2539">
        <v>57207754924</v>
      </c>
      <c r="B2539" t="s">
        <v>2544</v>
      </c>
      <c r="C2539" t="str">
        <f>_xlfn.XLOOKUP(A2539,[1]Affiliations!$J$2:$J$5328,[1]Affiliations!$K$2:$K$5328,0)</f>
        <v>Universidade Federal de Itajubá</v>
      </c>
      <c r="D2539">
        <v>11</v>
      </c>
      <c r="E2539">
        <v>94</v>
      </c>
      <c r="F2539">
        <v>8.5454550000000005</v>
      </c>
      <c r="G2539">
        <v>5</v>
      </c>
      <c r="H2539">
        <v>0.77</v>
      </c>
      <c r="I2539">
        <v>0</v>
      </c>
      <c r="J2539">
        <v>0</v>
      </c>
      <c r="K2539">
        <v>1</v>
      </c>
      <c r="L2539">
        <v>3</v>
      </c>
      <c r="M2539">
        <v>3</v>
      </c>
      <c r="N2539">
        <v>4</v>
      </c>
      <c r="P2539">
        <v>0</v>
      </c>
      <c r="Q2539">
        <v>0</v>
      </c>
      <c r="R2539">
        <v>0</v>
      </c>
      <c r="S2539">
        <v>2</v>
      </c>
    </row>
    <row r="2540" spans="1:19" x14ac:dyDescent="0.35">
      <c r="A2540">
        <v>7003359246</v>
      </c>
      <c r="B2540" t="s">
        <v>3826</v>
      </c>
      <c r="C2540" t="str">
        <f>_xlfn.XLOOKUP(A2540,[1]Affiliations!$J$2:$J$5328,[1]Affiliations!$K$2:$K$5328,0)</f>
        <v>University of Campinas</v>
      </c>
      <c r="D2540">
        <v>44</v>
      </c>
      <c r="E2540">
        <v>758</v>
      </c>
      <c r="F2540">
        <v>17.227271999999999</v>
      </c>
      <c r="G2540">
        <v>14</v>
      </c>
      <c r="H2540">
        <v>0.95</v>
      </c>
      <c r="I2540">
        <v>0</v>
      </c>
      <c r="J2540">
        <v>9</v>
      </c>
      <c r="K2540">
        <v>21</v>
      </c>
      <c r="L2540">
        <v>32</v>
      </c>
      <c r="M2540">
        <v>37</v>
      </c>
      <c r="N2540">
        <v>39</v>
      </c>
      <c r="P2540">
        <v>0</v>
      </c>
      <c r="Q2540">
        <v>2</v>
      </c>
      <c r="R2540">
        <v>4</v>
      </c>
      <c r="S2540">
        <v>16</v>
      </c>
    </row>
    <row r="2541" spans="1:19" hidden="1" x14ac:dyDescent="0.35">
      <c r="A2541">
        <v>36133080500</v>
      </c>
      <c r="B2541" t="s">
        <v>2546</v>
      </c>
      <c r="C2541" t="str">
        <f>_xlfn.XLOOKUP(A2541,[1]Affiliations!$J$2:$J$5328,[1]Affiliations!$K$2:$K$5328,0)</f>
        <v>Federal University of Rio de Janeiro</v>
      </c>
      <c r="D2541">
        <v>0</v>
      </c>
      <c r="G2541">
        <v>1</v>
      </c>
    </row>
    <row r="2542" spans="1:19" hidden="1" x14ac:dyDescent="0.35">
      <c r="A2542">
        <v>57202111174</v>
      </c>
      <c r="B2542" t="s">
        <v>2547</v>
      </c>
      <c r="C2542" t="str">
        <f>_xlfn.XLOOKUP(A2542,[1]Affiliations!$J$2:$J$5328,[1]Affiliations!$K$2:$K$5328,0)</f>
        <v>Water Services Brazil</v>
      </c>
      <c r="D2542">
        <v>5</v>
      </c>
      <c r="E2542">
        <v>20</v>
      </c>
      <c r="F2542">
        <v>4</v>
      </c>
      <c r="G2542">
        <v>2</v>
      </c>
      <c r="H2542">
        <v>0.16</v>
      </c>
      <c r="I2542">
        <v>0</v>
      </c>
      <c r="J2542">
        <v>0</v>
      </c>
      <c r="K2542">
        <v>0</v>
      </c>
      <c r="L2542">
        <v>0</v>
      </c>
      <c r="M2542">
        <v>2</v>
      </c>
      <c r="N2542">
        <v>2</v>
      </c>
      <c r="P2542">
        <v>0</v>
      </c>
      <c r="Q2542">
        <v>0</v>
      </c>
      <c r="R2542">
        <v>0</v>
      </c>
      <c r="S2542">
        <v>0</v>
      </c>
    </row>
    <row r="2543" spans="1:19" hidden="1" x14ac:dyDescent="0.35">
      <c r="A2543">
        <v>57189844784</v>
      </c>
      <c r="B2543" t="s">
        <v>2548</v>
      </c>
      <c r="C2543" t="str">
        <f>_xlfn.XLOOKUP(A2543,[1]Affiliations!$J$2:$J$5328,[1]Affiliations!$K$2:$K$5328,0)</f>
        <v>University of Campinas</v>
      </c>
      <c r="D2543">
        <v>2</v>
      </c>
      <c r="E2543">
        <v>56</v>
      </c>
      <c r="F2543">
        <v>28</v>
      </c>
      <c r="G2543">
        <v>2</v>
      </c>
      <c r="H2543">
        <v>0.72</v>
      </c>
      <c r="I2543">
        <v>0</v>
      </c>
      <c r="J2543">
        <v>0</v>
      </c>
      <c r="K2543">
        <v>1</v>
      </c>
      <c r="L2543">
        <v>2</v>
      </c>
      <c r="M2543">
        <v>2</v>
      </c>
      <c r="N2543">
        <v>2</v>
      </c>
      <c r="P2543">
        <v>0</v>
      </c>
      <c r="Q2543">
        <v>0</v>
      </c>
      <c r="R2543">
        <v>0</v>
      </c>
      <c r="S2543">
        <v>1</v>
      </c>
    </row>
    <row r="2544" spans="1:19" hidden="1" x14ac:dyDescent="0.35">
      <c r="A2544">
        <v>57191966718</v>
      </c>
      <c r="B2544" t="s">
        <v>2549</v>
      </c>
      <c r="C2544" t="str">
        <f>_xlfn.XLOOKUP(A2544,[1]Affiliations!$J$2:$J$5328,[1]Affiliations!$K$2:$K$5328,0)</f>
        <v>Universidade Federal do Rio Grande</v>
      </c>
      <c r="D2544">
        <v>18</v>
      </c>
      <c r="E2544">
        <v>128</v>
      </c>
      <c r="F2544">
        <v>7.1111110000000002</v>
      </c>
      <c r="G2544">
        <v>8</v>
      </c>
      <c r="H2544">
        <v>1.21</v>
      </c>
      <c r="I2544">
        <v>0</v>
      </c>
      <c r="J2544">
        <v>0</v>
      </c>
      <c r="K2544">
        <v>0</v>
      </c>
      <c r="L2544">
        <v>1</v>
      </c>
      <c r="M2544">
        <v>7</v>
      </c>
      <c r="N2544">
        <v>17</v>
      </c>
      <c r="P2544">
        <v>0</v>
      </c>
      <c r="Q2544">
        <v>0</v>
      </c>
      <c r="R2544">
        <v>0</v>
      </c>
      <c r="S2544">
        <v>4</v>
      </c>
    </row>
    <row r="2545" spans="1:19" x14ac:dyDescent="0.35">
      <c r="A2545">
        <v>7005420908</v>
      </c>
      <c r="B2545" t="s">
        <v>3943</v>
      </c>
      <c r="C2545" t="str">
        <f>_xlfn.XLOOKUP(A2545,[1]Affiliations!$J$2:$J$5328,[1]Affiliations!$K$2:$K$5328,0)</f>
        <v>Universidade Federal do Rio Grande do Sul</v>
      </c>
      <c r="D2545">
        <v>46</v>
      </c>
      <c r="E2545">
        <v>889</v>
      </c>
      <c r="F2545">
        <v>19.326086</v>
      </c>
      <c r="G2545">
        <v>26</v>
      </c>
      <c r="H2545">
        <v>0.95</v>
      </c>
      <c r="I2545">
        <v>0</v>
      </c>
      <c r="J2545">
        <v>3</v>
      </c>
      <c r="K2545">
        <v>7</v>
      </c>
      <c r="L2545">
        <v>15</v>
      </c>
      <c r="M2545">
        <v>34</v>
      </c>
      <c r="N2545">
        <v>41</v>
      </c>
      <c r="P2545">
        <v>0</v>
      </c>
      <c r="Q2545">
        <v>2</v>
      </c>
      <c r="R2545">
        <v>5</v>
      </c>
      <c r="S2545">
        <v>15</v>
      </c>
    </row>
    <row r="2546" spans="1:19" x14ac:dyDescent="0.35">
      <c r="A2546">
        <v>57193055735</v>
      </c>
      <c r="B2546" t="s">
        <v>4962</v>
      </c>
      <c r="C2546" t="str">
        <f>_xlfn.XLOOKUP(A2546,[1]Affiliations!$J$2:$J$5328,[1]Affiliations!$K$2:$K$5328,0)</f>
        <v>Universidade Tecnológica Federal do Paraná (+1 more)</v>
      </c>
      <c r="D2546">
        <v>43</v>
      </c>
      <c r="E2546">
        <v>330</v>
      </c>
      <c r="F2546">
        <v>7.6744184000000004</v>
      </c>
      <c r="G2546">
        <v>9</v>
      </c>
      <c r="H2546">
        <v>0.95</v>
      </c>
      <c r="I2546">
        <v>1</v>
      </c>
      <c r="J2546">
        <v>2</v>
      </c>
      <c r="K2546">
        <v>6</v>
      </c>
      <c r="L2546">
        <v>14</v>
      </c>
      <c r="M2546">
        <v>14</v>
      </c>
      <c r="N2546">
        <v>20</v>
      </c>
      <c r="P2546">
        <v>0</v>
      </c>
      <c r="Q2546">
        <v>2</v>
      </c>
      <c r="R2546">
        <v>2</v>
      </c>
      <c r="S2546">
        <v>6</v>
      </c>
    </row>
    <row r="2547" spans="1:19" hidden="1" x14ac:dyDescent="0.35">
      <c r="A2547">
        <v>57768306100</v>
      </c>
      <c r="B2547" t="s">
        <v>2552</v>
      </c>
      <c r="C2547" t="str">
        <f>_xlfn.XLOOKUP(A2547,[1]Affiliations!$J$2:$J$5328,[1]Affiliations!$K$2:$K$5328,0)</f>
        <v>Laboratório Nacional de Computação Científica</v>
      </c>
      <c r="D2547">
        <v>5</v>
      </c>
      <c r="E2547">
        <v>45</v>
      </c>
      <c r="F2547">
        <v>9</v>
      </c>
      <c r="G2547">
        <v>5</v>
      </c>
      <c r="H2547">
        <v>1.05</v>
      </c>
      <c r="I2547">
        <v>1</v>
      </c>
      <c r="J2547">
        <v>1</v>
      </c>
      <c r="K2547">
        <v>1</v>
      </c>
      <c r="L2547">
        <v>1</v>
      </c>
      <c r="M2547">
        <v>5</v>
      </c>
      <c r="N2547">
        <v>5</v>
      </c>
      <c r="P2547">
        <v>0</v>
      </c>
      <c r="Q2547">
        <v>0</v>
      </c>
      <c r="R2547">
        <v>0</v>
      </c>
      <c r="S2547">
        <v>2</v>
      </c>
    </row>
    <row r="2548" spans="1:19" hidden="1" x14ac:dyDescent="0.35">
      <c r="A2548">
        <v>58265325100</v>
      </c>
      <c r="B2548" t="s">
        <v>2553</v>
      </c>
      <c r="C2548" t="str">
        <f>_xlfn.XLOOKUP(A2548,[1]Affiliations!$J$2:$J$5328,[1]Affiliations!$K$2:$K$5328,0)</f>
        <v>Federal University of Rio de Janeiro</v>
      </c>
      <c r="D2548">
        <v>3</v>
      </c>
      <c r="E2548">
        <v>5</v>
      </c>
      <c r="F2548">
        <v>1.6666666000000001</v>
      </c>
      <c r="G2548">
        <v>1</v>
      </c>
      <c r="H2548">
        <v>0.15</v>
      </c>
      <c r="I2548">
        <v>0</v>
      </c>
      <c r="J2548">
        <v>0</v>
      </c>
      <c r="K2548">
        <v>0</v>
      </c>
      <c r="L2548">
        <v>0</v>
      </c>
      <c r="M2548">
        <v>1</v>
      </c>
      <c r="N2548">
        <v>2</v>
      </c>
      <c r="P2548">
        <v>0</v>
      </c>
      <c r="Q2548">
        <v>0</v>
      </c>
      <c r="R2548">
        <v>0</v>
      </c>
      <c r="S2548">
        <v>0</v>
      </c>
    </row>
    <row r="2549" spans="1:19" x14ac:dyDescent="0.35">
      <c r="A2549">
        <v>35593447900</v>
      </c>
      <c r="B2549" t="s">
        <v>5061</v>
      </c>
      <c r="C2549" t="str">
        <f>_xlfn.XLOOKUP(A2549,[1]Affiliations!$J$2:$J$5328,[1]Affiliations!$K$2:$K$5328,0)</f>
        <v>Federal University of Santa Catarina</v>
      </c>
      <c r="D2549">
        <v>90</v>
      </c>
      <c r="E2549">
        <v>2053</v>
      </c>
      <c r="F2549">
        <v>22.811111</v>
      </c>
      <c r="G2549">
        <v>37</v>
      </c>
      <c r="H2549">
        <v>0.95</v>
      </c>
      <c r="I2549">
        <v>3</v>
      </c>
      <c r="J2549">
        <v>12</v>
      </c>
      <c r="K2549">
        <v>28</v>
      </c>
      <c r="L2549">
        <v>53</v>
      </c>
      <c r="M2549">
        <v>86</v>
      </c>
      <c r="N2549">
        <v>87</v>
      </c>
      <c r="P2549">
        <v>1</v>
      </c>
      <c r="Q2549">
        <v>5</v>
      </c>
      <c r="R2549">
        <v>16</v>
      </c>
      <c r="S2549">
        <v>40</v>
      </c>
    </row>
    <row r="2550" spans="1:19" x14ac:dyDescent="0.35">
      <c r="A2550">
        <v>57195452686</v>
      </c>
      <c r="B2550" t="s">
        <v>5258</v>
      </c>
      <c r="C2550" t="str">
        <f>_xlfn.XLOOKUP(A2550,[1]Affiliations!$J$2:$J$5328,[1]Affiliations!$K$2:$K$5328,0)</f>
        <v>Universidade de Brasília</v>
      </c>
      <c r="D2550">
        <v>37</v>
      </c>
      <c r="E2550">
        <v>840</v>
      </c>
      <c r="F2550">
        <v>22.702703</v>
      </c>
      <c r="G2550">
        <v>22</v>
      </c>
      <c r="H2550">
        <v>0.95</v>
      </c>
      <c r="I2550">
        <v>0</v>
      </c>
      <c r="J2550">
        <v>7</v>
      </c>
      <c r="K2550">
        <v>15</v>
      </c>
      <c r="L2550">
        <v>25</v>
      </c>
      <c r="M2550">
        <v>36</v>
      </c>
      <c r="N2550">
        <v>36</v>
      </c>
      <c r="P2550">
        <v>0</v>
      </c>
      <c r="Q2550">
        <v>1</v>
      </c>
      <c r="R2550">
        <v>6</v>
      </c>
      <c r="S2550">
        <v>17</v>
      </c>
    </row>
    <row r="2551" spans="1:19" hidden="1" x14ac:dyDescent="0.35">
      <c r="A2551">
        <v>23984686500</v>
      </c>
      <c r="B2551" t="s">
        <v>2556</v>
      </c>
      <c r="C2551" t="str">
        <f>_xlfn.XLOOKUP(A2551,[1]Affiliations!$J$2:$J$5328,[1]Affiliations!$K$2:$K$5328,0)</f>
        <v>Federal University of Rio de Janeiro</v>
      </c>
      <c r="D2551">
        <v>4</v>
      </c>
      <c r="E2551">
        <v>58</v>
      </c>
      <c r="F2551">
        <v>14.5</v>
      </c>
      <c r="G2551">
        <v>6</v>
      </c>
      <c r="H2551">
        <v>0.59</v>
      </c>
      <c r="I2551">
        <v>0</v>
      </c>
      <c r="J2551">
        <v>2</v>
      </c>
      <c r="K2551">
        <v>2</v>
      </c>
      <c r="L2551">
        <v>3</v>
      </c>
      <c r="M2551">
        <v>3</v>
      </c>
      <c r="N2551">
        <v>4</v>
      </c>
      <c r="P2551">
        <v>0</v>
      </c>
      <c r="Q2551">
        <v>0</v>
      </c>
      <c r="R2551">
        <v>0</v>
      </c>
      <c r="S2551">
        <v>2</v>
      </c>
    </row>
    <row r="2552" spans="1:19" hidden="1" x14ac:dyDescent="0.35">
      <c r="A2552">
        <v>57911724700</v>
      </c>
      <c r="B2552" t="s">
        <v>2557</v>
      </c>
      <c r="C2552" t="str">
        <f>_xlfn.XLOOKUP(A2552,[1]Affiliations!$J$2:$J$5328,[1]Affiliations!$K$2:$K$5328,0)</f>
        <v>Federal University of Rio de Janeiro</v>
      </c>
      <c r="D2552">
        <v>2</v>
      </c>
      <c r="E2552">
        <v>5</v>
      </c>
      <c r="F2552">
        <v>2.5</v>
      </c>
      <c r="G2552">
        <v>1</v>
      </c>
      <c r="H2552">
        <v>0.2</v>
      </c>
      <c r="I2552">
        <v>0</v>
      </c>
      <c r="J2552">
        <v>0</v>
      </c>
      <c r="K2552">
        <v>0</v>
      </c>
      <c r="L2552">
        <v>1</v>
      </c>
      <c r="M2552">
        <v>2</v>
      </c>
      <c r="N2552">
        <v>2</v>
      </c>
      <c r="P2552">
        <v>0</v>
      </c>
      <c r="Q2552">
        <v>0</v>
      </c>
      <c r="R2552">
        <v>0</v>
      </c>
      <c r="S2552">
        <v>0</v>
      </c>
    </row>
    <row r="2553" spans="1:19" hidden="1" x14ac:dyDescent="0.35">
      <c r="A2553">
        <v>57222020771</v>
      </c>
      <c r="B2553" t="s">
        <v>2558</v>
      </c>
      <c r="C2553" t="str">
        <f>_xlfn.XLOOKUP(A2553,[1]Affiliations!$J$2:$J$5328,[1]Affiliations!$K$2:$K$5328,0)</f>
        <v>Universidade Federal de Minas Gerais (+2 more)</v>
      </c>
      <c r="D2553">
        <v>6</v>
      </c>
      <c r="E2553">
        <v>12</v>
      </c>
      <c r="F2553">
        <v>2</v>
      </c>
      <c r="G2553">
        <v>2</v>
      </c>
      <c r="H2553">
        <v>0.46</v>
      </c>
      <c r="I2553">
        <v>0</v>
      </c>
      <c r="J2553">
        <v>0</v>
      </c>
      <c r="K2553">
        <v>1</v>
      </c>
      <c r="L2553">
        <v>1</v>
      </c>
      <c r="M2553">
        <v>1</v>
      </c>
      <c r="N2553">
        <v>1</v>
      </c>
      <c r="P2553">
        <v>0</v>
      </c>
      <c r="Q2553">
        <v>0</v>
      </c>
      <c r="R2553">
        <v>0</v>
      </c>
      <c r="S2553">
        <v>0</v>
      </c>
    </row>
    <row r="2554" spans="1:19" hidden="1" x14ac:dyDescent="0.35">
      <c r="A2554">
        <v>58125955800</v>
      </c>
      <c r="B2554" t="s">
        <v>2559</v>
      </c>
      <c r="C2554" t="str">
        <f>_xlfn.XLOOKUP(A2554,[1]Affiliations!$J$2:$J$5328,[1]Affiliations!$K$2:$K$5328,0)</f>
        <v>MWERT Consultoria Ltda.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P2554">
        <v>0</v>
      </c>
      <c r="Q2554">
        <v>0</v>
      </c>
      <c r="R2554">
        <v>0</v>
      </c>
      <c r="S2554">
        <v>0</v>
      </c>
    </row>
    <row r="2555" spans="1:19" x14ac:dyDescent="0.35">
      <c r="A2555">
        <v>7006409312</v>
      </c>
      <c r="B2555" t="s">
        <v>38</v>
      </c>
      <c r="C2555" t="str">
        <f>_xlfn.XLOOKUP(A2555,[1]Affiliations!$J$2:$J$5328,[1]Affiliations!$K$2:$K$5328,0)</f>
        <v>Universidade de São Paulo</v>
      </c>
      <c r="D2555">
        <v>37</v>
      </c>
      <c r="E2555">
        <v>897</v>
      </c>
      <c r="F2555">
        <v>24.243244000000001</v>
      </c>
      <c r="G2555">
        <v>27</v>
      </c>
      <c r="H2555">
        <v>0.94</v>
      </c>
      <c r="I2555">
        <v>0</v>
      </c>
      <c r="J2555">
        <v>2</v>
      </c>
      <c r="K2555">
        <v>8</v>
      </c>
      <c r="L2555">
        <v>14</v>
      </c>
      <c r="M2555">
        <v>16</v>
      </c>
      <c r="N2555">
        <v>26</v>
      </c>
      <c r="P2555">
        <v>0</v>
      </c>
      <c r="Q2555">
        <v>3</v>
      </c>
      <c r="R2555">
        <v>7</v>
      </c>
      <c r="S2555">
        <v>12</v>
      </c>
    </row>
    <row r="2556" spans="1:19" x14ac:dyDescent="0.35">
      <c r="A2556">
        <v>6603411792</v>
      </c>
      <c r="B2556" t="s">
        <v>156</v>
      </c>
      <c r="C2556" t="str">
        <f>_xlfn.XLOOKUP(A2556,[1]Affiliations!$J$2:$J$5328,[1]Affiliations!$K$2:$K$5328,0)</f>
        <v>Federal University of Rio de Janeiro</v>
      </c>
      <c r="D2556">
        <v>50</v>
      </c>
      <c r="E2556">
        <v>1024</v>
      </c>
      <c r="F2556">
        <v>20.48</v>
      </c>
      <c r="G2556">
        <v>39</v>
      </c>
      <c r="H2556">
        <v>0.94</v>
      </c>
      <c r="I2556">
        <v>0</v>
      </c>
      <c r="J2556">
        <v>5</v>
      </c>
      <c r="K2556">
        <v>11</v>
      </c>
      <c r="L2556">
        <v>19</v>
      </c>
      <c r="M2556">
        <v>39</v>
      </c>
      <c r="N2556">
        <v>45</v>
      </c>
      <c r="P2556">
        <v>0</v>
      </c>
      <c r="Q2556">
        <v>2</v>
      </c>
      <c r="R2556">
        <v>6</v>
      </c>
      <c r="S2556">
        <v>23</v>
      </c>
    </row>
    <row r="2557" spans="1:19" x14ac:dyDescent="0.35">
      <c r="A2557">
        <v>56162991800</v>
      </c>
      <c r="B2557" t="s">
        <v>180</v>
      </c>
      <c r="C2557" t="str">
        <f>_xlfn.XLOOKUP(A2557,[1]Affiliations!$J$2:$J$5328,[1]Affiliations!$K$2:$K$5328,0)</f>
        <v>Federal University of Santa Catarina</v>
      </c>
      <c r="D2557">
        <v>57</v>
      </c>
      <c r="E2557">
        <v>1428</v>
      </c>
      <c r="F2557">
        <v>25.052631000000002</v>
      </c>
      <c r="G2557">
        <v>23</v>
      </c>
      <c r="H2557">
        <v>0.94</v>
      </c>
      <c r="I2557">
        <v>4</v>
      </c>
      <c r="J2557">
        <v>11</v>
      </c>
      <c r="K2557">
        <v>17</v>
      </c>
      <c r="L2557">
        <v>35</v>
      </c>
      <c r="M2557">
        <v>48</v>
      </c>
      <c r="N2557">
        <v>51</v>
      </c>
      <c r="P2557">
        <v>1</v>
      </c>
      <c r="Q2557">
        <v>7</v>
      </c>
      <c r="R2557">
        <v>18</v>
      </c>
      <c r="S2557">
        <v>39</v>
      </c>
    </row>
    <row r="2558" spans="1:19" hidden="1" x14ac:dyDescent="0.35">
      <c r="A2558">
        <v>57190969329</v>
      </c>
      <c r="B2558" t="s">
        <v>2563</v>
      </c>
      <c r="C2558" t="str">
        <f>_xlfn.XLOOKUP(A2558,[1]Affiliations!$J$2:$J$5328,[1]Affiliations!$K$2:$K$5328,0)</f>
        <v>Federal University of Rio de Janeiro</v>
      </c>
      <c r="D2558">
        <v>1</v>
      </c>
      <c r="E2558">
        <v>31</v>
      </c>
      <c r="F2558">
        <v>31</v>
      </c>
      <c r="G2558">
        <v>1</v>
      </c>
      <c r="H2558">
        <v>0.82</v>
      </c>
      <c r="I2558">
        <v>0</v>
      </c>
      <c r="J2558">
        <v>0</v>
      </c>
      <c r="K2558">
        <v>0</v>
      </c>
      <c r="L2558">
        <v>0</v>
      </c>
      <c r="M2558">
        <v>1</v>
      </c>
      <c r="N2558">
        <v>1</v>
      </c>
      <c r="P2558">
        <v>0</v>
      </c>
      <c r="Q2558">
        <v>0</v>
      </c>
      <c r="R2558">
        <v>0</v>
      </c>
      <c r="S2558">
        <v>1</v>
      </c>
    </row>
    <row r="2559" spans="1:19" hidden="1" x14ac:dyDescent="0.35">
      <c r="A2559">
        <v>59728945500</v>
      </c>
      <c r="B2559" t="s">
        <v>2564</v>
      </c>
      <c r="C2559" t="str">
        <f>_xlfn.XLOOKUP(A2559,[1]Affiliations!$J$2:$J$5328,[1]Affiliations!$K$2:$K$5328,0)</f>
        <v>Universidade Federal da Bahia</v>
      </c>
      <c r="D2559">
        <v>0</v>
      </c>
      <c r="G2559">
        <v>0</v>
      </c>
    </row>
    <row r="2560" spans="1:19" hidden="1" x14ac:dyDescent="0.35">
      <c r="A2560">
        <v>57275067600</v>
      </c>
      <c r="B2560" t="s">
        <v>2565</v>
      </c>
      <c r="C2560" t="str">
        <f>_xlfn.XLOOKUP(A2560,[1]Affiliations!$J$2:$J$5328,[1]Affiliations!$K$2:$K$5328,0)</f>
        <v>Universidade Tecnológica Federal do Paraná</v>
      </c>
      <c r="D2560">
        <v>2</v>
      </c>
      <c r="E2560">
        <v>19</v>
      </c>
      <c r="F2560">
        <v>9.5</v>
      </c>
      <c r="G2560">
        <v>2</v>
      </c>
      <c r="H2560">
        <v>0.73</v>
      </c>
      <c r="I2560">
        <v>0</v>
      </c>
      <c r="J2560">
        <v>0</v>
      </c>
      <c r="K2560">
        <v>0</v>
      </c>
      <c r="L2560">
        <v>1</v>
      </c>
      <c r="M2560">
        <v>1</v>
      </c>
      <c r="N2560">
        <v>1</v>
      </c>
      <c r="P2560">
        <v>0</v>
      </c>
      <c r="Q2560">
        <v>0</v>
      </c>
      <c r="R2560">
        <v>0</v>
      </c>
      <c r="S2560">
        <v>1</v>
      </c>
    </row>
    <row r="2561" spans="1:19" hidden="1" x14ac:dyDescent="0.35">
      <c r="A2561">
        <v>55947617400</v>
      </c>
      <c r="B2561" t="s">
        <v>2566</v>
      </c>
      <c r="C2561" t="str">
        <f>_xlfn.XLOOKUP(A2561,[1]Affiliations!$J$2:$J$5328,[1]Affiliations!$K$2:$K$5328,0)</f>
        <v>Universidade de São Paulo</v>
      </c>
      <c r="D2561">
        <v>0</v>
      </c>
      <c r="G2561">
        <v>4</v>
      </c>
    </row>
    <row r="2562" spans="1:19" hidden="1" x14ac:dyDescent="0.35">
      <c r="A2562">
        <v>6602156638</v>
      </c>
      <c r="B2562" t="s">
        <v>2567</v>
      </c>
      <c r="C2562" t="str">
        <f>_xlfn.XLOOKUP(A2562,[1]Affiliations!$J$2:$J$5328,[1]Affiliations!$K$2:$K$5328,0)</f>
        <v>Fundação Centro Universitário Estadual da Zona Oeste – UEZO</v>
      </c>
      <c r="D2562">
        <v>9</v>
      </c>
      <c r="E2562">
        <v>79</v>
      </c>
      <c r="F2562">
        <v>8.7777779999999996</v>
      </c>
      <c r="G2562">
        <v>9</v>
      </c>
      <c r="H2562">
        <v>0.5</v>
      </c>
      <c r="I2562">
        <v>0</v>
      </c>
      <c r="J2562">
        <v>0</v>
      </c>
      <c r="K2562">
        <v>0</v>
      </c>
      <c r="L2562">
        <v>2</v>
      </c>
      <c r="M2562">
        <v>8</v>
      </c>
      <c r="N2562">
        <v>9</v>
      </c>
      <c r="P2562">
        <v>0</v>
      </c>
      <c r="Q2562">
        <v>0</v>
      </c>
      <c r="R2562">
        <v>0</v>
      </c>
      <c r="S2562">
        <v>1</v>
      </c>
    </row>
    <row r="2563" spans="1:19" hidden="1" x14ac:dyDescent="0.35">
      <c r="A2563">
        <v>23987156400</v>
      </c>
      <c r="B2563" t="s">
        <v>2568</v>
      </c>
      <c r="C2563" t="str">
        <f>_xlfn.XLOOKUP(A2563,[1]Affiliations!$J$2:$J$5328,[1]Affiliations!$K$2:$K$5328,0)</f>
        <v>University of Campinas (+1 more)</v>
      </c>
      <c r="D2563">
        <v>2</v>
      </c>
      <c r="E2563">
        <v>34</v>
      </c>
      <c r="F2563">
        <v>17</v>
      </c>
      <c r="G2563">
        <v>3</v>
      </c>
      <c r="H2563">
        <v>0.75</v>
      </c>
      <c r="I2563">
        <v>1</v>
      </c>
      <c r="J2563">
        <v>1</v>
      </c>
      <c r="K2563">
        <v>2</v>
      </c>
      <c r="L2563">
        <v>2</v>
      </c>
      <c r="M2563">
        <v>2</v>
      </c>
      <c r="N2563">
        <v>2</v>
      </c>
      <c r="P2563">
        <v>0</v>
      </c>
      <c r="Q2563">
        <v>0</v>
      </c>
      <c r="R2563">
        <v>0</v>
      </c>
      <c r="S2563">
        <v>1</v>
      </c>
    </row>
    <row r="2564" spans="1:19" x14ac:dyDescent="0.35">
      <c r="A2564">
        <v>7006109327</v>
      </c>
      <c r="B2564" t="s">
        <v>627</v>
      </c>
      <c r="C2564" t="str">
        <f>_xlfn.XLOOKUP(A2564,[1]Affiliations!$J$2:$J$5328,[1]Affiliations!$K$2:$K$5328,0)</f>
        <v>Universidade Federal de Goiás</v>
      </c>
      <c r="D2564">
        <v>16</v>
      </c>
      <c r="E2564">
        <v>222</v>
      </c>
      <c r="F2564">
        <v>13.875</v>
      </c>
      <c r="G2564">
        <v>22</v>
      </c>
      <c r="H2564">
        <v>0.94</v>
      </c>
      <c r="I2564">
        <v>0</v>
      </c>
      <c r="J2564">
        <v>4</v>
      </c>
      <c r="K2564">
        <v>8</v>
      </c>
      <c r="L2564">
        <v>10</v>
      </c>
      <c r="M2564">
        <v>14</v>
      </c>
      <c r="N2564">
        <v>15</v>
      </c>
      <c r="P2564">
        <v>0</v>
      </c>
      <c r="Q2564">
        <v>1</v>
      </c>
      <c r="R2564">
        <v>2</v>
      </c>
      <c r="S2564">
        <v>4</v>
      </c>
    </row>
    <row r="2565" spans="1:19" x14ac:dyDescent="0.35">
      <c r="A2565">
        <v>25821721800</v>
      </c>
      <c r="B2565" t="s">
        <v>894</v>
      </c>
      <c r="C2565" t="str">
        <f>_xlfn.XLOOKUP(A2565,[1]Affiliations!$J$2:$J$5328,[1]Affiliations!$K$2:$K$5328,0)</f>
        <v>Universidade Federal de Goiás</v>
      </c>
      <c r="D2565">
        <v>52</v>
      </c>
      <c r="E2565">
        <v>912</v>
      </c>
      <c r="F2565">
        <v>17.538461999999999</v>
      </c>
      <c r="G2565">
        <v>20</v>
      </c>
      <c r="H2565">
        <v>0.94</v>
      </c>
      <c r="I2565">
        <v>2</v>
      </c>
      <c r="J2565">
        <v>4</v>
      </c>
      <c r="K2565">
        <v>7</v>
      </c>
      <c r="L2565">
        <v>28</v>
      </c>
      <c r="M2565">
        <v>43</v>
      </c>
      <c r="N2565">
        <v>51</v>
      </c>
      <c r="P2565">
        <v>0</v>
      </c>
      <c r="Q2565">
        <v>3</v>
      </c>
      <c r="R2565">
        <v>13</v>
      </c>
      <c r="S2565">
        <v>27</v>
      </c>
    </row>
    <row r="2566" spans="1:19" hidden="1" x14ac:dyDescent="0.35">
      <c r="A2566">
        <v>60219327300</v>
      </c>
      <c r="B2566" t="s">
        <v>2571</v>
      </c>
      <c r="C2566" t="str">
        <f>_xlfn.XLOOKUP(A2566,[1]Affiliations!$J$2:$J$5328,[1]Affiliations!$K$2:$K$5328,0)</f>
        <v>University of Campinas</v>
      </c>
      <c r="D2566">
        <v>0</v>
      </c>
      <c r="G2566">
        <v>0</v>
      </c>
    </row>
    <row r="2567" spans="1:19" hidden="1" x14ac:dyDescent="0.35">
      <c r="A2567">
        <v>55774126800</v>
      </c>
      <c r="B2567" t="s">
        <v>2572</v>
      </c>
      <c r="C2567" t="str">
        <f>_xlfn.XLOOKUP(A2567,[1]Affiliations!$J$2:$J$5328,[1]Affiliations!$K$2:$K$5328,0)</f>
        <v>Federal University of Rio de Janeiro</v>
      </c>
      <c r="D2567">
        <v>24</v>
      </c>
      <c r="E2567">
        <v>170</v>
      </c>
      <c r="F2567">
        <v>7.0833335000000002</v>
      </c>
      <c r="G2567">
        <v>9</v>
      </c>
      <c r="H2567">
        <v>0.54</v>
      </c>
      <c r="I2567">
        <v>0</v>
      </c>
      <c r="J2567">
        <v>1</v>
      </c>
      <c r="K2567">
        <v>3</v>
      </c>
      <c r="L2567">
        <v>12</v>
      </c>
      <c r="M2567">
        <v>17</v>
      </c>
      <c r="N2567">
        <v>21</v>
      </c>
      <c r="P2567">
        <v>0</v>
      </c>
      <c r="Q2567">
        <v>0</v>
      </c>
      <c r="R2567">
        <v>0</v>
      </c>
      <c r="S2567">
        <v>5</v>
      </c>
    </row>
    <row r="2568" spans="1:19" hidden="1" x14ac:dyDescent="0.35">
      <c r="A2568">
        <v>57202955777</v>
      </c>
      <c r="B2568" t="s">
        <v>2573</v>
      </c>
      <c r="C2568" t="str">
        <f>_xlfn.XLOOKUP(A2568,[1]Affiliations!$J$2:$J$5328,[1]Affiliations!$K$2:$K$5328,0)</f>
        <v>Universidade de São Paulo</v>
      </c>
      <c r="D2568">
        <v>5</v>
      </c>
      <c r="E2568">
        <v>49</v>
      </c>
      <c r="F2568">
        <v>9.8000000000000007</v>
      </c>
      <c r="G2568">
        <v>3</v>
      </c>
      <c r="H2568">
        <v>0.53</v>
      </c>
      <c r="I2568">
        <v>0</v>
      </c>
      <c r="J2568">
        <v>0</v>
      </c>
      <c r="K2568">
        <v>0</v>
      </c>
      <c r="L2568">
        <v>2</v>
      </c>
      <c r="M2568">
        <v>5</v>
      </c>
      <c r="N2568">
        <v>5</v>
      </c>
      <c r="P2568">
        <v>0</v>
      </c>
      <c r="Q2568">
        <v>0</v>
      </c>
      <c r="R2568">
        <v>0</v>
      </c>
      <c r="S2568">
        <v>1</v>
      </c>
    </row>
    <row r="2569" spans="1:19" x14ac:dyDescent="0.35">
      <c r="A2569">
        <v>15759048700</v>
      </c>
      <c r="B2569" t="s">
        <v>977</v>
      </c>
      <c r="C2569" t="str">
        <f>_xlfn.XLOOKUP(A2569,[1]Affiliations!$J$2:$J$5328,[1]Affiliations!$K$2:$K$5328,0)</f>
        <v>Universidade Federal do Rio Grande do Norte</v>
      </c>
      <c r="D2569">
        <v>15</v>
      </c>
      <c r="E2569">
        <v>182</v>
      </c>
      <c r="F2569">
        <v>12.133333</v>
      </c>
      <c r="G2569">
        <v>12</v>
      </c>
      <c r="H2569">
        <v>0.94</v>
      </c>
      <c r="I2569">
        <v>0</v>
      </c>
      <c r="J2569">
        <v>4</v>
      </c>
      <c r="K2569">
        <v>4</v>
      </c>
      <c r="L2569">
        <v>6</v>
      </c>
      <c r="M2569">
        <v>11</v>
      </c>
      <c r="N2569">
        <v>12</v>
      </c>
      <c r="P2569">
        <v>0</v>
      </c>
      <c r="Q2569">
        <v>1</v>
      </c>
      <c r="R2569">
        <v>1</v>
      </c>
      <c r="S2569">
        <v>4</v>
      </c>
    </row>
    <row r="2570" spans="1:19" hidden="1" x14ac:dyDescent="0.35">
      <c r="A2570">
        <v>55773130000</v>
      </c>
      <c r="B2570" t="s">
        <v>2575</v>
      </c>
      <c r="C2570" t="str">
        <f>_xlfn.XLOOKUP(A2570,[1]Affiliations!$J$2:$J$5328,[1]Affiliations!$K$2:$K$5328,0)</f>
        <v>Universidade Federal do Rio Grande do Sul</v>
      </c>
      <c r="D2570">
        <v>2</v>
      </c>
      <c r="E2570">
        <v>28</v>
      </c>
      <c r="F2570">
        <v>14</v>
      </c>
      <c r="G2570">
        <v>3</v>
      </c>
      <c r="H2570">
        <v>0.4</v>
      </c>
      <c r="I2570">
        <v>0</v>
      </c>
      <c r="J2570">
        <v>0</v>
      </c>
      <c r="K2570">
        <v>0</v>
      </c>
      <c r="L2570">
        <v>2</v>
      </c>
      <c r="M2570">
        <v>2</v>
      </c>
      <c r="N2570">
        <v>2</v>
      </c>
      <c r="P2570">
        <v>0</v>
      </c>
      <c r="Q2570">
        <v>0</v>
      </c>
      <c r="R2570">
        <v>0</v>
      </c>
      <c r="S2570">
        <v>1</v>
      </c>
    </row>
    <row r="2571" spans="1:19" x14ac:dyDescent="0.35">
      <c r="A2571">
        <v>8582079400</v>
      </c>
      <c r="B2571" t="s">
        <v>1160</v>
      </c>
      <c r="C2571" t="str">
        <f>_xlfn.XLOOKUP(A2571,[1]Affiliations!$J$2:$J$5328,[1]Affiliations!$K$2:$K$5328,0)</f>
        <v>Fundação Oswaldo Cruz</v>
      </c>
      <c r="D2571">
        <v>25</v>
      </c>
      <c r="E2571">
        <v>422</v>
      </c>
      <c r="F2571">
        <v>16.88</v>
      </c>
      <c r="G2571">
        <v>17</v>
      </c>
      <c r="H2571">
        <v>0.94</v>
      </c>
      <c r="I2571">
        <v>0</v>
      </c>
      <c r="J2571">
        <v>0</v>
      </c>
      <c r="K2571">
        <v>3</v>
      </c>
      <c r="L2571">
        <v>12</v>
      </c>
      <c r="M2571">
        <v>20</v>
      </c>
      <c r="N2571">
        <v>22</v>
      </c>
      <c r="P2571">
        <v>0</v>
      </c>
      <c r="Q2571">
        <v>0</v>
      </c>
      <c r="R2571">
        <v>2</v>
      </c>
      <c r="S2571">
        <v>8</v>
      </c>
    </row>
    <row r="2572" spans="1:19" x14ac:dyDescent="0.35">
      <c r="A2572">
        <v>9332947100</v>
      </c>
      <c r="B2572" t="s">
        <v>1199</v>
      </c>
      <c r="C2572" t="str">
        <f>_xlfn.XLOOKUP(A2572,[1]Affiliations!$J$2:$J$5328,[1]Affiliations!$K$2:$K$5328,0)</f>
        <v>Federal University of Santa Catarina</v>
      </c>
      <c r="D2572">
        <v>51</v>
      </c>
      <c r="E2572">
        <v>1050</v>
      </c>
      <c r="F2572">
        <v>20.588235999999998</v>
      </c>
      <c r="G2572">
        <v>25</v>
      </c>
      <c r="H2572">
        <v>0.94</v>
      </c>
      <c r="I2572">
        <v>2</v>
      </c>
      <c r="J2572">
        <v>13</v>
      </c>
      <c r="K2572">
        <v>28</v>
      </c>
      <c r="L2572">
        <v>39</v>
      </c>
      <c r="M2572">
        <v>48</v>
      </c>
      <c r="N2572">
        <v>50</v>
      </c>
      <c r="P2572">
        <v>1</v>
      </c>
      <c r="Q2572">
        <v>5</v>
      </c>
      <c r="R2572">
        <v>13</v>
      </c>
      <c r="S2572">
        <v>28</v>
      </c>
    </row>
    <row r="2573" spans="1:19" hidden="1" x14ac:dyDescent="0.35">
      <c r="A2573">
        <v>56816973800</v>
      </c>
      <c r="B2573" t="s">
        <v>2578</v>
      </c>
      <c r="C2573" t="str">
        <f>_xlfn.XLOOKUP(A2573,[1]Affiliations!$J$2:$J$5328,[1]Affiliations!$K$2:$K$5328,0)</f>
        <v>Universidad ECCI (+1 more)</v>
      </c>
      <c r="D2573">
        <v>4</v>
      </c>
      <c r="E2573">
        <v>46</v>
      </c>
      <c r="F2573">
        <v>11.5</v>
      </c>
      <c r="G2573">
        <v>4</v>
      </c>
      <c r="H2573">
        <v>0.34</v>
      </c>
      <c r="I2573">
        <v>0</v>
      </c>
      <c r="J2573">
        <v>1</v>
      </c>
      <c r="K2573">
        <v>1</v>
      </c>
      <c r="L2573">
        <v>2</v>
      </c>
      <c r="M2573">
        <v>4</v>
      </c>
      <c r="N2573">
        <v>4</v>
      </c>
      <c r="P2573">
        <v>0</v>
      </c>
      <c r="Q2573">
        <v>0</v>
      </c>
      <c r="R2573">
        <v>0</v>
      </c>
      <c r="S2573">
        <v>1</v>
      </c>
    </row>
    <row r="2574" spans="1:19" x14ac:dyDescent="0.35">
      <c r="A2574">
        <v>56629349400</v>
      </c>
      <c r="B2574" t="s">
        <v>1283</v>
      </c>
      <c r="C2574" t="str">
        <f>_xlfn.XLOOKUP(A2574,[1]Affiliations!$J$2:$J$5328,[1]Affiliations!$K$2:$K$5328,0)</f>
        <v>Fundação Oswaldo Cruz (+1 more)</v>
      </c>
      <c r="D2574">
        <v>37</v>
      </c>
      <c r="E2574">
        <v>1084</v>
      </c>
      <c r="F2574">
        <v>29.297297</v>
      </c>
      <c r="G2574">
        <v>30</v>
      </c>
      <c r="H2574">
        <v>0.94</v>
      </c>
      <c r="I2574">
        <v>3</v>
      </c>
      <c r="J2574">
        <v>4</v>
      </c>
      <c r="K2574">
        <v>16</v>
      </c>
      <c r="L2574">
        <v>29</v>
      </c>
      <c r="M2574">
        <v>33</v>
      </c>
      <c r="N2574">
        <v>35</v>
      </c>
      <c r="P2574">
        <v>0</v>
      </c>
      <c r="Q2574">
        <v>2</v>
      </c>
      <c r="R2574">
        <v>7</v>
      </c>
      <c r="S2574">
        <v>26</v>
      </c>
    </row>
    <row r="2575" spans="1:19" x14ac:dyDescent="0.35">
      <c r="A2575">
        <v>57201686821</v>
      </c>
      <c r="B2575" t="s">
        <v>1466</v>
      </c>
      <c r="C2575" t="str">
        <f>_xlfn.XLOOKUP(A2575,[1]Affiliations!$J$2:$J$5328,[1]Affiliations!$K$2:$K$5328,0)</f>
        <v>Federal University of Rio de Janeiro</v>
      </c>
      <c r="D2575">
        <v>11</v>
      </c>
      <c r="E2575">
        <v>259</v>
      </c>
      <c r="F2575">
        <v>23.545453999999999</v>
      </c>
      <c r="G2575">
        <v>9</v>
      </c>
      <c r="H2575">
        <v>0.94</v>
      </c>
      <c r="I2575">
        <v>0</v>
      </c>
      <c r="J2575">
        <v>0</v>
      </c>
      <c r="K2575">
        <v>3</v>
      </c>
      <c r="L2575">
        <v>6</v>
      </c>
      <c r="M2575">
        <v>10</v>
      </c>
      <c r="N2575">
        <v>11</v>
      </c>
      <c r="P2575">
        <v>0</v>
      </c>
      <c r="Q2575">
        <v>0</v>
      </c>
      <c r="R2575">
        <v>3</v>
      </c>
      <c r="S2575">
        <v>7</v>
      </c>
    </row>
    <row r="2576" spans="1:19" x14ac:dyDescent="0.35">
      <c r="A2576">
        <v>57150710800</v>
      </c>
      <c r="B2576" t="s">
        <v>1525</v>
      </c>
      <c r="C2576" t="str">
        <f>_xlfn.XLOOKUP(A2576,[1]Affiliations!$J$2:$J$5328,[1]Affiliations!$K$2:$K$5328,0)</f>
        <v>DEMa</v>
      </c>
      <c r="D2576">
        <v>11</v>
      </c>
      <c r="E2576">
        <v>236</v>
      </c>
      <c r="F2576">
        <v>21.454546000000001</v>
      </c>
      <c r="G2576">
        <v>8</v>
      </c>
      <c r="H2576">
        <v>0.94</v>
      </c>
      <c r="I2576">
        <v>0</v>
      </c>
      <c r="J2576">
        <v>5</v>
      </c>
      <c r="K2576">
        <v>6</v>
      </c>
      <c r="L2576">
        <v>7</v>
      </c>
      <c r="M2576">
        <v>10</v>
      </c>
      <c r="N2576">
        <v>11</v>
      </c>
      <c r="P2576">
        <v>0</v>
      </c>
      <c r="Q2576">
        <v>1</v>
      </c>
      <c r="R2576">
        <v>1</v>
      </c>
      <c r="S2576">
        <v>7</v>
      </c>
    </row>
    <row r="2577" spans="1:19" hidden="1" x14ac:dyDescent="0.35">
      <c r="A2577">
        <v>57920461200</v>
      </c>
      <c r="B2577" t="s">
        <v>2582</v>
      </c>
      <c r="C2577" t="str">
        <f>_xlfn.XLOOKUP(A2577,[1]Affiliations!$J$2:$J$5328,[1]Affiliations!$K$2:$K$5328,0)</f>
        <v>Universidade Federal do Rio Grande</v>
      </c>
      <c r="D2577">
        <v>1</v>
      </c>
      <c r="E2577">
        <v>5</v>
      </c>
      <c r="F2577">
        <v>5</v>
      </c>
      <c r="G2577">
        <v>1</v>
      </c>
      <c r="H2577">
        <v>0.44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P2577">
        <v>0</v>
      </c>
      <c r="Q2577">
        <v>0</v>
      </c>
      <c r="R2577">
        <v>0</v>
      </c>
      <c r="S2577">
        <v>0</v>
      </c>
    </row>
    <row r="2578" spans="1:19" x14ac:dyDescent="0.35">
      <c r="A2578">
        <v>7006360210</v>
      </c>
      <c r="B2578" t="s">
        <v>1568</v>
      </c>
      <c r="C2578" t="str">
        <f>_xlfn.XLOOKUP(A2578,[1]Affiliations!$J$2:$J$5328,[1]Affiliations!$K$2:$K$5328,0)</f>
        <v>Federal University of Rio de Janeiro</v>
      </c>
      <c r="D2578">
        <v>125</v>
      </c>
      <c r="E2578">
        <v>2180</v>
      </c>
      <c r="F2578">
        <v>17.440000000000001</v>
      </c>
      <c r="G2578">
        <v>30</v>
      </c>
      <c r="H2578">
        <v>0.94</v>
      </c>
      <c r="I2578">
        <v>3</v>
      </c>
      <c r="J2578">
        <v>39</v>
      </c>
      <c r="K2578">
        <v>58</v>
      </c>
      <c r="L2578">
        <v>68</v>
      </c>
      <c r="M2578">
        <v>79</v>
      </c>
      <c r="N2578">
        <v>85</v>
      </c>
      <c r="P2578">
        <v>1</v>
      </c>
      <c r="Q2578">
        <v>6</v>
      </c>
      <c r="R2578">
        <v>13</v>
      </c>
      <c r="S2578">
        <v>46</v>
      </c>
    </row>
    <row r="2579" spans="1:19" x14ac:dyDescent="0.35">
      <c r="A2579">
        <v>56359502600</v>
      </c>
      <c r="B2579" t="s">
        <v>1596</v>
      </c>
      <c r="C2579" t="str">
        <f>_xlfn.XLOOKUP(A2579,[1]Affiliations!$J$2:$J$5328,[1]Affiliations!$K$2:$K$5328,0)</f>
        <v>Universidade de São Paulo (+1 more)</v>
      </c>
      <c r="D2579">
        <v>38</v>
      </c>
      <c r="E2579">
        <v>560</v>
      </c>
      <c r="F2579">
        <v>14.736841999999999</v>
      </c>
      <c r="G2579">
        <v>19</v>
      </c>
      <c r="H2579">
        <v>0.94</v>
      </c>
      <c r="I2579">
        <v>0</v>
      </c>
      <c r="J2579">
        <v>2</v>
      </c>
      <c r="K2579">
        <v>13</v>
      </c>
      <c r="L2579">
        <v>24</v>
      </c>
      <c r="M2579">
        <v>33</v>
      </c>
      <c r="N2579">
        <v>36</v>
      </c>
      <c r="P2579">
        <v>0</v>
      </c>
      <c r="Q2579">
        <v>2</v>
      </c>
      <c r="R2579">
        <v>2</v>
      </c>
      <c r="S2579">
        <v>11</v>
      </c>
    </row>
    <row r="2580" spans="1:19" hidden="1" x14ac:dyDescent="0.35">
      <c r="A2580">
        <v>55761525000</v>
      </c>
      <c r="B2580" t="s">
        <v>2585</v>
      </c>
      <c r="C2580" t="str">
        <f>_xlfn.XLOOKUP(A2580,[1]Affiliations!$J$2:$J$5328,[1]Affiliations!$K$2:$K$5328,0)</f>
        <v>Federal University of Rio de Janeiro</v>
      </c>
      <c r="D2580">
        <v>1</v>
      </c>
      <c r="E2580">
        <v>14</v>
      </c>
      <c r="F2580">
        <v>14</v>
      </c>
      <c r="G2580">
        <v>3</v>
      </c>
      <c r="H2580">
        <v>0.27</v>
      </c>
      <c r="I2580">
        <v>0</v>
      </c>
      <c r="J2580">
        <v>0</v>
      </c>
      <c r="K2580">
        <v>0</v>
      </c>
      <c r="L2580">
        <v>0</v>
      </c>
      <c r="M2580">
        <v>1</v>
      </c>
      <c r="N2580">
        <v>1</v>
      </c>
      <c r="P2580">
        <v>0</v>
      </c>
      <c r="Q2580">
        <v>0</v>
      </c>
      <c r="R2580">
        <v>0</v>
      </c>
      <c r="S2580">
        <v>0</v>
      </c>
    </row>
    <row r="2581" spans="1:19" x14ac:dyDescent="0.35">
      <c r="A2581">
        <v>7004463775</v>
      </c>
      <c r="B2581" t="s">
        <v>1721</v>
      </c>
      <c r="C2581" t="str">
        <f>_xlfn.XLOOKUP(A2581,[1]Affiliations!$J$2:$J$5328,[1]Affiliations!$K$2:$K$5328,0)</f>
        <v>Pontifical Catholic University of Rio de Janeiro</v>
      </c>
      <c r="D2581">
        <v>61</v>
      </c>
      <c r="E2581">
        <v>1238</v>
      </c>
      <c r="F2581">
        <v>20.295082000000001</v>
      </c>
      <c r="G2581">
        <v>31</v>
      </c>
      <c r="H2581">
        <v>0.94</v>
      </c>
      <c r="I2581">
        <v>0</v>
      </c>
      <c r="J2581">
        <v>3</v>
      </c>
      <c r="K2581">
        <v>14</v>
      </c>
      <c r="L2581">
        <v>46</v>
      </c>
      <c r="M2581">
        <v>54</v>
      </c>
      <c r="N2581">
        <v>58</v>
      </c>
      <c r="P2581">
        <v>0</v>
      </c>
      <c r="Q2581">
        <v>2</v>
      </c>
      <c r="R2581">
        <v>7</v>
      </c>
      <c r="S2581">
        <v>29</v>
      </c>
    </row>
    <row r="2582" spans="1:19" x14ac:dyDescent="0.35">
      <c r="A2582">
        <v>57268324300</v>
      </c>
      <c r="B2582" t="s">
        <v>2392</v>
      </c>
      <c r="C2582" t="str">
        <f>_xlfn.XLOOKUP(A2582,[1]Affiliations!$J$2:$J$5328,[1]Affiliations!$K$2:$K$5328,0)</f>
        <v>Universidade Federal do Rio Grande do Norte</v>
      </c>
      <c r="D2582">
        <v>29</v>
      </c>
      <c r="E2582">
        <v>630</v>
      </c>
      <c r="F2582">
        <v>21.724138</v>
      </c>
      <c r="G2582">
        <v>23</v>
      </c>
      <c r="H2582">
        <v>0.94</v>
      </c>
      <c r="I2582">
        <v>0</v>
      </c>
      <c r="J2582">
        <v>3</v>
      </c>
      <c r="K2582">
        <v>9</v>
      </c>
      <c r="L2582">
        <v>23</v>
      </c>
      <c r="M2582">
        <v>29</v>
      </c>
      <c r="N2582">
        <v>29</v>
      </c>
      <c r="P2582">
        <v>0</v>
      </c>
      <c r="Q2582">
        <v>2</v>
      </c>
      <c r="R2582">
        <v>3</v>
      </c>
      <c r="S2582">
        <v>12</v>
      </c>
    </row>
    <row r="2583" spans="1:19" hidden="1" x14ac:dyDescent="0.35">
      <c r="A2583">
        <v>57222357032</v>
      </c>
      <c r="B2583" t="s">
        <v>2588</v>
      </c>
      <c r="C2583" t="str">
        <f>_xlfn.XLOOKUP(A2583,[1]Affiliations!$J$2:$J$5328,[1]Affiliations!$K$2:$K$5328,0)</f>
        <v>Federal University of Rio de Janeiro</v>
      </c>
      <c r="D2583">
        <v>4</v>
      </c>
      <c r="E2583">
        <v>26</v>
      </c>
      <c r="F2583">
        <v>6.5</v>
      </c>
      <c r="G2583">
        <v>3</v>
      </c>
      <c r="H2583">
        <v>0.21</v>
      </c>
      <c r="I2583">
        <v>0</v>
      </c>
      <c r="J2583">
        <v>0</v>
      </c>
      <c r="K2583">
        <v>1</v>
      </c>
      <c r="L2583">
        <v>2</v>
      </c>
      <c r="M2583">
        <v>3</v>
      </c>
      <c r="N2583">
        <v>3</v>
      </c>
      <c r="P2583">
        <v>0</v>
      </c>
      <c r="Q2583">
        <v>0</v>
      </c>
      <c r="R2583">
        <v>0</v>
      </c>
      <c r="S2583">
        <v>0</v>
      </c>
    </row>
    <row r="2584" spans="1:19" hidden="1" x14ac:dyDescent="0.35">
      <c r="A2584">
        <v>55917330000</v>
      </c>
      <c r="B2584" t="s">
        <v>2589</v>
      </c>
      <c r="C2584" t="str">
        <f>_xlfn.XLOOKUP(A2584,[1]Affiliations!$J$2:$J$5328,[1]Affiliations!$K$2:$K$5328,0)</f>
        <v>Karlsruhe Institute of Technology (+1 more)</v>
      </c>
      <c r="D2584">
        <v>10</v>
      </c>
      <c r="E2584">
        <v>69</v>
      </c>
      <c r="F2584">
        <v>6.9</v>
      </c>
      <c r="G2584">
        <v>5</v>
      </c>
      <c r="H2584">
        <v>0.33</v>
      </c>
      <c r="I2584">
        <v>0</v>
      </c>
      <c r="J2584">
        <v>0</v>
      </c>
      <c r="K2584">
        <v>1</v>
      </c>
      <c r="L2584">
        <v>2</v>
      </c>
      <c r="M2584">
        <v>4</v>
      </c>
      <c r="N2584">
        <v>5</v>
      </c>
      <c r="P2584">
        <v>0</v>
      </c>
      <c r="Q2584">
        <v>0</v>
      </c>
      <c r="R2584">
        <v>0</v>
      </c>
      <c r="S2584">
        <v>1</v>
      </c>
    </row>
    <row r="2585" spans="1:19" hidden="1" x14ac:dyDescent="0.35">
      <c r="A2585">
        <v>57194341996</v>
      </c>
      <c r="B2585" t="s">
        <v>2590</v>
      </c>
      <c r="C2585" t="str">
        <f>_xlfn.XLOOKUP(A2585,[1]Affiliations!$J$2:$J$5328,[1]Affiliations!$K$2:$K$5328,0)</f>
        <v>Universidade de Passo Fundo</v>
      </c>
      <c r="D2585">
        <v>12</v>
      </c>
      <c r="E2585">
        <v>54</v>
      </c>
      <c r="F2585">
        <v>4.5</v>
      </c>
      <c r="G2585">
        <v>4</v>
      </c>
      <c r="H2585">
        <v>0.28999999999999998</v>
      </c>
      <c r="I2585">
        <v>0</v>
      </c>
      <c r="J2585">
        <v>1</v>
      </c>
      <c r="K2585">
        <v>2</v>
      </c>
      <c r="L2585">
        <v>4</v>
      </c>
      <c r="M2585">
        <v>8</v>
      </c>
      <c r="N2585">
        <v>9</v>
      </c>
      <c r="P2585">
        <v>0</v>
      </c>
      <c r="Q2585">
        <v>0</v>
      </c>
      <c r="R2585">
        <v>0</v>
      </c>
      <c r="S2585">
        <v>0</v>
      </c>
    </row>
    <row r="2586" spans="1:19" hidden="1" x14ac:dyDescent="0.35">
      <c r="A2586">
        <v>7406386406</v>
      </c>
      <c r="B2586" t="s">
        <v>2591</v>
      </c>
      <c r="C2586" t="str">
        <f>_xlfn.XLOOKUP(A2586,[1]Affiliations!$J$2:$J$5328,[1]Affiliations!$K$2:$K$5328,0)</f>
        <v>Universidade Federal do Rio Grande do Sul</v>
      </c>
      <c r="D2586">
        <v>3</v>
      </c>
      <c r="E2586">
        <v>130</v>
      </c>
      <c r="F2586">
        <v>43.333331999999999</v>
      </c>
      <c r="G2586">
        <v>3</v>
      </c>
      <c r="H2586">
        <v>1.03</v>
      </c>
      <c r="I2586">
        <v>0</v>
      </c>
      <c r="J2586">
        <v>1</v>
      </c>
      <c r="K2586">
        <v>1</v>
      </c>
      <c r="L2586">
        <v>1</v>
      </c>
      <c r="M2586">
        <v>1</v>
      </c>
      <c r="N2586">
        <v>1</v>
      </c>
      <c r="P2586">
        <v>1</v>
      </c>
      <c r="Q2586">
        <v>1</v>
      </c>
      <c r="R2586">
        <v>1</v>
      </c>
      <c r="S2586">
        <v>1</v>
      </c>
    </row>
    <row r="2587" spans="1:19" hidden="1" x14ac:dyDescent="0.35">
      <c r="A2587">
        <v>58743286000</v>
      </c>
      <c r="B2587" t="s">
        <v>2592</v>
      </c>
      <c r="C2587" t="str">
        <f>_xlfn.XLOOKUP(A2587,[1]Affiliations!$J$2:$J$5328,[1]Affiliations!$K$2:$K$5328,0)</f>
        <v>University of Campinas</v>
      </c>
      <c r="D2587">
        <v>1</v>
      </c>
      <c r="E2587">
        <v>1</v>
      </c>
      <c r="F2587">
        <v>1</v>
      </c>
      <c r="G2587">
        <v>1</v>
      </c>
      <c r="H2587">
        <v>0.21</v>
      </c>
      <c r="P2587">
        <v>0</v>
      </c>
      <c r="Q2587">
        <v>0</v>
      </c>
      <c r="R2587">
        <v>0</v>
      </c>
      <c r="S2587">
        <v>0</v>
      </c>
    </row>
    <row r="2588" spans="1:19" hidden="1" x14ac:dyDescent="0.35">
      <c r="A2588">
        <v>55585220300</v>
      </c>
      <c r="B2588" t="s">
        <v>2593</v>
      </c>
      <c r="C2588" t="str">
        <f>_xlfn.XLOOKUP(A2588,[1]Affiliations!$J$2:$J$5328,[1]Affiliations!$K$2:$K$5328,0)</f>
        <v>Pontifícia Universidade Católica do Rio Grande do Sul</v>
      </c>
      <c r="D2588">
        <v>7</v>
      </c>
      <c r="E2588">
        <v>93</v>
      </c>
      <c r="F2588">
        <v>13.285714</v>
      </c>
      <c r="G2588">
        <v>6</v>
      </c>
      <c r="H2588">
        <v>0.49</v>
      </c>
      <c r="I2588">
        <v>0</v>
      </c>
      <c r="J2588">
        <v>0</v>
      </c>
      <c r="K2588">
        <v>1</v>
      </c>
      <c r="L2588">
        <v>2</v>
      </c>
      <c r="M2588">
        <v>5</v>
      </c>
      <c r="N2588">
        <v>6</v>
      </c>
      <c r="P2588">
        <v>0</v>
      </c>
      <c r="Q2588">
        <v>0</v>
      </c>
      <c r="R2588">
        <v>0</v>
      </c>
      <c r="S2588">
        <v>1</v>
      </c>
    </row>
    <row r="2589" spans="1:19" x14ac:dyDescent="0.35">
      <c r="A2589">
        <v>18037320200</v>
      </c>
      <c r="B2589" t="s">
        <v>2414</v>
      </c>
      <c r="C2589" t="str">
        <f>_xlfn.XLOOKUP(A2589,[1]Affiliations!$J$2:$J$5328,[1]Affiliations!$K$2:$K$5328,0)</f>
        <v>Regional University of Blumenau - FURB (+1 more)</v>
      </c>
      <c r="D2589">
        <v>51</v>
      </c>
      <c r="E2589">
        <v>1074</v>
      </c>
      <c r="F2589">
        <v>21.058823</v>
      </c>
      <c r="G2589">
        <v>25</v>
      </c>
      <c r="H2589">
        <v>0.94</v>
      </c>
      <c r="I2589">
        <v>1</v>
      </c>
      <c r="J2589">
        <v>5</v>
      </c>
      <c r="K2589">
        <v>10</v>
      </c>
      <c r="L2589">
        <v>27</v>
      </c>
      <c r="M2589">
        <v>39</v>
      </c>
      <c r="N2589">
        <v>46</v>
      </c>
      <c r="P2589">
        <v>0</v>
      </c>
      <c r="Q2589">
        <v>1</v>
      </c>
      <c r="R2589">
        <v>4</v>
      </c>
      <c r="S2589">
        <v>21</v>
      </c>
    </row>
    <row r="2590" spans="1:19" hidden="1" x14ac:dyDescent="0.35">
      <c r="A2590">
        <v>57218680582</v>
      </c>
      <c r="B2590" t="s">
        <v>2595</v>
      </c>
      <c r="C2590" t="str">
        <f>_xlfn.XLOOKUP(A2590,[1]Affiliations!$J$2:$J$5328,[1]Affiliations!$K$2:$K$5328,0)</f>
        <v>Federal University of Santa Catarina</v>
      </c>
      <c r="D2590">
        <v>2</v>
      </c>
      <c r="E2590">
        <v>111</v>
      </c>
      <c r="F2590">
        <v>55.5</v>
      </c>
      <c r="G2590">
        <v>2</v>
      </c>
      <c r="H2590">
        <v>1.83</v>
      </c>
      <c r="I2590">
        <v>0</v>
      </c>
      <c r="J2590">
        <v>1</v>
      </c>
      <c r="K2590">
        <v>2</v>
      </c>
      <c r="L2590">
        <v>2</v>
      </c>
      <c r="M2590">
        <v>2</v>
      </c>
      <c r="N2590">
        <v>2</v>
      </c>
      <c r="P2590">
        <v>0</v>
      </c>
      <c r="Q2590">
        <v>1</v>
      </c>
      <c r="R2590">
        <v>2</v>
      </c>
      <c r="S2590">
        <v>2</v>
      </c>
    </row>
    <row r="2591" spans="1:19" x14ac:dyDescent="0.35">
      <c r="A2591">
        <v>7801397454</v>
      </c>
      <c r="B2591" t="s">
        <v>2468</v>
      </c>
      <c r="C2591" t="str">
        <f>_xlfn.XLOOKUP(A2591,[1]Affiliations!$J$2:$J$5328,[1]Affiliations!$K$2:$K$5328,0)</f>
        <v>Universidade de São Paulo</v>
      </c>
      <c r="D2591">
        <v>24</v>
      </c>
      <c r="E2591">
        <v>126</v>
      </c>
      <c r="F2591">
        <v>5.25</v>
      </c>
      <c r="G2591">
        <v>7</v>
      </c>
      <c r="H2591">
        <v>0.94</v>
      </c>
      <c r="I2591">
        <v>0</v>
      </c>
      <c r="J2591">
        <v>0</v>
      </c>
      <c r="K2591">
        <v>3</v>
      </c>
      <c r="L2591">
        <v>3</v>
      </c>
      <c r="M2591">
        <v>4</v>
      </c>
      <c r="N2591">
        <v>11</v>
      </c>
      <c r="P2591">
        <v>0</v>
      </c>
      <c r="Q2591">
        <v>0</v>
      </c>
      <c r="R2591">
        <v>1</v>
      </c>
      <c r="S2591">
        <v>3</v>
      </c>
    </row>
    <row r="2592" spans="1:19" x14ac:dyDescent="0.35">
      <c r="A2592">
        <v>57189708662</v>
      </c>
      <c r="B2592" t="s">
        <v>2490</v>
      </c>
      <c r="C2592" t="str">
        <f>_xlfn.XLOOKUP(A2592,[1]Affiliations!$J$2:$J$5328,[1]Affiliations!$K$2:$K$5328,0)</f>
        <v>Federal University of Rio de Janeiro</v>
      </c>
      <c r="D2592">
        <v>20</v>
      </c>
      <c r="E2592">
        <v>545</v>
      </c>
      <c r="F2592">
        <v>27.25</v>
      </c>
      <c r="G2592">
        <v>11</v>
      </c>
      <c r="H2592">
        <v>0.94</v>
      </c>
      <c r="I2592">
        <v>3</v>
      </c>
      <c r="J2592">
        <v>3</v>
      </c>
      <c r="K2592">
        <v>4</v>
      </c>
      <c r="L2592">
        <v>11</v>
      </c>
      <c r="M2592">
        <v>17</v>
      </c>
      <c r="N2592">
        <v>18</v>
      </c>
      <c r="P2592">
        <v>0</v>
      </c>
      <c r="Q2592">
        <v>2</v>
      </c>
      <c r="R2592">
        <v>4</v>
      </c>
      <c r="S2592">
        <v>11</v>
      </c>
    </row>
    <row r="2593" spans="1:19" hidden="1" x14ac:dyDescent="0.35">
      <c r="A2593">
        <v>56731298400</v>
      </c>
      <c r="B2593" t="s">
        <v>2598</v>
      </c>
      <c r="C2593" t="str">
        <f>_xlfn.XLOOKUP(A2593,[1]Affiliations!$J$2:$J$5328,[1]Affiliations!$K$2:$K$5328,0)</f>
        <v>Universidade Federal Fluminense (+1 more)</v>
      </c>
      <c r="D2593">
        <v>3</v>
      </c>
      <c r="E2593">
        <v>27</v>
      </c>
      <c r="F2593">
        <v>9</v>
      </c>
      <c r="G2593">
        <v>5</v>
      </c>
      <c r="H2593">
        <v>0.28000000000000003</v>
      </c>
      <c r="I2593">
        <v>0</v>
      </c>
      <c r="J2593">
        <v>0</v>
      </c>
      <c r="K2593">
        <v>0</v>
      </c>
      <c r="L2593">
        <v>1</v>
      </c>
      <c r="M2593">
        <v>1</v>
      </c>
      <c r="N2593">
        <v>3</v>
      </c>
      <c r="P2593">
        <v>0</v>
      </c>
      <c r="Q2593">
        <v>0</v>
      </c>
      <c r="R2593">
        <v>0</v>
      </c>
      <c r="S2593">
        <v>0</v>
      </c>
    </row>
    <row r="2594" spans="1:19" x14ac:dyDescent="0.35">
      <c r="A2594">
        <v>13204287200</v>
      </c>
      <c r="B2594" t="s">
        <v>2808</v>
      </c>
      <c r="C2594" t="str">
        <f>_xlfn.XLOOKUP(A2594,[1]Affiliations!$J$2:$J$5328,[1]Affiliations!$K$2:$K$5328,0)</f>
        <v>Vizlab - X-Reality and GeoInformatics Lab</v>
      </c>
      <c r="D2594">
        <v>25</v>
      </c>
      <c r="E2594">
        <v>353</v>
      </c>
      <c r="F2594">
        <v>14.12</v>
      </c>
      <c r="G2594">
        <v>17</v>
      </c>
      <c r="H2594">
        <v>0.94</v>
      </c>
      <c r="I2594">
        <v>3</v>
      </c>
      <c r="J2594">
        <v>6</v>
      </c>
      <c r="K2594">
        <v>11</v>
      </c>
      <c r="L2594">
        <v>19</v>
      </c>
      <c r="M2594">
        <v>24</v>
      </c>
      <c r="N2594">
        <v>25</v>
      </c>
      <c r="P2594">
        <v>0</v>
      </c>
      <c r="Q2594">
        <v>0</v>
      </c>
      <c r="R2594">
        <v>4</v>
      </c>
      <c r="S2594">
        <v>8</v>
      </c>
    </row>
    <row r="2595" spans="1:19" x14ac:dyDescent="0.35">
      <c r="A2595">
        <v>56473617600</v>
      </c>
      <c r="B2595" t="s">
        <v>2920</v>
      </c>
      <c r="C2595" t="str">
        <f>_xlfn.XLOOKUP(A2595,[1]Affiliations!$J$2:$J$5328,[1]Affiliations!$K$2:$K$5328,0)</f>
        <v>Universidade Federal Fluminense</v>
      </c>
      <c r="D2595">
        <v>25</v>
      </c>
      <c r="E2595">
        <v>348</v>
      </c>
      <c r="F2595">
        <v>13.92</v>
      </c>
      <c r="G2595">
        <v>11</v>
      </c>
      <c r="H2595">
        <v>0.94</v>
      </c>
      <c r="I2595">
        <v>1</v>
      </c>
      <c r="J2595">
        <v>8</v>
      </c>
      <c r="K2595">
        <v>13</v>
      </c>
      <c r="L2595">
        <v>17</v>
      </c>
      <c r="M2595">
        <v>22</v>
      </c>
      <c r="N2595">
        <v>22</v>
      </c>
      <c r="P2595">
        <v>0</v>
      </c>
      <c r="Q2595">
        <v>0</v>
      </c>
      <c r="R2595">
        <v>2</v>
      </c>
      <c r="S2595">
        <v>8</v>
      </c>
    </row>
    <row r="2596" spans="1:19" x14ac:dyDescent="0.35">
      <c r="A2596">
        <v>57024230600</v>
      </c>
      <c r="B2596" t="s">
        <v>3096</v>
      </c>
      <c r="C2596" t="str">
        <f>_xlfn.XLOOKUP(A2596,[1]Affiliations!$J$2:$J$5328,[1]Affiliations!$K$2:$K$5328,0)</f>
        <v>Universidade Estadual do Norte Fluminense</v>
      </c>
      <c r="D2596">
        <v>10</v>
      </c>
      <c r="E2596">
        <v>218</v>
      </c>
      <c r="F2596">
        <v>21.8</v>
      </c>
      <c r="G2596">
        <v>7</v>
      </c>
      <c r="H2596">
        <v>0.94</v>
      </c>
      <c r="I2596">
        <v>1</v>
      </c>
      <c r="J2596">
        <v>4</v>
      </c>
      <c r="K2596">
        <v>4</v>
      </c>
      <c r="L2596">
        <v>9</v>
      </c>
      <c r="M2596">
        <v>9</v>
      </c>
      <c r="N2596">
        <v>10</v>
      </c>
      <c r="P2596">
        <v>0</v>
      </c>
      <c r="Q2596">
        <v>0</v>
      </c>
      <c r="R2596">
        <v>1</v>
      </c>
      <c r="S2596">
        <v>5</v>
      </c>
    </row>
    <row r="2597" spans="1:19" hidden="1" x14ac:dyDescent="0.35">
      <c r="A2597">
        <v>57196478134</v>
      </c>
      <c r="B2597" t="s">
        <v>2602</v>
      </c>
      <c r="C2597" t="str">
        <f>_xlfn.XLOOKUP(A2597,[1]Affiliations!$J$2:$J$5328,[1]Affiliations!$K$2:$K$5328,0)</f>
        <v>Federal University of Rio de Janeiro</v>
      </c>
      <c r="D2597">
        <v>27</v>
      </c>
      <c r="E2597">
        <v>239</v>
      </c>
      <c r="F2597">
        <v>8.8518509999999999</v>
      </c>
      <c r="G2597">
        <v>10</v>
      </c>
      <c r="H2597">
        <v>0.57999999999999996</v>
      </c>
      <c r="I2597">
        <v>0</v>
      </c>
      <c r="J2597">
        <v>1</v>
      </c>
      <c r="K2597">
        <v>6</v>
      </c>
      <c r="L2597">
        <v>16</v>
      </c>
      <c r="M2597">
        <v>24</v>
      </c>
      <c r="N2597">
        <v>24</v>
      </c>
      <c r="P2597">
        <v>0</v>
      </c>
      <c r="Q2597">
        <v>0</v>
      </c>
      <c r="R2597">
        <v>0</v>
      </c>
      <c r="S2597">
        <v>7</v>
      </c>
    </row>
    <row r="2598" spans="1:19" hidden="1" x14ac:dyDescent="0.35">
      <c r="A2598">
        <v>57350556600</v>
      </c>
      <c r="B2598" t="s">
        <v>2603</v>
      </c>
      <c r="C2598" t="str">
        <f>_xlfn.XLOOKUP(A2598,[1]Affiliations!$J$2:$J$5328,[1]Affiliations!$K$2:$K$5328,0)</f>
        <v>Universidade Federal do Rio Grande do Norte</v>
      </c>
      <c r="D2598">
        <v>2</v>
      </c>
      <c r="E2598">
        <v>18</v>
      </c>
      <c r="F2598">
        <v>9</v>
      </c>
      <c r="G2598">
        <v>2</v>
      </c>
      <c r="H2598">
        <v>0.26</v>
      </c>
      <c r="I2598">
        <v>2</v>
      </c>
      <c r="J2598">
        <v>2</v>
      </c>
      <c r="K2598">
        <v>2</v>
      </c>
      <c r="L2598">
        <v>2</v>
      </c>
      <c r="M2598">
        <v>2</v>
      </c>
      <c r="N2598">
        <v>2</v>
      </c>
      <c r="P2598">
        <v>0</v>
      </c>
      <c r="Q2598">
        <v>0</v>
      </c>
      <c r="R2598">
        <v>0</v>
      </c>
      <c r="S2598">
        <v>1</v>
      </c>
    </row>
    <row r="2599" spans="1:19" hidden="1" x14ac:dyDescent="0.35">
      <c r="A2599">
        <v>57203753814</v>
      </c>
      <c r="B2599" t="s">
        <v>2604</v>
      </c>
      <c r="C2599" t="str">
        <f>_xlfn.XLOOKUP(A2599,[1]Affiliations!$J$2:$J$5328,[1]Affiliations!$K$2:$K$5328,0)</f>
        <v>Federal University of Rio de Janeiro</v>
      </c>
      <c r="D2599">
        <v>3</v>
      </c>
      <c r="E2599">
        <v>77</v>
      </c>
      <c r="F2599">
        <v>25.666665999999999</v>
      </c>
      <c r="G2599">
        <v>3</v>
      </c>
      <c r="H2599">
        <v>0.94</v>
      </c>
      <c r="I2599">
        <v>0</v>
      </c>
      <c r="J2599">
        <v>0</v>
      </c>
      <c r="K2599">
        <v>0</v>
      </c>
      <c r="L2599">
        <v>2</v>
      </c>
      <c r="M2599">
        <v>3</v>
      </c>
      <c r="N2599">
        <v>3</v>
      </c>
      <c r="P2599">
        <v>0</v>
      </c>
      <c r="Q2599">
        <v>0</v>
      </c>
      <c r="R2599">
        <v>0</v>
      </c>
      <c r="S2599">
        <v>2</v>
      </c>
    </row>
    <row r="2600" spans="1:19" x14ac:dyDescent="0.35">
      <c r="A2600">
        <v>57219721808</v>
      </c>
      <c r="B2600" t="s">
        <v>3189</v>
      </c>
      <c r="C2600" t="str">
        <f>_xlfn.XLOOKUP(A2600,[1]Affiliations!$J$2:$J$5328,[1]Affiliations!$K$2:$K$5328,0)</f>
        <v>Federal University of Santa Catarina</v>
      </c>
      <c r="D2600">
        <v>11</v>
      </c>
      <c r="E2600">
        <v>114</v>
      </c>
      <c r="F2600">
        <v>10.363636</v>
      </c>
      <c r="G2600">
        <v>6</v>
      </c>
      <c r="H2600">
        <v>0.94</v>
      </c>
      <c r="I2600">
        <v>0</v>
      </c>
      <c r="J2600">
        <v>1</v>
      </c>
      <c r="K2600">
        <v>2</v>
      </c>
      <c r="L2600">
        <v>4</v>
      </c>
      <c r="M2600">
        <v>10</v>
      </c>
      <c r="N2600">
        <v>10</v>
      </c>
      <c r="P2600">
        <v>0</v>
      </c>
      <c r="Q2600">
        <v>0</v>
      </c>
      <c r="R2600">
        <v>1</v>
      </c>
      <c r="S2600">
        <v>6</v>
      </c>
    </row>
    <row r="2601" spans="1:19" x14ac:dyDescent="0.35">
      <c r="A2601">
        <v>57201802198</v>
      </c>
      <c r="B2601" t="s">
        <v>3239</v>
      </c>
      <c r="C2601" t="str">
        <f>_xlfn.XLOOKUP(A2601,[1]Affiliations!$J$2:$J$5328,[1]Affiliations!$K$2:$K$5328,0)</f>
        <v>Universidade Federal do Rio Grande do Norte</v>
      </c>
      <c r="D2601">
        <v>8</v>
      </c>
      <c r="E2601">
        <v>126</v>
      </c>
      <c r="F2601">
        <v>15.75</v>
      </c>
      <c r="G2601">
        <v>5</v>
      </c>
      <c r="H2601">
        <v>0.94</v>
      </c>
      <c r="I2601">
        <v>0</v>
      </c>
      <c r="J2601">
        <v>0</v>
      </c>
      <c r="K2601">
        <v>1</v>
      </c>
      <c r="L2601">
        <v>8</v>
      </c>
      <c r="M2601">
        <v>8</v>
      </c>
      <c r="N2601">
        <v>8</v>
      </c>
      <c r="P2601">
        <v>0</v>
      </c>
      <c r="Q2601">
        <v>2</v>
      </c>
      <c r="R2601">
        <v>2</v>
      </c>
      <c r="S2601">
        <v>3</v>
      </c>
    </row>
    <row r="2602" spans="1:19" hidden="1" x14ac:dyDescent="0.35">
      <c r="A2602">
        <v>57211480452</v>
      </c>
      <c r="B2602" t="s">
        <v>2607</v>
      </c>
      <c r="C2602" t="str">
        <f>_xlfn.XLOOKUP(A2602,[1]Affiliations!$J$2:$J$5328,[1]Affiliations!$K$2:$K$5328,0)</f>
        <v>University of Campinas</v>
      </c>
      <c r="D2602">
        <v>1</v>
      </c>
      <c r="E2602">
        <v>4</v>
      </c>
      <c r="F2602">
        <v>4</v>
      </c>
      <c r="G2602">
        <v>1</v>
      </c>
      <c r="H2602">
        <v>0.49</v>
      </c>
      <c r="I2602">
        <v>0</v>
      </c>
      <c r="J2602">
        <v>0</v>
      </c>
      <c r="K2602">
        <v>0</v>
      </c>
      <c r="L2602">
        <v>1</v>
      </c>
      <c r="M2602">
        <v>1</v>
      </c>
      <c r="N2602">
        <v>1</v>
      </c>
      <c r="P2602">
        <v>0</v>
      </c>
      <c r="Q2602">
        <v>0</v>
      </c>
      <c r="R2602">
        <v>0</v>
      </c>
      <c r="S2602">
        <v>0</v>
      </c>
    </row>
    <row r="2603" spans="1:19" hidden="1" x14ac:dyDescent="0.35">
      <c r="A2603">
        <v>57189851657</v>
      </c>
      <c r="B2603" t="s">
        <v>2608</v>
      </c>
      <c r="C2603" t="str">
        <f>_xlfn.XLOOKUP(A2603,[1]Affiliations!$J$2:$J$5328,[1]Affiliations!$K$2:$K$5328,0)</f>
        <v>University of Campinas (+1 more)</v>
      </c>
      <c r="D2603">
        <v>2</v>
      </c>
      <c r="E2603">
        <v>12</v>
      </c>
      <c r="F2603">
        <v>6</v>
      </c>
      <c r="G2603">
        <v>1</v>
      </c>
      <c r="H2603">
        <v>0.14000000000000001</v>
      </c>
      <c r="I2603">
        <v>0</v>
      </c>
      <c r="J2603">
        <v>0</v>
      </c>
      <c r="K2603">
        <v>1</v>
      </c>
      <c r="L2603">
        <v>2</v>
      </c>
      <c r="M2603">
        <v>2</v>
      </c>
      <c r="N2603">
        <v>2</v>
      </c>
      <c r="P2603">
        <v>0</v>
      </c>
      <c r="Q2603">
        <v>0</v>
      </c>
      <c r="R2603">
        <v>0</v>
      </c>
      <c r="S2603">
        <v>0</v>
      </c>
    </row>
    <row r="2604" spans="1:19" hidden="1" x14ac:dyDescent="0.35">
      <c r="A2604">
        <v>6602676473</v>
      </c>
      <c r="B2604" t="s">
        <v>2609</v>
      </c>
      <c r="C2604" t="str">
        <f>_xlfn.XLOOKUP(A2604,[1]Affiliations!$J$2:$J$5328,[1]Affiliations!$K$2:$K$5328,0)</f>
        <v>Universidade Estadual Paulista “Júlio de Mesquita Filho”</v>
      </c>
      <c r="D2604">
        <v>26</v>
      </c>
      <c r="E2604">
        <v>194</v>
      </c>
      <c r="F2604">
        <v>7.4615383</v>
      </c>
      <c r="G2604">
        <v>14</v>
      </c>
      <c r="H2604">
        <v>0.44</v>
      </c>
      <c r="I2604">
        <v>0</v>
      </c>
      <c r="J2604">
        <v>3</v>
      </c>
      <c r="K2604">
        <v>11</v>
      </c>
      <c r="L2604">
        <v>17</v>
      </c>
      <c r="M2604">
        <v>17</v>
      </c>
      <c r="N2604">
        <v>18</v>
      </c>
      <c r="P2604">
        <v>0</v>
      </c>
      <c r="Q2604">
        <v>0</v>
      </c>
      <c r="R2604">
        <v>0</v>
      </c>
      <c r="S2604">
        <v>2</v>
      </c>
    </row>
    <row r="2605" spans="1:19" x14ac:dyDescent="0.35">
      <c r="A2605">
        <v>7102354647</v>
      </c>
      <c r="B2605" t="s">
        <v>3294</v>
      </c>
      <c r="C2605" t="str">
        <f>_xlfn.XLOOKUP(A2605,[1]Affiliations!$J$2:$J$5328,[1]Affiliations!$K$2:$K$5328,0)</f>
        <v>Universidade Federal do Rio Grande do Norte</v>
      </c>
      <c r="D2605">
        <v>49</v>
      </c>
      <c r="E2605">
        <v>1032</v>
      </c>
      <c r="F2605">
        <v>21.061223999999999</v>
      </c>
      <c r="G2605">
        <v>27</v>
      </c>
      <c r="H2605">
        <v>0.94</v>
      </c>
      <c r="I2605">
        <v>0</v>
      </c>
      <c r="J2605">
        <v>5</v>
      </c>
      <c r="K2605">
        <v>17</v>
      </c>
      <c r="L2605">
        <v>26</v>
      </c>
      <c r="M2605">
        <v>37</v>
      </c>
      <c r="N2605">
        <v>40</v>
      </c>
      <c r="P2605">
        <v>0</v>
      </c>
      <c r="Q2605">
        <v>2</v>
      </c>
      <c r="R2605">
        <v>7</v>
      </c>
      <c r="S2605">
        <v>23</v>
      </c>
    </row>
    <row r="2606" spans="1:19" x14ac:dyDescent="0.35">
      <c r="A2606">
        <v>7004585371</v>
      </c>
      <c r="B2606" t="s">
        <v>3513</v>
      </c>
      <c r="C2606" t="str">
        <f>_xlfn.XLOOKUP(A2606,[1]Affiliations!$J$2:$J$5328,[1]Affiliations!$K$2:$K$5328,0)</f>
        <v>Instituto Nacional de Pesquisas Espaciais</v>
      </c>
      <c r="D2606">
        <v>23</v>
      </c>
      <c r="E2606">
        <v>482</v>
      </c>
      <c r="F2606">
        <v>20.956522</v>
      </c>
      <c r="G2606">
        <v>17</v>
      </c>
      <c r="H2606">
        <v>0.94</v>
      </c>
      <c r="I2606">
        <v>0</v>
      </c>
      <c r="J2606">
        <v>1</v>
      </c>
      <c r="K2606">
        <v>8</v>
      </c>
      <c r="L2606">
        <v>10</v>
      </c>
      <c r="M2606">
        <v>17</v>
      </c>
      <c r="N2606">
        <v>21</v>
      </c>
      <c r="P2606">
        <v>0</v>
      </c>
      <c r="Q2606">
        <v>2</v>
      </c>
      <c r="R2606">
        <v>3</v>
      </c>
      <c r="S2606">
        <v>8</v>
      </c>
    </row>
    <row r="2607" spans="1:19" hidden="1" x14ac:dyDescent="0.35">
      <c r="A2607">
        <v>56529162500</v>
      </c>
      <c r="B2607" t="s">
        <v>2612</v>
      </c>
      <c r="C2607" t="str">
        <f>_xlfn.XLOOKUP(A2607,[1]Affiliations!$J$2:$J$5328,[1]Affiliations!$K$2:$K$5328,0)</f>
        <v>PGS</v>
      </c>
      <c r="D2607">
        <v>6</v>
      </c>
      <c r="E2607">
        <v>50</v>
      </c>
      <c r="F2607">
        <v>8.3333329999999997</v>
      </c>
      <c r="G2607">
        <v>4</v>
      </c>
      <c r="H2607">
        <v>0.95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2</v>
      </c>
      <c r="P2607">
        <v>0</v>
      </c>
      <c r="Q2607">
        <v>0</v>
      </c>
      <c r="R2607">
        <v>0</v>
      </c>
      <c r="S2607">
        <v>1</v>
      </c>
    </row>
    <row r="2608" spans="1:19" x14ac:dyDescent="0.35">
      <c r="A2608">
        <v>57217064753</v>
      </c>
      <c r="B2608" t="s">
        <v>3832</v>
      </c>
      <c r="C2608" t="str">
        <f>_xlfn.XLOOKUP(A2608,[1]Affiliations!$J$2:$J$5328,[1]Affiliations!$K$2:$K$5328,0)</f>
        <v>DEMa</v>
      </c>
      <c r="D2608">
        <v>8</v>
      </c>
      <c r="E2608">
        <v>100</v>
      </c>
      <c r="F2608">
        <v>12.5</v>
      </c>
      <c r="G2608">
        <v>6</v>
      </c>
      <c r="H2608">
        <v>0.94</v>
      </c>
      <c r="I2608">
        <v>0</v>
      </c>
      <c r="J2608">
        <v>2</v>
      </c>
      <c r="K2608">
        <v>3</v>
      </c>
      <c r="L2608">
        <v>6</v>
      </c>
      <c r="M2608">
        <v>8</v>
      </c>
      <c r="N2608">
        <v>8</v>
      </c>
      <c r="P2608">
        <v>0</v>
      </c>
      <c r="Q2608">
        <v>0</v>
      </c>
      <c r="R2608">
        <v>1</v>
      </c>
      <c r="S2608">
        <v>3</v>
      </c>
    </row>
    <row r="2609" spans="1:19" hidden="1" x14ac:dyDescent="0.35">
      <c r="A2609">
        <v>57201407200</v>
      </c>
      <c r="B2609" t="s">
        <v>2614</v>
      </c>
      <c r="C2609" t="str">
        <f>_xlfn.XLOOKUP(A2609,[1]Affiliations!$J$2:$J$5328,[1]Affiliations!$K$2:$K$5328,0)</f>
        <v>Universidade Federal do Paraná</v>
      </c>
      <c r="D2609">
        <v>5</v>
      </c>
      <c r="E2609">
        <v>78</v>
      </c>
      <c r="F2609">
        <v>15.6</v>
      </c>
      <c r="G2609">
        <v>4</v>
      </c>
      <c r="H2609">
        <v>0.99</v>
      </c>
      <c r="I2609">
        <v>0</v>
      </c>
      <c r="J2609">
        <v>1</v>
      </c>
      <c r="K2609">
        <v>3</v>
      </c>
      <c r="L2609">
        <v>3</v>
      </c>
      <c r="M2609">
        <v>5</v>
      </c>
      <c r="N2609">
        <v>5</v>
      </c>
      <c r="P2609">
        <v>0</v>
      </c>
      <c r="Q2609">
        <v>0</v>
      </c>
      <c r="R2609">
        <v>0</v>
      </c>
      <c r="S2609">
        <v>2</v>
      </c>
    </row>
    <row r="2610" spans="1:19" hidden="1" x14ac:dyDescent="0.35">
      <c r="A2610">
        <v>57189063036</v>
      </c>
      <c r="B2610" t="s">
        <v>2615</v>
      </c>
      <c r="C2610" t="str">
        <f>_xlfn.XLOOKUP(A2610,[1]Affiliations!$J$2:$J$5328,[1]Affiliations!$K$2:$K$5328,0)</f>
        <v>Universidade Federal de Santa Maria</v>
      </c>
      <c r="D2610">
        <v>2</v>
      </c>
      <c r="E2610">
        <v>27</v>
      </c>
      <c r="F2610">
        <v>13.5</v>
      </c>
      <c r="G2610">
        <v>2</v>
      </c>
      <c r="H2610">
        <v>0.57999999999999996</v>
      </c>
      <c r="I2610">
        <v>0</v>
      </c>
      <c r="J2610">
        <v>1</v>
      </c>
      <c r="K2610">
        <v>2</v>
      </c>
      <c r="L2610">
        <v>2</v>
      </c>
      <c r="M2610">
        <v>2</v>
      </c>
      <c r="N2610">
        <v>2</v>
      </c>
      <c r="P2610">
        <v>0</v>
      </c>
      <c r="Q2610">
        <v>0</v>
      </c>
      <c r="R2610">
        <v>0</v>
      </c>
      <c r="S2610">
        <v>0</v>
      </c>
    </row>
    <row r="2611" spans="1:19" hidden="1" x14ac:dyDescent="0.35">
      <c r="A2611">
        <v>57219657783</v>
      </c>
      <c r="B2611" t="s">
        <v>2616</v>
      </c>
      <c r="C2611" t="str">
        <f>_xlfn.XLOOKUP(A2611,[1]Affiliations!$J$2:$J$5328,[1]Affiliations!$K$2:$K$5328,0)</f>
        <v>Universidade Federal do Rio Grande do Sul</v>
      </c>
      <c r="D2611">
        <v>2</v>
      </c>
      <c r="E2611">
        <v>12</v>
      </c>
      <c r="F2611">
        <v>6</v>
      </c>
      <c r="G2611">
        <v>2</v>
      </c>
      <c r="H2611">
        <v>0.48</v>
      </c>
      <c r="I2611">
        <v>0</v>
      </c>
      <c r="J2611">
        <v>1</v>
      </c>
      <c r="K2611">
        <v>1</v>
      </c>
      <c r="L2611">
        <v>2</v>
      </c>
      <c r="M2611">
        <v>2</v>
      </c>
      <c r="N2611">
        <v>2</v>
      </c>
      <c r="P2611">
        <v>0</v>
      </c>
      <c r="Q2611">
        <v>0</v>
      </c>
      <c r="R2611">
        <v>0</v>
      </c>
      <c r="S2611">
        <v>0</v>
      </c>
    </row>
    <row r="2612" spans="1:19" x14ac:dyDescent="0.35">
      <c r="A2612">
        <v>57091524400</v>
      </c>
      <c r="B2612" t="s">
        <v>4062</v>
      </c>
      <c r="C2612" t="str">
        <f>_xlfn.XLOOKUP(A2612,[1]Affiliations!$J$2:$J$5328,[1]Affiliations!$K$2:$K$5328,0)</f>
        <v>Pontifícia Universidade Católica do Rio Grande do Sul</v>
      </c>
      <c r="D2612">
        <v>9</v>
      </c>
      <c r="E2612">
        <v>200</v>
      </c>
      <c r="F2612">
        <v>22.222221000000001</v>
      </c>
      <c r="G2612">
        <v>8</v>
      </c>
      <c r="H2612">
        <v>0.94</v>
      </c>
      <c r="I2612">
        <v>0</v>
      </c>
      <c r="J2612">
        <v>4</v>
      </c>
      <c r="K2612">
        <v>6</v>
      </c>
      <c r="L2612">
        <v>6</v>
      </c>
      <c r="M2612">
        <v>8</v>
      </c>
      <c r="N2612">
        <v>9</v>
      </c>
      <c r="P2612">
        <v>0</v>
      </c>
      <c r="Q2612">
        <v>0</v>
      </c>
      <c r="R2612">
        <v>1</v>
      </c>
      <c r="S2612">
        <v>5</v>
      </c>
    </row>
    <row r="2613" spans="1:19" hidden="1" x14ac:dyDescent="0.35">
      <c r="A2613">
        <v>55859641900</v>
      </c>
      <c r="B2613" t="s">
        <v>2618</v>
      </c>
      <c r="C2613" t="str">
        <f>_xlfn.XLOOKUP(A2613,[1]Affiliations!$J$2:$J$5328,[1]Affiliations!$K$2:$K$5328,0)</f>
        <v>Federal University of Rio de Janeiro</v>
      </c>
      <c r="D2613">
        <v>3</v>
      </c>
      <c r="E2613">
        <v>1</v>
      </c>
      <c r="F2613">
        <v>0.33333333999999998</v>
      </c>
      <c r="G2613">
        <v>1</v>
      </c>
      <c r="H2613">
        <v>0.27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P2613">
        <v>0</v>
      </c>
      <c r="Q2613">
        <v>0</v>
      </c>
      <c r="R2613">
        <v>0</v>
      </c>
      <c r="S2613">
        <v>0</v>
      </c>
    </row>
    <row r="2614" spans="1:19" hidden="1" x14ac:dyDescent="0.35">
      <c r="A2614">
        <v>57191490911</v>
      </c>
      <c r="B2614" t="s">
        <v>2619</v>
      </c>
      <c r="C2614" t="str">
        <f>_xlfn.XLOOKUP(A2614,[1]Affiliations!$J$2:$J$5328,[1]Affiliations!$K$2:$K$5328,0)</f>
        <v>Federal University of Rio de Janeiro</v>
      </c>
      <c r="D2614">
        <v>5</v>
      </c>
      <c r="E2614">
        <v>67</v>
      </c>
      <c r="F2614">
        <v>13.4</v>
      </c>
      <c r="G2614">
        <v>4</v>
      </c>
      <c r="H2614">
        <v>0.44</v>
      </c>
      <c r="I2614">
        <v>0</v>
      </c>
      <c r="J2614">
        <v>0</v>
      </c>
      <c r="K2614">
        <v>0</v>
      </c>
      <c r="L2614">
        <v>1</v>
      </c>
      <c r="M2614">
        <v>3</v>
      </c>
      <c r="N2614">
        <v>4</v>
      </c>
      <c r="P2614">
        <v>0</v>
      </c>
      <c r="Q2614">
        <v>0</v>
      </c>
      <c r="R2614">
        <v>0</v>
      </c>
      <c r="S2614">
        <v>1</v>
      </c>
    </row>
    <row r="2615" spans="1:19" hidden="1" x14ac:dyDescent="0.35">
      <c r="A2615">
        <v>58632515000</v>
      </c>
      <c r="B2615" t="s">
        <v>2620</v>
      </c>
      <c r="C2615" t="str">
        <f>_xlfn.XLOOKUP(A2615,[1]Affiliations!$J$2:$J$5328,[1]Affiliations!$K$2:$K$5328,0)</f>
        <v>Universidade Federal de Campina Grande</v>
      </c>
      <c r="D2615">
        <v>2</v>
      </c>
      <c r="E2615">
        <v>19</v>
      </c>
      <c r="F2615">
        <v>9.5</v>
      </c>
      <c r="G2615">
        <v>2</v>
      </c>
      <c r="H2615">
        <v>1.31</v>
      </c>
      <c r="I2615">
        <v>0</v>
      </c>
      <c r="J2615">
        <v>0</v>
      </c>
      <c r="K2615">
        <v>0</v>
      </c>
      <c r="L2615">
        <v>2</v>
      </c>
      <c r="M2615">
        <v>2</v>
      </c>
      <c r="N2615">
        <v>2</v>
      </c>
      <c r="P2615">
        <v>0</v>
      </c>
      <c r="Q2615">
        <v>0</v>
      </c>
      <c r="R2615">
        <v>0</v>
      </c>
      <c r="S2615">
        <v>1</v>
      </c>
    </row>
    <row r="2616" spans="1:19" x14ac:dyDescent="0.35">
      <c r="A2616">
        <v>12795285500</v>
      </c>
      <c r="B2616" t="s">
        <v>4398</v>
      </c>
      <c r="C2616" t="str">
        <f>_xlfn.XLOOKUP(A2616,[1]Affiliations!$J$2:$J$5328,[1]Affiliations!$K$2:$K$5328,0)</f>
        <v>Universidade Tiradentes</v>
      </c>
      <c r="D2616">
        <v>126</v>
      </c>
      <c r="E2616">
        <v>3125</v>
      </c>
      <c r="F2616">
        <v>24.801587999999999</v>
      </c>
      <c r="G2616">
        <v>41</v>
      </c>
      <c r="H2616">
        <v>0.94</v>
      </c>
      <c r="I2616">
        <v>8</v>
      </c>
      <c r="J2616">
        <v>29</v>
      </c>
      <c r="K2616">
        <v>52</v>
      </c>
      <c r="L2616">
        <v>95</v>
      </c>
      <c r="M2616">
        <v>114</v>
      </c>
      <c r="N2616">
        <v>120</v>
      </c>
      <c r="P2616">
        <v>0</v>
      </c>
      <c r="Q2616">
        <v>5</v>
      </c>
      <c r="R2616">
        <v>23</v>
      </c>
      <c r="S2616">
        <v>71</v>
      </c>
    </row>
    <row r="2617" spans="1:19" hidden="1" x14ac:dyDescent="0.35">
      <c r="A2617">
        <v>7101607841</v>
      </c>
      <c r="B2617" t="s">
        <v>2622</v>
      </c>
      <c r="C2617" t="str">
        <f>_xlfn.XLOOKUP(A2617,[1]Affiliations!$J$2:$J$5328,[1]Affiliations!$K$2:$K$5328,0)</f>
        <v>Universidade Federal de Pernambuco (+2 more)</v>
      </c>
      <c r="D2617">
        <v>26</v>
      </c>
      <c r="E2617">
        <v>142</v>
      </c>
      <c r="F2617">
        <v>5.4615383</v>
      </c>
      <c r="G2617">
        <v>9</v>
      </c>
      <c r="H2617">
        <v>0.64</v>
      </c>
      <c r="I2617">
        <v>0</v>
      </c>
      <c r="J2617">
        <v>1</v>
      </c>
      <c r="K2617">
        <v>5</v>
      </c>
      <c r="L2617">
        <v>11</v>
      </c>
      <c r="M2617">
        <v>14</v>
      </c>
      <c r="N2617">
        <v>14</v>
      </c>
      <c r="P2617">
        <v>0</v>
      </c>
      <c r="Q2617">
        <v>0</v>
      </c>
      <c r="R2617">
        <v>0</v>
      </c>
      <c r="S2617">
        <v>1</v>
      </c>
    </row>
    <row r="2618" spans="1:19" hidden="1" x14ac:dyDescent="0.35">
      <c r="A2618">
        <v>58529194000</v>
      </c>
      <c r="B2618" t="s">
        <v>2623</v>
      </c>
      <c r="C2618" t="str">
        <f>_xlfn.XLOOKUP(A2618,[1]Affiliations!$J$2:$J$5328,[1]Affiliations!$K$2:$K$5328,0)</f>
        <v>Universidade do Estado do Rio de Janeiro</v>
      </c>
      <c r="D2618">
        <v>1</v>
      </c>
      <c r="E2618">
        <v>1</v>
      </c>
      <c r="F2618">
        <v>1</v>
      </c>
      <c r="G2618">
        <v>1</v>
      </c>
      <c r="H2618">
        <v>0.14000000000000001</v>
      </c>
      <c r="I2618">
        <v>0</v>
      </c>
      <c r="J2618">
        <v>1</v>
      </c>
      <c r="K2618">
        <v>1</v>
      </c>
      <c r="L2618">
        <v>1</v>
      </c>
      <c r="M2618">
        <v>1</v>
      </c>
      <c r="N2618">
        <v>1</v>
      </c>
      <c r="P2618">
        <v>0</v>
      </c>
      <c r="Q2618">
        <v>0</v>
      </c>
      <c r="R2618">
        <v>0</v>
      </c>
      <c r="S2618">
        <v>0</v>
      </c>
    </row>
    <row r="2619" spans="1:19" x14ac:dyDescent="0.35">
      <c r="A2619">
        <v>56742905900</v>
      </c>
      <c r="B2619" t="s">
        <v>4499</v>
      </c>
      <c r="C2619" t="str">
        <f>_xlfn.XLOOKUP(A2619,[1]Affiliations!$J$2:$J$5328,[1]Affiliations!$K$2:$K$5328,0)</f>
        <v>Universidade Tiradentes (+1 more)</v>
      </c>
      <c r="D2619">
        <v>5</v>
      </c>
      <c r="E2619">
        <v>153</v>
      </c>
      <c r="F2619">
        <v>30.6</v>
      </c>
      <c r="G2619">
        <v>6</v>
      </c>
      <c r="H2619">
        <v>0.94</v>
      </c>
      <c r="I2619">
        <v>0</v>
      </c>
      <c r="J2619">
        <v>0</v>
      </c>
      <c r="K2619">
        <v>2</v>
      </c>
      <c r="L2619">
        <v>4</v>
      </c>
      <c r="M2619">
        <v>5</v>
      </c>
      <c r="N2619">
        <v>5</v>
      </c>
      <c r="P2619">
        <v>0</v>
      </c>
      <c r="Q2619">
        <v>1</v>
      </c>
      <c r="R2619">
        <v>1</v>
      </c>
      <c r="S2619">
        <v>5</v>
      </c>
    </row>
    <row r="2620" spans="1:19" hidden="1" x14ac:dyDescent="0.35">
      <c r="A2620">
        <v>59455304100</v>
      </c>
      <c r="B2620" t="s">
        <v>2625</v>
      </c>
      <c r="C2620" t="str">
        <f>_xlfn.XLOOKUP(A2620,[1]Affiliations!$J$2:$J$5328,[1]Affiliations!$K$2:$K$5328,0)</f>
        <v>Vizlab - X-Reality and GeoInformatics Lab</v>
      </c>
      <c r="D2620">
        <v>1</v>
      </c>
      <c r="E2620">
        <v>7</v>
      </c>
      <c r="F2620">
        <v>7</v>
      </c>
      <c r="G2620">
        <v>1</v>
      </c>
      <c r="H2620">
        <v>0.96</v>
      </c>
      <c r="P2620">
        <v>0</v>
      </c>
      <c r="Q2620">
        <v>0</v>
      </c>
      <c r="R2620">
        <v>0</v>
      </c>
      <c r="S2620">
        <v>0</v>
      </c>
    </row>
    <row r="2621" spans="1:19" hidden="1" x14ac:dyDescent="0.35">
      <c r="A2621">
        <v>57219592050</v>
      </c>
      <c r="B2621" t="s">
        <v>2626</v>
      </c>
      <c r="C2621" t="str">
        <f>_xlfn.XLOOKUP(A2621,[1]Affiliations!$J$2:$J$5328,[1]Affiliations!$K$2:$K$5328,0)</f>
        <v>Federal University of Rio de Janeiro</v>
      </c>
      <c r="D2621">
        <v>2</v>
      </c>
      <c r="E2621">
        <v>11</v>
      </c>
      <c r="F2621">
        <v>5.5</v>
      </c>
      <c r="G2621">
        <v>1</v>
      </c>
      <c r="H2621">
        <v>0.35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2</v>
      </c>
      <c r="P2621">
        <v>0</v>
      </c>
      <c r="Q2621">
        <v>0</v>
      </c>
      <c r="R2621">
        <v>0</v>
      </c>
      <c r="S2621">
        <v>0</v>
      </c>
    </row>
    <row r="2622" spans="1:19" hidden="1" x14ac:dyDescent="0.35">
      <c r="A2622">
        <v>6507026791</v>
      </c>
      <c r="B2622" t="s">
        <v>2627</v>
      </c>
      <c r="C2622" t="str">
        <f>_xlfn.XLOOKUP(A2622,[1]Affiliations!$J$2:$J$5328,[1]Affiliations!$K$2:$K$5328,0)</f>
        <v>Petróleo Brasileiro S.A. (+1 more)</v>
      </c>
      <c r="D2622">
        <v>4</v>
      </c>
      <c r="E2622">
        <v>7</v>
      </c>
      <c r="F2622">
        <v>1.75</v>
      </c>
      <c r="G2622">
        <v>2</v>
      </c>
      <c r="H2622">
        <v>0.31</v>
      </c>
      <c r="I2622">
        <v>0</v>
      </c>
      <c r="J2622">
        <v>0</v>
      </c>
      <c r="K2622">
        <v>0</v>
      </c>
      <c r="L2622">
        <v>1</v>
      </c>
      <c r="M2622">
        <v>1</v>
      </c>
      <c r="N2622">
        <v>3</v>
      </c>
      <c r="P2622">
        <v>0</v>
      </c>
      <c r="Q2622">
        <v>0</v>
      </c>
      <c r="R2622">
        <v>0</v>
      </c>
      <c r="S2622">
        <v>0</v>
      </c>
    </row>
    <row r="2623" spans="1:19" x14ac:dyDescent="0.35">
      <c r="A2623">
        <v>8983913000</v>
      </c>
      <c r="B2623" t="s">
        <v>5138</v>
      </c>
      <c r="C2623" t="str">
        <f>_xlfn.XLOOKUP(A2623,[1]Affiliations!$J$2:$J$5328,[1]Affiliations!$K$2:$K$5328,0)</f>
        <v>Universidade do Estado do Rio de Janeiro (+2 more)</v>
      </c>
      <c r="D2623">
        <v>13</v>
      </c>
      <c r="E2623">
        <v>278</v>
      </c>
      <c r="F2623">
        <v>21.384615</v>
      </c>
      <c r="G2623">
        <v>15</v>
      </c>
      <c r="H2623">
        <v>0.94</v>
      </c>
      <c r="I2623">
        <v>0</v>
      </c>
      <c r="J2623">
        <v>0</v>
      </c>
      <c r="K2623">
        <v>5</v>
      </c>
      <c r="L2623">
        <v>7</v>
      </c>
      <c r="M2623">
        <v>11</v>
      </c>
      <c r="N2623">
        <v>13</v>
      </c>
      <c r="P2623">
        <v>0</v>
      </c>
      <c r="Q2623">
        <v>0</v>
      </c>
      <c r="R2623">
        <v>3</v>
      </c>
      <c r="S2623">
        <v>5</v>
      </c>
    </row>
    <row r="2624" spans="1:19" x14ac:dyDescent="0.35">
      <c r="A2624">
        <v>6506656321</v>
      </c>
      <c r="B2624" t="s">
        <v>5176</v>
      </c>
      <c r="C2624" t="str">
        <f>_xlfn.XLOOKUP(A2624,[1]Affiliations!$J$2:$J$5328,[1]Affiliations!$K$2:$K$5328,0)</f>
        <v>Petróleo Brasileiro S.A. (+1 more)</v>
      </c>
      <c r="D2624">
        <v>30</v>
      </c>
      <c r="E2624">
        <v>255</v>
      </c>
      <c r="F2624">
        <v>8.5</v>
      </c>
      <c r="G2624">
        <v>9</v>
      </c>
      <c r="H2624">
        <v>0.94</v>
      </c>
      <c r="I2624">
        <v>0</v>
      </c>
      <c r="J2624">
        <v>1</v>
      </c>
      <c r="K2624">
        <v>2</v>
      </c>
      <c r="L2624">
        <v>9</v>
      </c>
      <c r="M2624">
        <v>13</v>
      </c>
      <c r="N2624">
        <v>26</v>
      </c>
      <c r="P2624">
        <v>0</v>
      </c>
      <c r="Q2624">
        <v>1</v>
      </c>
      <c r="R2624">
        <v>1</v>
      </c>
      <c r="S2624">
        <v>4</v>
      </c>
    </row>
    <row r="2625" spans="1:19" x14ac:dyDescent="0.35">
      <c r="A2625">
        <v>56811720900</v>
      </c>
      <c r="B2625" t="s">
        <v>267</v>
      </c>
      <c r="C2625" t="str">
        <f>_xlfn.XLOOKUP(A2625,[1]Affiliations!$J$2:$J$5328,[1]Affiliations!$K$2:$K$5328,0)</f>
        <v>Federal University of Rio de Janeiro (+1 more)</v>
      </c>
      <c r="D2625">
        <v>26</v>
      </c>
      <c r="E2625">
        <v>511</v>
      </c>
      <c r="F2625">
        <v>19.653846999999999</v>
      </c>
      <c r="G2625">
        <v>13</v>
      </c>
      <c r="H2625">
        <v>0.93</v>
      </c>
      <c r="I2625">
        <v>0</v>
      </c>
      <c r="J2625">
        <v>6</v>
      </c>
      <c r="K2625">
        <v>10</v>
      </c>
      <c r="L2625">
        <v>16</v>
      </c>
      <c r="M2625">
        <v>16</v>
      </c>
      <c r="N2625">
        <v>18</v>
      </c>
      <c r="P2625">
        <v>0</v>
      </c>
      <c r="Q2625">
        <v>1</v>
      </c>
      <c r="R2625">
        <v>2</v>
      </c>
      <c r="S2625">
        <v>12</v>
      </c>
    </row>
    <row r="2626" spans="1:19" hidden="1" x14ac:dyDescent="0.35">
      <c r="A2626">
        <v>57196403244</v>
      </c>
      <c r="B2626" t="s">
        <v>2631</v>
      </c>
      <c r="C2626" t="str">
        <f>_xlfn.XLOOKUP(A2626,[1]Affiliations!$J$2:$J$5328,[1]Affiliations!$K$2:$K$5328,0)</f>
        <v>Universidade de São Paulo</v>
      </c>
      <c r="D2626">
        <v>6</v>
      </c>
      <c r="E2626">
        <v>15</v>
      </c>
      <c r="F2626">
        <v>2.5</v>
      </c>
      <c r="G2626">
        <v>2</v>
      </c>
      <c r="H2626">
        <v>0.2</v>
      </c>
      <c r="I2626">
        <v>0</v>
      </c>
      <c r="J2626">
        <v>0</v>
      </c>
      <c r="K2626">
        <v>1</v>
      </c>
      <c r="L2626">
        <v>2</v>
      </c>
      <c r="M2626">
        <v>3</v>
      </c>
      <c r="N2626">
        <v>5</v>
      </c>
      <c r="P2626">
        <v>0</v>
      </c>
      <c r="Q2626">
        <v>0</v>
      </c>
      <c r="R2626">
        <v>0</v>
      </c>
      <c r="S2626">
        <v>0</v>
      </c>
    </row>
    <row r="2627" spans="1:19" hidden="1" x14ac:dyDescent="0.35">
      <c r="A2627">
        <v>57211439519</v>
      </c>
      <c r="B2627" t="s">
        <v>2632</v>
      </c>
      <c r="C2627" t="str">
        <f>_xlfn.XLOOKUP(A2627,[1]Affiliations!$J$2:$J$5328,[1]Affiliations!$K$2:$K$5328,0)</f>
        <v>Universidade Federal do Rio Grande do Sul</v>
      </c>
      <c r="D2627">
        <v>1</v>
      </c>
      <c r="E2627">
        <v>1</v>
      </c>
      <c r="F2627">
        <v>1</v>
      </c>
      <c r="G2627">
        <v>1</v>
      </c>
      <c r="H2627">
        <v>7.0000000000000007E-2</v>
      </c>
      <c r="I2627">
        <v>0</v>
      </c>
      <c r="J2627">
        <v>0</v>
      </c>
      <c r="K2627">
        <v>0</v>
      </c>
      <c r="L2627">
        <v>0</v>
      </c>
      <c r="M2627">
        <v>1</v>
      </c>
      <c r="N2627">
        <v>1</v>
      </c>
      <c r="P2627">
        <v>0</v>
      </c>
      <c r="Q2627">
        <v>0</v>
      </c>
      <c r="R2627">
        <v>0</v>
      </c>
      <c r="S2627">
        <v>0</v>
      </c>
    </row>
    <row r="2628" spans="1:19" hidden="1" x14ac:dyDescent="0.35">
      <c r="A2628">
        <v>56857349400</v>
      </c>
      <c r="B2628" t="s">
        <v>2633</v>
      </c>
      <c r="C2628" t="str">
        <f>_xlfn.XLOOKUP(A2628,[1]Affiliations!$J$2:$J$5328,[1]Affiliations!$K$2:$K$5328,0)</f>
        <v>Federal University of Santa Catarina</v>
      </c>
      <c r="D2628">
        <v>4</v>
      </c>
      <c r="E2628">
        <v>40</v>
      </c>
      <c r="F2628">
        <v>10</v>
      </c>
      <c r="G2628">
        <v>3</v>
      </c>
      <c r="H2628">
        <v>0.61</v>
      </c>
      <c r="I2628">
        <v>0</v>
      </c>
      <c r="J2628">
        <v>0</v>
      </c>
      <c r="K2628">
        <v>1</v>
      </c>
      <c r="L2628">
        <v>4</v>
      </c>
      <c r="M2628">
        <v>4</v>
      </c>
      <c r="N2628">
        <v>4</v>
      </c>
      <c r="P2628">
        <v>0</v>
      </c>
      <c r="Q2628">
        <v>0</v>
      </c>
      <c r="R2628">
        <v>0</v>
      </c>
      <c r="S2628">
        <v>0</v>
      </c>
    </row>
    <row r="2629" spans="1:19" hidden="1" x14ac:dyDescent="0.35">
      <c r="A2629">
        <v>58165526500</v>
      </c>
      <c r="B2629" t="s">
        <v>2634</v>
      </c>
      <c r="C2629" t="str">
        <f>_xlfn.XLOOKUP(A2629,[1]Affiliations!$J$2:$J$5328,[1]Affiliations!$K$2:$K$5328,0)</f>
        <v>Universidade Federal Rural do Rio de Janeiro</v>
      </c>
      <c r="D2629">
        <v>1</v>
      </c>
      <c r="E2629">
        <v>5</v>
      </c>
      <c r="F2629">
        <v>5</v>
      </c>
      <c r="G2629">
        <v>1</v>
      </c>
      <c r="H2629">
        <v>3.31</v>
      </c>
      <c r="P2629">
        <v>0</v>
      </c>
      <c r="Q2629">
        <v>0</v>
      </c>
      <c r="R2629">
        <v>0</v>
      </c>
      <c r="S2629">
        <v>0</v>
      </c>
    </row>
    <row r="2630" spans="1:19" hidden="1" x14ac:dyDescent="0.35">
      <c r="A2630">
        <v>57837077800</v>
      </c>
      <c r="B2630" t="s">
        <v>2635</v>
      </c>
      <c r="C2630" t="str">
        <f>_xlfn.XLOOKUP(A2630,[1]Affiliations!$J$2:$J$5328,[1]Affiliations!$K$2:$K$5328,0)</f>
        <v>Vizlab - X-Reality and GeoInformatics Lab</v>
      </c>
      <c r="D2630">
        <v>1</v>
      </c>
      <c r="E2630">
        <v>13</v>
      </c>
      <c r="F2630">
        <v>13</v>
      </c>
      <c r="G2630">
        <v>1</v>
      </c>
      <c r="H2630">
        <v>1.43</v>
      </c>
      <c r="I2630">
        <v>0</v>
      </c>
      <c r="J2630">
        <v>1</v>
      </c>
      <c r="K2630">
        <v>1</v>
      </c>
      <c r="L2630">
        <v>1</v>
      </c>
      <c r="M2630">
        <v>1</v>
      </c>
      <c r="N2630">
        <v>1</v>
      </c>
      <c r="P2630">
        <v>0</v>
      </c>
      <c r="Q2630">
        <v>0</v>
      </c>
      <c r="R2630">
        <v>0</v>
      </c>
      <c r="S2630">
        <v>1</v>
      </c>
    </row>
    <row r="2631" spans="1:19" hidden="1" x14ac:dyDescent="0.35">
      <c r="A2631">
        <v>57210649878</v>
      </c>
      <c r="B2631" t="s">
        <v>2636</v>
      </c>
      <c r="C2631" t="str">
        <f>_xlfn.XLOOKUP(A2631,[1]Affiliations!$J$2:$J$5328,[1]Affiliations!$K$2:$K$5328,0)</f>
        <v>Pontifical Catholic University of Rio de Janeiro</v>
      </c>
      <c r="D2631">
        <v>7</v>
      </c>
      <c r="E2631">
        <v>56</v>
      </c>
      <c r="F2631">
        <v>8</v>
      </c>
      <c r="G2631">
        <v>5</v>
      </c>
      <c r="H2631">
        <v>0.66</v>
      </c>
      <c r="I2631">
        <v>0</v>
      </c>
      <c r="J2631">
        <v>1</v>
      </c>
      <c r="K2631">
        <v>1</v>
      </c>
      <c r="L2631">
        <v>2</v>
      </c>
      <c r="M2631">
        <v>5</v>
      </c>
      <c r="N2631">
        <v>6</v>
      </c>
      <c r="P2631">
        <v>0</v>
      </c>
      <c r="Q2631">
        <v>0</v>
      </c>
      <c r="R2631">
        <v>0</v>
      </c>
      <c r="S2631">
        <v>1</v>
      </c>
    </row>
    <row r="2632" spans="1:19" x14ac:dyDescent="0.35">
      <c r="A2632">
        <v>55680225100</v>
      </c>
      <c r="B2632" t="s">
        <v>452</v>
      </c>
      <c r="C2632" t="str">
        <f>_xlfn.XLOOKUP(A2632,[1]Affiliations!$J$2:$J$5328,[1]Affiliations!$K$2:$K$5328,0)</f>
        <v>Universidade Federal do Rio Grande do Sul</v>
      </c>
      <c r="D2632">
        <v>11</v>
      </c>
      <c r="E2632">
        <v>119</v>
      </c>
      <c r="F2632">
        <v>10.818182</v>
      </c>
      <c r="G2632">
        <v>5</v>
      </c>
      <c r="H2632">
        <v>0.93</v>
      </c>
      <c r="I2632">
        <v>0</v>
      </c>
      <c r="J2632">
        <v>0</v>
      </c>
      <c r="K2632">
        <v>2</v>
      </c>
      <c r="L2632">
        <v>4</v>
      </c>
      <c r="M2632">
        <v>6</v>
      </c>
      <c r="N2632">
        <v>8</v>
      </c>
      <c r="P2632">
        <v>0</v>
      </c>
      <c r="Q2632">
        <v>1</v>
      </c>
      <c r="R2632">
        <v>1</v>
      </c>
      <c r="S2632">
        <v>1</v>
      </c>
    </row>
    <row r="2633" spans="1:19" hidden="1" x14ac:dyDescent="0.35">
      <c r="A2633">
        <v>57217107695</v>
      </c>
      <c r="B2633" t="s">
        <v>2638</v>
      </c>
      <c r="C2633" t="str">
        <f>_xlfn.XLOOKUP(A2633,[1]Affiliations!$J$2:$J$5328,[1]Affiliations!$K$2:$K$5328,0)</f>
        <v>Serviço Nacional de Aprendizagem Industrial</v>
      </c>
      <c r="D2633">
        <v>1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1</v>
      </c>
      <c r="P2633">
        <v>0</v>
      </c>
      <c r="Q2633">
        <v>0</v>
      </c>
      <c r="R2633">
        <v>0</v>
      </c>
      <c r="S2633">
        <v>0</v>
      </c>
    </row>
    <row r="2634" spans="1:19" x14ac:dyDescent="0.35">
      <c r="A2634">
        <v>6603408884</v>
      </c>
      <c r="B2634" t="s">
        <v>595</v>
      </c>
      <c r="C2634" t="str">
        <f>_xlfn.XLOOKUP(A2634,[1]Affiliations!$J$2:$J$5328,[1]Affiliations!$K$2:$K$5328,0)</f>
        <v>Universidade de São Paulo</v>
      </c>
      <c r="D2634">
        <v>40</v>
      </c>
      <c r="E2634">
        <v>700</v>
      </c>
      <c r="F2634">
        <v>17.5</v>
      </c>
      <c r="G2634">
        <v>24</v>
      </c>
      <c r="H2634">
        <v>0.93</v>
      </c>
      <c r="I2634">
        <v>2</v>
      </c>
      <c r="J2634">
        <v>4</v>
      </c>
      <c r="K2634">
        <v>8</v>
      </c>
      <c r="L2634">
        <v>21</v>
      </c>
      <c r="M2634">
        <v>30</v>
      </c>
      <c r="N2634">
        <v>34</v>
      </c>
      <c r="P2634">
        <v>0</v>
      </c>
      <c r="Q2634">
        <v>0</v>
      </c>
      <c r="R2634">
        <v>4</v>
      </c>
      <c r="S2634">
        <v>16</v>
      </c>
    </row>
    <row r="2635" spans="1:19" hidden="1" x14ac:dyDescent="0.35">
      <c r="A2635">
        <v>56289653500</v>
      </c>
      <c r="B2635" t="s">
        <v>2640</v>
      </c>
      <c r="C2635" t="str">
        <f>_xlfn.XLOOKUP(A2635,[1]Affiliations!$J$2:$J$5328,[1]Affiliations!$K$2:$K$5328,0)</f>
        <v>Universidade de Caxias do Sul</v>
      </c>
      <c r="D2635">
        <v>4</v>
      </c>
      <c r="E2635">
        <v>65</v>
      </c>
      <c r="F2635">
        <v>16.25</v>
      </c>
      <c r="G2635">
        <v>4</v>
      </c>
      <c r="H2635">
        <v>1.1100000000000001</v>
      </c>
      <c r="I2635">
        <v>0</v>
      </c>
      <c r="J2635">
        <v>0</v>
      </c>
      <c r="K2635">
        <v>0</v>
      </c>
      <c r="L2635">
        <v>1</v>
      </c>
      <c r="M2635">
        <v>3</v>
      </c>
      <c r="N2635">
        <v>4</v>
      </c>
      <c r="P2635">
        <v>0</v>
      </c>
      <c r="Q2635">
        <v>0</v>
      </c>
      <c r="R2635">
        <v>1</v>
      </c>
      <c r="S2635">
        <v>4</v>
      </c>
    </row>
    <row r="2636" spans="1:19" hidden="1" x14ac:dyDescent="0.35">
      <c r="A2636">
        <v>7004904297</v>
      </c>
      <c r="B2636" t="s">
        <v>2641</v>
      </c>
      <c r="C2636" t="str">
        <f>_xlfn.XLOOKUP(A2636,[1]Affiliations!$J$2:$J$5328,[1]Affiliations!$K$2:$K$5328,0)</f>
        <v>University of Campinas</v>
      </c>
      <c r="D2636">
        <v>3</v>
      </c>
      <c r="E2636">
        <v>43</v>
      </c>
      <c r="F2636">
        <v>14.333333</v>
      </c>
      <c r="G2636">
        <v>12</v>
      </c>
      <c r="H2636">
        <v>0.91</v>
      </c>
      <c r="I2636">
        <v>0</v>
      </c>
      <c r="J2636">
        <v>0</v>
      </c>
      <c r="K2636">
        <v>0</v>
      </c>
      <c r="L2636">
        <v>0</v>
      </c>
      <c r="M2636">
        <v>2</v>
      </c>
      <c r="N2636">
        <v>3</v>
      </c>
      <c r="P2636">
        <v>0</v>
      </c>
      <c r="Q2636">
        <v>0</v>
      </c>
      <c r="R2636">
        <v>0</v>
      </c>
      <c r="S2636">
        <v>1</v>
      </c>
    </row>
    <row r="2637" spans="1:19" hidden="1" x14ac:dyDescent="0.35">
      <c r="A2637">
        <v>55307488900</v>
      </c>
      <c r="B2637" t="s">
        <v>2642</v>
      </c>
      <c r="C2637" t="str">
        <f>_xlfn.XLOOKUP(A2637,[1]Affiliations!$J$2:$J$5328,[1]Affiliations!$K$2:$K$5328,0)</f>
        <v>Vizlab - X-Reality and GeoInformatics Lab (+2 more)</v>
      </c>
      <c r="D2637">
        <v>18</v>
      </c>
      <c r="E2637">
        <v>162</v>
      </c>
      <c r="F2637">
        <v>9</v>
      </c>
      <c r="G2637">
        <v>8</v>
      </c>
      <c r="H2637">
        <v>0.92</v>
      </c>
      <c r="I2637">
        <v>1</v>
      </c>
      <c r="J2637">
        <v>2</v>
      </c>
      <c r="K2637">
        <v>2</v>
      </c>
      <c r="L2637">
        <v>8</v>
      </c>
      <c r="M2637">
        <v>10</v>
      </c>
      <c r="N2637">
        <v>14</v>
      </c>
      <c r="P2637">
        <v>0</v>
      </c>
      <c r="Q2637">
        <v>0</v>
      </c>
      <c r="R2637">
        <v>0</v>
      </c>
      <c r="S2637">
        <v>1</v>
      </c>
    </row>
    <row r="2638" spans="1:19" hidden="1" x14ac:dyDescent="0.35">
      <c r="A2638">
        <v>26026337800</v>
      </c>
      <c r="B2638" t="s">
        <v>2643</v>
      </c>
      <c r="C2638" t="str">
        <f>_xlfn.XLOOKUP(A2638,[1]Affiliations!$J$2:$J$5328,[1]Affiliations!$K$2:$K$5328,0)</f>
        <v>Pontifical Catholic University of Rio de Janeiro</v>
      </c>
      <c r="D2638">
        <v>15</v>
      </c>
      <c r="E2638">
        <v>49</v>
      </c>
      <c r="F2638">
        <v>3.2666667</v>
      </c>
      <c r="G2638">
        <v>8</v>
      </c>
      <c r="H2638">
        <v>0.33</v>
      </c>
      <c r="I2638">
        <v>0</v>
      </c>
      <c r="J2638">
        <v>0</v>
      </c>
      <c r="K2638">
        <v>0</v>
      </c>
      <c r="L2638">
        <v>0</v>
      </c>
      <c r="M2638">
        <v>1</v>
      </c>
      <c r="N2638">
        <v>1</v>
      </c>
      <c r="P2638">
        <v>0</v>
      </c>
      <c r="Q2638">
        <v>0</v>
      </c>
      <c r="R2638">
        <v>0</v>
      </c>
      <c r="S2638">
        <v>0</v>
      </c>
    </row>
    <row r="2639" spans="1:19" x14ac:dyDescent="0.35">
      <c r="A2639">
        <v>57183574500</v>
      </c>
      <c r="B2639" t="s">
        <v>1017</v>
      </c>
      <c r="C2639" t="str">
        <f>_xlfn.XLOOKUP(A2639,[1]Affiliations!$J$2:$J$5328,[1]Affiliations!$K$2:$K$5328,0)</f>
        <v>Pontifícia Universidade Católica do Rio Grande do Sul</v>
      </c>
      <c r="D2639">
        <v>28</v>
      </c>
      <c r="E2639">
        <v>482</v>
      </c>
      <c r="F2639">
        <v>17.214285</v>
      </c>
      <c r="G2639">
        <v>13</v>
      </c>
      <c r="H2639">
        <v>0.93</v>
      </c>
      <c r="I2639">
        <v>0</v>
      </c>
      <c r="J2639">
        <v>3</v>
      </c>
      <c r="K2639">
        <v>9</v>
      </c>
      <c r="L2639">
        <v>19</v>
      </c>
      <c r="M2639">
        <v>27</v>
      </c>
      <c r="N2639">
        <v>27</v>
      </c>
      <c r="P2639">
        <v>0</v>
      </c>
      <c r="Q2639">
        <v>1</v>
      </c>
      <c r="R2639">
        <v>4</v>
      </c>
      <c r="S2639">
        <v>15</v>
      </c>
    </row>
    <row r="2640" spans="1:19" hidden="1" x14ac:dyDescent="0.35">
      <c r="A2640">
        <v>57209010233</v>
      </c>
      <c r="B2640" t="s">
        <v>2645</v>
      </c>
      <c r="C2640" t="str">
        <f>_xlfn.XLOOKUP(A2640,[1]Affiliations!$J$2:$J$5328,[1]Affiliations!$K$2:$K$5328,0)</f>
        <v>Universidade Estadual Paulista “Júlio de Mesquita Filho”</v>
      </c>
      <c r="D2640">
        <v>2</v>
      </c>
      <c r="E2640">
        <v>18</v>
      </c>
      <c r="F2640">
        <v>9</v>
      </c>
      <c r="G2640">
        <v>1</v>
      </c>
      <c r="H2640">
        <v>0.17</v>
      </c>
      <c r="I2640">
        <v>0</v>
      </c>
      <c r="J2640">
        <v>0</v>
      </c>
      <c r="K2640">
        <v>1</v>
      </c>
      <c r="L2640">
        <v>1</v>
      </c>
      <c r="M2640">
        <v>1</v>
      </c>
      <c r="N2640">
        <v>2</v>
      </c>
      <c r="P2640">
        <v>0</v>
      </c>
      <c r="Q2640">
        <v>0</v>
      </c>
      <c r="R2640">
        <v>0</v>
      </c>
      <c r="S2640">
        <v>0</v>
      </c>
    </row>
    <row r="2641" spans="1:19" hidden="1" x14ac:dyDescent="0.35">
      <c r="A2641">
        <v>58677572600</v>
      </c>
      <c r="B2641" t="s">
        <v>2646</v>
      </c>
      <c r="C2641" t="str">
        <f>_xlfn.XLOOKUP(A2641,[1]Affiliations!$J$2:$J$5328,[1]Affiliations!$K$2:$K$5328,0)</f>
        <v>Universidade Federal Fluminense</v>
      </c>
      <c r="D2641">
        <v>1</v>
      </c>
      <c r="E2641">
        <v>3</v>
      </c>
      <c r="F2641">
        <v>3</v>
      </c>
      <c r="G2641">
        <v>1</v>
      </c>
      <c r="H2641">
        <v>2.09</v>
      </c>
      <c r="P2641">
        <v>0</v>
      </c>
      <c r="Q2641">
        <v>0</v>
      </c>
      <c r="R2641">
        <v>0</v>
      </c>
      <c r="S2641">
        <v>0</v>
      </c>
    </row>
    <row r="2642" spans="1:19" x14ac:dyDescent="0.35">
      <c r="A2642">
        <v>56585687800</v>
      </c>
      <c r="B2642" t="s">
        <v>1054</v>
      </c>
      <c r="C2642" t="str">
        <f>_xlfn.XLOOKUP(A2642,[1]Affiliations!$J$2:$J$5328,[1]Affiliations!$K$2:$K$5328,0)</f>
        <v>Universidade Federal de Minas Gerais</v>
      </c>
      <c r="D2642">
        <v>29</v>
      </c>
      <c r="E2642">
        <v>373</v>
      </c>
      <c r="F2642">
        <v>12.862069</v>
      </c>
      <c r="G2642">
        <v>11</v>
      </c>
      <c r="H2642">
        <v>0.93</v>
      </c>
      <c r="I2642">
        <v>0</v>
      </c>
      <c r="J2642">
        <v>0</v>
      </c>
      <c r="K2642">
        <v>5</v>
      </c>
      <c r="L2642">
        <v>12</v>
      </c>
      <c r="M2642">
        <v>23</v>
      </c>
      <c r="N2642">
        <v>29</v>
      </c>
      <c r="P2642">
        <v>0</v>
      </c>
      <c r="Q2642">
        <v>0</v>
      </c>
      <c r="R2642">
        <v>1</v>
      </c>
      <c r="S2642">
        <v>7</v>
      </c>
    </row>
    <row r="2643" spans="1:19" x14ac:dyDescent="0.35">
      <c r="A2643">
        <v>57193094380</v>
      </c>
      <c r="B2643" t="s">
        <v>1307</v>
      </c>
      <c r="C2643" t="str">
        <f>_xlfn.XLOOKUP(A2643,[1]Affiliations!$J$2:$J$5328,[1]Affiliations!$K$2:$K$5328,0)</f>
        <v>Federal University of Santa Catarina</v>
      </c>
      <c r="D2643">
        <v>6</v>
      </c>
      <c r="E2643">
        <v>217</v>
      </c>
      <c r="F2643">
        <v>36.166668000000001</v>
      </c>
      <c r="G2643">
        <v>5</v>
      </c>
      <c r="H2643">
        <v>0.93</v>
      </c>
      <c r="I2643">
        <v>1</v>
      </c>
      <c r="J2643">
        <v>1</v>
      </c>
      <c r="K2643">
        <v>2</v>
      </c>
      <c r="L2643">
        <v>4</v>
      </c>
      <c r="M2643">
        <v>5</v>
      </c>
      <c r="N2643">
        <v>6</v>
      </c>
      <c r="P2643">
        <v>0</v>
      </c>
      <c r="Q2643">
        <v>1</v>
      </c>
      <c r="R2643">
        <v>1</v>
      </c>
      <c r="S2643">
        <v>5</v>
      </c>
    </row>
    <row r="2644" spans="1:19" x14ac:dyDescent="0.35">
      <c r="A2644">
        <v>57211414585</v>
      </c>
      <c r="B2644" t="s">
        <v>1791</v>
      </c>
      <c r="C2644" t="str">
        <f>_xlfn.XLOOKUP(A2644,[1]Affiliations!$J$2:$J$5328,[1]Affiliations!$K$2:$K$5328,0)</f>
        <v>Federal University of Santa Catarina</v>
      </c>
      <c r="D2644">
        <v>14</v>
      </c>
      <c r="E2644">
        <v>213</v>
      </c>
      <c r="F2644">
        <v>15.214286</v>
      </c>
      <c r="G2644">
        <v>9</v>
      </c>
      <c r="H2644">
        <v>0.93</v>
      </c>
      <c r="I2644">
        <v>0</v>
      </c>
      <c r="J2644">
        <v>2</v>
      </c>
      <c r="K2644">
        <v>3</v>
      </c>
      <c r="L2644">
        <v>10</v>
      </c>
      <c r="M2644">
        <v>13</v>
      </c>
      <c r="N2644">
        <v>14</v>
      </c>
      <c r="P2644">
        <v>0</v>
      </c>
      <c r="Q2644">
        <v>1</v>
      </c>
      <c r="R2644">
        <v>2</v>
      </c>
      <c r="S2644">
        <v>9</v>
      </c>
    </row>
    <row r="2645" spans="1:19" hidden="1" x14ac:dyDescent="0.35">
      <c r="A2645">
        <v>22834812500</v>
      </c>
      <c r="B2645" t="s">
        <v>2650</v>
      </c>
      <c r="C2645" t="str">
        <f>_xlfn.XLOOKUP(A2645,[1]Affiliations!$J$2:$J$5328,[1]Affiliations!$K$2:$K$5328,0)</f>
        <v>Universidade Federal do Rio Grande do Sul</v>
      </c>
      <c r="D2645">
        <v>8</v>
      </c>
      <c r="E2645">
        <v>48</v>
      </c>
      <c r="F2645">
        <v>6</v>
      </c>
      <c r="G2645">
        <v>6</v>
      </c>
      <c r="H2645">
        <v>0.36</v>
      </c>
      <c r="I2645">
        <v>0</v>
      </c>
      <c r="J2645">
        <v>1</v>
      </c>
      <c r="K2645">
        <v>2</v>
      </c>
      <c r="L2645">
        <v>2</v>
      </c>
      <c r="M2645">
        <v>5</v>
      </c>
      <c r="N2645">
        <v>6</v>
      </c>
      <c r="P2645">
        <v>0</v>
      </c>
      <c r="Q2645">
        <v>0</v>
      </c>
      <c r="R2645">
        <v>0</v>
      </c>
      <c r="S2645">
        <v>0</v>
      </c>
    </row>
    <row r="2646" spans="1:19" x14ac:dyDescent="0.35">
      <c r="A2646">
        <v>6601973096</v>
      </c>
      <c r="B2646" t="s">
        <v>2059</v>
      </c>
      <c r="C2646" t="str">
        <f>_xlfn.XLOOKUP(A2646,[1]Affiliations!$J$2:$J$5328,[1]Affiliations!$K$2:$K$5328,0)</f>
        <v>Federal University of Rio de Janeiro</v>
      </c>
      <c r="D2646">
        <v>43</v>
      </c>
      <c r="E2646">
        <v>826</v>
      </c>
      <c r="F2646">
        <v>19.209302999999998</v>
      </c>
      <c r="G2646">
        <v>32</v>
      </c>
      <c r="H2646">
        <v>0.93</v>
      </c>
      <c r="I2646">
        <v>1</v>
      </c>
      <c r="J2646">
        <v>6</v>
      </c>
      <c r="K2646">
        <v>8</v>
      </c>
      <c r="L2646">
        <v>20</v>
      </c>
      <c r="M2646">
        <v>32</v>
      </c>
      <c r="N2646">
        <v>39</v>
      </c>
      <c r="P2646">
        <v>0</v>
      </c>
      <c r="Q2646">
        <v>3</v>
      </c>
      <c r="R2646">
        <v>8</v>
      </c>
      <c r="S2646">
        <v>14</v>
      </c>
    </row>
    <row r="2647" spans="1:19" x14ac:dyDescent="0.35">
      <c r="A2647">
        <v>57202992553</v>
      </c>
      <c r="B2647" t="s">
        <v>2545</v>
      </c>
      <c r="C2647" t="str">
        <f>_xlfn.XLOOKUP(A2647,[1]Affiliations!$J$2:$J$5328,[1]Affiliations!$K$2:$K$5328,0)</f>
        <v>Federal University of Rio de Janeiro</v>
      </c>
      <c r="D2647">
        <v>33</v>
      </c>
      <c r="E2647">
        <v>235</v>
      </c>
      <c r="F2647">
        <v>7.1212119999999999</v>
      </c>
      <c r="G2647">
        <v>10</v>
      </c>
      <c r="H2647">
        <v>0.93</v>
      </c>
      <c r="I2647">
        <v>0</v>
      </c>
      <c r="J2647">
        <v>0</v>
      </c>
      <c r="K2647">
        <v>5</v>
      </c>
      <c r="L2647">
        <v>15</v>
      </c>
      <c r="M2647">
        <v>17</v>
      </c>
      <c r="N2647">
        <v>23</v>
      </c>
      <c r="P2647">
        <v>0</v>
      </c>
      <c r="Q2647">
        <v>0</v>
      </c>
      <c r="R2647">
        <v>1</v>
      </c>
      <c r="S2647">
        <v>11</v>
      </c>
    </row>
    <row r="2648" spans="1:19" hidden="1" x14ac:dyDescent="0.35">
      <c r="A2648">
        <v>6508061491</v>
      </c>
      <c r="B2648" t="s">
        <v>2653</v>
      </c>
      <c r="C2648" t="str">
        <f>_xlfn.XLOOKUP(A2648,[1]Affiliations!$J$2:$J$5328,[1]Affiliations!$K$2:$K$5328,0)</f>
        <v>Universidade Federal de Uberlândia</v>
      </c>
      <c r="D2648">
        <v>17</v>
      </c>
      <c r="E2648">
        <v>50</v>
      </c>
      <c r="F2648">
        <v>2.9411763999999998</v>
      </c>
      <c r="G2648">
        <v>9</v>
      </c>
      <c r="H2648">
        <v>0.27</v>
      </c>
      <c r="I2648">
        <v>0</v>
      </c>
      <c r="J2648">
        <v>0</v>
      </c>
      <c r="K2648">
        <v>0</v>
      </c>
      <c r="L2648">
        <v>3</v>
      </c>
      <c r="M2648">
        <v>5</v>
      </c>
      <c r="N2648">
        <v>8</v>
      </c>
      <c r="P2648">
        <v>0</v>
      </c>
      <c r="Q2648">
        <v>0</v>
      </c>
      <c r="R2648">
        <v>0</v>
      </c>
      <c r="S2648">
        <v>0</v>
      </c>
    </row>
    <row r="2649" spans="1:19" hidden="1" x14ac:dyDescent="0.35">
      <c r="A2649">
        <v>57458307300</v>
      </c>
      <c r="B2649" t="s">
        <v>2654</v>
      </c>
      <c r="C2649" t="str">
        <f>_xlfn.XLOOKUP(A2649,[1]Affiliations!$J$2:$J$5328,[1]Affiliations!$K$2:$K$5328,0)</f>
        <v>Universidade Tecnológica Federal do Paraná (+1 more)</v>
      </c>
      <c r="D2649">
        <v>5</v>
      </c>
      <c r="E2649">
        <v>12</v>
      </c>
      <c r="F2649">
        <v>2.4</v>
      </c>
      <c r="G2649">
        <v>2</v>
      </c>
      <c r="H2649">
        <v>0.15</v>
      </c>
      <c r="I2649">
        <v>0</v>
      </c>
      <c r="J2649">
        <v>0</v>
      </c>
      <c r="K2649">
        <v>1</v>
      </c>
      <c r="L2649">
        <v>1</v>
      </c>
      <c r="M2649">
        <v>1</v>
      </c>
      <c r="N2649">
        <v>2</v>
      </c>
      <c r="P2649">
        <v>0</v>
      </c>
      <c r="Q2649">
        <v>0</v>
      </c>
      <c r="R2649">
        <v>0</v>
      </c>
      <c r="S2649">
        <v>0</v>
      </c>
    </row>
    <row r="2650" spans="1:19" x14ac:dyDescent="0.35">
      <c r="A2650">
        <v>7004100960</v>
      </c>
      <c r="B2650" t="s">
        <v>3053</v>
      </c>
      <c r="C2650" t="str">
        <f>_xlfn.XLOOKUP(A2650,[1]Affiliations!$J$2:$J$5328,[1]Affiliations!$K$2:$K$5328,0)</f>
        <v>Universidade Federal Fluminense</v>
      </c>
      <c r="D2650">
        <v>93</v>
      </c>
      <c r="E2650">
        <v>1596</v>
      </c>
      <c r="F2650">
        <v>17.161290999999999</v>
      </c>
      <c r="G2650">
        <v>33</v>
      </c>
      <c r="H2650">
        <v>0.93</v>
      </c>
      <c r="I2650">
        <v>1</v>
      </c>
      <c r="J2650">
        <v>21</v>
      </c>
      <c r="K2650">
        <v>32</v>
      </c>
      <c r="L2650">
        <v>46</v>
      </c>
      <c r="M2650">
        <v>64</v>
      </c>
      <c r="N2650">
        <v>69</v>
      </c>
      <c r="P2650">
        <v>0</v>
      </c>
      <c r="Q2650">
        <v>3</v>
      </c>
      <c r="R2650">
        <v>9</v>
      </c>
      <c r="S2650">
        <v>41</v>
      </c>
    </row>
    <row r="2651" spans="1:19" x14ac:dyDescent="0.35">
      <c r="A2651">
        <v>9841064200</v>
      </c>
      <c r="B2651" t="s">
        <v>3287</v>
      </c>
      <c r="C2651" t="str">
        <f>_xlfn.XLOOKUP(A2651,[1]Affiliations!$J$2:$J$5328,[1]Affiliations!$K$2:$K$5328,0)</f>
        <v>Universidade Federal do Rio Grande do Norte</v>
      </c>
      <c r="D2651">
        <v>95</v>
      </c>
      <c r="E2651">
        <v>1838</v>
      </c>
      <c r="F2651">
        <v>19.347367999999999</v>
      </c>
      <c r="G2651">
        <v>36</v>
      </c>
      <c r="H2651">
        <v>0.93</v>
      </c>
      <c r="I2651">
        <v>0</v>
      </c>
      <c r="J2651">
        <v>4</v>
      </c>
      <c r="K2651">
        <v>26</v>
      </c>
      <c r="L2651">
        <v>60</v>
      </c>
      <c r="M2651">
        <v>77</v>
      </c>
      <c r="N2651">
        <v>84</v>
      </c>
      <c r="P2651">
        <v>0</v>
      </c>
      <c r="Q2651">
        <v>2</v>
      </c>
      <c r="R2651">
        <v>13</v>
      </c>
      <c r="S2651">
        <v>45</v>
      </c>
    </row>
    <row r="2652" spans="1:19" x14ac:dyDescent="0.35">
      <c r="A2652">
        <v>9736923300</v>
      </c>
      <c r="B2652" t="s">
        <v>3365</v>
      </c>
      <c r="C2652" t="str">
        <f>_xlfn.XLOOKUP(A2652,[1]Affiliations!$J$2:$J$5328,[1]Affiliations!$K$2:$K$5328,0)</f>
        <v>Universidade de São Paulo</v>
      </c>
      <c r="D2652">
        <v>20</v>
      </c>
      <c r="E2652">
        <v>294</v>
      </c>
      <c r="F2652">
        <v>14.7</v>
      </c>
      <c r="G2652">
        <v>15</v>
      </c>
      <c r="H2652">
        <v>0.93</v>
      </c>
      <c r="I2652">
        <v>0</v>
      </c>
      <c r="J2652">
        <v>5</v>
      </c>
      <c r="K2652">
        <v>8</v>
      </c>
      <c r="L2652">
        <v>14</v>
      </c>
      <c r="M2652">
        <v>18</v>
      </c>
      <c r="N2652">
        <v>20</v>
      </c>
      <c r="P2652">
        <v>0</v>
      </c>
      <c r="Q2652">
        <v>0</v>
      </c>
      <c r="R2652">
        <v>1</v>
      </c>
      <c r="S2652">
        <v>7</v>
      </c>
    </row>
    <row r="2653" spans="1:19" x14ac:dyDescent="0.35">
      <c r="A2653">
        <v>33167773300</v>
      </c>
      <c r="B2653" t="s">
        <v>3557</v>
      </c>
      <c r="C2653" t="str">
        <f>_xlfn.XLOOKUP(A2653,[1]Affiliations!$J$2:$J$5328,[1]Affiliations!$K$2:$K$5328,0)</f>
        <v>Federal University of Rio de Janeiro</v>
      </c>
      <c r="D2653">
        <v>61</v>
      </c>
      <c r="E2653">
        <v>691</v>
      </c>
      <c r="F2653">
        <v>11.327868</v>
      </c>
      <c r="G2653">
        <v>23</v>
      </c>
      <c r="H2653">
        <v>0.93</v>
      </c>
      <c r="I2653">
        <v>1</v>
      </c>
      <c r="J2653">
        <v>8</v>
      </c>
      <c r="K2653">
        <v>13</v>
      </c>
      <c r="L2653">
        <v>27</v>
      </c>
      <c r="M2653">
        <v>39</v>
      </c>
      <c r="N2653">
        <v>43</v>
      </c>
      <c r="P2653">
        <v>0</v>
      </c>
      <c r="Q2653">
        <v>0</v>
      </c>
      <c r="R2653">
        <v>2</v>
      </c>
      <c r="S2653">
        <v>16</v>
      </c>
    </row>
    <row r="2654" spans="1:19" hidden="1" x14ac:dyDescent="0.35">
      <c r="A2654">
        <v>57201419823</v>
      </c>
      <c r="B2654" t="s">
        <v>2659</v>
      </c>
      <c r="C2654" t="str">
        <f>_xlfn.XLOOKUP(A2654,[1]Affiliations!$J$2:$J$5328,[1]Affiliations!$K$2:$K$5328,0)</f>
        <v>Intech Engenharia Ltda</v>
      </c>
      <c r="D2654">
        <v>1</v>
      </c>
      <c r="E2654">
        <v>0</v>
      </c>
      <c r="F2654">
        <v>0</v>
      </c>
      <c r="G2654">
        <v>0</v>
      </c>
      <c r="H2654">
        <v>0</v>
      </c>
      <c r="P2654">
        <v>0</v>
      </c>
      <c r="Q2654">
        <v>0</v>
      </c>
      <c r="R2654">
        <v>0</v>
      </c>
      <c r="S2654">
        <v>0</v>
      </c>
    </row>
    <row r="2655" spans="1:19" hidden="1" x14ac:dyDescent="0.35">
      <c r="A2655">
        <v>57202872055</v>
      </c>
      <c r="B2655" t="s">
        <v>2660</v>
      </c>
      <c r="C2655" t="str">
        <f>_xlfn.XLOOKUP(A2655,[1]Affiliations!$J$2:$J$5328,[1]Affiliations!$K$2:$K$5328,0)</f>
        <v>Universidade Federal do Espírito Santo (+1 more)</v>
      </c>
      <c r="D2655">
        <v>3</v>
      </c>
      <c r="E2655">
        <v>4</v>
      </c>
      <c r="F2655">
        <v>1.3333333999999999</v>
      </c>
      <c r="G2655">
        <v>1</v>
      </c>
      <c r="H2655">
        <v>0.17</v>
      </c>
      <c r="I2655">
        <v>0</v>
      </c>
      <c r="J2655">
        <v>0</v>
      </c>
      <c r="K2655">
        <v>0</v>
      </c>
      <c r="L2655">
        <v>1</v>
      </c>
      <c r="M2655">
        <v>2</v>
      </c>
      <c r="N2655">
        <v>2</v>
      </c>
      <c r="P2655">
        <v>0</v>
      </c>
      <c r="Q2655">
        <v>0</v>
      </c>
      <c r="R2655">
        <v>0</v>
      </c>
      <c r="S2655">
        <v>0</v>
      </c>
    </row>
    <row r="2656" spans="1:19" x14ac:dyDescent="0.35">
      <c r="A2656">
        <v>32867920900</v>
      </c>
      <c r="B2656" t="s">
        <v>3938</v>
      </c>
      <c r="C2656" t="str">
        <f>_xlfn.XLOOKUP(A2656,[1]Affiliations!$J$2:$J$5328,[1]Affiliations!$K$2:$K$5328,0)</f>
        <v>LAMEMO - Modelling Methods in Engineering and Geophysics Laboratory (+1 more)</v>
      </c>
      <c r="D2656">
        <v>22</v>
      </c>
      <c r="E2656">
        <v>328</v>
      </c>
      <c r="F2656">
        <v>14.909091</v>
      </c>
      <c r="G2656">
        <v>10</v>
      </c>
      <c r="H2656">
        <v>0.93</v>
      </c>
      <c r="I2656">
        <v>0</v>
      </c>
      <c r="J2656">
        <v>3</v>
      </c>
      <c r="K2656">
        <v>9</v>
      </c>
      <c r="L2656">
        <v>15</v>
      </c>
      <c r="M2656">
        <v>19</v>
      </c>
      <c r="N2656">
        <v>19</v>
      </c>
      <c r="P2656">
        <v>0</v>
      </c>
      <c r="Q2656">
        <v>0</v>
      </c>
      <c r="R2656">
        <v>2</v>
      </c>
      <c r="S2656">
        <v>7</v>
      </c>
    </row>
    <row r="2657" spans="1:19" hidden="1" x14ac:dyDescent="0.35">
      <c r="A2657">
        <v>57191036335</v>
      </c>
      <c r="B2657" t="s">
        <v>2662</v>
      </c>
      <c r="C2657" t="str">
        <f>_xlfn.XLOOKUP(A2657,[1]Affiliations!$J$2:$J$5328,[1]Affiliations!$K$2:$K$5328,0)</f>
        <v>Directorate of Hydrography and Navigation (DHN)</v>
      </c>
      <c r="D2657">
        <v>13</v>
      </c>
      <c r="E2657">
        <v>116</v>
      </c>
      <c r="F2657">
        <v>8.9230769999999993</v>
      </c>
      <c r="G2657">
        <v>6</v>
      </c>
      <c r="H2657">
        <v>1.48</v>
      </c>
      <c r="I2657">
        <v>0</v>
      </c>
      <c r="J2657">
        <v>0</v>
      </c>
      <c r="K2657">
        <v>0</v>
      </c>
      <c r="L2657">
        <v>0</v>
      </c>
      <c r="M2657">
        <v>4</v>
      </c>
      <c r="N2657">
        <v>6</v>
      </c>
      <c r="P2657">
        <v>0</v>
      </c>
      <c r="Q2657">
        <v>0</v>
      </c>
      <c r="R2657">
        <v>0</v>
      </c>
      <c r="S2657">
        <v>2</v>
      </c>
    </row>
    <row r="2658" spans="1:19" x14ac:dyDescent="0.35">
      <c r="A2658">
        <v>57195804533</v>
      </c>
      <c r="B2658" t="s">
        <v>4421</v>
      </c>
      <c r="C2658" t="str">
        <f>_xlfn.XLOOKUP(A2658,[1]Affiliations!$J$2:$J$5328,[1]Affiliations!$K$2:$K$5328,0)</f>
        <v>Universidade Federal de Goiás</v>
      </c>
      <c r="D2658">
        <v>19</v>
      </c>
      <c r="E2658">
        <v>354</v>
      </c>
      <c r="F2658">
        <v>18.631578000000001</v>
      </c>
      <c r="G2658">
        <v>11</v>
      </c>
      <c r="H2658">
        <v>0.93</v>
      </c>
      <c r="I2658">
        <v>1</v>
      </c>
      <c r="J2658">
        <v>4</v>
      </c>
      <c r="K2658">
        <v>9</v>
      </c>
      <c r="L2658">
        <v>13</v>
      </c>
      <c r="M2658">
        <v>17</v>
      </c>
      <c r="N2658">
        <v>19</v>
      </c>
      <c r="P2658">
        <v>0</v>
      </c>
      <c r="Q2658">
        <v>2</v>
      </c>
      <c r="R2658">
        <v>2</v>
      </c>
      <c r="S2658">
        <v>11</v>
      </c>
    </row>
    <row r="2659" spans="1:19" hidden="1" x14ac:dyDescent="0.35">
      <c r="A2659">
        <v>57194794443</v>
      </c>
      <c r="B2659" t="s">
        <v>2664</v>
      </c>
      <c r="C2659" t="str">
        <f>_xlfn.XLOOKUP(A2659,[1]Affiliations!$J$2:$J$5328,[1]Affiliations!$K$2:$K$5328,0)</f>
        <v>Instituto Nacional de Pesquisas Espaciais</v>
      </c>
      <c r="D2659">
        <v>9</v>
      </c>
      <c r="E2659">
        <v>56</v>
      </c>
      <c r="F2659">
        <v>6.2222223000000003</v>
      </c>
      <c r="G2659">
        <v>5</v>
      </c>
      <c r="H2659">
        <v>0.59</v>
      </c>
      <c r="I2659">
        <v>0</v>
      </c>
      <c r="J2659">
        <v>0</v>
      </c>
      <c r="K2659">
        <v>0</v>
      </c>
      <c r="L2659">
        <v>3</v>
      </c>
      <c r="M2659">
        <v>3</v>
      </c>
      <c r="N2659">
        <v>4</v>
      </c>
      <c r="P2659">
        <v>0</v>
      </c>
      <c r="Q2659">
        <v>0</v>
      </c>
      <c r="R2659">
        <v>0</v>
      </c>
      <c r="S2659">
        <v>1</v>
      </c>
    </row>
    <row r="2660" spans="1:19" hidden="1" x14ac:dyDescent="0.35">
      <c r="A2660">
        <v>56505319400</v>
      </c>
      <c r="B2660" t="s">
        <v>2665</v>
      </c>
      <c r="C2660" t="str">
        <f>_xlfn.XLOOKUP(A2660,[1]Affiliations!$J$2:$J$5328,[1]Affiliations!$K$2:$K$5328,0)</f>
        <v>Pontifical Catholic University of Rio de Janeiro</v>
      </c>
      <c r="D2660">
        <v>2</v>
      </c>
      <c r="E2660">
        <v>13</v>
      </c>
      <c r="F2660">
        <v>6.5</v>
      </c>
      <c r="G2660">
        <v>2</v>
      </c>
      <c r="H2660">
        <v>0.24</v>
      </c>
      <c r="I2660">
        <v>0</v>
      </c>
      <c r="J2660">
        <v>0</v>
      </c>
      <c r="K2660">
        <v>0</v>
      </c>
      <c r="L2660">
        <v>1</v>
      </c>
      <c r="M2660">
        <v>1</v>
      </c>
      <c r="N2660">
        <v>2</v>
      </c>
      <c r="P2660">
        <v>0</v>
      </c>
      <c r="Q2660">
        <v>0</v>
      </c>
      <c r="R2660">
        <v>0</v>
      </c>
      <c r="S2660">
        <v>0</v>
      </c>
    </row>
    <row r="2661" spans="1:19" hidden="1" x14ac:dyDescent="0.35">
      <c r="A2661">
        <v>56431173500</v>
      </c>
      <c r="B2661" t="s">
        <v>2666</v>
      </c>
      <c r="C2661" t="str">
        <f>_xlfn.XLOOKUP(A2661,[1]Affiliations!$J$2:$J$5328,[1]Affiliations!$K$2:$K$5328,0)</f>
        <v>University of Campinas</v>
      </c>
      <c r="D2661">
        <v>12</v>
      </c>
      <c r="E2661">
        <v>136</v>
      </c>
      <c r="F2661">
        <v>11.333333</v>
      </c>
      <c r="G2661">
        <v>7</v>
      </c>
      <c r="H2661">
        <v>0.42</v>
      </c>
      <c r="I2661">
        <v>0</v>
      </c>
      <c r="J2661">
        <v>1</v>
      </c>
      <c r="K2661">
        <v>5</v>
      </c>
      <c r="L2661">
        <v>12</v>
      </c>
      <c r="M2661">
        <v>12</v>
      </c>
      <c r="N2661">
        <v>12</v>
      </c>
      <c r="P2661">
        <v>0</v>
      </c>
      <c r="Q2661">
        <v>0</v>
      </c>
      <c r="R2661">
        <v>0</v>
      </c>
      <c r="S2661">
        <v>2</v>
      </c>
    </row>
    <row r="2662" spans="1:19" x14ac:dyDescent="0.35">
      <c r="A2662">
        <v>56040192300</v>
      </c>
      <c r="B2662" t="s">
        <v>4608</v>
      </c>
      <c r="C2662" t="str">
        <f>_xlfn.XLOOKUP(A2662,[1]Affiliations!$J$2:$J$5328,[1]Affiliations!$K$2:$K$5328,0)</f>
        <v>University of Campinas</v>
      </c>
      <c r="D2662">
        <v>17</v>
      </c>
      <c r="E2662">
        <v>244</v>
      </c>
      <c r="F2662">
        <v>14.3529415</v>
      </c>
      <c r="G2662">
        <v>9</v>
      </c>
      <c r="H2662">
        <v>0.93</v>
      </c>
      <c r="I2662">
        <v>0</v>
      </c>
      <c r="J2662">
        <v>4</v>
      </c>
      <c r="K2662">
        <v>10</v>
      </c>
      <c r="L2662">
        <v>15</v>
      </c>
      <c r="M2662">
        <v>16</v>
      </c>
      <c r="N2662">
        <v>16</v>
      </c>
      <c r="P2662">
        <v>0</v>
      </c>
      <c r="Q2662">
        <v>0</v>
      </c>
      <c r="R2662">
        <v>1</v>
      </c>
      <c r="S2662">
        <v>8</v>
      </c>
    </row>
    <row r="2663" spans="1:19" hidden="1" x14ac:dyDescent="0.35">
      <c r="A2663">
        <v>59204242400</v>
      </c>
      <c r="B2663" t="s">
        <v>2668</v>
      </c>
      <c r="C2663" t="str">
        <f>_xlfn.XLOOKUP(A2663,[1]Affiliations!$J$2:$J$5328,[1]Affiliations!$K$2:$K$5328,0)</f>
        <v>Pontifical Catholic University of Rio de Janeiro</v>
      </c>
      <c r="D2663">
        <v>1</v>
      </c>
      <c r="E2663">
        <v>0</v>
      </c>
      <c r="F2663">
        <v>0</v>
      </c>
      <c r="G2663">
        <v>0</v>
      </c>
      <c r="H2663">
        <v>0</v>
      </c>
      <c r="P2663">
        <v>0</v>
      </c>
      <c r="Q2663">
        <v>0</v>
      </c>
      <c r="R2663">
        <v>0</v>
      </c>
      <c r="S2663">
        <v>0</v>
      </c>
    </row>
    <row r="2664" spans="1:19" hidden="1" x14ac:dyDescent="0.35">
      <c r="A2664">
        <v>57219295509</v>
      </c>
      <c r="B2664" t="s">
        <v>2669</v>
      </c>
      <c r="C2664" t="str">
        <f>_xlfn.XLOOKUP(A2664,[1]Affiliations!$J$2:$J$5328,[1]Affiliations!$K$2:$K$5328,0)</f>
        <v>Federal University of Rio de Janeiro</v>
      </c>
      <c r="D2664">
        <v>8</v>
      </c>
      <c r="E2664">
        <v>100</v>
      </c>
      <c r="F2664">
        <v>12.5</v>
      </c>
      <c r="G2664">
        <v>6</v>
      </c>
      <c r="H2664">
        <v>0.79</v>
      </c>
      <c r="I2664">
        <v>0</v>
      </c>
      <c r="J2664">
        <v>0</v>
      </c>
      <c r="K2664">
        <v>0</v>
      </c>
      <c r="L2664">
        <v>4</v>
      </c>
      <c r="M2664">
        <v>8</v>
      </c>
      <c r="N2664">
        <v>8</v>
      </c>
      <c r="P2664">
        <v>0</v>
      </c>
      <c r="Q2664">
        <v>0</v>
      </c>
      <c r="R2664">
        <v>0</v>
      </c>
      <c r="S2664">
        <v>4</v>
      </c>
    </row>
    <row r="2665" spans="1:19" hidden="1" x14ac:dyDescent="0.35">
      <c r="A2665">
        <v>57201423729</v>
      </c>
      <c r="B2665" t="s">
        <v>2670</v>
      </c>
      <c r="C2665" t="str">
        <f>_xlfn.XLOOKUP(A2665,[1]Affiliations!$J$2:$J$5328,[1]Affiliations!$K$2:$K$5328,0)</f>
        <v>Vallourec Soluções Tubulares do Brasil (+2 more)</v>
      </c>
      <c r="D2665">
        <v>3</v>
      </c>
      <c r="E2665">
        <v>3</v>
      </c>
      <c r="F2665">
        <v>1</v>
      </c>
      <c r="G2665">
        <v>1</v>
      </c>
      <c r="H2665">
        <v>0.86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1</v>
      </c>
      <c r="P2665">
        <v>0</v>
      </c>
      <c r="Q2665">
        <v>0</v>
      </c>
      <c r="R2665">
        <v>0</v>
      </c>
      <c r="S2665">
        <v>0</v>
      </c>
    </row>
    <row r="2666" spans="1:19" hidden="1" x14ac:dyDescent="0.35">
      <c r="A2666">
        <v>7102271602</v>
      </c>
      <c r="B2666" t="s">
        <v>2671</v>
      </c>
      <c r="C2666" t="str">
        <f>_xlfn.XLOOKUP(A2666,[1]Affiliations!$J$2:$J$5328,[1]Affiliations!$K$2:$K$5328,0)</f>
        <v>Centro Federal de Educação Tecnológica Celso Suckow da Fonseca (CEFET-RJ)</v>
      </c>
      <c r="D2666">
        <v>30</v>
      </c>
      <c r="E2666">
        <v>502</v>
      </c>
      <c r="F2666">
        <v>16.733333999999999</v>
      </c>
      <c r="G2666">
        <v>14</v>
      </c>
      <c r="H2666">
        <v>0.73</v>
      </c>
      <c r="I2666">
        <v>0</v>
      </c>
      <c r="J2666">
        <v>0</v>
      </c>
      <c r="K2666">
        <v>0</v>
      </c>
      <c r="L2666">
        <v>10</v>
      </c>
      <c r="M2666">
        <v>19</v>
      </c>
      <c r="N2666">
        <v>25</v>
      </c>
      <c r="P2666">
        <v>0</v>
      </c>
      <c r="Q2666">
        <v>1</v>
      </c>
      <c r="R2666">
        <v>3</v>
      </c>
      <c r="S2666">
        <v>13</v>
      </c>
    </row>
    <row r="2667" spans="1:19" hidden="1" x14ac:dyDescent="0.35">
      <c r="A2667">
        <v>59363955300</v>
      </c>
      <c r="B2667" t="s">
        <v>2672</v>
      </c>
      <c r="C2667" t="str">
        <f>_xlfn.XLOOKUP(A2667,[1]Affiliations!$J$2:$J$5328,[1]Affiliations!$K$2:$K$5328,0)</f>
        <v>Universidade Federal de Minas Gerais</v>
      </c>
      <c r="D2667">
        <v>1</v>
      </c>
      <c r="E2667">
        <v>6</v>
      </c>
      <c r="F2667">
        <v>6</v>
      </c>
      <c r="G2667">
        <v>1</v>
      </c>
      <c r="H2667">
        <v>0.39</v>
      </c>
      <c r="I2667">
        <v>0</v>
      </c>
      <c r="J2667">
        <v>1</v>
      </c>
      <c r="K2667">
        <v>1</v>
      </c>
      <c r="L2667">
        <v>1</v>
      </c>
      <c r="M2667">
        <v>1</v>
      </c>
      <c r="N2667">
        <v>1</v>
      </c>
      <c r="P2667">
        <v>0</v>
      </c>
      <c r="Q2667">
        <v>0</v>
      </c>
      <c r="R2667">
        <v>0</v>
      </c>
      <c r="S2667">
        <v>1</v>
      </c>
    </row>
    <row r="2668" spans="1:19" hidden="1" x14ac:dyDescent="0.35">
      <c r="A2668">
        <v>36994356200</v>
      </c>
      <c r="B2668" t="s">
        <v>2673</v>
      </c>
      <c r="C2668" t="str">
        <f>_xlfn.XLOOKUP(A2668,[1]Affiliations!$J$2:$J$5328,[1]Affiliations!$K$2:$K$5328,0)</f>
        <v>Fundação Gorceix</v>
      </c>
      <c r="D2668">
        <v>2</v>
      </c>
      <c r="E2668">
        <v>9</v>
      </c>
      <c r="F2668">
        <v>4.5</v>
      </c>
      <c r="G2668">
        <v>1</v>
      </c>
      <c r="H2668">
        <v>0.33</v>
      </c>
      <c r="I2668">
        <v>0</v>
      </c>
      <c r="J2668">
        <v>0</v>
      </c>
      <c r="K2668">
        <v>0</v>
      </c>
      <c r="L2668">
        <v>0</v>
      </c>
      <c r="M2668">
        <v>2</v>
      </c>
      <c r="N2668">
        <v>2</v>
      </c>
      <c r="P2668">
        <v>0</v>
      </c>
      <c r="Q2668">
        <v>0</v>
      </c>
      <c r="R2668">
        <v>0</v>
      </c>
      <c r="S2668">
        <v>0</v>
      </c>
    </row>
    <row r="2669" spans="1:19" hidden="1" x14ac:dyDescent="0.35">
      <c r="A2669">
        <v>59161706200</v>
      </c>
      <c r="B2669" t="s">
        <v>2674</v>
      </c>
      <c r="C2669" t="str">
        <f>_xlfn.XLOOKUP(A2669,[1]Affiliations!$J$2:$J$5328,[1]Affiliations!$K$2:$K$5328,0)</f>
        <v>Federal University of Rio de Janeiro</v>
      </c>
      <c r="D2669">
        <v>1</v>
      </c>
      <c r="E2669">
        <v>1</v>
      </c>
      <c r="F2669">
        <v>1</v>
      </c>
      <c r="G2669">
        <v>1</v>
      </c>
      <c r="H2669">
        <v>0.13</v>
      </c>
      <c r="I2669">
        <v>0</v>
      </c>
      <c r="J2669">
        <v>0</v>
      </c>
      <c r="K2669">
        <v>1</v>
      </c>
      <c r="L2669">
        <v>1</v>
      </c>
      <c r="M2669">
        <v>1</v>
      </c>
      <c r="N2669">
        <v>1</v>
      </c>
      <c r="P2669">
        <v>0</v>
      </c>
      <c r="Q2669">
        <v>0</v>
      </c>
      <c r="R2669">
        <v>0</v>
      </c>
      <c r="S2669">
        <v>0</v>
      </c>
    </row>
    <row r="2670" spans="1:19" hidden="1" x14ac:dyDescent="0.35">
      <c r="A2670">
        <v>58837446600</v>
      </c>
      <c r="B2670" t="s">
        <v>2675</v>
      </c>
      <c r="C2670" t="str">
        <f>_xlfn.XLOOKUP(A2670,[1]Affiliations!$J$2:$J$5328,[1]Affiliations!$K$2:$K$5328,0)</f>
        <v>University of Campinas</v>
      </c>
      <c r="D2670">
        <v>1</v>
      </c>
      <c r="E2670">
        <v>3</v>
      </c>
      <c r="F2670">
        <v>3</v>
      </c>
      <c r="G2670">
        <v>1</v>
      </c>
      <c r="H2670">
        <v>0.55000000000000004</v>
      </c>
      <c r="I2670">
        <v>0</v>
      </c>
      <c r="J2670">
        <v>0</v>
      </c>
      <c r="K2670">
        <v>0</v>
      </c>
      <c r="L2670">
        <v>0</v>
      </c>
      <c r="M2670">
        <v>1</v>
      </c>
      <c r="N2670">
        <v>1</v>
      </c>
      <c r="P2670">
        <v>0</v>
      </c>
      <c r="Q2670">
        <v>0</v>
      </c>
      <c r="R2670">
        <v>0</v>
      </c>
      <c r="S2670">
        <v>0</v>
      </c>
    </row>
    <row r="2671" spans="1:19" hidden="1" x14ac:dyDescent="0.35">
      <c r="A2671">
        <v>56023240800</v>
      </c>
      <c r="B2671" t="s">
        <v>2676</v>
      </c>
      <c r="C2671" t="str">
        <f>_xlfn.XLOOKUP(A2671,[1]Affiliations!$J$2:$J$5328,[1]Affiliations!$K$2:$K$5328,0)</f>
        <v>Federal University of Rio de Janeiro</v>
      </c>
      <c r="D2671">
        <v>0</v>
      </c>
      <c r="G2671">
        <v>1</v>
      </c>
    </row>
    <row r="2672" spans="1:19" x14ac:dyDescent="0.35">
      <c r="A2672">
        <v>35606982400</v>
      </c>
      <c r="B2672" t="s">
        <v>4723</v>
      </c>
      <c r="C2672" t="str">
        <f>_xlfn.XLOOKUP(A2672,[1]Affiliations!$J$2:$J$5328,[1]Affiliations!$K$2:$K$5328,0)</f>
        <v>Universidade Federal de Minas Gerais (+2 more)</v>
      </c>
      <c r="D2672">
        <v>57</v>
      </c>
      <c r="E2672">
        <v>564</v>
      </c>
      <c r="F2672">
        <v>9.8947369999999992</v>
      </c>
      <c r="G2672">
        <v>17</v>
      </c>
      <c r="H2672">
        <v>0.93</v>
      </c>
      <c r="I2672">
        <v>0</v>
      </c>
      <c r="J2672">
        <v>2</v>
      </c>
      <c r="K2672">
        <v>10</v>
      </c>
      <c r="L2672">
        <v>19</v>
      </c>
      <c r="M2672">
        <v>23</v>
      </c>
      <c r="N2672">
        <v>25</v>
      </c>
      <c r="P2672">
        <v>0</v>
      </c>
      <c r="Q2672">
        <v>1</v>
      </c>
      <c r="R2672">
        <v>2</v>
      </c>
      <c r="S2672">
        <v>10</v>
      </c>
    </row>
    <row r="2673" spans="1:19" x14ac:dyDescent="0.35">
      <c r="A2673">
        <v>8311197700</v>
      </c>
      <c r="B2673" t="s">
        <v>4796</v>
      </c>
      <c r="C2673" t="str">
        <f>_xlfn.XLOOKUP(A2673,[1]Affiliations!$J$2:$J$5328,[1]Affiliations!$K$2:$K$5328,0)</f>
        <v>Universidade Federal do Ceará</v>
      </c>
      <c r="D2673">
        <v>53</v>
      </c>
      <c r="E2673">
        <v>855</v>
      </c>
      <c r="F2673">
        <v>16.132076000000001</v>
      </c>
      <c r="G2673">
        <v>24</v>
      </c>
      <c r="H2673">
        <v>0.93</v>
      </c>
      <c r="I2673">
        <v>0</v>
      </c>
      <c r="J2673">
        <v>10</v>
      </c>
      <c r="K2673">
        <v>19</v>
      </c>
      <c r="L2673">
        <v>33</v>
      </c>
      <c r="M2673">
        <v>37</v>
      </c>
      <c r="N2673">
        <v>49</v>
      </c>
      <c r="P2673">
        <v>1</v>
      </c>
      <c r="Q2673">
        <v>4</v>
      </c>
      <c r="R2673">
        <v>10</v>
      </c>
      <c r="S2673">
        <v>21</v>
      </c>
    </row>
    <row r="2674" spans="1:19" hidden="1" x14ac:dyDescent="0.35">
      <c r="A2674">
        <v>57216565567</v>
      </c>
      <c r="B2674" t="s">
        <v>2679</v>
      </c>
      <c r="C2674" t="str">
        <f>_xlfn.XLOOKUP(A2674,[1]Affiliations!$J$2:$J$5328,[1]Affiliations!$K$2:$K$5328,0)</f>
        <v>Universidade Federal do ABC</v>
      </c>
      <c r="D2674">
        <v>1</v>
      </c>
      <c r="E2674">
        <v>19</v>
      </c>
      <c r="F2674">
        <v>19</v>
      </c>
      <c r="G2674">
        <v>1</v>
      </c>
      <c r="H2674">
        <v>1.1299999999999999</v>
      </c>
      <c r="I2674">
        <v>0</v>
      </c>
      <c r="J2674">
        <v>1</v>
      </c>
      <c r="K2674">
        <v>1</v>
      </c>
      <c r="L2674">
        <v>1</v>
      </c>
      <c r="M2674">
        <v>1</v>
      </c>
      <c r="N2674">
        <v>1</v>
      </c>
      <c r="P2674">
        <v>0</v>
      </c>
      <c r="Q2674">
        <v>0</v>
      </c>
      <c r="R2674">
        <v>0</v>
      </c>
      <c r="S2674">
        <v>1</v>
      </c>
    </row>
    <row r="2675" spans="1:19" hidden="1" x14ac:dyDescent="0.35">
      <c r="A2675">
        <v>59895021500</v>
      </c>
      <c r="B2675" t="s">
        <v>2680</v>
      </c>
      <c r="C2675" t="str">
        <f>_xlfn.XLOOKUP(A2675,[1]Affiliations!$J$2:$J$5328,[1]Affiliations!$K$2:$K$5328,0)</f>
        <v>Universidade Federal de Alagoas</v>
      </c>
      <c r="D2675">
        <v>0</v>
      </c>
      <c r="G2675">
        <v>0</v>
      </c>
    </row>
    <row r="2676" spans="1:19" hidden="1" x14ac:dyDescent="0.35">
      <c r="A2676">
        <v>57197744468</v>
      </c>
      <c r="B2676" t="s">
        <v>2681</v>
      </c>
      <c r="C2676" t="str">
        <f>_xlfn.XLOOKUP(A2676,[1]Affiliations!$J$2:$J$5328,[1]Affiliations!$K$2:$K$5328,0)</f>
        <v>Universidade Federal do Rio Grande do Sul</v>
      </c>
      <c r="D2676">
        <v>3</v>
      </c>
      <c r="E2676">
        <v>9</v>
      </c>
      <c r="F2676">
        <v>3</v>
      </c>
      <c r="G2676">
        <v>3</v>
      </c>
      <c r="H2676">
        <v>0.21</v>
      </c>
      <c r="I2676">
        <v>0</v>
      </c>
      <c r="J2676">
        <v>0</v>
      </c>
      <c r="K2676">
        <v>0</v>
      </c>
      <c r="L2676">
        <v>1</v>
      </c>
      <c r="M2676">
        <v>3</v>
      </c>
      <c r="N2676">
        <v>3</v>
      </c>
      <c r="P2676">
        <v>0</v>
      </c>
      <c r="Q2676">
        <v>0</v>
      </c>
      <c r="R2676">
        <v>0</v>
      </c>
      <c r="S2676">
        <v>0</v>
      </c>
    </row>
    <row r="2677" spans="1:19" hidden="1" x14ac:dyDescent="0.35">
      <c r="A2677">
        <v>57223208286</v>
      </c>
      <c r="B2677" t="s">
        <v>2682</v>
      </c>
      <c r="C2677" t="str">
        <f>_xlfn.XLOOKUP(A2677,[1]Affiliations!$J$2:$J$5328,[1]Affiliations!$K$2:$K$5328,0)</f>
        <v>Universidade Federal de São João del-Rei</v>
      </c>
      <c r="D2677">
        <v>1</v>
      </c>
      <c r="E2677">
        <v>6</v>
      </c>
      <c r="F2677">
        <v>6</v>
      </c>
      <c r="G2677">
        <v>1</v>
      </c>
      <c r="H2677">
        <v>0.36</v>
      </c>
      <c r="I2677">
        <v>0</v>
      </c>
      <c r="J2677">
        <v>0</v>
      </c>
      <c r="K2677">
        <v>0</v>
      </c>
      <c r="L2677">
        <v>0</v>
      </c>
      <c r="M2677">
        <v>1</v>
      </c>
      <c r="N2677">
        <v>1</v>
      </c>
      <c r="P2677">
        <v>0</v>
      </c>
      <c r="Q2677">
        <v>0</v>
      </c>
      <c r="R2677">
        <v>0</v>
      </c>
      <c r="S2677">
        <v>0</v>
      </c>
    </row>
    <row r="2678" spans="1:19" hidden="1" x14ac:dyDescent="0.35">
      <c r="A2678">
        <v>54403852700</v>
      </c>
      <c r="B2678" t="s">
        <v>2683</v>
      </c>
      <c r="C2678" t="str">
        <f>_xlfn.XLOOKUP(A2678,[1]Affiliations!$J$2:$J$5328,[1]Affiliations!$K$2:$K$5328,0)</f>
        <v>Universidade do Estado do Rio de Janeiro (+2 more)</v>
      </c>
      <c r="D2678">
        <v>19</v>
      </c>
      <c r="E2678">
        <v>143</v>
      </c>
      <c r="F2678">
        <v>7.5263156999999996</v>
      </c>
      <c r="G2678">
        <v>11</v>
      </c>
      <c r="H2678">
        <v>0.43</v>
      </c>
      <c r="I2678">
        <v>0</v>
      </c>
      <c r="J2678">
        <v>0</v>
      </c>
      <c r="K2678">
        <v>2</v>
      </c>
      <c r="L2678">
        <v>8</v>
      </c>
      <c r="M2678">
        <v>11</v>
      </c>
      <c r="N2678">
        <v>12</v>
      </c>
      <c r="P2678">
        <v>0</v>
      </c>
      <c r="Q2678">
        <v>0</v>
      </c>
      <c r="R2678">
        <v>0</v>
      </c>
      <c r="S2678">
        <v>4</v>
      </c>
    </row>
    <row r="2679" spans="1:19" hidden="1" x14ac:dyDescent="0.35">
      <c r="A2679">
        <v>6506117713</v>
      </c>
      <c r="B2679" t="s">
        <v>2684</v>
      </c>
      <c r="C2679" t="str">
        <f>_xlfn.XLOOKUP(A2679,[1]Affiliations!$J$2:$J$5328,[1]Affiliations!$K$2:$K$5328,0)</f>
        <v>Universidade Tecnológica Federal do Paraná</v>
      </c>
      <c r="D2679">
        <v>3</v>
      </c>
      <c r="E2679">
        <v>47</v>
      </c>
      <c r="F2679">
        <v>15.666667</v>
      </c>
      <c r="G2679">
        <v>4</v>
      </c>
      <c r="H2679">
        <v>0.71</v>
      </c>
      <c r="I2679">
        <v>0</v>
      </c>
      <c r="J2679">
        <v>0</v>
      </c>
      <c r="K2679">
        <v>1</v>
      </c>
      <c r="L2679">
        <v>2</v>
      </c>
      <c r="M2679">
        <v>2</v>
      </c>
      <c r="N2679">
        <v>2</v>
      </c>
      <c r="P2679">
        <v>0</v>
      </c>
      <c r="Q2679">
        <v>0</v>
      </c>
      <c r="R2679">
        <v>0</v>
      </c>
      <c r="S2679">
        <v>2</v>
      </c>
    </row>
    <row r="2680" spans="1:19" hidden="1" x14ac:dyDescent="0.35">
      <c r="A2680">
        <v>34978335300</v>
      </c>
      <c r="B2680" t="s">
        <v>2685</v>
      </c>
      <c r="C2680" t="str">
        <f>_xlfn.XLOOKUP(A2680,[1]Affiliations!$J$2:$J$5328,[1]Affiliations!$K$2:$K$5328,0)</f>
        <v>Universidade Federal de Campina Grande</v>
      </c>
      <c r="D2680">
        <v>17</v>
      </c>
      <c r="E2680">
        <v>63</v>
      </c>
      <c r="F2680">
        <v>3.7058822999999999</v>
      </c>
      <c r="G2680">
        <v>5</v>
      </c>
      <c r="H2680">
        <v>0.66</v>
      </c>
      <c r="I2680">
        <v>0</v>
      </c>
      <c r="J2680">
        <v>0</v>
      </c>
      <c r="K2680">
        <v>0</v>
      </c>
      <c r="L2680">
        <v>2</v>
      </c>
      <c r="M2680">
        <v>3</v>
      </c>
      <c r="N2680">
        <v>10</v>
      </c>
      <c r="P2680">
        <v>0</v>
      </c>
      <c r="Q2680">
        <v>0</v>
      </c>
      <c r="R2680">
        <v>0</v>
      </c>
      <c r="S2680">
        <v>0</v>
      </c>
    </row>
    <row r="2681" spans="1:19" hidden="1" x14ac:dyDescent="0.35">
      <c r="A2681">
        <v>58888301700</v>
      </c>
      <c r="B2681" t="s">
        <v>2686</v>
      </c>
      <c r="C2681" t="str">
        <f>_xlfn.XLOOKUP(A2681,[1]Affiliations!$J$2:$J$5328,[1]Affiliations!$K$2:$K$5328,0)</f>
        <v>Universidade Federal de Campina Grande</v>
      </c>
      <c r="D2681">
        <v>1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1</v>
      </c>
      <c r="P2681">
        <v>0</v>
      </c>
      <c r="Q2681">
        <v>0</v>
      </c>
      <c r="R2681">
        <v>0</v>
      </c>
      <c r="S2681">
        <v>0</v>
      </c>
    </row>
    <row r="2682" spans="1:19" hidden="1" x14ac:dyDescent="0.35">
      <c r="A2682">
        <v>56779776600</v>
      </c>
      <c r="B2682" t="s">
        <v>2687</v>
      </c>
      <c r="C2682" t="str">
        <f>_xlfn.XLOOKUP(A2682,[1]Affiliations!$J$2:$J$5328,[1]Affiliations!$K$2:$K$5328,0)</f>
        <v>Universidade do Estado do Rio de Janeiro (+1 more)</v>
      </c>
      <c r="D2682">
        <v>1</v>
      </c>
      <c r="E2682">
        <v>40</v>
      </c>
      <c r="F2682">
        <v>40</v>
      </c>
      <c r="G2682">
        <v>1</v>
      </c>
      <c r="H2682">
        <v>0.87</v>
      </c>
      <c r="I2682">
        <v>0</v>
      </c>
      <c r="J2682">
        <v>0</v>
      </c>
      <c r="K2682">
        <v>0</v>
      </c>
      <c r="L2682">
        <v>0</v>
      </c>
      <c r="M2682">
        <v>1</v>
      </c>
      <c r="N2682">
        <v>1</v>
      </c>
      <c r="P2682">
        <v>0</v>
      </c>
      <c r="Q2682">
        <v>0</v>
      </c>
      <c r="R2682">
        <v>0</v>
      </c>
      <c r="S2682">
        <v>1</v>
      </c>
    </row>
    <row r="2683" spans="1:19" x14ac:dyDescent="0.35">
      <c r="A2683">
        <v>14826148500</v>
      </c>
      <c r="B2683" t="s">
        <v>4972</v>
      </c>
      <c r="C2683" t="str">
        <f>_xlfn.XLOOKUP(A2683,[1]Affiliations!$J$2:$J$5328,[1]Affiliations!$K$2:$K$5328,0)</f>
        <v>SENAI Innovation Institute for advanced manufacturing and microfabrication (+1 more)</v>
      </c>
      <c r="D2683">
        <v>27</v>
      </c>
      <c r="E2683">
        <v>577</v>
      </c>
      <c r="F2683">
        <v>21.370370000000001</v>
      </c>
      <c r="G2683">
        <v>16</v>
      </c>
      <c r="H2683">
        <v>0.93</v>
      </c>
      <c r="I2683">
        <v>0</v>
      </c>
      <c r="J2683">
        <v>2</v>
      </c>
      <c r="K2683">
        <v>2</v>
      </c>
      <c r="L2683">
        <v>9</v>
      </c>
      <c r="M2683">
        <v>18</v>
      </c>
      <c r="N2683">
        <v>21</v>
      </c>
      <c r="P2683">
        <v>0</v>
      </c>
      <c r="Q2683">
        <v>1</v>
      </c>
      <c r="R2683">
        <v>5</v>
      </c>
      <c r="S2683">
        <v>10</v>
      </c>
    </row>
    <row r="2684" spans="1:19" hidden="1" x14ac:dyDescent="0.35">
      <c r="A2684">
        <v>26767774200</v>
      </c>
      <c r="B2684" t="s">
        <v>2689</v>
      </c>
      <c r="C2684" t="str">
        <f>_xlfn.XLOOKUP(A2684,[1]Affiliations!$J$2:$J$5328,[1]Affiliations!$K$2:$K$5328,0)</f>
        <v>Universidade Federal de Viçosa</v>
      </c>
      <c r="D2684">
        <v>3</v>
      </c>
      <c r="E2684">
        <v>95</v>
      </c>
      <c r="F2684">
        <v>31.666665999999999</v>
      </c>
      <c r="G2684">
        <v>8</v>
      </c>
      <c r="H2684">
        <v>1.79</v>
      </c>
      <c r="I2684">
        <v>0</v>
      </c>
      <c r="J2684">
        <v>1</v>
      </c>
      <c r="K2684">
        <v>1</v>
      </c>
      <c r="L2684">
        <v>1</v>
      </c>
      <c r="M2684">
        <v>2</v>
      </c>
      <c r="N2684">
        <v>3</v>
      </c>
      <c r="P2684">
        <v>0</v>
      </c>
      <c r="Q2684">
        <v>1</v>
      </c>
      <c r="R2684">
        <v>1</v>
      </c>
      <c r="S2684">
        <v>1</v>
      </c>
    </row>
    <row r="2685" spans="1:19" x14ac:dyDescent="0.35">
      <c r="A2685">
        <v>57200286347</v>
      </c>
      <c r="B2685" t="s">
        <v>5096</v>
      </c>
      <c r="C2685" t="str">
        <f>_xlfn.XLOOKUP(A2685,[1]Affiliations!$J$2:$J$5328,[1]Affiliations!$K$2:$K$5328,0)</f>
        <v>Universidade Federal de Minas Gerais</v>
      </c>
      <c r="D2685">
        <v>12</v>
      </c>
      <c r="E2685">
        <v>111</v>
      </c>
      <c r="F2685">
        <v>9.25</v>
      </c>
      <c r="G2685">
        <v>7</v>
      </c>
      <c r="H2685">
        <v>0.93</v>
      </c>
      <c r="I2685">
        <v>0</v>
      </c>
      <c r="J2685">
        <v>1</v>
      </c>
      <c r="K2685">
        <v>1</v>
      </c>
      <c r="L2685">
        <v>2</v>
      </c>
      <c r="M2685">
        <v>5</v>
      </c>
      <c r="N2685">
        <v>5</v>
      </c>
      <c r="P2685">
        <v>0</v>
      </c>
      <c r="Q2685">
        <v>0</v>
      </c>
      <c r="R2685">
        <v>1</v>
      </c>
      <c r="S2685">
        <v>3</v>
      </c>
    </row>
    <row r="2686" spans="1:19" hidden="1" x14ac:dyDescent="0.35">
      <c r="A2686">
        <v>59532717200</v>
      </c>
      <c r="B2686" t="s">
        <v>2691</v>
      </c>
      <c r="C2686" t="str">
        <f>_xlfn.XLOOKUP(A2686,[1]Affiliations!$J$2:$J$5328,[1]Affiliations!$K$2:$K$5328,0)</f>
        <v>Universidade Federal Fluminense</v>
      </c>
      <c r="D2686">
        <v>0</v>
      </c>
      <c r="G2686">
        <v>0</v>
      </c>
    </row>
    <row r="2687" spans="1:19" hidden="1" x14ac:dyDescent="0.35">
      <c r="A2687">
        <v>60015246400</v>
      </c>
      <c r="B2687" t="s">
        <v>2692</v>
      </c>
      <c r="C2687" t="str">
        <f>_xlfn.XLOOKUP(A2687,[1]Affiliations!$J$2:$J$5328,[1]Affiliations!$K$2:$K$5328,0)</f>
        <v>Universidade Federal de Itajubá</v>
      </c>
      <c r="D2687">
        <v>0</v>
      </c>
      <c r="G2687">
        <v>0</v>
      </c>
    </row>
    <row r="2688" spans="1:19" x14ac:dyDescent="0.35">
      <c r="A2688">
        <v>7004905361</v>
      </c>
      <c r="B2688" t="s">
        <v>291</v>
      </c>
      <c r="C2688" t="str">
        <f>_xlfn.XLOOKUP(A2688,[1]Affiliations!$J$2:$J$5328,[1]Affiliations!$K$2:$K$5328,0)</f>
        <v>University of Campinas</v>
      </c>
      <c r="D2688">
        <v>37</v>
      </c>
      <c r="E2688">
        <v>1026</v>
      </c>
      <c r="F2688">
        <v>27.72973</v>
      </c>
      <c r="G2688">
        <v>41</v>
      </c>
      <c r="H2688">
        <v>0.92</v>
      </c>
      <c r="I2688">
        <v>0</v>
      </c>
      <c r="J2688">
        <v>8</v>
      </c>
      <c r="K2688">
        <v>13</v>
      </c>
      <c r="L2688">
        <v>19</v>
      </c>
      <c r="M2688">
        <v>31</v>
      </c>
      <c r="N2688">
        <v>34</v>
      </c>
      <c r="P2688">
        <v>0</v>
      </c>
      <c r="Q2688">
        <v>3</v>
      </c>
      <c r="R2688">
        <v>6</v>
      </c>
      <c r="S2688">
        <v>18</v>
      </c>
    </row>
    <row r="2689" spans="1:19" hidden="1" x14ac:dyDescent="0.35">
      <c r="A2689">
        <v>59673234600</v>
      </c>
      <c r="B2689" t="s">
        <v>2694</v>
      </c>
      <c r="C2689" t="str">
        <f>_xlfn.XLOOKUP(A2689,[1]Affiliations!$J$2:$J$5328,[1]Affiliations!$K$2:$K$5328,0)</f>
        <v>University of Campinas</v>
      </c>
      <c r="D2689">
        <v>0</v>
      </c>
      <c r="G2689">
        <v>1</v>
      </c>
    </row>
    <row r="2690" spans="1:19" hidden="1" x14ac:dyDescent="0.35">
      <c r="A2690">
        <v>57970431400</v>
      </c>
      <c r="B2690" t="s">
        <v>2695</v>
      </c>
      <c r="C2690" t="str">
        <f>_xlfn.XLOOKUP(A2690,[1]Affiliations!$J$2:$J$5328,[1]Affiliations!$K$2:$K$5328,0)</f>
        <v>Universidade de São Paulo</v>
      </c>
      <c r="D2690">
        <v>3</v>
      </c>
      <c r="E2690">
        <v>16</v>
      </c>
      <c r="F2690">
        <v>5.3333335000000002</v>
      </c>
      <c r="G2690">
        <v>3</v>
      </c>
      <c r="H2690">
        <v>0.74</v>
      </c>
      <c r="I2690">
        <v>0</v>
      </c>
      <c r="J2690">
        <v>0</v>
      </c>
      <c r="K2690">
        <v>0</v>
      </c>
      <c r="L2690">
        <v>1</v>
      </c>
      <c r="M2690">
        <v>2</v>
      </c>
      <c r="N2690">
        <v>3</v>
      </c>
      <c r="P2690">
        <v>0</v>
      </c>
      <c r="Q2690">
        <v>0</v>
      </c>
      <c r="R2690">
        <v>0</v>
      </c>
      <c r="S2690">
        <v>1</v>
      </c>
    </row>
    <row r="2691" spans="1:19" hidden="1" x14ac:dyDescent="0.35">
      <c r="A2691">
        <v>59157835400</v>
      </c>
      <c r="B2691" t="s">
        <v>2696</v>
      </c>
      <c r="C2691" t="str">
        <f>_xlfn.XLOOKUP(A2691,[1]Affiliations!$J$2:$J$5328,[1]Affiliations!$K$2:$K$5328,0)</f>
        <v>Universidade Federal da Bahia</v>
      </c>
      <c r="D2691">
        <v>2</v>
      </c>
      <c r="E2691">
        <v>7</v>
      </c>
      <c r="F2691">
        <v>3.5</v>
      </c>
      <c r="G2691">
        <v>1</v>
      </c>
      <c r="H2691">
        <v>0.34</v>
      </c>
      <c r="I2691">
        <v>0</v>
      </c>
      <c r="J2691">
        <v>0</v>
      </c>
      <c r="K2691">
        <v>0</v>
      </c>
      <c r="L2691">
        <v>1</v>
      </c>
      <c r="M2691">
        <v>2</v>
      </c>
      <c r="N2691">
        <v>2</v>
      </c>
      <c r="P2691">
        <v>0</v>
      </c>
      <c r="Q2691">
        <v>0</v>
      </c>
      <c r="R2691">
        <v>0</v>
      </c>
      <c r="S2691">
        <v>0</v>
      </c>
    </row>
    <row r="2692" spans="1:19" x14ac:dyDescent="0.35">
      <c r="A2692">
        <v>7004499681</v>
      </c>
      <c r="B2692" t="s">
        <v>549</v>
      </c>
      <c r="C2692" t="str">
        <f>_xlfn.XLOOKUP(A2692,[1]Affiliations!$J$2:$J$5328,[1]Affiliations!$K$2:$K$5328,0)</f>
        <v>Universidade Federal Fluminense (+1 more)</v>
      </c>
      <c r="D2692">
        <v>49</v>
      </c>
      <c r="E2692">
        <v>616</v>
      </c>
      <c r="F2692">
        <v>12.571427999999999</v>
      </c>
      <c r="G2692">
        <v>22</v>
      </c>
      <c r="H2692">
        <v>0.92</v>
      </c>
      <c r="I2692">
        <v>0</v>
      </c>
      <c r="J2692">
        <v>2</v>
      </c>
      <c r="K2692">
        <v>5</v>
      </c>
      <c r="L2692">
        <v>23</v>
      </c>
      <c r="M2692">
        <v>41</v>
      </c>
      <c r="N2692">
        <v>45</v>
      </c>
      <c r="P2692">
        <v>0</v>
      </c>
      <c r="Q2692">
        <v>0</v>
      </c>
      <c r="R2692">
        <v>4</v>
      </c>
      <c r="S2692">
        <v>17</v>
      </c>
    </row>
    <row r="2693" spans="1:19" hidden="1" x14ac:dyDescent="0.35">
      <c r="A2693">
        <v>59209689300</v>
      </c>
      <c r="B2693" t="s">
        <v>2698</v>
      </c>
      <c r="C2693" t="str">
        <f>_xlfn.XLOOKUP(A2693,[1]Affiliations!$J$2:$J$5328,[1]Affiliations!$K$2:$K$5328,0)</f>
        <v>IFC</v>
      </c>
      <c r="D2693">
        <v>1</v>
      </c>
      <c r="E2693">
        <v>0</v>
      </c>
      <c r="F2693">
        <v>0</v>
      </c>
      <c r="G2693">
        <v>0</v>
      </c>
      <c r="H2693">
        <v>0</v>
      </c>
      <c r="P2693">
        <v>0</v>
      </c>
      <c r="Q2693">
        <v>0</v>
      </c>
      <c r="R2693">
        <v>0</v>
      </c>
      <c r="S2693">
        <v>0</v>
      </c>
    </row>
    <row r="2694" spans="1:19" hidden="1" x14ac:dyDescent="0.35">
      <c r="A2694">
        <v>57219617978</v>
      </c>
      <c r="B2694" t="s">
        <v>2699</v>
      </c>
      <c r="C2694" t="str">
        <f>_xlfn.XLOOKUP(A2694,[1]Affiliations!$J$2:$J$5328,[1]Affiliations!$K$2:$K$5328,0)</f>
        <v>Universidade Federal do Espírito Santo</v>
      </c>
      <c r="D2694">
        <v>20</v>
      </c>
      <c r="E2694">
        <v>193</v>
      </c>
      <c r="F2694">
        <v>9.65</v>
      </c>
      <c r="G2694">
        <v>9</v>
      </c>
      <c r="H2694">
        <v>0.45</v>
      </c>
      <c r="I2694">
        <v>0</v>
      </c>
      <c r="J2694">
        <v>0</v>
      </c>
      <c r="K2694">
        <v>0</v>
      </c>
      <c r="L2694">
        <v>7</v>
      </c>
      <c r="M2694">
        <v>13</v>
      </c>
      <c r="N2694">
        <v>19</v>
      </c>
      <c r="P2694">
        <v>0</v>
      </c>
      <c r="Q2694">
        <v>0</v>
      </c>
      <c r="R2694">
        <v>0</v>
      </c>
      <c r="S2694">
        <v>4</v>
      </c>
    </row>
    <row r="2695" spans="1:19" hidden="1" x14ac:dyDescent="0.35">
      <c r="A2695">
        <v>57208426701</v>
      </c>
      <c r="B2695" t="s">
        <v>2700</v>
      </c>
      <c r="C2695" t="str">
        <f>_xlfn.XLOOKUP(A2695,[1]Affiliations!$J$2:$J$5328,[1]Affiliations!$K$2:$K$5328,0)</f>
        <v>Universidade Federal do Rio Grande do Sul</v>
      </c>
      <c r="D2695">
        <v>2</v>
      </c>
      <c r="E2695">
        <v>41</v>
      </c>
      <c r="F2695">
        <v>20.5</v>
      </c>
      <c r="G2695">
        <v>2</v>
      </c>
      <c r="H2695">
        <v>1.48</v>
      </c>
      <c r="I2695">
        <v>0</v>
      </c>
      <c r="J2695">
        <v>0</v>
      </c>
      <c r="K2695">
        <v>1</v>
      </c>
      <c r="L2695">
        <v>2</v>
      </c>
      <c r="M2695">
        <v>2</v>
      </c>
      <c r="N2695">
        <v>2</v>
      </c>
      <c r="P2695">
        <v>0</v>
      </c>
      <c r="Q2695">
        <v>0</v>
      </c>
      <c r="R2695">
        <v>0</v>
      </c>
      <c r="S2695">
        <v>2</v>
      </c>
    </row>
    <row r="2696" spans="1:19" hidden="1" x14ac:dyDescent="0.35">
      <c r="A2696">
        <v>60140418200</v>
      </c>
      <c r="B2696" t="s">
        <v>2701</v>
      </c>
      <c r="C2696" t="str">
        <f>_xlfn.XLOOKUP(A2696,[1]Affiliations!$J$2:$J$5328,[1]Affiliations!$K$2:$K$5328,0)</f>
        <v>Universidade Tecnológica Federal do Paraná</v>
      </c>
      <c r="D2696">
        <v>1</v>
      </c>
      <c r="E2696">
        <v>0</v>
      </c>
      <c r="F2696">
        <v>0</v>
      </c>
      <c r="G2696">
        <v>0</v>
      </c>
      <c r="H2696">
        <v>0</v>
      </c>
      <c r="P2696">
        <v>0</v>
      </c>
      <c r="Q2696">
        <v>0</v>
      </c>
      <c r="R2696">
        <v>0</v>
      </c>
      <c r="S2696">
        <v>0</v>
      </c>
    </row>
    <row r="2697" spans="1:19" hidden="1" x14ac:dyDescent="0.35">
      <c r="A2697">
        <v>57796198300</v>
      </c>
      <c r="B2697" t="s">
        <v>2702</v>
      </c>
      <c r="C2697" t="str">
        <f>_xlfn.XLOOKUP(A2697,[1]Affiliations!$J$2:$J$5328,[1]Affiliations!$K$2:$K$5328,0)</f>
        <v>Universidade Federal do Rio Grande do Sul</v>
      </c>
      <c r="D2697">
        <v>1</v>
      </c>
      <c r="E2697">
        <v>2</v>
      </c>
      <c r="F2697">
        <v>2</v>
      </c>
      <c r="G2697">
        <v>1</v>
      </c>
      <c r="H2697">
        <v>0.14000000000000001</v>
      </c>
      <c r="I2697">
        <v>0</v>
      </c>
      <c r="J2697">
        <v>0</v>
      </c>
      <c r="K2697">
        <v>1</v>
      </c>
      <c r="L2697">
        <v>1</v>
      </c>
      <c r="M2697">
        <v>1</v>
      </c>
      <c r="N2697">
        <v>1</v>
      </c>
      <c r="P2697">
        <v>0</v>
      </c>
      <c r="Q2697">
        <v>0</v>
      </c>
      <c r="R2697">
        <v>0</v>
      </c>
      <c r="S2697">
        <v>0</v>
      </c>
    </row>
    <row r="2698" spans="1:19" x14ac:dyDescent="0.35">
      <c r="A2698">
        <v>35575989700</v>
      </c>
      <c r="B2698" t="s">
        <v>777</v>
      </c>
      <c r="C2698" t="str">
        <f>_xlfn.XLOOKUP(A2698,[1]Affiliations!$J$2:$J$5328,[1]Affiliations!$K$2:$K$5328,0)</f>
        <v>Universidade de São Paulo</v>
      </c>
      <c r="D2698">
        <v>73</v>
      </c>
      <c r="E2698">
        <v>853</v>
      </c>
      <c r="F2698">
        <v>11.684932</v>
      </c>
      <c r="G2698">
        <v>21</v>
      </c>
      <c r="H2698">
        <v>0.92</v>
      </c>
      <c r="I2698">
        <v>0</v>
      </c>
      <c r="J2698">
        <v>0</v>
      </c>
      <c r="K2698">
        <v>8</v>
      </c>
      <c r="L2698">
        <v>23</v>
      </c>
      <c r="M2698">
        <v>30</v>
      </c>
      <c r="N2698">
        <v>39</v>
      </c>
      <c r="P2698">
        <v>0</v>
      </c>
      <c r="Q2698">
        <v>1</v>
      </c>
      <c r="R2698">
        <v>2</v>
      </c>
      <c r="S2698">
        <v>12</v>
      </c>
    </row>
    <row r="2699" spans="1:19" hidden="1" x14ac:dyDescent="0.35">
      <c r="A2699">
        <v>57208555073</v>
      </c>
      <c r="B2699" t="s">
        <v>2704</v>
      </c>
      <c r="C2699" t="str">
        <f>_xlfn.XLOOKUP(A2699,[1]Affiliations!$J$2:$J$5328,[1]Affiliations!$K$2:$K$5328,0)</f>
        <v>Universidade Federal Rural do Rio de Janeiro</v>
      </c>
      <c r="D2699">
        <v>1</v>
      </c>
      <c r="E2699">
        <v>9</v>
      </c>
      <c r="F2699">
        <v>9</v>
      </c>
      <c r="G2699">
        <v>1</v>
      </c>
      <c r="H2699">
        <v>0.56000000000000005</v>
      </c>
      <c r="I2699">
        <v>0</v>
      </c>
      <c r="J2699">
        <v>0</v>
      </c>
      <c r="K2699">
        <v>0</v>
      </c>
      <c r="L2699">
        <v>1</v>
      </c>
      <c r="M2699">
        <v>1</v>
      </c>
      <c r="N2699">
        <v>1</v>
      </c>
      <c r="P2699">
        <v>0</v>
      </c>
      <c r="Q2699">
        <v>0</v>
      </c>
      <c r="R2699">
        <v>0</v>
      </c>
      <c r="S2699">
        <v>0</v>
      </c>
    </row>
    <row r="2700" spans="1:19" hidden="1" x14ac:dyDescent="0.35">
      <c r="A2700">
        <v>57205290499</v>
      </c>
      <c r="B2700" t="s">
        <v>2705</v>
      </c>
      <c r="C2700" t="str">
        <f>_xlfn.XLOOKUP(A2700,[1]Affiliations!$J$2:$J$5328,[1]Affiliations!$K$2:$K$5328,0)</f>
        <v>Pontifical Catholic University of Rio de Janeiro</v>
      </c>
      <c r="D2700">
        <v>1</v>
      </c>
      <c r="E2700">
        <v>9</v>
      </c>
      <c r="F2700">
        <v>9</v>
      </c>
      <c r="G2700">
        <v>1</v>
      </c>
      <c r="H2700">
        <v>5.81</v>
      </c>
      <c r="P2700">
        <v>0</v>
      </c>
      <c r="Q2700">
        <v>0</v>
      </c>
      <c r="R2700">
        <v>0</v>
      </c>
      <c r="S2700">
        <v>0</v>
      </c>
    </row>
    <row r="2701" spans="1:19" x14ac:dyDescent="0.35">
      <c r="A2701">
        <v>57225681147</v>
      </c>
      <c r="B2701" t="s">
        <v>1018</v>
      </c>
      <c r="C2701" t="str">
        <f>_xlfn.XLOOKUP(A2701,[1]Affiliations!$J$2:$J$5328,[1]Affiliations!$K$2:$K$5328,0)</f>
        <v>Universidade Federal da Bahia (+1 more)</v>
      </c>
      <c r="D2701">
        <v>19</v>
      </c>
      <c r="E2701">
        <v>188</v>
      </c>
      <c r="F2701">
        <v>9.8947369999999992</v>
      </c>
      <c r="G2701">
        <v>10</v>
      </c>
      <c r="H2701">
        <v>0.92</v>
      </c>
      <c r="I2701">
        <v>0</v>
      </c>
      <c r="J2701">
        <v>2</v>
      </c>
      <c r="K2701">
        <v>4</v>
      </c>
      <c r="L2701">
        <v>12</v>
      </c>
      <c r="M2701">
        <v>16</v>
      </c>
      <c r="N2701">
        <v>19</v>
      </c>
      <c r="P2701">
        <v>0</v>
      </c>
      <c r="Q2701">
        <v>1</v>
      </c>
      <c r="R2701">
        <v>2</v>
      </c>
      <c r="S2701">
        <v>11</v>
      </c>
    </row>
    <row r="2702" spans="1:19" hidden="1" x14ac:dyDescent="0.35">
      <c r="A2702">
        <v>57435455500</v>
      </c>
      <c r="B2702" t="s">
        <v>2707</v>
      </c>
      <c r="C2702" t="str">
        <f>_xlfn.XLOOKUP(A2702,[1]Affiliations!$J$2:$J$5328,[1]Affiliations!$K$2:$K$5328,0)</f>
        <v>Federal University of Rio de Janeiro</v>
      </c>
      <c r="D2702">
        <v>2</v>
      </c>
      <c r="E2702">
        <v>14</v>
      </c>
      <c r="F2702">
        <v>7</v>
      </c>
      <c r="G2702">
        <v>2</v>
      </c>
      <c r="H2702">
        <v>0.82</v>
      </c>
      <c r="I2702">
        <v>0</v>
      </c>
      <c r="J2702">
        <v>0</v>
      </c>
      <c r="K2702">
        <v>0</v>
      </c>
      <c r="L2702">
        <v>0</v>
      </c>
      <c r="M2702">
        <v>2</v>
      </c>
      <c r="N2702">
        <v>2</v>
      </c>
      <c r="P2702">
        <v>0</v>
      </c>
      <c r="Q2702">
        <v>0</v>
      </c>
      <c r="R2702">
        <v>0</v>
      </c>
      <c r="S2702">
        <v>0</v>
      </c>
    </row>
    <row r="2703" spans="1:19" hidden="1" x14ac:dyDescent="0.35">
      <c r="A2703">
        <v>57190574202</v>
      </c>
      <c r="B2703" t="s">
        <v>2708</v>
      </c>
      <c r="C2703" t="str">
        <f>_xlfn.XLOOKUP(A2703,[1]Affiliations!$J$2:$J$5328,[1]Affiliations!$K$2:$K$5328,0)</f>
        <v>Universidade Tecnológica Federal do Paraná (+2 more)</v>
      </c>
      <c r="D2703">
        <v>11</v>
      </c>
      <c r="E2703">
        <v>165</v>
      </c>
      <c r="F2703">
        <v>15</v>
      </c>
      <c r="G2703">
        <v>7</v>
      </c>
      <c r="H2703">
        <v>0.66</v>
      </c>
      <c r="I2703">
        <v>0</v>
      </c>
      <c r="J2703">
        <v>1</v>
      </c>
      <c r="K2703">
        <v>2</v>
      </c>
      <c r="L2703">
        <v>7</v>
      </c>
      <c r="M2703">
        <v>8</v>
      </c>
      <c r="N2703">
        <v>10</v>
      </c>
      <c r="P2703">
        <v>0</v>
      </c>
      <c r="Q2703">
        <v>0</v>
      </c>
      <c r="R2703">
        <v>0</v>
      </c>
      <c r="S2703">
        <v>4</v>
      </c>
    </row>
    <row r="2704" spans="1:19" x14ac:dyDescent="0.35">
      <c r="A2704">
        <v>25721994300</v>
      </c>
      <c r="B2704" t="s">
        <v>1460</v>
      </c>
      <c r="C2704" t="str">
        <f>_xlfn.XLOOKUP(A2704,[1]Affiliations!$J$2:$J$5328,[1]Affiliations!$K$2:$K$5328,0)</f>
        <v>Universidade Federal de Juiz de Fora</v>
      </c>
      <c r="D2704">
        <v>23</v>
      </c>
      <c r="E2704">
        <v>496</v>
      </c>
      <c r="F2704">
        <v>21.565218000000002</v>
      </c>
      <c r="G2704">
        <v>18</v>
      </c>
      <c r="H2704">
        <v>0.92</v>
      </c>
      <c r="I2704">
        <v>0</v>
      </c>
      <c r="J2704">
        <v>2</v>
      </c>
      <c r="K2704">
        <v>5</v>
      </c>
      <c r="L2704">
        <v>18</v>
      </c>
      <c r="M2704">
        <v>21</v>
      </c>
      <c r="N2704">
        <v>22</v>
      </c>
      <c r="P2704">
        <v>0</v>
      </c>
      <c r="Q2704">
        <v>0</v>
      </c>
      <c r="R2704">
        <v>4</v>
      </c>
      <c r="S2704">
        <v>10</v>
      </c>
    </row>
    <row r="2705" spans="1:19" x14ac:dyDescent="0.35">
      <c r="A2705">
        <v>57893476100</v>
      </c>
      <c r="B2705" t="s">
        <v>1720</v>
      </c>
      <c r="C2705" t="str">
        <f>_xlfn.XLOOKUP(A2705,[1]Affiliations!$J$2:$J$5328,[1]Affiliations!$K$2:$K$5328,0)</f>
        <v>Federal University of Rio de Janeiro (+1 more)</v>
      </c>
      <c r="D2705">
        <v>118</v>
      </c>
      <c r="E2705">
        <v>2350</v>
      </c>
      <c r="F2705">
        <v>19.915254999999998</v>
      </c>
      <c r="G2705">
        <v>38</v>
      </c>
      <c r="H2705">
        <v>0.92</v>
      </c>
      <c r="I2705">
        <v>1</v>
      </c>
      <c r="J2705">
        <v>5</v>
      </c>
      <c r="K2705">
        <v>13</v>
      </c>
      <c r="L2705">
        <v>30</v>
      </c>
      <c r="M2705">
        <v>70</v>
      </c>
      <c r="N2705">
        <v>106</v>
      </c>
      <c r="P2705">
        <v>1</v>
      </c>
      <c r="Q2705">
        <v>8</v>
      </c>
      <c r="R2705">
        <v>17</v>
      </c>
      <c r="S2705">
        <v>41</v>
      </c>
    </row>
    <row r="2706" spans="1:19" hidden="1" x14ac:dyDescent="0.35">
      <c r="A2706">
        <v>15119184600</v>
      </c>
      <c r="B2706" t="s">
        <v>2711</v>
      </c>
      <c r="C2706" t="str">
        <f>_xlfn.XLOOKUP(A2706,[1]Affiliations!$J$2:$J$5328,[1]Affiliations!$K$2:$K$5328,0)</f>
        <v>Federal University of Rio de Janeiro</v>
      </c>
      <c r="D2706">
        <v>0</v>
      </c>
      <c r="G2706">
        <v>3</v>
      </c>
    </row>
    <row r="2707" spans="1:19" x14ac:dyDescent="0.35">
      <c r="A2707">
        <v>56074205600</v>
      </c>
      <c r="B2707" t="s">
        <v>1850</v>
      </c>
      <c r="C2707" t="str">
        <f>_xlfn.XLOOKUP(A2707,[1]Affiliations!$J$2:$J$5328,[1]Affiliations!$K$2:$K$5328,0)</f>
        <v>Universidade Federal do Espírito Santo</v>
      </c>
      <c r="D2707">
        <v>10</v>
      </c>
      <c r="E2707">
        <v>235</v>
      </c>
      <c r="F2707">
        <v>23.5</v>
      </c>
      <c r="G2707">
        <v>10</v>
      </c>
      <c r="H2707">
        <v>0.92</v>
      </c>
      <c r="I2707">
        <v>0</v>
      </c>
      <c r="J2707">
        <v>1</v>
      </c>
      <c r="K2707">
        <v>2</v>
      </c>
      <c r="L2707">
        <v>7</v>
      </c>
      <c r="M2707">
        <v>10</v>
      </c>
      <c r="N2707">
        <v>10</v>
      </c>
      <c r="P2707">
        <v>0</v>
      </c>
      <c r="Q2707">
        <v>0</v>
      </c>
      <c r="R2707">
        <v>1</v>
      </c>
      <c r="S2707">
        <v>6</v>
      </c>
    </row>
    <row r="2708" spans="1:19" hidden="1" x14ac:dyDescent="0.35">
      <c r="A2708">
        <v>57202385767</v>
      </c>
      <c r="B2708" t="s">
        <v>2713</v>
      </c>
      <c r="C2708" t="str">
        <f>_xlfn.XLOOKUP(A2708,[1]Affiliations!$J$2:$J$5328,[1]Affiliations!$K$2:$K$5328,0)</f>
        <v>Universidade Federal Fluminense</v>
      </c>
      <c r="D2708">
        <v>3</v>
      </c>
      <c r="E2708">
        <v>48</v>
      </c>
      <c r="F2708">
        <v>16</v>
      </c>
      <c r="G2708">
        <v>3</v>
      </c>
      <c r="H2708">
        <v>0.47</v>
      </c>
      <c r="I2708">
        <v>0</v>
      </c>
      <c r="J2708">
        <v>0</v>
      </c>
      <c r="K2708">
        <v>0</v>
      </c>
      <c r="L2708">
        <v>0</v>
      </c>
      <c r="M2708">
        <v>2</v>
      </c>
      <c r="N2708">
        <v>2</v>
      </c>
      <c r="P2708">
        <v>0</v>
      </c>
      <c r="Q2708">
        <v>0</v>
      </c>
      <c r="R2708">
        <v>0</v>
      </c>
      <c r="S2708">
        <v>1</v>
      </c>
    </row>
    <row r="2709" spans="1:19" hidden="1" x14ac:dyDescent="0.35">
      <c r="A2709">
        <v>57192897563</v>
      </c>
      <c r="B2709" t="s">
        <v>2714</v>
      </c>
      <c r="C2709" t="str">
        <f>_xlfn.XLOOKUP(A2709,[1]Affiliations!$J$2:$J$5328,[1]Affiliations!$K$2:$K$5328,0)</f>
        <v>Universidade Federal do Rio Grande do Sul (+1 more)</v>
      </c>
      <c r="D2709">
        <v>7</v>
      </c>
      <c r="E2709">
        <v>93</v>
      </c>
      <c r="F2709">
        <v>13.285714</v>
      </c>
      <c r="G2709">
        <v>6</v>
      </c>
      <c r="H2709">
        <v>0.8</v>
      </c>
      <c r="I2709">
        <v>0</v>
      </c>
      <c r="J2709">
        <v>1</v>
      </c>
      <c r="K2709">
        <v>2</v>
      </c>
      <c r="L2709">
        <v>5</v>
      </c>
      <c r="M2709">
        <v>6</v>
      </c>
      <c r="N2709">
        <v>6</v>
      </c>
      <c r="P2709">
        <v>0</v>
      </c>
      <c r="Q2709">
        <v>0</v>
      </c>
      <c r="R2709">
        <v>0</v>
      </c>
      <c r="S2709">
        <v>1</v>
      </c>
    </row>
    <row r="2710" spans="1:19" x14ac:dyDescent="0.35">
      <c r="A2710">
        <v>57210551702</v>
      </c>
      <c r="B2710" t="s">
        <v>1906</v>
      </c>
      <c r="C2710" t="str">
        <f>_xlfn.XLOOKUP(A2710,[1]Affiliations!$J$2:$J$5328,[1]Affiliations!$K$2:$K$5328,0)</f>
        <v>Universidade de São Paulo</v>
      </c>
      <c r="D2710">
        <v>36</v>
      </c>
      <c r="E2710">
        <v>409</v>
      </c>
      <c r="F2710">
        <v>11.361110999999999</v>
      </c>
      <c r="G2710">
        <v>11</v>
      </c>
      <c r="H2710">
        <v>0.92</v>
      </c>
      <c r="I2710">
        <v>1</v>
      </c>
      <c r="J2710">
        <v>4</v>
      </c>
      <c r="K2710">
        <v>12</v>
      </c>
      <c r="L2710">
        <v>16</v>
      </c>
      <c r="M2710">
        <v>18</v>
      </c>
      <c r="N2710">
        <v>20</v>
      </c>
      <c r="P2710">
        <v>0</v>
      </c>
      <c r="Q2710">
        <v>1</v>
      </c>
      <c r="R2710">
        <v>4</v>
      </c>
      <c r="S2710">
        <v>10</v>
      </c>
    </row>
    <row r="2711" spans="1:19" hidden="1" x14ac:dyDescent="0.35">
      <c r="A2711">
        <v>57200605164</v>
      </c>
      <c r="B2711" t="s">
        <v>2716</v>
      </c>
      <c r="C2711" t="str">
        <f>_xlfn.XLOOKUP(A2711,[1]Affiliations!$J$2:$J$5328,[1]Affiliations!$K$2:$K$5328,0)</f>
        <v>Vizlab - X-Reality and GeoInformatics Lab (+1 more)</v>
      </c>
      <c r="D2711">
        <v>6</v>
      </c>
      <c r="E2711">
        <v>45</v>
      </c>
      <c r="F2711">
        <v>7.5</v>
      </c>
      <c r="G2711">
        <v>4</v>
      </c>
      <c r="H2711">
        <v>0.88</v>
      </c>
      <c r="I2711">
        <v>1</v>
      </c>
      <c r="J2711">
        <v>1</v>
      </c>
      <c r="K2711">
        <v>1</v>
      </c>
      <c r="L2711">
        <v>1</v>
      </c>
      <c r="M2711">
        <v>1</v>
      </c>
      <c r="N2711">
        <v>3</v>
      </c>
      <c r="P2711">
        <v>0</v>
      </c>
      <c r="Q2711">
        <v>0</v>
      </c>
      <c r="R2711">
        <v>0</v>
      </c>
      <c r="S2711">
        <v>0</v>
      </c>
    </row>
    <row r="2712" spans="1:19" x14ac:dyDescent="0.35">
      <c r="A2712">
        <v>35069161300</v>
      </c>
      <c r="B2712" t="s">
        <v>1995</v>
      </c>
      <c r="C2712" t="str">
        <f>_xlfn.XLOOKUP(A2712,[1]Affiliations!$J$2:$J$5328,[1]Affiliations!$K$2:$K$5328,0)</f>
        <v>Universidade Tecnológica Federal do Paraná</v>
      </c>
      <c r="D2712">
        <v>15</v>
      </c>
      <c r="E2712">
        <v>192</v>
      </c>
      <c r="F2712">
        <v>12.8</v>
      </c>
      <c r="G2712">
        <v>8</v>
      </c>
      <c r="H2712">
        <v>0.92</v>
      </c>
      <c r="I2712">
        <v>0</v>
      </c>
      <c r="J2712">
        <v>1</v>
      </c>
      <c r="K2712">
        <v>2</v>
      </c>
      <c r="L2712">
        <v>7</v>
      </c>
      <c r="M2712">
        <v>8</v>
      </c>
      <c r="N2712">
        <v>10</v>
      </c>
      <c r="P2712">
        <v>0</v>
      </c>
      <c r="Q2712">
        <v>2</v>
      </c>
      <c r="R2712">
        <v>3</v>
      </c>
      <c r="S2712">
        <v>3</v>
      </c>
    </row>
    <row r="2713" spans="1:19" hidden="1" x14ac:dyDescent="0.35">
      <c r="A2713">
        <v>57199402743</v>
      </c>
      <c r="B2713" t="s">
        <v>2718</v>
      </c>
      <c r="C2713" t="str">
        <f>_xlfn.XLOOKUP(A2713,[1]Affiliations!$J$2:$J$5328,[1]Affiliations!$K$2:$K$5328,0)</f>
        <v>Universidade Tecnológica Federal do Paraná (+1 more)</v>
      </c>
      <c r="D2713">
        <v>7</v>
      </c>
      <c r="E2713">
        <v>36</v>
      </c>
      <c r="F2713">
        <v>5.1428570000000002</v>
      </c>
      <c r="G2713">
        <v>5</v>
      </c>
      <c r="H2713">
        <v>0.68</v>
      </c>
      <c r="I2713">
        <v>0</v>
      </c>
      <c r="J2713">
        <v>2</v>
      </c>
      <c r="K2713">
        <v>3</v>
      </c>
      <c r="L2713">
        <v>6</v>
      </c>
      <c r="M2713">
        <v>6</v>
      </c>
      <c r="N2713">
        <v>6</v>
      </c>
      <c r="P2713">
        <v>0</v>
      </c>
      <c r="Q2713">
        <v>0</v>
      </c>
      <c r="R2713">
        <v>0</v>
      </c>
      <c r="S2713">
        <v>2</v>
      </c>
    </row>
    <row r="2714" spans="1:19" hidden="1" x14ac:dyDescent="0.35">
      <c r="A2714">
        <v>57201799238</v>
      </c>
      <c r="B2714" t="s">
        <v>2719</v>
      </c>
      <c r="C2714" t="str">
        <f>_xlfn.XLOOKUP(A2714,[1]Affiliations!$J$2:$J$5328,[1]Affiliations!$K$2:$K$5328,0)</f>
        <v>Federal University of Rio de Janeiro</v>
      </c>
      <c r="D2714">
        <v>26</v>
      </c>
      <c r="E2714">
        <v>192</v>
      </c>
      <c r="F2714">
        <v>7.3846154000000004</v>
      </c>
      <c r="G2714">
        <v>8</v>
      </c>
      <c r="H2714">
        <v>0.39</v>
      </c>
      <c r="I2714">
        <v>0</v>
      </c>
      <c r="J2714">
        <v>0</v>
      </c>
      <c r="K2714">
        <v>2</v>
      </c>
      <c r="L2714">
        <v>16</v>
      </c>
      <c r="M2714">
        <v>22</v>
      </c>
      <c r="N2714">
        <v>24</v>
      </c>
      <c r="P2714">
        <v>0</v>
      </c>
      <c r="Q2714">
        <v>0</v>
      </c>
      <c r="R2714">
        <v>0</v>
      </c>
      <c r="S2714">
        <v>2</v>
      </c>
    </row>
    <row r="2715" spans="1:19" hidden="1" x14ac:dyDescent="0.35">
      <c r="A2715">
        <v>55884055100</v>
      </c>
      <c r="B2715" t="s">
        <v>2720</v>
      </c>
      <c r="C2715" t="str">
        <f>_xlfn.XLOOKUP(A2715,[1]Affiliations!$J$2:$J$5328,[1]Affiliations!$K$2:$K$5328,0)</f>
        <v>Pontifical Catholic University of Rio de Janeiro (+1 more)</v>
      </c>
      <c r="D2715">
        <v>10</v>
      </c>
      <c r="E2715">
        <v>65</v>
      </c>
      <c r="F2715">
        <v>6.5</v>
      </c>
      <c r="G2715">
        <v>8</v>
      </c>
      <c r="H2715">
        <v>0.35</v>
      </c>
      <c r="I2715">
        <v>0</v>
      </c>
      <c r="J2715">
        <v>0</v>
      </c>
      <c r="K2715">
        <v>0</v>
      </c>
      <c r="L2715">
        <v>1</v>
      </c>
      <c r="M2715">
        <v>6</v>
      </c>
      <c r="N2715">
        <v>7</v>
      </c>
      <c r="P2715">
        <v>0</v>
      </c>
      <c r="Q2715">
        <v>0</v>
      </c>
      <c r="R2715">
        <v>0</v>
      </c>
      <c r="S2715">
        <v>0</v>
      </c>
    </row>
    <row r="2716" spans="1:19" hidden="1" x14ac:dyDescent="0.35">
      <c r="A2716">
        <v>24480919600</v>
      </c>
      <c r="B2716" t="s">
        <v>2721</v>
      </c>
      <c r="C2716" t="str">
        <f>_xlfn.XLOOKUP(A2716,[1]Affiliations!$J$2:$J$5328,[1]Affiliations!$K$2:$K$5328,0)</f>
        <v>Institute of Marine Studies Admiral Paulo Moreira (IEAPM)</v>
      </c>
      <c r="D2716">
        <v>8</v>
      </c>
      <c r="E2716">
        <v>51</v>
      </c>
      <c r="F2716">
        <v>6.375</v>
      </c>
      <c r="G2716">
        <v>4</v>
      </c>
      <c r="H2716">
        <v>0.46</v>
      </c>
      <c r="I2716">
        <v>0</v>
      </c>
      <c r="J2716">
        <v>0</v>
      </c>
      <c r="K2716">
        <v>0</v>
      </c>
      <c r="L2716">
        <v>2</v>
      </c>
      <c r="M2716">
        <v>6</v>
      </c>
      <c r="N2716">
        <v>6</v>
      </c>
      <c r="P2716">
        <v>0</v>
      </c>
      <c r="Q2716">
        <v>0</v>
      </c>
      <c r="R2716">
        <v>0</v>
      </c>
      <c r="S2716">
        <v>2</v>
      </c>
    </row>
    <row r="2717" spans="1:19" x14ac:dyDescent="0.35">
      <c r="A2717">
        <v>57219600208</v>
      </c>
      <c r="B2717" t="s">
        <v>2027</v>
      </c>
      <c r="C2717" t="str">
        <f>_xlfn.XLOOKUP(A2717,[1]Affiliations!$J$2:$J$5328,[1]Affiliations!$K$2:$K$5328,0)</f>
        <v>Federal University of Rio de Janeiro</v>
      </c>
      <c r="D2717">
        <v>8</v>
      </c>
      <c r="E2717">
        <v>105</v>
      </c>
      <c r="F2717">
        <v>13.125</v>
      </c>
      <c r="G2717">
        <v>7</v>
      </c>
      <c r="H2717">
        <v>0.92</v>
      </c>
      <c r="I2717">
        <v>0</v>
      </c>
      <c r="J2717">
        <v>4</v>
      </c>
      <c r="K2717">
        <v>4</v>
      </c>
      <c r="L2717">
        <v>6</v>
      </c>
      <c r="M2717">
        <v>8</v>
      </c>
      <c r="N2717">
        <v>8</v>
      </c>
      <c r="P2717">
        <v>0</v>
      </c>
      <c r="Q2717">
        <v>0</v>
      </c>
      <c r="R2717">
        <v>1</v>
      </c>
      <c r="S2717">
        <v>6</v>
      </c>
    </row>
    <row r="2718" spans="1:19" hidden="1" x14ac:dyDescent="0.35">
      <c r="A2718">
        <v>55542477300</v>
      </c>
      <c r="B2718" t="s">
        <v>2723</v>
      </c>
      <c r="C2718" t="str">
        <f>_xlfn.XLOOKUP(A2718,[1]Affiliations!$J$2:$J$5328,[1]Affiliations!$K$2:$K$5328,0)</f>
        <v>Centro Nacional de Pesquisa em Energia e Materiais</v>
      </c>
      <c r="D2718">
        <v>1</v>
      </c>
      <c r="E2718">
        <v>59</v>
      </c>
      <c r="F2718">
        <v>59</v>
      </c>
      <c r="G2718">
        <v>3</v>
      </c>
      <c r="H2718">
        <v>2.39</v>
      </c>
      <c r="I2718">
        <v>0</v>
      </c>
      <c r="J2718">
        <v>0</v>
      </c>
      <c r="K2718">
        <v>1</v>
      </c>
      <c r="L2718">
        <v>1</v>
      </c>
      <c r="M2718">
        <v>1</v>
      </c>
      <c r="N2718">
        <v>1</v>
      </c>
      <c r="P2718">
        <v>0</v>
      </c>
      <c r="Q2718">
        <v>0</v>
      </c>
      <c r="R2718">
        <v>1</v>
      </c>
      <c r="S2718">
        <v>1</v>
      </c>
    </row>
    <row r="2719" spans="1:19" x14ac:dyDescent="0.35">
      <c r="A2719">
        <v>57190796704</v>
      </c>
      <c r="B2719" t="s">
        <v>2030</v>
      </c>
      <c r="C2719" t="str">
        <f>_xlfn.XLOOKUP(A2719,[1]Affiliations!$J$2:$J$5328,[1]Affiliations!$K$2:$K$5328,0)</f>
        <v>Pontifical Catholic University of Rio de Janeiro</v>
      </c>
      <c r="D2719">
        <v>6</v>
      </c>
      <c r="E2719">
        <v>107</v>
      </c>
      <c r="F2719">
        <v>17.833334000000001</v>
      </c>
      <c r="G2719">
        <v>4</v>
      </c>
      <c r="H2719">
        <v>0.92</v>
      </c>
      <c r="I2719">
        <v>0</v>
      </c>
      <c r="J2719">
        <v>1</v>
      </c>
      <c r="K2719">
        <v>3</v>
      </c>
      <c r="L2719">
        <v>3</v>
      </c>
      <c r="M2719">
        <v>3</v>
      </c>
      <c r="N2719">
        <v>3</v>
      </c>
      <c r="P2719">
        <v>0</v>
      </c>
      <c r="Q2719">
        <v>1</v>
      </c>
      <c r="R2719">
        <v>1</v>
      </c>
      <c r="S2719">
        <v>2</v>
      </c>
    </row>
    <row r="2720" spans="1:19" hidden="1" x14ac:dyDescent="0.35">
      <c r="A2720">
        <v>6701469408</v>
      </c>
      <c r="B2720" t="s">
        <v>2725</v>
      </c>
      <c r="C2720" t="str">
        <f>_xlfn.XLOOKUP(A2720,[1]Affiliations!$J$2:$J$5328,[1]Affiliations!$K$2:$K$5328,0)</f>
        <v>Centro de Pesquisas Geocronológicas</v>
      </c>
      <c r="D2720">
        <v>4</v>
      </c>
      <c r="E2720">
        <v>50</v>
      </c>
      <c r="F2720">
        <v>12.5</v>
      </c>
      <c r="G2720">
        <v>14</v>
      </c>
      <c r="H2720">
        <v>1.5</v>
      </c>
      <c r="I2720">
        <v>0</v>
      </c>
      <c r="J2720">
        <v>1</v>
      </c>
      <c r="K2720">
        <v>2</v>
      </c>
      <c r="L2720">
        <v>2</v>
      </c>
      <c r="M2720">
        <v>4</v>
      </c>
      <c r="N2720">
        <v>4</v>
      </c>
      <c r="P2720">
        <v>0</v>
      </c>
      <c r="Q2720">
        <v>0</v>
      </c>
      <c r="R2720">
        <v>0</v>
      </c>
      <c r="S2720">
        <v>1</v>
      </c>
    </row>
    <row r="2721" spans="1:19" x14ac:dyDescent="0.35">
      <c r="A2721">
        <v>55644555400</v>
      </c>
      <c r="B2721" t="s">
        <v>2055</v>
      </c>
      <c r="C2721" t="str">
        <f>_xlfn.XLOOKUP(A2721,[1]Affiliations!$J$2:$J$5328,[1]Affiliations!$K$2:$K$5328,0)</f>
        <v>Universidade Federal de Santa Maria</v>
      </c>
      <c r="D2721">
        <v>15</v>
      </c>
      <c r="E2721">
        <v>288</v>
      </c>
      <c r="F2721">
        <v>19.2</v>
      </c>
      <c r="G2721">
        <v>12</v>
      </c>
      <c r="H2721">
        <v>0.92</v>
      </c>
      <c r="I2721">
        <v>0</v>
      </c>
      <c r="J2721">
        <v>1</v>
      </c>
      <c r="K2721">
        <v>2</v>
      </c>
      <c r="L2721">
        <v>8</v>
      </c>
      <c r="M2721">
        <v>13</v>
      </c>
      <c r="N2721">
        <v>15</v>
      </c>
      <c r="P2721">
        <v>0</v>
      </c>
      <c r="Q2721">
        <v>0</v>
      </c>
      <c r="R2721">
        <v>1</v>
      </c>
      <c r="S2721">
        <v>5</v>
      </c>
    </row>
    <row r="2722" spans="1:19" x14ac:dyDescent="0.35">
      <c r="A2722">
        <v>7202480353</v>
      </c>
      <c r="B2722" t="s">
        <v>2172</v>
      </c>
      <c r="C2722" t="str">
        <f>_xlfn.XLOOKUP(A2722,[1]Affiliations!$J$2:$J$5328,[1]Affiliations!$K$2:$K$5328,0)</f>
        <v>Universidade Federal de Viçosa</v>
      </c>
      <c r="D2722">
        <v>65</v>
      </c>
      <c r="E2722">
        <v>1398</v>
      </c>
      <c r="F2722">
        <v>21.507691999999999</v>
      </c>
      <c r="G2722">
        <v>27</v>
      </c>
      <c r="H2722">
        <v>0.92</v>
      </c>
      <c r="I2722">
        <v>0</v>
      </c>
      <c r="J2722">
        <v>9</v>
      </c>
      <c r="K2722">
        <v>19</v>
      </c>
      <c r="L2722">
        <v>47</v>
      </c>
      <c r="M2722">
        <v>61</v>
      </c>
      <c r="N2722">
        <v>64</v>
      </c>
      <c r="P2722">
        <v>0</v>
      </c>
      <c r="Q2722">
        <v>2</v>
      </c>
      <c r="R2722">
        <v>9</v>
      </c>
      <c r="S2722">
        <v>39</v>
      </c>
    </row>
    <row r="2723" spans="1:19" hidden="1" x14ac:dyDescent="0.35">
      <c r="A2723">
        <v>57208525998</v>
      </c>
      <c r="B2723" t="s">
        <v>2728</v>
      </c>
      <c r="C2723" t="str">
        <f>_xlfn.XLOOKUP(A2723,[1]Affiliations!$J$2:$J$5328,[1]Affiliations!$K$2:$K$5328,0)</f>
        <v>Trisolutions Soluções em Engenharia</v>
      </c>
      <c r="D2723">
        <v>1</v>
      </c>
      <c r="E2723">
        <v>12</v>
      </c>
      <c r="F2723">
        <v>12</v>
      </c>
      <c r="G2723">
        <v>1</v>
      </c>
      <c r="H2723">
        <v>0.12</v>
      </c>
      <c r="I2723">
        <v>0</v>
      </c>
      <c r="J2723">
        <v>0</v>
      </c>
      <c r="K2723">
        <v>1</v>
      </c>
      <c r="L2723">
        <v>1</v>
      </c>
      <c r="M2723">
        <v>1</v>
      </c>
      <c r="N2723">
        <v>1</v>
      </c>
      <c r="P2723">
        <v>0</v>
      </c>
      <c r="Q2723">
        <v>0</v>
      </c>
      <c r="R2723">
        <v>0</v>
      </c>
      <c r="S2723">
        <v>0</v>
      </c>
    </row>
    <row r="2724" spans="1:19" x14ac:dyDescent="0.35">
      <c r="A2724">
        <v>7103271497</v>
      </c>
      <c r="B2724" t="s">
        <v>2305</v>
      </c>
      <c r="C2724" t="str">
        <f>_xlfn.XLOOKUP(A2724,[1]Affiliations!$J$2:$J$5328,[1]Affiliations!$K$2:$K$5328,0)</f>
        <v>Técnico Mecânico CTDUT (+1 more)</v>
      </c>
      <c r="D2724">
        <v>41</v>
      </c>
      <c r="E2724">
        <v>510</v>
      </c>
      <c r="F2724">
        <v>12.439024</v>
      </c>
      <c r="G2724">
        <v>20</v>
      </c>
      <c r="H2724">
        <v>0.92</v>
      </c>
      <c r="I2724">
        <v>0</v>
      </c>
      <c r="J2724">
        <v>4</v>
      </c>
      <c r="K2724">
        <v>7</v>
      </c>
      <c r="L2724">
        <v>12</v>
      </c>
      <c r="M2724">
        <v>13</v>
      </c>
      <c r="N2724">
        <v>22</v>
      </c>
      <c r="P2724">
        <v>0</v>
      </c>
      <c r="Q2724">
        <v>0</v>
      </c>
      <c r="R2724">
        <v>3</v>
      </c>
      <c r="S2724">
        <v>7</v>
      </c>
    </row>
    <row r="2725" spans="1:19" hidden="1" x14ac:dyDescent="0.35">
      <c r="A2725">
        <v>57686403900</v>
      </c>
      <c r="B2725" t="s">
        <v>2730</v>
      </c>
      <c r="C2725" t="str">
        <f>_xlfn.XLOOKUP(A2725,[1]Affiliations!$J$2:$J$5328,[1]Affiliations!$K$2:$K$5328,0)</f>
        <v>Universidade Federal de Mato Grosso do Sul</v>
      </c>
      <c r="D2725">
        <v>2</v>
      </c>
      <c r="E2725">
        <v>17</v>
      </c>
      <c r="F2725">
        <v>8.5</v>
      </c>
      <c r="G2725">
        <v>1</v>
      </c>
      <c r="H2725">
        <v>0.92</v>
      </c>
      <c r="I2725">
        <v>0</v>
      </c>
      <c r="J2725">
        <v>1</v>
      </c>
      <c r="K2725">
        <v>1</v>
      </c>
      <c r="L2725">
        <v>1</v>
      </c>
      <c r="M2725">
        <v>2</v>
      </c>
      <c r="N2725">
        <v>2</v>
      </c>
      <c r="P2725">
        <v>0</v>
      </c>
      <c r="Q2725">
        <v>0</v>
      </c>
      <c r="R2725">
        <v>0</v>
      </c>
      <c r="S2725">
        <v>1</v>
      </c>
    </row>
    <row r="2726" spans="1:19" x14ac:dyDescent="0.35">
      <c r="A2726">
        <v>55392690000</v>
      </c>
      <c r="B2726" t="s">
        <v>2322</v>
      </c>
      <c r="C2726" t="str">
        <f>_xlfn.XLOOKUP(A2726,[1]Affiliations!$J$2:$J$5328,[1]Affiliations!$K$2:$K$5328,0)</f>
        <v>Universidade Federal de Sergipe</v>
      </c>
      <c r="D2726">
        <v>47</v>
      </c>
      <c r="E2726">
        <v>910</v>
      </c>
      <c r="F2726">
        <v>19.361702000000001</v>
      </c>
      <c r="G2726">
        <v>23</v>
      </c>
      <c r="H2726">
        <v>0.92</v>
      </c>
      <c r="I2726">
        <v>4</v>
      </c>
      <c r="J2726">
        <v>8</v>
      </c>
      <c r="K2726">
        <v>13</v>
      </c>
      <c r="L2726">
        <v>21</v>
      </c>
      <c r="M2726">
        <v>36</v>
      </c>
      <c r="N2726">
        <v>46</v>
      </c>
      <c r="P2726">
        <v>0</v>
      </c>
      <c r="Q2726">
        <v>2</v>
      </c>
      <c r="R2726">
        <v>10</v>
      </c>
      <c r="S2726">
        <v>22</v>
      </c>
    </row>
    <row r="2727" spans="1:19" hidden="1" x14ac:dyDescent="0.35">
      <c r="A2727">
        <v>56287319500</v>
      </c>
      <c r="B2727" t="s">
        <v>2732</v>
      </c>
      <c r="C2727" t="str">
        <f>_xlfn.XLOOKUP(A2727,[1]Affiliations!$J$2:$J$5328,[1]Affiliations!$K$2:$K$5328,0)</f>
        <v>Federal University of Rio de Janeiro (+1 more)</v>
      </c>
      <c r="D2727">
        <v>0</v>
      </c>
      <c r="G2727">
        <v>6</v>
      </c>
    </row>
    <row r="2728" spans="1:19" hidden="1" x14ac:dyDescent="0.35">
      <c r="A2728">
        <v>57204430782</v>
      </c>
      <c r="B2728" t="s">
        <v>2733</v>
      </c>
      <c r="C2728" t="str">
        <f>_xlfn.XLOOKUP(A2728,[1]Affiliations!$J$2:$J$5328,[1]Affiliations!$K$2:$K$5328,0)</f>
        <v>Universidade Federal do Rio Grande do Sul</v>
      </c>
      <c r="D2728">
        <v>2</v>
      </c>
      <c r="E2728">
        <v>23</v>
      </c>
      <c r="F2728">
        <v>11.5</v>
      </c>
      <c r="G2728">
        <v>1</v>
      </c>
      <c r="H2728">
        <v>0.92</v>
      </c>
      <c r="I2728">
        <v>0</v>
      </c>
      <c r="J2728">
        <v>1</v>
      </c>
      <c r="K2728">
        <v>1</v>
      </c>
      <c r="L2728">
        <v>1</v>
      </c>
      <c r="M2728">
        <v>1</v>
      </c>
      <c r="N2728">
        <v>2</v>
      </c>
      <c r="P2728">
        <v>0</v>
      </c>
      <c r="Q2728">
        <v>1</v>
      </c>
      <c r="R2728">
        <v>1</v>
      </c>
      <c r="S2728">
        <v>1</v>
      </c>
    </row>
    <row r="2729" spans="1:19" x14ac:dyDescent="0.35">
      <c r="A2729">
        <v>56383484800</v>
      </c>
      <c r="B2729" t="s">
        <v>2351</v>
      </c>
      <c r="C2729" t="str">
        <f>_xlfn.XLOOKUP(A2729,[1]Affiliations!$J$2:$J$5328,[1]Affiliations!$K$2:$K$5328,0)</f>
        <v>Universidade do Estado do Rio de Janeiro</v>
      </c>
      <c r="D2729">
        <v>7</v>
      </c>
      <c r="E2729">
        <v>94</v>
      </c>
      <c r="F2729">
        <v>13.428572000000001</v>
      </c>
      <c r="G2729">
        <v>5</v>
      </c>
      <c r="H2729">
        <v>0.92</v>
      </c>
      <c r="I2729">
        <v>0</v>
      </c>
      <c r="J2729">
        <v>1</v>
      </c>
      <c r="K2729">
        <v>3</v>
      </c>
      <c r="L2729">
        <v>3</v>
      </c>
      <c r="M2729">
        <v>4</v>
      </c>
      <c r="N2729">
        <v>7</v>
      </c>
      <c r="P2729">
        <v>0</v>
      </c>
      <c r="Q2729">
        <v>0</v>
      </c>
      <c r="R2729">
        <v>1</v>
      </c>
      <c r="S2729">
        <v>1</v>
      </c>
    </row>
    <row r="2730" spans="1:19" hidden="1" x14ac:dyDescent="0.35">
      <c r="A2730">
        <v>57201399833</v>
      </c>
      <c r="B2730" t="s">
        <v>2735</v>
      </c>
      <c r="C2730" t="str">
        <f>_xlfn.XLOOKUP(A2730,[1]Affiliations!$J$2:$J$5328,[1]Affiliations!$K$2:$K$5328,0)</f>
        <v>IMC Saste</v>
      </c>
      <c r="D2730">
        <v>1</v>
      </c>
      <c r="E2730">
        <v>1</v>
      </c>
      <c r="F2730">
        <v>1</v>
      </c>
      <c r="G2730">
        <v>1</v>
      </c>
      <c r="H2730">
        <v>1.19</v>
      </c>
      <c r="P2730">
        <v>0</v>
      </c>
      <c r="Q2730">
        <v>0</v>
      </c>
      <c r="R2730">
        <v>0</v>
      </c>
      <c r="S2730">
        <v>0</v>
      </c>
    </row>
    <row r="2731" spans="1:19" hidden="1" x14ac:dyDescent="0.35">
      <c r="A2731">
        <v>59461130600</v>
      </c>
      <c r="B2731" t="s">
        <v>2736</v>
      </c>
      <c r="C2731" t="str">
        <f>_xlfn.XLOOKUP(A2731,[1]Affiliations!$J$2:$J$5328,[1]Affiliations!$K$2:$K$5328,0)</f>
        <v>Pontifícia Universidade Católica do Rio Grande do Sul</v>
      </c>
      <c r="D2731">
        <v>0</v>
      </c>
      <c r="G2731">
        <v>1</v>
      </c>
    </row>
    <row r="2732" spans="1:19" hidden="1" x14ac:dyDescent="0.35">
      <c r="A2732">
        <v>59188505100</v>
      </c>
      <c r="B2732" t="s">
        <v>2737</v>
      </c>
      <c r="C2732" t="str">
        <f>_xlfn.XLOOKUP(A2732,[1]Affiliations!$J$2:$J$5328,[1]Affiliations!$K$2:$K$5328,0)</f>
        <v>Universidade Federal do Rio Grande do Sul</v>
      </c>
      <c r="D2732">
        <v>1</v>
      </c>
      <c r="E2732">
        <v>8</v>
      </c>
      <c r="F2732">
        <v>8</v>
      </c>
      <c r="G2732">
        <v>1</v>
      </c>
      <c r="H2732">
        <v>1.05</v>
      </c>
      <c r="I2732">
        <v>0</v>
      </c>
      <c r="J2732">
        <v>0</v>
      </c>
      <c r="K2732">
        <v>0</v>
      </c>
      <c r="L2732">
        <v>1</v>
      </c>
      <c r="M2732">
        <v>1</v>
      </c>
      <c r="N2732">
        <v>1</v>
      </c>
      <c r="P2732">
        <v>0</v>
      </c>
      <c r="Q2732">
        <v>0</v>
      </c>
      <c r="R2732">
        <v>0</v>
      </c>
      <c r="S2732">
        <v>1</v>
      </c>
    </row>
    <row r="2733" spans="1:19" x14ac:dyDescent="0.35">
      <c r="A2733">
        <v>49361645300</v>
      </c>
      <c r="B2733" t="s">
        <v>2764</v>
      </c>
      <c r="C2733" t="str">
        <f>_xlfn.XLOOKUP(A2733,[1]Affiliations!$J$2:$J$5328,[1]Affiliations!$K$2:$K$5328,0)</f>
        <v>Universidade Federal dos Vales do Jequitinhonha e Mucuri (+1 more)</v>
      </c>
      <c r="D2733">
        <v>28</v>
      </c>
      <c r="E2733">
        <v>461</v>
      </c>
      <c r="F2733">
        <v>16.464285</v>
      </c>
      <c r="G2733">
        <v>12</v>
      </c>
      <c r="H2733">
        <v>0.92</v>
      </c>
      <c r="I2733">
        <v>2</v>
      </c>
      <c r="J2733">
        <v>7</v>
      </c>
      <c r="K2733">
        <v>10</v>
      </c>
      <c r="L2733">
        <v>12</v>
      </c>
      <c r="M2733">
        <v>24</v>
      </c>
      <c r="N2733">
        <v>27</v>
      </c>
      <c r="P2733">
        <v>0</v>
      </c>
      <c r="Q2733">
        <v>1</v>
      </c>
      <c r="R2733">
        <v>2</v>
      </c>
      <c r="S2733">
        <v>10</v>
      </c>
    </row>
    <row r="2734" spans="1:19" x14ac:dyDescent="0.35">
      <c r="A2734">
        <v>25825285800</v>
      </c>
      <c r="B2734" t="s">
        <v>3024</v>
      </c>
      <c r="C2734" t="str">
        <f>_xlfn.XLOOKUP(A2734,[1]Affiliations!$J$2:$J$5328,[1]Affiliations!$K$2:$K$5328,0)</f>
        <v>Universidade Federal Fluminense</v>
      </c>
      <c r="D2734">
        <v>86</v>
      </c>
      <c r="E2734">
        <v>1246</v>
      </c>
      <c r="F2734">
        <v>14.488372</v>
      </c>
      <c r="G2734">
        <v>23</v>
      </c>
      <c r="H2734">
        <v>0.92</v>
      </c>
      <c r="I2734">
        <v>9</v>
      </c>
      <c r="J2734">
        <v>37</v>
      </c>
      <c r="K2734">
        <v>53</v>
      </c>
      <c r="L2734">
        <v>63</v>
      </c>
      <c r="M2734">
        <v>82</v>
      </c>
      <c r="N2734">
        <v>82</v>
      </c>
      <c r="P2734">
        <v>0</v>
      </c>
      <c r="Q2734">
        <v>1</v>
      </c>
      <c r="R2734">
        <v>3</v>
      </c>
      <c r="S2734">
        <v>19</v>
      </c>
    </row>
    <row r="2735" spans="1:19" hidden="1" x14ac:dyDescent="0.35">
      <c r="A2735">
        <v>35085208800</v>
      </c>
      <c r="B2735" t="s">
        <v>2740</v>
      </c>
      <c r="C2735" t="str">
        <f>_xlfn.XLOOKUP(A2735,[1]Affiliations!$J$2:$J$5328,[1]Affiliations!$K$2:$K$5328,0)</f>
        <v>Universidade Federal de Mato Grosso do Sul</v>
      </c>
      <c r="D2735">
        <v>19</v>
      </c>
      <c r="E2735">
        <v>112</v>
      </c>
      <c r="F2735">
        <v>5.8947370000000001</v>
      </c>
      <c r="G2735">
        <v>5</v>
      </c>
      <c r="H2735">
        <v>0.54</v>
      </c>
      <c r="I2735">
        <v>0</v>
      </c>
      <c r="J2735">
        <v>0</v>
      </c>
      <c r="K2735">
        <v>6</v>
      </c>
      <c r="L2735">
        <v>7</v>
      </c>
      <c r="M2735">
        <v>8</v>
      </c>
      <c r="N2735">
        <v>9</v>
      </c>
      <c r="P2735">
        <v>0</v>
      </c>
      <c r="Q2735">
        <v>0</v>
      </c>
      <c r="R2735">
        <v>0</v>
      </c>
      <c r="S2735">
        <v>3</v>
      </c>
    </row>
    <row r="2736" spans="1:19" hidden="1" x14ac:dyDescent="0.35">
      <c r="A2736">
        <v>58178738200</v>
      </c>
      <c r="B2736" t="s">
        <v>2741</v>
      </c>
      <c r="C2736" t="str">
        <f>_xlfn.XLOOKUP(A2736,[1]Affiliations!$J$2:$J$5328,[1]Affiliations!$K$2:$K$5328,0)</f>
        <v>University of Campinas</v>
      </c>
      <c r="D2736">
        <v>2</v>
      </c>
      <c r="E2736">
        <v>16</v>
      </c>
      <c r="F2736">
        <v>8</v>
      </c>
      <c r="G2736">
        <v>2</v>
      </c>
      <c r="H2736">
        <v>0.75</v>
      </c>
      <c r="I2736">
        <v>0</v>
      </c>
      <c r="J2736">
        <v>0</v>
      </c>
      <c r="K2736">
        <v>1</v>
      </c>
      <c r="L2736">
        <v>1</v>
      </c>
      <c r="M2736">
        <v>2</v>
      </c>
      <c r="N2736">
        <v>2</v>
      </c>
      <c r="P2736">
        <v>0</v>
      </c>
      <c r="Q2736">
        <v>0</v>
      </c>
      <c r="R2736">
        <v>0</v>
      </c>
      <c r="S2736">
        <v>2</v>
      </c>
    </row>
    <row r="2737" spans="1:19" hidden="1" x14ac:dyDescent="0.35">
      <c r="A2737">
        <v>57024210600</v>
      </c>
      <c r="B2737" t="s">
        <v>2742</v>
      </c>
      <c r="C2737" t="str">
        <f>_xlfn.XLOOKUP(A2737,[1]Affiliations!$J$2:$J$5328,[1]Affiliations!$K$2:$K$5328,0)</f>
        <v>Universidade Federal de Uberlândia</v>
      </c>
      <c r="D2737">
        <v>5</v>
      </c>
      <c r="E2737">
        <v>24</v>
      </c>
      <c r="F2737">
        <v>4.8</v>
      </c>
      <c r="G2737">
        <v>2</v>
      </c>
      <c r="H2737">
        <v>0.22</v>
      </c>
      <c r="I2737">
        <v>0</v>
      </c>
      <c r="J2737">
        <v>0</v>
      </c>
      <c r="K2737">
        <v>1</v>
      </c>
      <c r="L2737">
        <v>3</v>
      </c>
      <c r="M2737">
        <v>3</v>
      </c>
      <c r="N2737">
        <v>4</v>
      </c>
      <c r="P2737">
        <v>0</v>
      </c>
      <c r="Q2737">
        <v>0</v>
      </c>
      <c r="R2737">
        <v>0</v>
      </c>
      <c r="S2737">
        <v>0</v>
      </c>
    </row>
    <row r="2738" spans="1:19" x14ac:dyDescent="0.35">
      <c r="A2738">
        <v>33568044800</v>
      </c>
      <c r="B2738" t="s">
        <v>3054</v>
      </c>
      <c r="C2738" t="str">
        <f>_xlfn.XLOOKUP(A2738,[1]Affiliations!$J$2:$J$5328,[1]Affiliations!$K$2:$K$5328,0)</f>
        <v>Universidade Federal de Minas Gerais</v>
      </c>
      <c r="D2738">
        <v>71</v>
      </c>
      <c r="E2738">
        <v>837</v>
      </c>
      <c r="F2738">
        <v>11.788733000000001</v>
      </c>
      <c r="G2738">
        <v>21</v>
      </c>
      <c r="H2738">
        <v>0.92</v>
      </c>
      <c r="I2738">
        <v>0</v>
      </c>
      <c r="J2738">
        <v>7</v>
      </c>
      <c r="K2738">
        <v>13</v>
      </c>
      <c r="L2738">
        <v>28</v>
      </c>
      <c r="M2738">
        <v>38</v>
      </c>
      <c r="N2738">
        <v>41</v>
      </c>
      <c r="P2738">
        <v>0</v>
      </c>
      <c r="Q2738">
        <v>1</v>
      </c>
      <c r="R2738">
        <v>5</v>
      </c>
      <c r="S2738">
        <v>17</v>
      </c>
    </row>
    <row r="2739" spans="1:19" x14ac:dyDescent="0.35">
      <c r="A2739">
        <v>7003732915</v>
      </c>
      <c r="B2739" t="s">
        <v>3055</v>
      </c>
      <c r="C2739" t="str">
        <f>_xlfn.XLOOKUP(A2739,[1]Affiliations!$J$2:$J$5328,[1]Affiliations!$K$2:$K$5328,0)</f>
        <v>University of Campinas</v>
      </c>
      <c r="D2739">
        <v>287</v>
      </c>
      <c r="E2739">
        <v>6951</v>
      </c>
      <c r="F2739">
        <v>24.219512999999999</v>
      </c>
      <c r="G2739">
        <v>65</v>
      </c>
      <c r="H2739">
        <v>0.92</v>
      </c>
      <c r="I2739">
        <v>4</v>
      </c>
      <c r="J2739">
        <v>50</v>
      </c>
      <c r="K2739">
        <v>82</v>
      </c>
      <c r="L2739">
        <v>125</v>
      </c>
      <c r="M2739">
        <v>193</v>
      </c>
      <c r="N2739">
        <v>265</v>
      </c>
      <c r="P2739">
        <v>5</v>
      </c>
      <c r="Q2739">
        <v>22</v>
      </c>
      <c r="R2739">
        <v>45</v>
      </c>
      <c r="S2739">
        <v>112</v>
      </c>
    </row>
    <row r="2740" spans="1:19" hidden="1" x14ac:dyDescent="0.35">
      <c r="A2740">
        <v>56494083800</v>
      </c>
      <c r="B2740" t="s">
        <v>2745</v>
      </c>
      <c r="C2740" t="str">
        <f>_xlfn.XLOOKUP(A2740,[1]Affiliations!$J$2:$J$5328,[1]Affiliations!$K$2:$K$5328,0)</f>
        <v>Federal University of Rio de Janeiro</v>
      </c>
      <c r="D2740">
        <v>14</v>
      </c>
      <c r="E2740">
        <v>155</v>
      </c>
      <c r="F2740">
        <v>11.071427999999999</v>
      </c>
      <c r="G2740">
        <v>7</v>
      </c>
      <c r="H2740">
        <v>0.46</v>
      </c>
      <c r="I2740">
        <v>0</v>
      </c>
      <c r="J2740">
        <v>1</v>
      </c>
      <c r="K2740">
        <v>4</v>
      </c>
      <c r="L2740">
        <v>9</v>
      </c>
      <c r="M2740">
        <v>12</v>
      </c>
      <c r="N2740">
        <v>12</v>
      </c>
      <c r="P2740">
        <v>0</v>
      </c>
      <c r="Q2740">
        <v>0</v>
      </c>
      <c r="R2740">
        <v>0</v>
      </c>
      <c r="S2740">
        <v>3</v>
      </c>
    </row>
    <row r="2741" spans="1:19" x14ac:dyDescent="0.35">
      <c r="A2741">
        <v>57201733447</v>
      </c>
      <c r="B2741" t="s">
        <v>3066</v>
      </c>
      <c r="C2741" t="str">
        <f>_xlfn.XLOOKUP(A2741,[1]Affiliations!$J$2:$J$5328,[1]Affiliations!$K$2:$K$5328,0)</f>
        <v>Universidade Federal do Espírito Santo</v>
      </c>
      <c r="D2741">
        <v>10</v>
      </c>
      <c r="E2741">
        <v>199</v>
      </c>
      <c r="F2741">
        <v>19.899999999999999</v>
      </c>
      <c r="G2741">
        <v>8</v>
      </c>
      <c r="H2741">
        <v>0.92</v>
      </c>
      <c r="I2741">
        <v>0</v>
      </c>
      <c r="J2741">
        <v>2</v>
      </c>
      <c r="K2741">
        <v>5</v>
      </c>
      <c r="L2741">
        <v>9</v>
      </c>
      <c r="M2741">
        <v>9</v>
      </c>
      <c r="N2741">
        <v>10</v>
      </c>
      <c r="P2741">
        <v>0</v>
      </c>
      <c r="Q2741">
        <v>0</v>
      </c>
      <c r="R2741">
        <v>2</v>
      </c>
      <c r="S2741">
        <v>5</v>
      </c>
    </row>
    <row r="2742" spans="1:19" hidden="1" x14ac:dyDescent="0.35">
      <c r="A2742">
        <v>6506326751</v>
      </c>
      <c r="B2742" t="s">
        <v>2747</v>
      </c>
      <c r="C2742" t="str">
        <f>_xlfn.XLOOKUP(A2742,[1]Affiliations!$J$2:$J$5328,[1]Affiliations!$K$2:$K$5328,0)</f>
        <v>University of Campinas (+1 more)</v>
      </c>
      <c r="D2742">
        <v>7</v>
      </c>
      <c r="E2742">
        <v>94</v>
      </c>
      <c r="F2742">
        <v>13.428572000000001</v>
      </c>
      <c r="G2742">
        <v>24</v>
      </c>
      <c r="H2742">
        <v>0.6</v>
      </c>
      <c r="I2742">
        <v>0</v>
      </c>
      <c r="J2742">
        <v>2</v>
      </c>
      <c r="K2742">
        <v>3</v>
      </c>
      <c r="L2742">
        <v>4</v>
      </c>
      <c r="M2742">
        <v>6</v>
      </c>
      <c r="N2742">
        <v>7</v>
      </c>
      <c r="P2742">
        <v>0</v>
      </c>
      <c r="Q2742">
        <v>0</v>
      </c>
      <c r="R2742">
        <v>0</v>
      </c>
      <c r="S2742">
        <v>2</v>
      </c>
    </row>
    <row r="2743" spans="1:19" hidden="1" x14ac:dyDescent="0.35">
      <c r="A2743">
        <v>57210191911</v>
      </c>
      <c r="B2743" t="s">
        <v>2748</v>
      </c>
      <c r="C2743" t="str">
        <f>_xlfn.XLOOKUP(A2743,[1]Affiliations!$J$2:$J$5328,[1]Affiliations!$K$2:$K$5328,0)</f>
        <v>Laboratório Nacional de Computação Científica</v>
      </c>
      <c r="D2743">
        <v>4</v>
      </c>
      <c r="E2743">
        <v>16</v>
      </c>
      <c r="F2743">
        <v>4</v>
      </c>
      <c r="G2743">
        <v>3</v>
      </c>
      <c r="H2743">
        <v>0.71</v>
      </c>
      <c r="I2743">
        <v>0</v>
      </c>
      <c r="J2743">
        <v>0</v>
      </c>
      <c r="K2743">
        <v>0</v>
      </c>
      <c r="L2743">
        <v>0</v>
      </c>
      <c r="M2743">
        <v>1</v>
      </c>
      <c r="N2743">
        <v>2</v>
      </c>
      <c r="P2743">
        <v>0</v>
      </c>
      <c r="Q2743">
        <v>0</v>
      </c>
      <c r="R2743">
        <v>0</v>
      </c>
      <c r="S2743">
        <v>1</v>
      </c>
    </row>
    <row r="2744" spans="1:19" x14ac:dyDescent="0.35">
      <c r="A2744">
        <v>57219947731</v>
      </c>
      <c r="B2744" t="s">
        <v>3416</v>
      </c>
      <c r="C2744" t="str">
        <f>_xlfn.XLOOKUP(A2744,[1]Affiliations!$J$2:$J$5328,[1]Affiliations!$K$2:$K$5328,0)</f>
        <v>Federal University of Rio de Janeiro</v>
      </c>
      <c r="D2744">
        <v>10</v>
      </c>
      <c r="E2744">
        <v>210</v>
      </c>
      <c r="F2744">
        <v>21</v>
      </c>
      <c r="G2744">
        <v>8</v>
      </c>
      <c r="H2744">
        <v>0.92</v>
      </c>
      <c r="I2744">
        <v>0</v>
      </c>
      <c r="J2744">
        <v>2</v>
      </c>
      <c r="K2744">
        <v>2</v>
      </c>
      <c r="L2744">
        <v>6</v>
      </c>
      <c r="M2744">
        <v>10</v>
      </c>
      <c r="N2744">
        <v>10</v>
      </c>
      <c r="P2744">
        <v>0</v>
      </c>
      <c r="Q2744">
        <v>1</v>
      </c>
      <c r="R2744">
        <v>1</v>
      </c>
      <c r="S2744">
        <v>5</v>
      </c>
    </row>
    <row r="2745" spans="1:19" x14ac:dyDescent="0.35">
      <c r="A2745">
        <v>57195947828</v>
      </c>
      <c r="B2745" t="s">
        <v>3763</v>
      </c>
      <c r="C2745" t="str">
        <f>_xlfn.XLOOKUP(A2745,[1]Affiliations!$J$2:$J$5328,[1]Affiliations!$K$2:$K$5328,0)</f>
        <v>Universidade Federal Fluminense</v>
      </c>
      <c r="D2745">
        <v>32</v>
      </c>
      <c r="E2745">
        <v>127</v>
      </c>
      <c r="F2745">
        <v>3.96875</v>
      </c>
      <c r="G2745">
        <v>9</v>
      </c>
      <c r="H2745">
        <v>0.92</v>
      </c>
      <c r="I2745">
        <v>0</v>
      </c>
      <c r="J2745">
        <v>1</v>
      </c>
      <c r="K2745">
        <v>1</v>
      </c>
      <c r="L2745">
        <v>4</v>
      </c>
      <c r="M2745">
        <v>20</v>
      </c>
      <c r="N2745">
        <v>24</v>
      </c>
      <c r="P2745">
        <v>0</v>
      </c>
      <c r="Q2745">
        <v>0</v>
      </c>
      <c r="R2745">
        <v>1</v>
      </c>
      <c r="S2745">
        <v>3</v>
      </c>
    </row>
    <row r="2746" spans="1:19" x14ac:dyDescent="0.35">
      <c r="A2746">
        <v>35570900900</v>
      </c>
      <c r="B2746" t="s">
        <v>4149</v>
      </c>
      <c r="C2746" t="str">
        <f>_xlfn.XLOOKUP(A2746,[1]Affiliations!$J$2:$J$5328,[1]Affiliations!$K$2:$K$5328,0)</f>
        <v>Universidade do Estado do Rio de Janeiro (+1 more)</v>
      </c>
      <c r="D2746">
        <v>9</v>
      </c>
      <c r="E2746">
        <v>150</v>
      </c>
      <c r="F2746">
        <v>16.666665999999999</v>
      </c>
      <c r="G2746">
        <v>12</v>
      </c>
      <c r="H2746">
        <v>0.92</v>
      </c>
      <c r="I2746">
        <v>0</v>
      </c>
      <c r="J2746">
        <v>0</v>
      </c>
      <c r="K2746">
        <v>1</v>
      </c>
      <c r="L2746">
        <v>5</v>
      </c>
      <c r="M2746">
        <v>8</v>
      </c>
      <c r="N2746">
        <v>9</v>
      </c>
      <c r="P2746">
        <v>0</v>
      </c>
      <c r="Q2746">
        <v>1</v>
      </c>
      <c r="R2746">
        <v>1</v>
      </c>
      <c r="S2746">
        <v>2</v>
      </c>
    </row>
    <row r="2747" spans="1:19" x14ac:dyDescent="0.35">
      <c r="A2747">
        <v>55534974900</v>
      </c>
      <c r="B2747" t="s">
        <v>4244</v>
      </c>
      <c r="C2747" t="str">
        <f>_xlfn.XLOOKUP(A2747,[1]Affiliations!$J$2:$J$5328,[1]Affiliations!$K$2:$K$5328,0)</f>
        <v>Universidade Federal do Piauí</v>
      </c>
      <c r="D2747">
        <v>14</v>
      </c>
      <c r="E2747">
        <v>233</v>
      </c>
      <c r="F2747">
        <v>16.642856999999999</v>
      </c>
      <c r="G2747">
        <v>10</v>
      </c>
      <c r="H2747">
        <v>0.92</v>
      </c>
      <c r="I2747">
        <v>0</v>
      </c>
      <c r="J2747">
        <v>0</v>
      </c>
      <c r="K2747">
        <v>1</v>
      </c>
      <c r="L2747">
        <v>6</v>
      </c>
      <c r="M2747">
        <v>13</v>
      </c>
      <c r="N2747">
        <v>13</v>
      </c>
      <c r="P2747">
        <v>0</v>
      </c>
      <c r="Q2747">
        <v>1</v>
      </c>
      <c r="R2747">
        <v>1</v>
      </c>
      <c r="S2747">
        <v>4</v>
      </c>
    </row>
    <row r="2748" spans="1:19" x14ac:dyDescent="0.35">
      <c r="A2748">
        <v>57096068300</v>
      </c>
      <c r="B2748" t="s">
        <v>4304</v>
      </c>
      <c r="C2748" t="str">
        <f>_xlfn.XLOOKUP(A2748,[1]Affiliations!$J$2:$J$5328,[1]Affiliations!$K$2:$K$5328,0)</f>
        <v>Universidade Federal do Rio Grande do Sul</v>
      </c>
      <c r="D2748">
        <v>13</v>
      </c>
      <c r="E2748">
        <v>224</v>
      </c>
      <c r="F2748">
        <v>17.23077</v>
      </c>
      <c r="G2748">
        <v>11</v>
      </c>
      <c r="H2748">
        <v>0.92</v>
      </c>
      <c r="I2748">
        <v>0</v>
      </c>
      <c r="J2748">
        <v>4</v>
      </c>
      <c r="K2748">
        <v>6</v>
      </c>
      <c r="L2748">
        <v>9</v>
      </c>
      <c r="M2748">
        <v>10</v>
      </c>
      <c r="N2748">
        <v>10</v>
      </c>
      <c r="P2748">
        <v>0</v>
      </c>
      <c r="Q2748">
        <v>0</v>
      </c>
      <c r="R2748">
        <v>2</v>
      </c>
      <c r="S2748">
        <v>5</v>
      </c>
    </row>
    <row r="2749" spans="1:19" x14ac:dyDescent="0.35">
      <c r="A2749">
        <v>35508548500</v>
      </c>
      <c r="B2749" t="s">
        <v>4509</v>
      </c>
      <c r="C2749" t="str">
        <f>_xlfn.XLOOKUP(A2749,[1]Affiliations!$J$2:$J$5328,[1]Affiliations!$K$2:$K$5328,0)</f>
        <v>Federal University of Santa Catarina</v>
      </c>
      <c r="D2749">
        <v>14</v>
      </c>
      <c r="E2749">
        <v>219</v>
      </c>
      <c r="F2749">
        <v>15.642858</v>
      </c>
      <c r="G2749">
        <v>10</v>
      </c>
      <c r="H2749">
        <v>0.92</v>
      </c>
      <c r="I2749">
        <v>0</v>
      </c>
      <c r="J2749">
        <v>1</v>
      </c>
      <c r="K2749">
        <v>5</v>
      </c>
      <c r="L2749">
        <v>10</v>
      </c>
      <c r="M2749">
        <v>12</v>
      </c>
      <c r="N2749">
        <v>14</v>
      </c>
      <c r="P2749">
        <v>0</v>
      </c>
      <c r="Q2749">
        <v>1</v>
      </c>
      <c r="R2749">
        <v>2</v>
      </c>
      <c r="S2749">
        <v>2</v>
      </c>
    </row>
    <row r="2750" spans="1:19" x14ac:dyDescent="0.35">
      <c r="A2750">
        <v>7004048108</v>
      </c>
      <c r="B2750" t="s">
        <v>4612</v>
      </c>
      <c r="C2750" t="str">
        <f>_xlfn.XLOOKUP(A2750,[1]Affiliations!$J$2:$J$5328,[1]Affiliations!$K$2:$K$5328,0)</f>
        <v>Universidade Federal do Pernambuco Departamento de Geologia (+1 more)</v>
      </c>
      <c r="D2750">
        <v>118</v>
      </c>
      <c r="E2750">
        <v>1921</v>
      </c>
      <c r="F2750">
        <v>16.279661000000001</v>
      </c>
      <c r="G2750">
        <v>44</v>
      </c>
      <c r="H2750">
        <v>0.92</v>
      </c>
      <c r="I2750">
        <v>0</v>
      </c>
      <c r="J2750">
        <v>13</v>
      </c>
      <c r="K2750">
        <v>28</v>
      </c>
      <c r="L2750">
        <v>47</v>
      </c>
      <c r="M2750">
        <v>93</v>
      </c>
      <c r="N2750">
        <v>100</v>
      </c>
      <c r="P2750">
        <v>0</v>
      </c>
      <c r="Q2750">
        <v>3</v>
      </c>
      <c r="R2750">
        <v>8</v>
      </c>
      <c r="S2750">
        <v>31</v>
      </c>
    </row>
    <row r="2751" spans="1:19" x14ac:dyDescent="0.35">
      <c r="A2751">
        <v>57205631068</v>
      </c>
      <c r="B2751" t="s">
        <v>4804</v>
      </c>
      <c r="C2751" t="str">
        <f>_xlfn.XLOOKUP(A2751,[1]Affiliations!$J$2:$J$5328,[1]Affiliations!$K$2:$K$5328,0)</f>
        <v>Universidade Federal do Rio Grande do Sul</v>
      </c>
      <c r="D2751">
        <v>36</v>
      </c>
      <c r="E2751">
        <v>907</v>
      </c>
      <c r="F2751">
        <v>25.194445000000002</v>
      </c>
      <c r="G2751">
        <v>20</v>
      </c>
      <c r="H2751">
        <v>0.92</v>
      </c>
      <c r="I2751">
        <v>0</v>
      </c>
      <c r="J2751">
        <v>6</v>
      </c>
      <c r="K2751">
        <v>7</v>
      </c>
      <c r="L2751">
        <v>25</v>
      </c>
      <c r="M2751">
        <v>31</v>
      </c>
      <c r="N2751">
        <v>36</v>
      </c>
      <c r="P2751">
        <v>2</v>
      </c>
      <c r="Q2751">
        <v>3</v>
      </c>
      <c r="R2751">
        <v>3</v>
      </c>
      <c r="S2751">
        <v>8</v>
      </c>
    </row>
    <row r="2752" spans="1:19" hidden="1" x14ac:dyDescent="0.35">
      <c r="A2752">
        <v>57193689742</v>
      </c>
      <c r="B2752" t="s">
        <v>2757</v>
      </c>
      <c r="C2752" t="str">
        <f>_xlfn.XLOOKUP(A2752,[1]Affiliations!$J$2:$J$5328,[1]Affiliations!$K$2:$K$5328,0)</f>
        <v>Vizlab - X-Reality and GeoInformatics Lab</v>
      </c>
      <c r="D2752">
        <v>5</v>
      </c>
      <c r="E2752">
        <v>96</v>
      </c>
      <c r="F2752">
        <v>19.2</v>
      </c>
      <c r="G2752">
        <v>4</v>
      </c>
      <c r="H2752">
        <v>1.86</v>
      </c>
      <c r="I2752">
        <v>0</v>
      </c>
      <c r="J2752">
        <v>0</v>
      </c>
      <c r="K2752">
        <v>0</v>
      </c>
      <c r="L2752">
        <v>5</v>
      </c>
      <c r="M2752">
        <v>5</v>
      </c>
      <c r="N2752">
        <v>5</v>
      </c>
      <c r="P2752">
        <v>0</v>
      </c>
      <c r="Q2752">
        <v>0</v>
      </c>
      <c r="R2752">
        <v>0</v>
      </c>
      <c r="S2752">
        <v>2</v>
      </c>
    </row>
    <row r="2753" spans="1:19" hidden="1" x14ac:dyDescent="0.35">
      <c r="A2753">
        <v>57188991908</v>
      </c>
      <c r="B2753" t="s">
        <v>2758</v>
      </c>
      <c r="C2753" t="str">
        <f>_xlfn.XLOOKUP(A2753,[1]Affiliations!$J$2:$J$5328,[1]Affiliations!$K$2:$K$5328,0)</f>
        <v>Federal University of Rio de Janeiro</v>
      </c>
      <c r="D2753">
        <v>12</v>
      </c>
      <c r="E2753">
        <v>100</v>
      </c>
      <c r="F2753">
        <v>8.3333329999999997</v>
      </c>
      <c r="G2753">
        <v>6</v>
      </c>
      <c r="H2753">
        <v>0.42</v>
      </c>
      <c r="I2753">
        <v>0</v>
      </c>
      <c r="J2753">
        <v>0</v>
      </c>
      <c r="K2753">
        <v>4</v>
      </c>
      <c r="L2753">
        <v>6</v>
      </c>
      <c r="M2753">
        <v>7</v>
      </c>
      <c r="N2753">
        <v>9</v>
      </c>
      <c r="P2753">
        <v>0</v>
      </c>
      <c r="Q2753">
        <v>0</v>
      </c>
      <c r="R2753">
        <v>0</v>
      </c>
      <c r="S2753">
        <v>1</v>
      </c>
    </row>
    <row r="2754" spans="1:19" x14ac:dyDescent="0.35">
      <c r="A2754">
        <v>8604955400</v>
      </c>
      <c r="B2754" t="s">
        <v>4983</v>
      </c>
      <c r="C2754" t="str">
        <f>_xlfn.XLOOKUP(A2754,[1]Affiliations!$J$2:$J$5328,[1]Affiliations!$K$2:$K$5328,0)</f>
        <v>Federal University of Rio de Janeiro</v>
      </c>
      <c r="D2754">
        <v>75</v>
      </c>
      <c r="E2754">
        <v>1217</v>
      </c>
      <c r="F2754">
        <v>16.226666999999999</v>
      </c>
      <c r="G2754">
        <v>25</v>
      </c>
      <c r="H2754">
        <v>0.92</v>
      </c>
      <c r="I2754">
        <v>0</v>
      </c>
      <c r="J2754">
        <v>4</v>
      </c>
      <c r="K2754">
        <v>11</v>
      </c>
      <c r="L2754">
        <v>48</v>
      </c>
      <c r="M2754">
        <v>64</v>
      </c>
      <c r="N2754">
        <v>66</v>
      </c>
      <c r="P2754">
        <v>0</v>
      </c>
      <c r="Q2754">
        <v>1</v>
      </c>
      <c r="R2754">
        <v>6</v>
      </c>
      <c r="S2754">
        <v>29</v>
      </c>
    </row>
    <row r="2755" spans="1:19" x14ac:dyDescent="0.35">
      <c r="A2755">
        <v>57192661311</v>
      </c>
      <c r="B2755" t="s">
        <v>5035</v>
      </c>
      <c r="C2755" t="str">
        <f>_xlfn.XLOOKUP(A2755,[1]Affiliations!$J$2:$J$5328,[1]Affiliations!$K$2:$K$5328,0)</f>
        <v>Pontifícia Universidade Católica do Rio Grande do Sul</v>
      </c>
      <c r="D2755">
        <v>9</v>
      </c>
      <c r="E2755">
        <v>273</v>
      </c>
      <c r="F2755">
        <v>30.333334000000001</v>
      </c>
      <c r="G2755">
        <v>8</v>
      </c>
      <c r="H2755">
        <v>0.92</v>
      </c>
      <c r="I2755">
        <v>2</v>
      </c>
      <c r="J2755">
        <v>3</v>
      </c>
      <c r="K2755">
        <v>4</v>
      </c>
      <c r="L2755">
        <v>4</v>
      </c>
      <c r="M2755">
        <v>6</v>
      </c>
      <c r="N2755">
        <v>7</v>
      </c>
      <c r="P2755">
        <v>0</v>
      </c>
      <c r="Q2755">
        <v>1</v>
      </c>
      <c r="R2755">
        <v>1</v>
      </c>
      <c r="S2755">
        <v>3</v>
      </c>
    </row>
    <row r="2756" spans="1:19" hidden="1" x14ac:dyDescent="0.35">
      <c r="A2756">
        <v>57219047291</v>
      </c>
      <c r="B2756" t="s">
        <v>2761</v>
      </c>
      <c r="C2756" t="str">
        <f>_xlfn.XLOOKUP(A2756,[1]Affiliations!$J$2:$J$5328,[1]Affiliations!$K$2:$K$5328,0)</f>
        <v>Universidade Federal do Ceará</v>
      </c>
      <c r="D2756">
        <v>1</v>
      </c>
      <c r="E2756">
        <v>11</v>
      </c>
      <c r="F2756">
        <v>11</v>
      </c>
      <c r="G2756">
        <v>3</v>
      </c>
      <c r="H2756">
        <v>0.73</v>
      </c>
      <c r="I2756">
        <v>0</v>
      </c>
      <c r="J2756">
        <v>0</v>
      </c>
      <c r="K2756">
        <v>1</v>
      </c>
      <c r="L2756">
        <v>1</v>
      </c>
      <c r="M2756">
        <v>1</v>
      </c>
      <c r="N2756">
        <v>1</v>
      </c>
      <c r="P2756">
        <v>0</v>
      </c>
      <c r="Q2756">
        <v>0</v>
      </c>
      <c r="R2756">
        <v>0</v>
      </c>
      <c r="S2756">
        <v>0</v>
      </c>
    </row>
    <row r="2757" spans="1:19" hidden="1" x14ac:dyDescent="0.35">
      <c r="A2757">
        <v>57212537690</v>
      </c>
      <c r="B2757" t="s">
        <v>2762</v>
      </c>
      <c r="C2757" t="str">
        <f>_xlfn.XLOOKUP(A2757,[1]Affiliations!$J$2:$J$5328,[1]Affiliations!$K$2:$K$5328,0)</f>
        <v>Vizlab - X-Reality and GeoInformatics Lab</v>
      </c>
      <c r="D2757">
        <v>1</v>
      </c>
      <c r="E2757">
        <v>2</v>
      </c>
      <c r="F2757">
        <v>2</v>
      </c>
      <c r="G2757">
        <v>1</v>
      </c>
      <c r="H2757">
        <v>0.26</v>
      </c>
      <c r="P2757">
        <v>0</v>
      </c>
      <c r="Q2757">
        <v>0</v>
      </c>
      <c r="R2757">
        <v>0</v>
      </c>
      <c r="S2757">
        <v>0</v>
      </c>
    </row>
    <row r="2758" spans="1:19" hidden="1" x14ac:dyDescent="0.35">
      <c r="A2758">
        <v>55922248500</v>
      </c>
      <c r="B2758" t="s">
        <v>2763</v>
      </c>
      <c r="C2758" t="str">
        <f>_xlfn.XLOOKUP(A2758,[1]Affiliations!$J$2:$J$5328,[1]Affiliations!$K$2:$K$5328,0)</f>
        <v>Physical Metallurgy Laboratory (+1 more)</v>
      </c>
      <c r="D2758">
        <v>3</v>
      </c>
      <c r="E2758">
        <v>14</v>
      </c>
      <c r="F2758">
        <v>4.6666664999999998</v>
      </c>
      <c r="G2758">
        <v>2</v>
      </c>
      <c r="H2758">
        <v>0.63</v>
      </c>
      <c r="I2758">
        <v>0</v>
      </c>
      <c r="J2758">
        <v>0</v>
      </c>
      <c r="K2758">
        <v>0</v>
      </c>
      <c r="L2758">
        <v>0</v>
      </c>
      <c r="M2758">
        <v>1</v>
      </c>
      <c r="N2758">
        <v>2</v>
      </c>
      <c r="P2758">
        <v>0</v>
      </c>
      <c r="Q2758">
        <v>0</v>
      </c>
      <c r="R2758">
        <v>0</v>
      </c>
      <c r="S2758">
        <v>0</v>
      </c>
    </row>
    <row r="2759" spans="1:19" x14ac:dyDescent="0.35">
      <c r="A2759">
        <v>55210068400</v>
      </c>
      <c r="B2759" t="s">
        <v>581</v>
      </c>
      <c r="C2759" t="str">
        <f>_xlfn.XLOOKUP(A2759,[1]Affiliations!$J$2:$J$5328,[1]Affiliations!$K$2:$K$5328,0)</f>
        <v>Universidade Federal do Rio Grande do Norte</v>
      </c>
      <c r="D2759">
        <v>61</v>
      </c>
      <c r="E2759">
        <v>1114</v>
      </c>
      <c r="F2759">
        <v>18.262295000000002</v>
      </c>
      <c r="G2759">
        <v>23</v>
      </c>
      <c r="H2759">
        <v>0.91</v>
      </c>
      <c r="I2759">
        <v>0</v>
      </c>
      <c r="J2759">
        <v>7</v>
      </c>
      <c r="K2759">
        <v>21</v>
      </c>
      <c r="L2759">
        <v>43</v>
      </c>
      <c r="M2759">
        <v>51</v>
      </c>
      <c r="N2759">
        <v>57</v>
      </c>
      <c r="P2759">
        <v>0</v>
      </c>
      <c r="Q2759">
        <v>1</v>
      </c>
      <c r="R2759">
        <v>8</v>
      </c>
      <c r="S2759">
        <v>33</v>
      </c>
    </row>
    <row r="2760" spans="1:19" x14ac:dyDescent="0.35">
      <c r="A2760">
        <v>56928231100</v>
      </c>
      <c r="B2760" t="s">
        <v>602</v>
      </c>
      <c r="C2760" t="str">
        <f>_xlfn.XLOOKUP(A2760,[1]Affiliations!$J$2:$J$5328,[1]Affiliations!$K$2:$K$5328,0)</f>
        <v>DEMa</v>
      </c>
      <c r="D2760">
        <v>31</v>
      </c>
      <c r="E2760">
        <v>526</v>
      </c>
      <c r="F2760">
        <v>16.967741</v>
      </c>
      <c r="G2760">
        <v>12</v>
      </c>
      <c r="H2760">
        <v>0.91</v>
      </c>
      <c r="I2760">
        <v>1</v>
      </c>
      <c r="J2760">
        <v>2</v>
      </c>
      <c r="K2760">
        <v>7</v>
      </c>
      <c r="L2760">
        <v>18</v>
      </c>
      <c r="M2760">
        <v>29</v>
      </c>
      <c r="N2760">
        <v>31</v>
      </c>
      <c r="P2760">
        <v>0</v>
      </c>
      <c r="Q2760">
        <v>0</v>
      </c>
      <c r="R2760">
        <v>3</v>
      </c>
      <c r="S2760">
        <v>10</v>
      </c>
    </row>
    <row r="2761" spans="1:19" hidden="1" x14ac:dyDescent="0.35">
      <c r="A2761">
        <v>59921139300</v>
      </c>
      <c r="B2761" t="s">
        <v>2766</v>
      </c>
      <c r="C2761" t="str">
        <f>_xlfn.XLOOKUP(A2761,[1]Affiliations!$J$2:$J$5328,[1]Affiliations!$K$2:$K$5328,0)</f>
        <v>Universidade Federal do Oeste da Bahia</v>
      </c>
      <c r="D2761">
        <v>0</v>
      </c>
      <c r="G2761">
        <v>0</v>
      </c>
    </row>
    <row r="2762" spans="1:19" hidden="1" x14ac:dyDescent="0.35">
      <c r="A2762">
        <v>57223403908</v>
      </c>
      <c r="B2762" t="s">
        <v>2767</v>
      </c>
      <c r="C2762" t="str">
        <f>_xlfn.XLOOKUP(A2762,[1]Affiliations!$J$2:$J$5328,[1]Affiliations!$K$2:$K$5328,0)</f>
        <v>Federal University of Santa Catarina</v>
      </c>
      <c r="D2762">
        <v>2</v>
      </c>
      <c r="E2762">
        <v>13</v>
      </c>
      <c r="F2762">
        <v>6.5</v>
      </c>
      <c r="G2762">
        <v>2</v>
      </c>
      <c r="H2762">
        <v>1.32</v>
      </c>
      <c r="I2762">
        <v>0</v>
      </c>
      <c r="J2762">
        <v>1</v>
      </c>
      <c r="K2762">
        <v>1</v>
      </c>
      <c r="L2762">
        <v>1</v>
      </c>
      <c r="M2762">
        <v>1</v>
      </c>
      <c r="N2762">
        <v>1</v>
      </c>
      <c r="P2762">
        <v>0</v>
      </c>
      <c r="Q2762">
        <v>0</v>
      </c>
      <c r="R2762">
        <v>0</v>
      </c>
      <c r="S2762">
        <v>1</v>
      </c>
    </row>
    <row r="2763" spans="1:19" x14ac:dyDescent="0.35">
      <c r="A2763">
        <v>6701704815</v>
      </c>
      <c r="B2763" t="s">
        <v>742</v>
      </c>
      <c r="C2763" t="str">
        <f>_xlfn.XLOOKUP(A2763,[1]Affiliations!$J$2:$J$5328,[1]Affiliations!$K$2:$K$5328,0)</f>
        <v>Universidade Tiradentes (+4 more)</v>
      </c>
      <c r="D2763">
        <v>60</v>
      </c>
      <c r="E2763">
        <v>1437</v>
      </c>
      <c r="F2763">
        <v>23.95</v>
      </c>
      <c r="G2763">
        <v>43</v>
      </c>
      <c r="H2763">
        <v>0.91</v>
      </c>
      <c r="I2763">
        <v>1</v>
      </c>
      <c r="J2763">
        <v>8</v>
      </c>
      <c r="K2763">
        <v>13</v>
      </c>
      <c r="L2763">
        <v>33</v>
      </c>
      <c r="M2763">
        <v>52</v>
      </c>
      <c r="N2763">
        <v>56</v>
      </c>
      <c r="P2763">
        <v>0</v>
      </c>
      <c r="Q2763">
        <v>3</v>
      </c>
      <c r="R2763">
        <v>8</v>
      </c>
      <c r="S2763">
        <v>24</v>
      </c>
    </row>
    <row r="2764" spans="1:19" hidden="1" x14ac:dyDescent="0.35">
      <c r="A2764">
        <v>56052881600</v>
      </c>
      <c r="B2764" t="s">
        <v>2769</v>
      </c>
      <c r="C2764" t="str">
        <f>_xlfn.XLOOKUP(A2764,[1]Affiliations!$J$2:$J$5328,[1]Affiliations!$K$2:$K$5328,0)</f>
        <v>Universidade de São Paulo</v>
      </c>
      <c r="D2764">
        <v>15</v>
      </c>
      <c r="E2764">
        <v>284</v>
      </c>
      <c r="F2764">
        <v>18.933332</v>
      </c>
      <c r="G2764">
        <v>11</v>
      </c>
      <c r="H2764">
        <v>0.71</v>
      </c>
      <c r="I2764">
        <v>0</v>
      </c>
      <c r="J2764">
        <v>1</v>
      </c>
      <c r="K2764">
        <v>7</v>
      </c>
      <c r="L2764">
        <v>8</v>
      </c>
      <c r="M2764">
        <v>12</v>
      </c>
      <c r="N2764">
        <v>15</v>
      </c>
      <c r="P2764">
        <v>0</v>
      </c>
      <c r="Q2764">
        <v>0</v>
      </c>
      <c r="R2764">
        <v>0</v>
      </c>
      <c r="S2764">
        <v>7</v>
      </c>
    </row>
    <row r="2765" spans="1:19" hidden="1" x14ac:dyDescent="0.35">
      <c r="A2765">
        <v>57193709742</v>
      </c>
      <c r="B2765" t="s">
        <v>2770</v>
      </c>
      <c r="C2765" t="str">
        <f>_xlfn.XLOOKUP(A2765,[1]Affiliations!$J$2:$J$5328,[1]Affiliations!$K$2:$K$5328,0)</f>
        <v>Vizlab - X-Reality and GeoInformatics Lab (+1 more)</v>
      </c>
      <c r="D2765">
        <v>7</v>
      </c>
      <c r="E2765">
        <v>81</v>
      </c>
      <c r="F2765">
        <v>11.571427999999999</v>
      </c>
      <c r="G2765">
        <v>4</v>
      </c>
      <c r="H2765">
        <v>0.42</v>
      </c>
      <c r="I2765">
        <v>0</v>
      </c>
      <c r="J2765">
        <v>0</v>
      </c>
      <c r="K2765">
        <v>0</v>
      </c>
      <c r="L2765">
        <v>5</v>
      </c>
      <c r="M2765">
        <v>6</v>
      </c>
      <c r="N2765">
        <v>6</v>
      </c>
      <c r="P2765">
        <v>0</v>
      </c>
      <c r="Q2765">
        <v>0</v>
      </c>
      <c r="R2765">
        <v>1</v>
      </c>
      <c r="S2765">
        <v>1</v>
      </c>
    </row>
    <row r="2766" spans="1:19" hidden="1" x14ac:dyDescent="0.35">
      <c r="A2766">
        <v>57219121723</v>
      </c>
      <c r="B2766" t="s">
        <v>2771</v>
      </c>
      <c r="C2766" t="str">
        <f>_xlfn.XLOOKUP(A2766,[1]Affiliations!$J$2:$J$5328,[1]Affiliations!$K$2:$K$5328,0)</f>
        <v>Federal University of Rio de Janeiro</v>
      </c>
      <c r="D2766">
        <v>6</v>
      </c>
      <c r="E2766">
        <v>33</v>
      </c>
      <c r="F2766">
        <v>5.5</v>
      </c>
      <c r="G2766">
        <v>3</v>
      </c>
      <c r="H2766">
        <v>0.87</v>
      </c>
      <c r="I2766">
        <v>0</v>
      </c>
      <c r="J2766">
        <v>0</v>
      </c>
      <c r="K2766">
        <v>0</v>
      </c>
      <c r="L2766">
        <v>1</v>
      </c>
      <c r="M2766">
        <v>2</v>
      </c>
      <c r="N2766">
        <v>2</v>
      </c>
      <c r="P2766">
        <v>0</v>
      </c>
      <c r="Q2766">
        <v>0</v>
      </c>
      <c r="R2766">
        <v>0</v>
      </c>
      <c r="S2766">
        <v>1</v>
      </c>
    </row>
    <row r="2767" spans="1:19" x14ac:dyDescent="0.35">
      <c r="A2767">
        <v>7004070221</v>
      </c>
      <c r="B2767" t="s">
        <v>959</v>
      </c>
      <c r="C2767" t="str">
        <f>_xlfn.XLOOKUP(A2767,[1]Affiliations!$J$2:$J$5328,[1]Affiliations!$K$2:$K$5328,0)</f>
        <v>Instituto Militar de Engenharia (+1 more)</v>
      </c>
      <c r="D2767">
        <v>61</v>
      </c>
      <c r="E2767">
        <v>687</v>
      </c>
      <c r="F2767">
        <v>11.262295</v>
      </c>
      <c r="G2767">
        <v>21</v>
      </c>
      <c r="H2767">
        <v>0.91</v>
      </c>
      <c r="I2767">
        <v>1</v>
      </c>
      <c r="J2767">
        <v>9</v>
      </c>
      <c r="K2767">
        <v>13</v>
      </c>
      <c r="L2767">
        <v>26</v>
      </c>
      <c r="M2767">
        <v>39</v>
      </c>
      <c r="N2767">
        <v>45</v>
      </c>
      <c r="P2767">
        <v>0</v>
      </c>
      <c r="Q2767">
        <v>1</v>
      </c>
      <c r="R2767">
        <v>1</v>
      </c>
      <c r="S2767">
        <v>7</v>
      </c>
    </row>
    <row r="2768" spans="1:19" hidden="1" x14ac:dyDescent="0.35">
      <c r="A2768">
        <v>59509396500</v>
      </c>
      <c r="B2768" t="s">
        <v>2773</v>
      </c>
      <c r="C2768" t="str">
        <f>_xlfn.XLOOKUP(A2768,[1]Affiliations!$J$2:$J$5328,[1]Affiliations!$K$2:$K$5328,0)</f>
        <v>University of Campinas</v>
      </c>
      <c r="D2768">
        <v>2</v>
      </c>
      <c r="E2768">
        <v>0</v>
      </c>
      <c r="F2768">
        <v>0</v>
      </c>
      <c r="G2768">
        <v>0</v>
      </c>
      <c r="H2768">
        <v>0</v>
      </c>
      <c r="P2768">
        <v>0</v>
      </c>
      <c r="Q2768">
        <v>0</v>
      </c>
      <c r="R2768">
        <v>0</v>
      </c>
      <c r="S2768">
        <v>0</v>
      </c>
    </row>
    <row r="2769" spans="1:19" x14ac:dyDescent="0.35">
      <c r="A2769">
        <v>21739086900</v>
      </c>
      <c r="B2769" t="s">
        <v>1968</v>
      </c>
      <c r="C2769" t="str">
        <f>_xlfn.XLOOKUP(A2769,[1]Affiliations!$J$2:$J$5328,[1]Affiliations!$K$2:$K$5328,0)</f>
        <v>Universidade Federal de Santa Maria</v>
      </c>
      <c r="D2769">
        <v>89</v>
      </c>
      <c r="E2769">
        <v>1891</v>
      </c>
      <c r="F2769">
        <v>21.24719</v>
      </c>
      <c r="G2769">
        <v>37</v>
      </c>
      <c r="H2769">
        <v>0.91</v>
      </c>
      <c r="I2769">
        <v>1</v>
      </c>
      <c r="J2769">
        <v>20</v>
      </c>
      <c r="K2769">
        <v>37</v>
      </c>
      <c r="L2769">
        <v>66</v>
      </c>
      <c r="M2769">
        <v>84</v>
      </c>
      <c r="N2769">
        <v>87</v>
      </c>
      <c r="P2769">
        <v>0</v>
      </c>
      <c r="Q2769">
        <v>5</v>
      </c>
      <c r="R2769">
        <v>13</v>
      </c>
      <c r="S2769">
        <v>35</v>
      </c>
    </row>
    <row r="2770" spans="1:19" hidden="1" x14ac:dyDescent="0.35">
      <c r="A2770">
        <v>6602544772</v>
      </c>
      <c r="B2770" t="s">
        <v>2775</v>
      </c>
      <c r="C2770" t="str">
        <f>_xlfn.XLOOKUP(A2770,[1]Affiliations!$J$2:$J$5328,[1]Affiliations!$K$2:$K$5328,0)</f>
        <v>Universidade Federal do Rio Grande do Sul (+2 more)</v>
      </c>
      <c r="D2770">
        <v>23</v>
      </c>
      <c r="E2770">
        <v>207</v>
      </c>
      <c r="F2770">
        <v>9</v>
      </c>
      <c r="G2770">
        <v>16</v>
      </c>
      <c r="H2770">
        <v>0.56999999999999995</v>
      </c>
      <c r="I2770">
        <v>0</v>
      </c>
      <c r="J2770">
        <v>1</v>
      </c>
      <c r="K2770">
        <v>6</v>
      </c>
      <c r="L2770">
        <v>10</v>
      </c>
      <c r="M2770">
        <v>13</v>
      </c>
      <c r="N2770">
        <v>15</v>
      </c>
      <c r="P2770">
        <v>0</v>
      </c>
      <c r="Q2770">
        <v>0</v>
      </c>
      <c r="R2770">
        <v>0</v>
      </c>
      <c r="S2770">
        <v>5</v>
      </c>
    </row>
    <row r="2771" spans="1:19" hidden="1" x14ac:dyDescent="0.35">
      <c r="A2771">
        <v>57201210108</v>
      </c>
      <c r="B2771" t="s">
        <v>2776</v>
      </c>
      <c r="C2771" t="str">
        <f>_xlfn.XLOOKUP(A2771,[1]Affiliations!$J$2:$J$5328,[1]Affiliations!$K$2:$K$5328,0)</f>
        <v>Universidade de São Paulo</v>
      </c>
      <c r="D2771">
        <v>2</v>
      </c>
      <c r="E2771">
        <v>14</v>
      </c>
      <c r="F2771">
        <v>7</v>
      </c>
      <c r="G2771">
        <v>2</v>
      </c>
      <c r="H2771">
        <v>0.28999999999999998</v>
      </c>
      <c r="I2771">
        <v>0</v>
      </c>
      <c r="J2771">
        <v>0</v>
      </c>
      <c r="K2771">
        <v>0</v>
      </c>
      <c r="L2771">
        <v>2</v>
      </c>
      <c r="M2771">
        <v>2</v>
      </c>
      <c r="N2771">
        <v>2</v>
      </c>
      <c r="P2771">
        <v>0</v>
      </c>
      <c r="Q2771">
        <v>0</v>
      </c>
      <c r="R2771">
        <v>0</v>
      </c>
      <c r="S2771">
        <v>0</v>
      </c>
    </row>
    <row r="2772" spans="1:19" x14ac:dyDescent="0.35">
      <c r="A2772">
        <v>7005119089</v>
      </c>
      <c r="B2772" t="s">
        <v>2009</v>
      </c>
      <c r="C2772" t="str">
        <f>_xlfn.XLOOKUP(A2772,[1]Affiliations!$J$2:$J$5328,[1]Affiliations!$K$2:$K$5328,0)</f>
        <v>University of Campinas (+2 more)</v>
      </c>
      <c r="D2772">
        <v>297</v>
      </c>
      <c r="E2772">
        <v>6754</v>
      </c>
      <c r="F2772">
        <v>22.740739999999999</v>
      </c>
      <c r="G2772">
        <v>80</v>
      </c>
      <c r="H2772">
        <v>0.91</v>
      </c>
      <c r="I2772">
        <v>0</v>
      </c>
      <c r="J2772">
        <v>33</v>
      </c>
      <c r="K2772">
        <v>87</v>
      </c>
      <c r="L2772">
        <v>185</v>
      </c>
      <c r="M2772">
        <v>259</v>
      </c>
      <c r="N2772">
        <v>286</v>
      </c>
      <c r="P2772">
        <v>1</v>
      </c>
      <c r="Q2772">
        <v>12</v>
      </c>
      <c r="R2772">
        <v>36</v>
      </c>
      <c r="S2772">
        <v>121</v>
      </c>
    </row>
    <row r="2773" spans="1:19" hidden="1" x14ac:dyDescent="0.35">
      <c r="A2773">
        <v>6507156266</v>
      </c>
      <c r="B2773" t="s">
        <v>2778</v>
      </c>
      <c r="C2773" t="str">
        <f>_xlfn.XLOOKUP(A2773,[1]Affiliations!$J$2:$J$5328,[1]Affiliations!$K$2:$K$5328,0)</f>
        <v>Federal University of Rio de Janeiro</v>
      </c>
      <c r="D2773">
        <v>2</v>
      </c>
      <c r="E2773">
        <v>31</v>
      </c>
      <c r="F2773">
        <v>15.5</v>
      </c>
      <c r="G2773">
        <v>8</v>
      </c>
      <c r="H2773">
        <v>0.92</v>
      </c>
      <c r="I2773">
        <v>0</v>
      </c>
      <c r="J2773">
        <v>0</v>
      </c>
      <c r="K2773">
        <v>0</v>
      </c>
      <c r="L2773">
        <v>1</v>
      </c>
      <c r="M2773">
        <v>2</v>
      </c>
      <c r="N2773">
        <v>2</v>
      </c>
      <c r="P2773">
        <v>0</v>
      </c>
      <c r="Q2773">
        <v>0</v>
      </c>
      <c r="R2773">
        <v>0</v>
      </c>
      <c r="S2773">
        <v>1</v>
      </c>
    </row>
    <row r="2774" spans="1:19" hidden="1" x14ac:dyDescent="0.35">
      <c r="A2774">
        <v>30767634800</v>
      </c>
      <c r="B2774" t="s">
        <v>2779</v>
      </c>
      <c r="C2774" t="str">
        <f>_xlfn.XLOOKUP(A2774,[1]Affiliations!$J$2:$J$5328,[1]Affiliations!$K$2:$K$5328,0)</f>
        <v>Zlemlink Ltda (+3 more)</v>
      </c>
      <c r="D2774">
        <v>5</v>
      </c>
      <c r="E2774">
        <v>13</v>
      </c>
      <c r="F2774">
        <v>2.6</v>
      </c>
      <c r="G2774">
        <v>5</v>
      </c>
      <c r="H2774">
        <v>0.72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1</v>
      </c>
      <c r="P2774">
        <v>0</v>
      </c>
      <c r="Q2774">
        <v>0</v>
      </c>
      <c r="R2774">
        <v>0</v>
      </c>
      <c r="S2774">
        <v>0</v>
      </c>
    </row>
    <row r="2775" spans="1:19" hidden="1" x14ac:dyDescent="0.35">
      <c r="A2775">
        <v>57220958055</v>
      </c>
      <c r="B2775" t="s">
        <v>2780</v>
      </c>
      <c r="C2775" t="str">
        <f>_xlfn.XLOOKUP(A2775,[1]Affiliations!$J$2:$J$5328,[1]Affiliations!$K$2:$K$5328,0)</f>
        <v>Pontifical Catholic University of Rio de Janeiro</v>
      </c>
      <c r="D2775">
        <v>1</v>
      </c>
      <c r="E2775">
        <v>0</v>
      </c>
      <c r="F2775">
        <v>0</v>
      </c>
      <c r="G2775">
        <v>0</v>
      </c>
      <c r="H2775">
        <v>0</v>
      </c>
      <c r="P2775">
        <v>0</v>
      </c>
      <c r="Q2775">
        <v>0</v>
      </c>
      <c r="R2775">
        <v>0</v>
      </c>
      <c r="S2775">
        <v>0</v>
      </c>
    </row>
    <row r="2776" spans="1:19" hidden="1" x14ac:dyDescent="0.35">
      <c r="A2776">
        <v>58528995900</v>
      </c>
      <c r="B2776" t="s">
        <v>2781</v>
      </c>
      <c r="C2776" t="str">
        <f>_xlfn.XLOOKUP(A2776,[1]Affiliations!$J$2:$J$5328,[1]Affiliations!$K$2:$K$5328,0)</f>
        <v>Universidade Federal do Rio Grande do Sul (+1 more)</v>
      </c>
      <c r="D2776">
        <v>3</v>
      </c>
      <c r="E2776">
        <v>14</v>
      </c>
      <c r="F2776">
        <v>4.6666664999999998</v>
      </c>
      <c r="G2776">
        <v>3</v>
      </c>
      <c r="H2776">
        <v>0.84</v>
      </c>
      <c r="I2776">
        <v>0</v>
      </c>
      <c r="J2776">
        <v>0</v>
      </c>
      <c r="K2776">
        <v>0</v>
      </c>
      <c r="L2776">
        <v>1</v>
      </c>
      <c r="M2776">
        <v>3</v>
      </c>
      <c r="N2776">
        <v>3</v>
      </c>
      <c r="P2776">
        <v>0</v>
      </c>
      <c r="Q2776">
        <v>0</v>
      </c>
      <c r="R2776">
        <v>0</v>
      </c>
      <c r="S2776">
        <v>0</v>
      </c>
    </row>
    <row r="2777" spans="1:19" x14ac:dyDescent="0.35">
      <c r="A2777">
        <v>56589915200</v>
      </c>
      <c r="B2777" t="s">
        <v>2223</v>
      </c>
      <c r="C2777" t="str">
        <f>_xlfn.XLOOKUP(A2777,[1]Affiliations!$J$2:$J$5328,[1]Affiliations!$K$2:$K$5328,0)</f>
        <v>Pontifical Catholic University of Rio de Janeiro (+2 more)</v>
      </c>
      <c r="D2777">
        <v>18</v>
      </c>
      <c r="E2777">
        <v>208</v>
      </c>
      <c r="F2777">
        <v>11.555555</v>
      </c>
      <c r="G2777">
        <v>9</v>
      </c>
      <c r="H2777">
        <v>0.91</v>
      </c>
      <c r="I2777">
        <v>0</v>
      </c>
      <c r="J2777">
        <v>0</v>
      </c>
      <c r="K2777">
        <v>3</v>
      </c>
      <c r="L2777">
        <v>6</v>
      </c>
      <c r="M2777">
        <v>6</v>
      </c>
      <c r="N2777">
        <v>6</v>
      </c>
      <c r="P2777">
        <v>0</v>
      </c>
      <c r="Q2777">
        <v>0</v>
      </c>
      <c r="R2777">
        <v>1</v>
      </c>
      <c r="S2777">
        <v>5</v>
      </c>
    </row>
    <row r="2778" spans="1:19" x14ac:dyDescent="0.35">
      <c r="A2778">
        <v>57211455096</v>
      </c>
      <c r="B2778" t="s">
        <v>2346</v>
      </c>
      <c r="C2778" t="str">
        <f>_xlfn.XLOOKUP(A2778,[1]Affiliations!$J$2:$J$5328,[1]Affiliations!$K$2:$K$5328,0)</f>
        <v>Universidade do Estado do Rio de Janeiro (+1 more)</v>
      </c>
      <c r="D2778">
        <v>31</v>
      </c>
      <c r="E2778">
        <v>570</v>
      </c>
      <c r="F2778">
        <v>18.387096</v>
      </c>
      <c r="G2778">
        <v>22</v>
      </c>
      <c r="H2778">
        <v>0.91</v>
      </c>
      <c r="I2778">
        <v>0</v>
      </c>
      <c r="J2778">
        <v>2</v>
      </c>
      <c r="K2778">
        <v>5</v>
      </c>
      <c r="L2778">
        <v>10</v>
      </c>
      <c r="M2778">
        <v>20</v>
      </c>
      <c r="N2778">
        <v>29</v>
      </c>
      <c r="P2778">
        <v>0</v>
      </c>
      <c r="Q2778">
        <v>1</v>
      </c>
      <c r="R2778">
        <v>6</v>
      </c>
      <c r="S2778">
        <v>16</v>
      </c>
    </row>
    <row r="2779" spans="1:19" x14ac:dyDescent="0.35">
      <c r="A2779">
        <v>12142761800</v>
      </c>
      <c r="B2779" t="s">
        <v>2349</v>
      </c>
      <c r="C2779" t="str">
        <f>_xlfn.XLOOKUP(A2779,[1]Affiliations!$J$2:$J$5328,[1]Affiliations!$K$2:$K$5328,0)</f>
        <v>Federal University of Rio de Janeiro</v>
      </c>
      <c r="D2779">
        <v>80</v>
      </c>
      <c r="E2779">
        <v>997</v>
      </c>
      <c r="F2779">
        <v>12.4625</v>
      </c>
      <c r="G2779">
        <v>21</v>
      </c>
      <c r="H2779">
        <v>0.91</v>
      </c>
      <c r="I2779">
        <v>1</v>
      </c>
      <c r="J2779">
        <v>10</v>
      </c>
      <c r="K2779">
        <v>20</v>
      </c>
      <c r="L2779">
        <v>38</v>
      </c>
      <c r="M2779">
        <v>45</v>
      </c>
      <c r="N2779">
        <v>51</v>
      </c>
      <c r="P2779">
        <v>0</v>
      </c>
      <c r="Q2779">
        <v>3</v>
      </c>
      <c r="R2779">
        <v>9</v>
      </c>
      <c r="S2779">
        <v>24</v>
      </c>
    </row>
    <row r="2780" spans="1:19" hidden="1" x14ac:dyDescent="0.35">
      <c r="A2780">
        <v>56814554400</v>
      </c>
      <c r="B2780" t="s">
        <v>2784</v>
      </c>
      <c r="C2780" t="str">
        <f>_xlfn.XLOOKUP(A2780,[1]Affiliations!$J$2:$J$5328,[1]Affiliations!$K$2:$K$5328,0)</f>
        <v>Federal University of Rio de Janeiro</v>
      </c>
      <c r="D2780">
        <v>6</v>
      </c>
      <c r="E2780">
        <v>73</v>
      </c>
      <c r="F2780">
        <v>12.166667</v>
      </c>
      <c r="G2780">
        <v>3</v>
      </c>
      <c r="H2780">
        <v>1.06</v>
      </c>
      <c r="I2780">
        <v>0</v>
      </c>
      <c r="J2780">
        <v>1</v>
      </c>
      <c r="K2780">
        <v>3</v>
      </c>
      <c r="L2780">
        <v>5</v>
      </c>
      <c r="M2780">
        <v>5</v>
      </c>
      <c r="N2780">
        <v>5</v>
      </c>
      <c r="P2780">
        <v>0</v>
      </c>
      <c r="Q2780">
        <v>0</v>
      </c>
      <c r="R2780">
        <v>0</v>
      </c>
      <c r="S2780">
        <v>1</v>
      </c>
    </row>
    <row r="2781" spans="1:19" x14ac:dyDescent="0.35">
      <c r="A2781">
        <v>23012139000</v>
      </c>
      <c r="B2781" t="s">
        <v>2644</v>
      </c>
      <c r="C2781" t="str">
        <f>_xlfn.XLOOKUP(A2781,[1]Affiliations!$J$2:$J$5328,[1]Affiliations!$K$2:$K$5328,0)</f>
        <v>Universidade Federal de Minas Gerais</v>
      </c>
      <c r="D2781">
        <v>23</v>
      </c>
      <c r="E2781">
        <v>467</v>
      </c>
      <c r="F2781">
        <v>20.304348000000001</v>
      </c>
      <c r="G2781">
        <v>13</v>
      </c>
      <c r="H2781">
        <v>0.91</v>
      </c>
      <c r="I2781">
        <v>0</v>
      </c>
      <c r="J2781">
        <v>4</v>
      </c>
      <c r="K2781">
        <v>11</v>
      </c>
      <c r="L2781">
        <v>19</v>
      </c>
      <c r="M2781">
        <v>22</v>
      </c>
      <c r="N2781">
        <v>23</v>
      </c>
      <c r="P2781">
        <v>0</v>
      </c>
      <c r="Q2781">
        <v>1</v>
      </c>
      <c r="R2781">
        <v>2</v>
      </c>
      <c r="S2781">
        <v>8</v>
      </c>
    </row>
    <row r="2782" spans="1:19" hidden="1" x14ac:dyDescent="0.35">
      <c r="A2782">
        <v>57208148342</v>
      </c>
      <c r="B2782" t="s">
        <v>2786</v>
      </c>
      <c r="C2782" t="str">
        <f>_xlfn.XLOOKUP(A2782,[1]Affiliations!$J$2:$J$5328,[1]Affiliations!$K$2:$K$5328,0)</f>
        <v>Universidade Federal de Viçosa</v>
      </c>
      <c r="D2782">
        <v>1</v>
      </c>
      <c r="E2782">
        <v>17</v>
      </c>
      <c r="F2782">
        <v>17</v>
      </c>
      <c r="G2782">
        <v>1</v>
      </c>
      <c r="H2782">
        <v>0.33</v>
      </c>
      <c r="I2782">
        <v>0</v>
      </c>
      <c r="J2782">
        <v>0</v>
      </c>
      <c r="K2782">
        <v>0</v>
      </c>
      <c r="L2782">
        <v>0</v>
      </c>
      <c r="M2782">
        <v>1</v>
      </c>
      <c r="N2782">
        <v>1</v>
      </c>
      <c r="P2782">
        <v>0</v>
      </c>
      <c r="Q2782">
        <v>0</v>
      </c>
      <c r="R2782">
        <v>0</v>
      </c>
      <c r="S2782">
        <v>0</v>
      </c>
    </row>
    <row r="2783" spans="1:19" x14ac:dyDescent="0.35">
      <c r="A2783">
        <v>6603452741</v>
      </c>
      <c r="B2783" t="s">
        <v>2783</v>
      </c>
      <c r="C2783" t="str">
        <f>_xlfn.XLOOKUP(A2783,[1]Affiliations!$J$2:$J$5328,[1]Affiliations!$K$2:$K$5328,0)</f>
        <v>Universidade Federal de Minas Gerais</v>
      </c>
      <c r="D2783">
        <v>63</v>
      </c>
      <c r="E2783">
        <v>1286</v>
      </c>
      <c r="F2783">
        <v>20.412699</v>
      </c>
      <c r="G2783">
        <v>32</v>
      </c>
      <c r="H2783">
        <v>0.91</v>
      </c>
      <c r="I2783">
        <v>0</v>
      </c>
      <c r="J2783">
        <v>9</v>
      </c>
      <c r="K2783">
        <v>23</v>
      </c>
      <c r="L2783">
        <v>44</v>
      </c>
      <c r="M2783">
        <v>54</v>
      </c>
      <c r="N2783">
        <v>58</v>
      </c>
      <c r="P2783">
        <v>0</v>
      </c>
      <c r="Q2783">
        <v>3</v>
      </c>
      <c r="R2783">
        <v>5</v>
      </c>
      <c r="S2783">
        <v>23</v>
      </c>
    </row>
    <row r="2784" spans="1:19" x14ac:dyDescent="0.35">
      <c r="A2784">
        <v>6701669236</v>
      </c>
      <c r="B2784" t="s">
        <v>3113</v>
      </c>
      <c r="C2784" t="str">
        <f>_xlfn.XLOOKUP(A2784,[1]Affiliations!$J$2:$J$5328,[1]Affiliations!$K$2:$K$5328,0)</f>
        <v>Federal University of Santa Catarina</v>
      </c>
      <c r="D2784">
        <v>64</v>
      </c>
      <c r="E2784">
        <v>1149</v>
      </c>
      <c r="F2784">
        <v>17.953125</v>
      </c>
      <c r="G2784">
        <v>26</v>
      </c>
      <c r="H2784">
        <v>0.91</v>
      </c>
      <c r="I2784">
        <v>1</v>
      </c>
      <c r="J2784">
        <v>21</v>
      </c>
      <c r="K2784">
        <v>31</v>
      </c>
      <c r="L2784">
        <v>38</v>
      </c>
      <c r="M2784">
        <v>55</v>
      </c>
      <c r="N2784">
        <v>57</v>
      </c>
      <c r="P2784">
        <v>0</v>
      </c>
      <c r="Q2784">
        <v>0</v>
      </c>
      <c r="R2784">
        <v>7</v>
      </c>
      <c r="S2784">
        <v>28</v>
      </c>
    </row>
    <row r="2785" spans="1:19" hidden="1" x14ac:dyDescent="0.35">
      <c r="A2785">
        <v>7202563917</v>
      </c>
      <c r="B2785" t="s">
        <v>2789</v>
      </c>
      <c r="C2785" t="str">
        <f>_xlfn.XLOOKUP(A2785,[1]Affiliations!$J$2:$J$5328,[1]Affiliations!$K$2:$K$5328,0)</f>
        <v>Research and Development Center (+2 more)</v>
      </c>
      <c r="D2785">
        <v>15</v>
      </c>
      <c r="E2785">
        <v>91</v>
      </c>
      <c r="F2785">
        <v>6.0666665999999996</v>
      </c>
      <c r="G2785">
        <v>14</v>
      </c>
      <c r="H2785">
        <v>0.26</v>
      </c>
      <c r="I2785">
        <v>0</v>
      </c>
      <c r="J2785">
        <v>0</v>
      </c>
      <c r="K2785">
        <v>4</v>
      </c>
      <c r="L2785">
        <v>11</v>
      </c>
      <c r="M2785">
        <v>13</v>
      </c>
      <c r="N2785">
        <v>15</v>
      </c>
      <c r="P2785">
        <v>0</v>
      </c>
      <c r="Q2785">
        <v>0</v>
      </c>
      <c r="R2785">
        <v>0</v>
      </c>
      <c r="S2785">
        <v>0</v>
      </c>
    </row>
    <row r="2786" spans="1:19" x14ac:dyDescent="0.35">
      <c r="A2786">
        <v>7402262320</v>
      </c>
      <c r="B2786" t="s">
        <v>3198</v>
      </c>
      <c r="C2786" t="str">
        <f>_xlfn.XLOOKUP(A2786,[1]Affiliations!$J$2:$J$5328,[1]Affiliations!$K$2:$K$5328,0)</f>
        <v>Universidade Federal de Viçosa</v>
      </c>
      <c r="D2786">
        <v>78</v>
      </c>
      <c r="E2786">
        <v>1493</v>
      </c>
      <c r="F2786">
        <v>19.141026</v>
      </c>
      <c r="G2786">
        <v>26</v>
      </c>
      <c r="H2786">
        <v>0.91</v>
      </c>
      <c r="I2786">
        <v>2</v>
      </c>
      <c r="J2786">
        <v>20</v>
      </c>
      <c r="K2786">
        <v>30</v>
      </c>
      <c r="L2786">
        <v>42</v>
      </c>
      <c r="M2786">
        <v>59</v>
      </c>
      <c r="N2786">
        <v>75</v>
      </c>
      <c r="P2786">
        <v>1</v>
      </c>
      <c r="Q2786">
        <v>2</v>
      </c>
      <c r="R2786">
        <v>7</v>
      </c>
      <c r="S2786">
        <v>33</v>
      </c>
    </row>
    <row r="2787" spans="1:19" hidden="1" x14ac:dyDescent="0.35">
      <c r="A2787">
        <v>58573907700</v>
      </c>
      <c r="B2787" t="s">
        <v>2791</v>
      </c>
      <c r="C2787" t="str">
        <f>_xlfn.XLOOKUP(A2787,[1]Affiliations!$J$2:$J$5328,[1]Affiliations!$K$2:$K$5328,0)</f>
        <v>SENAI Innovation Institute for Embedded Systems</v>
      </c>
      <c r="D2787">
        <v>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1</v>
      </c>
      <c r="P2787">
        <v>0</v>
      </c>
      <c r="Q2787">
        <v>0</v>
      </c>
      <c r="R2787">
        <v>0</v>
      </c>
      <c r="S2787">
        <v>0</v>
      </c>
    </row>
    <row r="2788" spans="1:19" hidden="1" x14ac:dyDescent="0.35">
      <c r="A2788">
        <v>6602199048</v>
      </c>
      <c r="B2788" t="s">
        <v>2792</v>
      </c>
      <c r="C2788" t="str">
        <f>_xlfn.XLOOKUP(A2788,[1]Affiliations!$J$2:$J$5328,[1]Affiliations!$K$2:$K$5328,0)</f>
        <v>Petróleo Brasileiro S.A. (+1 more)</v>
      </c>
      <c r="D2788">
        <v>7</v>
      </c>
      <c r="E2788">
        <v>155</v>
      </c>
      <c r="F2788">
        <v>22.142856999999999</v>
      </c>
      <c r="G2788">
        <v>8</v>
      </c>
      <c r="H2788">
        <v>1.21</v>
      </c>
      <c r="I2788">
        <v>0</v>
      </c>
      <c r="J2788">
        <v>1</v>
      </c>
      <c r="K2788">
        <v>4</v>
      </c>
      <c r="L2788">
        <v>5</v>
      </c>
      <c r="M2788">
        <v>5</v>
      </c>
      <c r="N2788">
        <v>6</v>
      </c>
      <c r="P2788">
        <v>0</v>
      </c>
      <c r="Q2788">
        <v>0</v>
      </c>
      <c r="R2788">
        <v>0</v>
      </c>
      <c r="S2788">
        <v>4</v>
      </c>
    </row>
    <row r="2789" spans="1:19" x14ac:dyDescent="0.35">
      <c r="A2789">
        <v>56717426900</v>
      </c>
      <c r="B2789" t="s">
        <v>3657</v>
      </c>
      <c r="C2789" t="str">
        <f>_xlfn.XLOOKUP(A2789,[1]Affiliations!$J$2:$J$5328,[1]Affiliations!$K$2:$K$5328,0)</f>
        <v>Universidade Estadual Paulista “Júlio de Mesquita Filho”</v>
      </c>
      <c r="D2789">
        <v>24</v>
      </c>
      <c r="E2789">
        <v>327</v>
      </c>
      <c r="F2789">
        <v>13.625</v>
      </c>
      <c r="G2789">
        <v>9</v>
      </c>
      <c r="H2789">
        <v>0.91</v>
      </c>
      <c r="I2789">
        <v>0</v>
      </c>
      <c r="J2789">
        <v>6</v>
      </c>
      <c r="K2789">
        <v>11</v>
      </c>
      <c r="L2789">
        <v>13</v>
      </c>
      <c r="M2789">
        <v>20</v>
      </c>
      <c r="N2789">
        <v>23</v>
      </c>
      <c r="P2789">
        <v>0</v>
      </c>
      <c r="Q2789">
        <v>0</v>
      </c>
      <c r="R2789">
        <v>2</v>
      </c>
      <c r="S2789">
        <v>6</v>
      </c>
    </row>
    <row r="2790" spans="1:19" x14ac:dyDescent="0.35">
      <c r="A2790">
        <v>25926526700</v>
      </c>
      <c r="B2790" t="s">
        <v>3760</v>
      </c>
      <c r="C2790" t="str">
        <f>_xlfn.XLOOKUP(A2790,[1]Affiliations!$J$2:$J$5328,[1]Affiliations!$K$2:$K$5328,0)</f>
        <v>Pontifical Catholic University of Rio de Janeiro (+2 more)</v>
      </c>
      <c r="D2790">
        <v>64</v>
      </c>
      <c r="E2790">
        <v>713</v>
      </c>
      <c r="F2790">
        <v>11.140625</v>
      </c>
      <c r="G2790">
        <v>24</v>
      </c>
      <c r="H2790">
        <v>0.91</v>
      </c>
      <c r="I2790">
        <v>0</v>
      </c>
      <c r="J2790">
        <v>0</v>
      </c>
      <c r="K2790">
        <v>3</v>
      </c>
      <c r="L2790">
        <v>12</v>
      </c>
      <c r="M2790">
        <v>21</v>
      </c>
      <c r="N2790">
        <v>26</v>
      </c>
      <c r="P2790">
        <v>0</v>
      </c>
      <c r="Q2790">
        <v>2</v>
      </c>
      <c r="R2790">
        <v>6</v>
      </c>
      <c r="S2790">
        <v>9</v>
      </c>
    </row>
    <row r="2791" spans="1:19" x14ac:dyDescent="0.35">
      <c r="A2791">
        <v>6506736837</v>
      </c>
      <c r="B2791" t="s">
        <v>3831</v>
      </c>
      <c r="C2791" t="str">
        <f>_xlfn.XLOOKUP(A2791,[1]Affiliations!$J$2:$J$5328,[1]Affiliations!$K$2:$K$5328,0)</f>
        <v>University of Campinas</v>
      </c>
      <c r="D2791">
        <v>227</v>
      </c>
      <c r="E2791">
        <v>3002</v>
      </c>
      <c r="F2791">
        <v>13.224669</v>
      </c>
      <c r="G2791">
        <v>33</v>
      </c>
      <c r="H2791">
        <v>0.91</v>
      </c>
      <c r="I2791">
        <v>8</v>
      </c>
      <c r="J2791">
        <v>13</v>
      </c>
      <c r="K2791">
        <v>22</v>
      </c>
      <c r="L2791">
        <v>47</v>
      </c>
      <c r="M2791">
        <v>93</v>
      </c>
      <c r="N2791">
        <v>119</v>
      </c>
      <c r="P2791">
        <v>1</v>
      </c>
      <c r="Q2791">
        <v>5</v>
      </c>
      <c r="R2791">
        <v>20</v>
      </c>
      <c r="S2791">
        <v>50</v>
      </c>
    </row>
    <row r="2792" spans="1:19" hidden="1" x14ac:dyDescent="0.35">
      <c r="A2792">
        <v>57201421079</v>
      </c>
      <c r="B2792" t="s">
        <v>2796</v>
      </c>
      <c r="C2792" t="str">
        <f>_xlfn.XLOOKUP(A2792,[1]Affiliations!$J$2:$J$5328,[1]Affiliations!$K$2:$K$5328,0)</f>
        <v>Universidade Federal do Rio Grande do Sul</v>
      </c>
      <c r="D2792">
        <v>6</v>
      </c>
      <c r="E2792">
        <v>31</v>
      </c>
      <c r="F2792">
        <v>5.1666664999999998</v>
      </c>
      <c r="G2792">
        <v>3</v>
      </c>
      <c r="H2792">
        <v>0.5</v>
      </c>
      <c r="I2792">
        <v>0</v>
      </c>
      <c r="J2792">
        <v>0</v>
      </c>
      <c r="K2792">
        <v>0</v>
      </c>
      <c r="L2792">
        <v>1</v>
      </c>
      <c r="M2792">
        <v>3</v>
      </c>
      <c r="N2792">
        <v>4</v>
      </c>
      <c r="P2792">
        <v>0</v>
      </c>
      <c r="Q2792">
        <v>0</v>
      </c>
      <c r="R2792">
        <v>0</v>
      </c>
      <c r="S2792">
        <v>0</v>
      </c>
    </row>
    <row r="2793" spans="1:19" x14ac:dyDescent="0.35">
      <c r="A2793">
        <v>49964359900</v>
      </c>
      <c r="B2793" t="s">
        <v>3895</v>
      </c>
      <c r="C2793" t="str">
        <f>_xlfn.XLOOKUP(A2793,[1]Affiliations!$J$2:$J$5328,[1]Affiliations!$K$2:$K$5328,0)</f>
        <v>Universidade Federal de Santa Maria</v>
      </c>
      <c r="D2793">
        <v>16</v>
      </c>
      <c r="E2793">
        <v>337</v>
      </c>
      <c r="F2793">
        <v>21.0625</v>
      </c>
      <c r="G2793">
        <v>14</v>
      </c>
      <c r="H2793">
        <v>0.91</v>
      </c>
      <c r="I2793">
        <v>0</v>
      </c>
      <c r="J2793">
        <v>3</v>
      </c>
      <c r="K2793">
        <v>5</v>
      </c>
      <c r="L2793">
        <v>13</v>
      </c>
      <c r="M2793">
        <v>16</v>
      </c>
      <c r="N2793">
        <v>16</v>
      </c>
      <c r="P2793">
        <v>0</v>
      </c>
      <c r="Q2793">
        <v>0</v>
      </c>
      <c r="R2793">
        <v>1</v>
      </c>
      <c r="S2793">
        <v>8</v>
      </c>
    </row>
    <row r="2794" spans="1:19" x14ac:dyDescent="0.35">
      <c r="A2794">
        <v>57213199518</v>
      </c>
      <c r="B2794" t="s">
        <v>4228</v>
      </c>
      <c r="C2794" t="str">
        <f>_xlfn.XLOOKUP(A2794,[1]Affiliations!$J$2:$J$5328,[1]Affiliations!$K$2:$K$5328,0)</f>
        <v>Vizlab - X-Reality and GeoInformatics Lab</v>
      </c>
      <c r="D2794">
        <v>6</v>
      </c>
      <c r="E2794">
        <v>66</v>
      </c>
      <c r="F2794">
        <v>11</v>
      </c>
      <c r="G2794">
        <v>3</v>
      </c>
      <c r="H2794">
        <v>0.91</v>
      </c>
      <c r="I2794">
        <v>0</v>
      </c>
      <c r="J2794">
        <v>0</v>
      </c>
      <c r="K2794">
        <v>1</v>
      </c>
      <c r="L2794">
        <v>2</v>
      </c>
      <c r="M2794">
        <v>2</v>
      </c>
      <c r="N2794">
        <v>6</v>
      </c>
      <c r="P2794">
        <v>0</v>
      </c>
      <c r="Q2794">
        <v>0</v>
      </c>
      <c r="R2794">
        <v>1</v>
      </c>
      <c r="S2794">
        <v>1</v>
      </c>
    </row>
    <row r="2795" spans="1:19" hidden="1" x14ac:dyDescent="0.35">
      <c r="A2795">
        <v>57197865535</v>
      </c>
      <c r="B2795" t="s">
        <v>2799</v>
      </c>
      <c r="C2795" t="str">
        <f>_xlfn.XLOOKUP(A2795,[1]Affiliations!$J$2:$J$5328,[1]Affiliations!$K$2:$K$5328,0)</f>
        <v>Federal University of Rio de Janeiro</v>
      </c>
      <c r="D2795">
        <v>1</v>
      </c>
      <c r="E2795">
        <v>0</v>
      </c>
      <c r="F2795">
        <v>0</v>
      </c>
      <c r="G2795">
        <v>0</v>
      </c>
      <c r="H2795">
        <v>0</v>
      </c>
      <c r="P2795">
        <v>0</v>
      </c>
      <c r="Q2795">
        <v>0</v>
      </c>
      <c r="R2795">
        <v>0</v>
      </c>
      <c r="S2795">
        <v>0</v>
      </c>
    </row>
    <row r="2796" spans="1:19" x14ac:dyDescent="0.35">
      <c r="A2796">
        <v>57212174505</v>
      </c>
      <c r="B2796" t="s">
        <v>4650</v>
      </c>
      <c r="C2796" t="str">
        <f>_xlfn.XLOOKUP(A2796,[1]Affiliations!$J$2:$J$5328,[1]Affiliations!$K$2:$K$5328,0)</f>
        <v>Federal University of Pará</v>
      </c>
      <c r="D2796">
        <v>16</v>
      </c>
      <c r="E2796">
        <v>196</v>
      </c>
      <c r="F2796">
        <v>12.25</v>
      </c>
      <c r="G2796">
        <v>8</v>
      </c>
      <c r="H2796">
        <v>0.91</v>
      </c>
      <c r="I2796">
        <v>0</v>
      </c>
      <c r="J2796">
        <v>6</v>
      </c>
      <c r="K2796">
        <v>8</v>
      </c>
      <c r="L2796">
        <v>11</v>
      </c>
      <c r="M2796">
        <v>12</v>
      </c>
      <c r="N2796">
        <v>12</v>
      </c>
      <c r="P2796">
        <v>0</v>
      </c>
      <c r="Q2796">
        <v>1</v>
      </c>
      <c r="R2796">
        <v>3</v>
      </c>
      <c r="S2796">
        <v>8</v>
      </c>
    </row>
    <row r="2797" spans="1:19" hidden="1" x14ac:dyDescent="0.35">
      <c r="A2797">
        <v>58198608200</v>
      </c>
      <c r="B2797" t="s">
        <v>2801</v>
      </c>
      <c r="C2797" t="str">
        <f>_xlfn.XLOOKUP(A2797,[1]Affiliations!$J$2:$J$5328,[1]Affiliations!$K$2:$K$5328,0)</f>
        <v>WIKKI Brasil LTDA</v>
      </c>
      <c r="D2797">
        <v>1</v>
      </c>
      <c r="E2797">
        <v>3</v>
      </c>
      <c r="F2797">
        <v>3</v>
      </c>
      <c r="G2797">
        <v>1</v>
      </c>
      <c r="H2797">
        <v>0.45</v>
      </c>
      <c r="I2797">
        <v>0</v>
      </c>
      <c r="J2797">
        <v>0</v>
      </c>
      <c r="K2797">
        <v>0</v>
      </c>
      <c r="L2797">
        <v>1</v>
      </c>
      <c r="M2797">
        <v>1</v>
      </c>
      <c r="N2797">
        <v>1</v>
      </c>
      <c r="P2797">
        <v>0</v>
      </c>
      <c r="Q2797">
        <v>0</v>
      </c>
      <c r="R2797">
        <v>0</v>
      </c>
      <c r="S2797">
        <v>0</v>
      </c>
    </row>
    <row r="2798" spans="1:19" x14ac:dyDescent="0.35">
      <c r="A2798">
        <v>7005030382</v>
      </c>
      <c r="B2798" t="s">
        <v>61</v>
      </c>
      <c r="C2798" t="str">
        <f>_xlfn.XLOOKUP(A2798,[1]Affiliations!$J$2:$J$5328,[1]Affiliations!$K$2:$K$5328,0)</f>
        <v>Universidade Federal Fluminense (+1 more)</v>
      </c>
      <c r="D2798">
        <v>72</v>
      </c>
      <c r="E2798">
        <v>960</v>
      </c>
      <c r="F2798">
        <v>13.333333</v>
      </c>
      <c r="G2798">
        <v>26</v>
      </c>
      <c r="H2798">
        <v>0.9</v>
      </c>
      <c r="I2798">
        <v>10</v>
      </c>
      <c r="J2798">
        <v>35</v>
      </c>
      <c r="K2798">
        <v>50</v>
      </c>
      <c r="L2798">
        <v>68</v>
      </c>
      <c r="M2798">
        <v>71</v>
      </c>
      <c r="N2798">
        <v>71</v>
      </c>
      <c r="P2798">
        <v>0</v>
      </c>
      <c r="Q2798">
        <v>2</v>
      </c>
      <c r="R2798">
        <v>4</v>
      </c>
      <c r="S2798">
        <v>15</v>
      </c>
    </row>
    <row r="2799" spans="1:19" x14ac:dyDescent="0.35">
      <c r="A2799">
        <v>57219564129</v>
      </c>
      <c r="B2799" t="s">
        <v>363</v>
      </c>
      <c r="C2799" t="str">
        <f>_xlfn.XLOOKUP(A2799,[1]Affiliations!$J$2:$J$5328,[1]Affiliations!$K$2:$K$5328,0)</f>
        <v>Universidade Federal de Juiz de Fora</v>
      </c>
      <c r="D2799">
        <v>32</v>
      </c>
      <c r="E2799">
        <v>461</v>
      </c>
      <c r="F2799">
        <v>14.40625</v>
      </c>
      <c r="G2799">
        <v>15</v>
      </c>
      <c r="H2799">
        <v>0.9</v>
      </c>
      <c r="I2799">
        <v>0</v>
      </c>
      <c r="J2799">
        <v>3</v>
      </c>
      <c r="K2799">
        <v>6</v>
      </c>
      <c r="L2799">
        <v>11</v>
      </c>
      <c r="M2799">
        <v>20</v>
      </c>
      <c r="N2799">
        <v>24</v>
      </c>
      <c r="P2799">
        <v>0</v>
      </c>
      <c r="Q2799">
        <v>0</v>
      </c>
      <c r="R2799">
        <v>5</v>
      </c>
      <c r="S2799">
        <v>12</v>
      </c>
    </row>
    <row r="2800" spans="1:19" hidden="1" x14ac:dyDescent="0.35">
      <c r="A2800">
        <v>6507611290</v>
      </c>
      <c r="B2800" t="s">
        <v>2804</v>
      </c>
      <c r="C2800" t="str">
        <f>_xlfn.XLOOKUP(A2800,[1]Affiliations!$J$2:$J$5328,[1]Affiliations!$K$2:$K$5328,0)</f>
        <v>Universidade Federal do Rio Grande do Sul</v>
      </c>
      <c r="D2800">
        <v>3</v>
      </c>
      <c r="E2800">
        <v>5</v>
      </c>
      <c r="F2800">
        <v>1.6666666000000001</v>
      </c>
      <c r="G2800">
        <v>2</v>
      </c>
      <c r="H2800">
        <v>0.74</v>
      </c>
      <c r="P2800">
        <v>0</v>
      </c>
      <c r="Q2800">
        <v>0</v>
      </c>
      <c r="R2800">
        <v>0</v>
      </c>
      <c r="S2800">
        <v>0</v>
      </c>
    </row>
    <row r="2801" spans="1:19" hidden="1" x14ac:dyDescent="0.35">
      <c r="A2801">
        <v>57214993727</v>
      </c>
      <c r="B2801" t="s">
        <v>2805</v>
      </c>
      <c r="C2801" t="str">
        <f>_xlfn.XLOOKUP(A2801,[1]Affiliations!$J$2:$J$5328,[1]Affiliations!$K$2:$K$5328,0)</f>
        <v>Universidade Federal do Rio Grande do Norte</v>
      </c>
      <c r="D2801">
        <v>4</v>
      </c>
      <c r="E2801">
        <v>7</v>
      </c>
      <c r="F2801">
        <v>1.75</v>
      </c>
      <c r="G2801">
        <v>2</v>
      </c>
      <c r="H2801">
        <v>0.34</v>
      </c>
      <c r="I2801">
        <v>0</v>
      </c>
      <c r="J2801">
        <v>0</v>
      </c>
      <c r="K2801">
        <v>1</v>
      </c>
      <c r="L2801">
        <v>2</v>
      </c>
      <c r="M2801">
        <v>2</v>
      </c>
      <c r="N2801">
        <v>4</v>
      </c>
      <c r="P2801">
        <v>0</v>
      </c>
      <c r="Q2801">
        <v>0</v>
      </c>
      <c r="R2801">
        <v>0</v>
      </c>
      <c r="S2801">
        <v>0</v>
      </c>
    </row>
    <row r="2802" spans="1:19" hidden="1" x14ac:dyDescent="0.35">
      <c r="A2802">
        <v>59821912300</v>
      </c>
      <c r="B2802" t="s">
        <v>2806</v>
      </c>
      <c r="C2802" t="str">
        <f>_xlfn.XLOOKUP(A2802,[1]Affiliations!$J$2:$J$5328,[1]Affiliations!$K$2:$K$5328,0)</f>
        <v>Laboratório Nacional de Computação Científica</v>
      </c>
      <c r="D2802">
        <v>2</v>
      </c>
      <c r="E2802">
        <v>19</v>
      </c>
      <c r="F2802">
        <v>9.5</v>
      </c>
      <c r="G2802">
        <v>2</v>
      </c>
      <c r="H2802">
        <v>1.91</v>
      </c>
      <c r="I2802">
        <v>0</v>
      </c>
      <c r="J2802">
        <v>0</v>
      </c>
      <c r="K2802">
        <v>0</v>
      </c>
      <c r="L2802">
        <v>0</v>
      </c>
      <c r="M2802">
        <v>2</v>
      </c>
      <c r="N2802">
        <v>2</v>
      </c>
      <c r="P2802">
        <v>0</v>
      </c>
      <c r="Q2802">
        <v>0</v>
      </c>
      <c r="R2802">
        <v>0</v>
      </c>
      <c r="S2802">
        <v>2</v>
      </c>
    </row>
    <row r="2803" spans="1:19" x14ac:dyDescent="0.35">
      <c r="A2803">
        <v>56764224400</v>
      </c>
      <c r="B2803" t="s">
        <v>690</v>
      </c>
      <c r="C2803" t="str">
        <f>_xlfn.XLOOKUP(A2803,[1]Affiliations!$J$2:$J$5328,[1]Affiliations!$K$2:$K$5328,0)</f>
        <v>Universidade Federal do Rio Grande do Norte</v>
      </c>
      <c r="D2803">
        <v>11</v>
      </c>
      <c r="E2803">
        <v>215</v>
      </c>
      <c r="F2803">
        <v>19.545453999999999</v>
      </c>
      <c r="G2803">
        <v>8</v>
      </c>
      <c r="H2803">
        <v>0.9</v>
      </c>
      <c r="I2803">
        <v>0</v>
      </c>
      <c r="J2803">
        <v>2</v>
      </c>
      <c r="K2803">
        <v>3</v>
      </c>
      <c r="L2803">
        <v>7</v>
      </c>
      <c r="M2803">
        <v>10</v>
      </c>
      <c r="N2803">
        <v>11</v>
      </c>
      <c r="P2803">
        <v>0</v>
      </c>
      <c r="Q2803">
        <v>0</v>
      </c>
      <c r="R2803">
        <v>1</v>
      </c>
      <c r="S2803">
        <v>5</v>
      </c>
    </row>
    <row r="2804" spans="1:19" x14ac:dyDescent="0.35">
      <c r="A2804">
        <v>7103030493</v>
      </c>
      <c r="B2804" t="s">
        <v>802</v>
      </c>
      <c r="C2804" t="str">
        <f>_xlfn.XLOOKUP(A2804,[1]Affiliations!$J$2:$J$5328,[1]Affiliations!$K$2:$K$5328,0)</f>
        <v>Federal University of Rio de Janeiro</v>
      </c>
      <c r="D2804">
        <v>22</v>
      </c>
      <c r="E2804">
        <v>272</v>
      </c>
      <c r="F2804">
        <v>12.363636</v>
      </c>
      <c r="G2804">
        <v>9</v>
      </c>
      <c r="H2804">
        <v>0.9</v>
      </c>
      <c r="I2804">
        <v>0</v>
      </c>
      <c r="J2804">
        <v>1</v>
      </c>
      <c r="K2804">
        <v>2</v>
      </c>
      <c r="L2804">
        <v>6</v>
      </c>
      <c r="M2804">
        <v>7</v>
      </c>
      <c r="N2804">
        <v>7</v>
      </c>
      <c r="P2804">
        <v>0</v>
      </c>
      <c r="Q2804">
        <v>0</v>
      </c>
      <c r="R2804">
        <v>3</v>
      </c>
      <c r="S2804">
        <v>5</v>
      </c>
    </row>
    <row r="2805" spans="1:19" x14ac:dyDescent="0.35">
      <c r="A2805">
        <v>55788057200</v>
      </c>
      <c r="B2805" t="s">
        <v>848</v>
      </c>
      <c r="C2805" t="str">
        <f>_xlfn.XLOOKUP(A2805,[1]Affiliations!$J$2:$J$5328,[1]Affiliations!$K$2:$K$5328,0)</f>
        <v>University of Campinas</v>
      </c>
      <c r="D2805">
        <v>53</v>
      </c>
      <c r="E2805">
        <v>592</v>
      </c>
      <c r="F2805">
        <v>11.169810999999999</v>
      </c>
      <c r="G2805">
        <v>16</v>
      </c>
      <c r="H2805">
        <v>0.9</v>
      </c>
      <c r="I2805">
        <v>1</v>
      </c>
      <c r="J2805">
        <v>6</v>
      </c>
      <c r="K2805">
        <v>14</v>
      </c>
      <c r="L2805">
        <v>25</v>
      </c>
      <c r="M2805">
        <v>36</v>
      </c>
      <c r="N2805">
        <v>42</v>
      </c>
      <c r="P2805">
        <v>0</v>
      </c>
      <c r="Q2805">
        <v>1</v>
      </c>
      <c r="R2805">
        <v>5</v>
      </c>
      <c r="S2805">
        <v>16</v>
      </c>
    </row>
    <row r="2806" spans="1:19" hidden="1" x14ac:dyDescent="0.35">
      <c r="A2806">
        <v>57207454180</v>
      </c>
      <c r="B2806" t="s">
        <v>2810</v>
      </c>
      <c r="C2806" t="str">
        <f>_xlfn.XLOOKUP(A2806,[1]Affiliations!$J$2:$J$5328,[1]Affiliations!$K$2:$K$5328,0)</f>
        <v>Universidade de São Paulo</v>
      </c>
      <c r="D2806">
        <v>1</v>
      </c>
      <c r="E2806">
        <v>6</v>
      </c>
      <c r="F2806">
        <v>6</v>
      </c>
      <c r="G2806">
        <v>1</v>
      </c>
      <c r="H2806">
        <v>0.31</v>
      </c>
      <c r="P2806">
        <v>0</v>
      </c>
      <c r="Q2806">
        <v>0</v>
      </c>
      <c r="R2806">
        <v>0</v>
      </c>
      <c r="S2806">
        <v>0</v>
      </c>
    </row>
    <row r="2807" spans="1:19" x14ac:dyDescent="0.35">
      <c r="A2807">
        <v>6701460323</v>
      </c>
      <c r="B2807" t="s">
        <v>964</v>
      </c>
      <c r="C2807" t="str">
        <f>_xlfn.XLOOKUP(A2807,[1]Affiliations!$J$2:$J$5328,[1]Affiliations!$K$2:$K$5328,0)</f>
        <v>Universidade Federal Fluminense</v>
      </c>
      <c r="D2807">
        <v>121</v>
      </c>
      <c r="E2807">
        <v>1501</v>
      </c>
      <c r="F2807">
        <v>12.404959</v>
      </c>
      <c r="G2807">
        <v>30</v>
      </c>
      <c r="H2807">
        <v>0.9</v>
      </c>
      <c r="I2807">
        <v>0</v>
      </c>
      <c r="J2807">
        <v>3</v>
      </c>
      <c r="K2807">
        <v>17</v>
      </c>
      <c r="L2807">
        <v>22</v>
      </c>
      <c r="M2807">
        <v>37</v>
      </c>
      <c r="N2807">
        <v>64</v>
      </c>
      <c r="P2807">
        <v>0</v>
      </c>
      <c r="Q2807">
        <v>4</v>
      </c>
      <c r="R2807">
        <v>9</v>
      </c>
      <c r="S2807">
        <v>27</v>
      </c>
    </row>
    <row r="2808" spans="1:19" hidden="1" x14ac:dyDescent="0.35">
      <c r="A2808">
        <v>59960709500</v>
      </c>
      <c r="B2808" t="s">
        <v>2812</v>
      </c>
      <c r="C2808" t="str">
        <f>_xlfn.XLOOKUP(A2808,[1]Affiliations!$J$2:$J$5328,[1]Affiliations!$K$2:$K$5328,0)</f>
        <v>Universidade de São Paulo</v>
      </c>
      <c r="D2808">
        <v>0</v>
      </c>
      <c r="G2808">
        <v>1</v>
      </c>
    </row>
    <row r="2809" spans="1:19" hidden="1" x14ac:dyDescent="0.35">
      <c r="A2809">
        <v>56518246100</v>
      </c>
      <c r="B2809" t="s">
        <v>2813</v>
      </c>
      <c r="C2809" t="str">
        <f>_xlfn.XLOOKUP(A2809,[1]Affiliations!$J$2:$J$5328,[1]Affiliations!$K$2:$K$5328,0)</f>
        <v>Pontifícia Universidade Católica do Rio Grande do Sul (+1 more)</v>
      </c>
      <c r="D2809">
        <v>3</v>
      </c>
      <c r="E2809">
        <v>102</v>
      </c>
      <c r="F2809">
        <v>34</v>
      </c>
      <c r="G2809">
        <v>5</v>
      </c>
      <c r="H2809">
        <v>0.9</v>
      </c>
      <c r="I2809">
        <v>0</v>
      </c>
      <c r="J2809">
        <v>2</v>
      </c>
      <c r="K2809">
        <v>2</v>
      </c>
      <c r="L2809">
        <v>3</v>
      </c>
      <c r="M2809">
        <v>3</v>
      </c>
      <c r="N2809">
        <v>3</v>
      </c>
      <c r="P2809">
        <v>0</v>
      </c>
      <c r="Q2809">
        <v>0</v>
      </c>
      <c r="R2809">
        <v>1</v>
      </c>
      <c r="S2809">
        <v>2</v>
      </c>
    </row>
    <row r="2810" spans="1:19" x14ac:dyDescent="0.35">
      <c r="A2810">
        <v>7201806772</v>
      </c>
      <c r="B2810" t="s">
        <v>1060</v>
      </c>
      <c r="C2810" t="str">
        <f>_xlfn.XLOOKUP(A2810,[1]Affiliations!$J$2:$J$5328,[1]Affiliations!$K$2:$K$5328,0)</f>
        <v>Institute of Marine Studies Admiral Paulo Moreira (IEAPM)</v>
      </c>
      <c r="D2810">
        <v>64</v>
      </c>
      <c r="E2810">
        <v>1204</v>
      </c>
      <c r="F2810">
        <v>18.8125</v>
      </c>
      <c r="G2810">
        <v>30</v>
      </c>
      <c r="H2810">
        <v>0.9</v>
      </c>
      <c r="I2810">
        <v>0</v>
      </c>
      <c r="J2810">
        <v>6</v>
      </c>
      <c r="K2810">
        <v>16</v>
      </c>
      <c r="L2810">
        <v>41</v>
      </c>
      <c r="M2810">
        <v>54</v>
      </c>
      <c r="N2810">
        <v>59</v>
      </c>
      <c r="P2810">
        <v>0</v>
      </c>
      <c r="Q2810">
        <v>4</v>
      </c>
      <c r="R2810">
        <v>7</v>
      </c>
      <c r="S2810">
        <v>24</v>
      </c>
    </row>
    <row r="2811" spans="1:19" x14ac:dyDescent="0.35">
      <c r="A2811">
        <v>56446353500</v>
      </c>
      <c r="B2811" t="s">
        <v>2243</v>
      </c>
      <c r="C2811" t="str">
        <f>_xlfn.XLOOKUP(A2811,[1]Affiliations!$J$2:$J$5328,[1]Affiliations!$K$2:$K$5328,0)</f>
        <v>Federal University of Rio de Janeiro</v>
      </c>
      <c r="D2811">
        <v>6</v>
      </c>
      <c r="E2811">
        <v>270</v>
      </c>
      <c r="F2811">
        <v>45</v>
      </c>
      <c r="G2811">
        <v>5</v>
      </c>
      <c r="H2811">
        <v>0.9</v>
      </c>
      <c r="I2811">
        <v>0</v>
      </c>
      <c r="J2811">
        <v>1</v>
      </c>
      <c r="K2811">
        <v>1</v>
      </c>
      <c r="L2811">
        <v>4</v>
      </c>
      <c r="M2811">
        <v>5</v>
      </c>
      <c r="N2811">
        <v>5</v>
      </c>
      <c r="P2811">
        <v>1</v>
      </c>
      <c r="Q2811">
        <v>1</v>
      </c>
      <c r="R2811">
        <v>1</v>
      </c>
      <c r="S2811">
        <v>2</v>
      </c>
    </row>
    <row r="2812" spans="1:19" hidden="1" x14ac:dyDescent="0.35">
      <c r="A2812">
        <v>57222607757</v>
      </c>
      <c r="B2812" t="s">
        <v>2816</v>
      </c>
      <c r="C2812" t="str">
        <f>_xlfn.XLOOKUP(A2812,[1]Affiliations!$J$2:$J$5328,[1]Affiliations!$K$2:$K$5328,0)</f>
        <v>Universidade Federal Rural do Rio de Janeiro</v>
      </c>
      <c r="D2812">
        <v>1</v>
      </c>
      <c r="E2812">
        <v>12</v>
      </c>
      <c r="F2812">
        <v>12</v>
      </c>
      <c r="G2812">
        <v>1</v>
      </c>
      <c r="H2812">
        <v>0.73</v>
      </c>
      <c r="I2812">
        <v>0</v>
      </c>
      <c r="J2812">
        <v>1</v>
      </c>
      <c r="K2812">
        <v>1</v>
      </c>
      <c r="L2812">
        <v>1</v>
      </c>
      <c r="M2812">
        <v>1</v>
      </c>
      <c r="N2812">
        <v>1</v>
      </c>
      <c r="P2812">
        <v>0</v>
      </c>
      <c r="Q2812">
        <v>0</v>
      </c>
      <c r="R2812">
        <v>0</v>
      </c>
      <c r="S2812">
        <v>0</v>
      </c>
    </row>
    <row r="2813" spans="1:19" hidden="1" x14ac:dyDescent="0.35">
      <c r="A2813">
        <v>57038138400</v>
      </c>
      <c r="B2813" t="s">
        <v>2817</v>
      </c>
      <c r="C2813" t="str">
        <f>_xlfn.XLOOKUP(A2813,[1]Affiliations!$J$2:$J$5328,[1]Affiliations!$K$2:$K$5328,0)</f>
        <v>Universidade Federal de Uberlândia</v>
      </c>
      <c r="D2813">
        <v>11</v>
      </c>
      <c r="E2813">
        <v>86</v>
      </c>
      <c r="F2813">
        <v>7.8181820000000002</v>
      </c>
      <c r="G2813">
        <v>6</v>
      </c>
      <c r="H2813">
        <v>0.3</v>
      </c>
      <c r="I2813">
        <v>0</v>
      </c>
      <c r="J2813">
        <v>0</v>
      </c>
      <c r="K2813">
        <v>1</v>
      </c>
      <c r="L2813">
        <v>6</v>
      </c>
      <c r="M2813">
        <v>10</v>
      </c>
      <c r="N2813">
        <v>10</v>
      </c>
      <c r="P2813">
        <v>0</v>
      </c>
      <c r="Q2813">
        <v>0</v>
      </c>
      <c r="R2813">
        <v>0</v>
      </c>
      <c r="S2813">
        <v>0</v>
      </c>
    </row>
    <row r="2814" spans="1:19" hidden="1" x14ac:dyDescent="0.35">
      <c r="A2814">
        <v>55662909900</v>
      </c>
      <c r="B2814" t="s">
        <v>2818</v>
      </c>
      <c r="C2814" t="str">
        <f>_xlfn.XLOOKUP(A2814,[1]Affiliations!$J$2:$J$5328,[1]Affiliations!$K$2:$K$5328,0)</f>
        <v>Universidade Federal Fluminense (+1 more)</v>
      </c>
      <c r="D2814">
        <v>9</v>
      </c>
      <c r="E2814">
        <v>66</v>
      </c>
      <c r="F2814">
        <v>7.3333335000000002</v>
      </c>
      <c r="G2814">
        <v>10</v>
      </c>
      <c r="H2814">
        <v>0.3</v>
      </c>
      <c r="I2814">
        <v>0</v>
      </c>
      <c r="J2814">
        <v>1</v>
      </c>
      <c r="K2814">
        <v>2</v>
      </c>
      <c r="L2814">
        <v>3</v>
      </c>
      <c r="M2814">
        <v>7</v>
      </c>
      <c r="N2814">
        <v>9</v>
      </c>
      <c r="P2814">
        <v>0</v>
      </c>
      <c r="Q2814">
        <v>0</v>
      </c>
      <c r="R2814">
        <v>0</v>
      </c>
      <c r="S2814">
        <v>0</v>
      </c>
    </row>
    <row r="2815" spans="1:19" x14ac:dyDescent="0.35">
      <c r="A2815">
        <v>7103205890</v>
      </c>
      <c r="B2815" t="s">
        <v>2320</v>
      </c>
      <c r="C2815" t="str">
        <f>_xlfn.XLOOKUP(A2815,[1]Affiliations!$J$2:$J$5328,[1]Affiliations!$K$2:$K$5328,0)</f>
        <v>Universidade Federal do Espírito Santo</v>
      </c>
      <c r="D2815">
        <v>87</v>
      </c>
      <c r="E2815">
        <v>1753</v>
      </c>
      <c r="F2815">
        <v>20.149425999999998</v>
      </c>
      <c r="G2815">
        <v>29</v>
      </c>
      <c r="H2815">
        <v>0.9</v>
      </c>
      <c r="I2815">
        <v>0</v>
      </c>
      <c r="J2815">
        <v>12</v>
      </c>
      <c r="K2815">
        <v>21</v>
      </c>
      <c r="L2815">
        <v>60</v>
      </c>
      <c r="M2815">
        <v>73</v>
      </c>
      <c r="N2815">
        <v>82</v>
      </c>
      <c r="P2815">
        <v>0</v>
      </c>
      <c r="Q2815">
        <v>4</v>
      </c>
      <c r="R2815">
        <v>9</v>
      </c>
      <c r="S2815">
        <v>40</v>
      </c>
    </row>
    <row r="2816" spans="1:19" hidden="1" x14ac:dyDescent="0.35">
      <c r="A2816">
        <v>57204813473</v>
      </c>
      <c r="B2816" t="s">
        <v>2820</v>
      </c>
      <c r="C2816" t="str">
        <f>_xlfn.XLOOKUP(A2816,[1]Affiliations!$J$2:$J$5328,[1]Affiliations!$K$2:$K$5328,0)</f>
        <v>Vizlab - X-Reality and GeoInformatics Lab (+1 more)</v>
      </c>
      <c r="D2816">
        <v>4</v>
      </c>
      <c r="E2816">
        <v>80</v>
      </c>
      <c r="F2816">
        <v>20</v>
      </c>
      <c r="G2816">
        <v>4</v>
      </c>
      <c r="H2816">
        <v>1.7</v>
      </c>
      <c r="I2816">
        <v>0</v>
      </c>
      <c r="J2816">
        <v>1</v>
      </c>
      <c r="K2816">
        <v>2</v>
      </c>
      <c r="L2816">
        <v>3</v>
      </c>
      <c r="M2816">
        <v>4</v>
      </c>
      <c r="N2816">
        <v>4</v>
      </c>
      <c r="P2816">
        <v>0</v>
      </c>
      <c r="Q2816">
        <v>1</v>
      </c>
      <c r="R2816">
        <v>1</v>
      </c>
      <c r="S2816">
        <v>2</v>
      </c>
    </row>
    <row r="2817" spans="1:19" hidden="1" x14ac:dyDescent="0.35">
      <c r="A2817">
        <v>57193683383</v>
      </c>
      <c r="B2817" t="s">
        <v>2821</v>
      </c>
      <c r="C2817" t="str">
        <f>_xlfn.XLOOKUP(A2817,[1]Affiliations!$J$2:$J$5328,[1]Affiliations!$K$2:$K$5328,0)</f>
        <v>Federal University of Rio de Janeiro</v>
      </c>
      <c r="D2817">
        <v>20</v>
      </c>
      <c r="E2817">
        <v>100</v>
      </c>
      <c r="F2817">
        <v>5</v>
      </c>
      <c r="G2817">
        <v>5</v>
      </c>
      <c r="H2817">
        <v>0.46</v>
      </c>
      <c r="I2817">
        <v>0</v>
      </c>
      <c r="J2817">
        <v>1</v>
      </c>
      <c r="K2817">
        <v>1</v>
      </c>
      <c r="L2817">
        <v>2</v>
      </c>
      <c r="M2817">
        <v>7</v>
      </c>
      <c r="N2817">
        <v>9</v>
      </c>
      <c r="P2817">
        <v>0</v>
      </c>
      <c r="Q2817">
        <v>0</v>
      </c>
      <c r="R2817">
        <v>0</v>
      </c>
      <c r="S2817">
        <v>2</v>
      </c>
    </row>
    <row r="2818" spans="1:19" x14ac:dyDescent="0.35">
      <c r="A2818">
        <v>23090987400</v>
      </c>
      <c r="B2818" t="s">
        <v>2417</v>
      </c>
      <c r="C2818" t="str">
        <f>_xlfn.XLOOKUP(A2818,[1]Affiliations!$J$2:$J$5328,[1]Affiliations!$K$2:$K$5328,0)</f>
        <v>Universidade de São Paulo</v>
      </c>
      <c r="D2818">
        <v>35</v>
      </c>
      <c r="E2818">
        <v>468</v>
      </c>
      <c r="F2818">
        <v>13.3714285</v>
      </c>
      <c r="G2818">
        <v>14</v>
      </c>
      <c r="H2818">
        <v>0.9</v>
      </c>
      <c r="I2818">
        <v>0</v>
      </c>
      <c r="J2818">
        <v>5</v>
      </c>
      <c r="K2818">
        <v>12</v>
      </c>
      <c r="L2818">
        <v>19</v>
      </c>
      <c r="M2818">
        <v>21</v>
      </c>
      <c r="N2818">
        <v>23</v>
      </c>
      <c r="P2818">
        <v>0</v>
      </c>
      <c r="Q2818">
        <v>1</v>
      </c>
      <c r="R2818">
        <v>7</v>
      </c>
      <c r="S2818">
        <v>11</v>
      </c>
    </row>
    <row r="2819" spans="1:19" x14ac:dyDescent="0.35">
      <c r="A2819">
        <v>55470544900</v>
      </c>
      <c r="B2819" t="s">
        <v>2911</v>
      </c>
      <c r="C2819" t="str">
        <f>_xlfn.XLOOKUP(A2819,[1]Affiliations!$J$2:$J$5328,[1]Affiliations!$K$2:$K$5328,0)</f>
        <v>Universidade do Estado do Rio de Janeiro</v>
      </c>
      <c r="D2819">
        <v>10</v>
      </c>
      <c r="E2819">
        <v>141</v>
      </c>
      <c r="F2819">
        <v>14.1</v>
      </c>
      <c r="G2819">
        <v>8</v>
      </c>
      <c r="H2819">
        <v>0.9</v>
      </c>
      <c r="I2819">
        <v>0</v>
      </c>
      <c r="J2819">
        <v>2</v>
      </c>
      <c r="K2819">
        <v>4</v>
      </c>
      <c r="L2819">
        <v>6</v>
      </c>
      <c r="M2819">
        <v>7</v>
      </c>
      <c r="N2819">
        <v>10</v>
      </c>
      <c r="P2819">
        <v>0</v>
      </c>
      <c r="Q2819">
        <v>0</v>
      </c>
      <c r="R2819">
        <v>1</v>
      </c>
      <c r="S2819">
        <v>4</v>
      </c>
    </row>
    <row r="2820" spans="1:19" hidden="1" x14ac:dyDescent="0.35">
      <c r="A2820">
        <v>35194452700</v>
      </c>
      <c r="B2820" t="s">
        <v>2824</v>
      </c>
      <c r="C2820" t="str">
        <f>_xlfn.XLOOKUP(A2820,[1]Affiliations!$J$2:$J$5328,[1]Affiliations!$K$2:$K$5328,0)</f>
        <v>Petroleum Geo-Services (+2 more)</v>
      </c>
      <c r="D2820">
        <v>27</v>
      </c>
      <c r="E2820">
        <v>80</v>
      </c>
      <c r="F2820">
        <v>2.9629629</v>
      </c>
      <c r="G2820">
        <v>10</v>
      </c>
      <c r="H2820">
        <v>0.67</v>
      </c>
      <c r="I2820">
        <v>0</v>
      </c>
      <c r="J2820">
        <v>0</v>
      </c>
      <c r="K2820">
        <v>0</v>
      </c>
      <c r="L2820">
        <v>0</v>
      </c>
      <c r="M2820">
        <v>1</v>
      </c>
      <c r="N2820">
        <v>4</v>
      </c>
      <c r="P2820">
        <v>0</v>
      </c>
      <c r="Q2820">
        <v>0</v>
      </c>
      <c r="R2820">
        <v>0</v>
      </c>
      <c r="S2820">
        <v>0</v>
      </c>
    </row>
    <row r="2821" spans="1:19" x14ac:dyDescent="0.35">
      <c r="A2821">
        <v>57050628600</v>
      </c>
      <c r="B2821" t="s">
        <v>2972</v>
      </c>
      <c r="C2821" t="str">
        <f>_xlfn.XLOOKUP(A2821,[1]Affiliations!$J$2:$J$5328,[1]Affiliations!$K$2:$K$5328,0)</f>
        <v>Federal University of Rio de Janeiro</v>
      </c>
      <c r="D2821">
        <v>82</v>
      </c>
      <c r="E2821">
        <v>389</v>
      </c>
      <c r="F2821">
        <v>4.7439020000000003</v>
      </c>
      <c r="G2821">
        <v>9</v>
      </c>
      <c r="H2821">
        <v>0.9</v>
      </c>
      <c r="I2821">
        <v>1</v>
      </c>
      <c r="J2821">
        <v>9</v>
      </c>
      <c r="K2821">
        <v>12</v>
      </c>
      <c r="L2821">
        <v>30</v>
      </c>
      <c r="M2821">
        <v>49</v>
      </c>
      <c r="N2821">
        <v>66</v>
      </c>
      <c r="P2821">
        <v>0</v>
      </c>
      <c r="Q2821">
        <v>2</v>
      </c>
      <c r="R2821">
        <v>3</v>
      </c>
      <c r="S2821">
        <v>10</v>
      </c>
    </row>
    <row r="2822" spans="1:19" x14ac:dyDescent="0.35">
      <c r="A2822">
        <v>55346481900</v>
      </c>
      <c r="B2822" t="s">
        <v>3078</v>
      </c>
      <c r="C2822" t="str">
        <f>_xlfn.XLOOKUP(A2822,[1]Affiliations!$J$2:$J$5328,[1]Affiliations!$K$2:$K$5328,0)</f>
        <v>Universidade de São Paulo</v>
      </c>
      <c r="D2822">
        <v>101</v>
      </c>
      <c r="E2822">
        <v>1697</v>
      </c>
      <c r="F2822">
        <v>16.801981000000001</v>
      </c>
      <c r="G2822">
        <v>36</v>
      </c>
      <c r="H2822">
        <v>0.9</v>
      </c>
      <c r="I2822">
        <v>1</v>
      </c>
      <c r="J2822">
        <v>20</v>
      </c>
      <c r="K2822">
        <v>34</v>
      </c>
      <c r="L2822">
        <v>62</v>
      </c>
      <c r="M2822">
        <v>82</v>
      </c>
      <c r="N2822">
        <v>91</v>
      </c>
      <c r="P2822">
        <v>1</v>
      </c>
      <c r="Q2822">
        <v>1</v>
      </c>
      <c r="R2822">
        <v>5</v>
      </c>
      <c r="S2822">
        <v>34</v>
      </c>
    </row>
    <row r="2823" spans="1:19" x14ac:dyDescent="0.35">
      <c r="A2823">
        <v>8635169000</v>
      </c>
      <c r="B2823" t="s">
        <v>3144</v>
      </c>
      <c r="C2823" t="str">
        <f>_xlfn.XLOOKUP(A2823,[1]Affiliations!$J$2:$J$5328,[1]Affiliations!$K$2:$K$5328,0)</f>
        <v>Universidade Federal do Rio Grande do Sul</v>
      </c>
      <c r="D2823">
        <v>15</v>
      </c>
      <c r="E2823">
        <v>281</v>
      </c>
      <c r="F2823">
        <v>18.733333999999999</v>
      </c>
      <c r="G2823">
        <v>10</v>
      </c>
      <c r="H2823">
        <v>0.9</v>
      </c>
      <c r="I2823">
        <v>1</v>
      </c>
      <c r="J2823">
        <v>2</v>
      </c>
      <c r="K2823">
        <v>7</v>
      </c>
      <c r="L2823">
        <v>11</v>
      </c>
      <c r="M2823">
        <v>12</v>
      </c>
      <c r="N2823">
        <v>13</v>
      </c>
      <c r="P2823">
        <v>0</v>
      </c>
      <c r="Q2823">
        <v>1</v>
      </c>
      <c r="R2823">
        <v>2</v>
      </c>
      <c r="S2823">
        <v>5</v>
      </c>
    </row>
    <row r="2824" spans="1:19" hidden="1" x14ac:dyDescent="0.35">
      <c r="A2824">
        <v>57203408958</v>
      </c>
      <c r="B2824" t="s">
        <v>2828</v>
      </c>
      <c r="C2824" t="str">
        <f>_xlfn.XLOOKUP(A2824,[1]Affiliations!$J$2:$J$5328,[1]Affiliations!$K$2:$K$5328,0)</f>
        <v>Simworx Engineering R and D (+1 more)</v>
      </c>
      <c r="D2824">
        <v>2</v>
      </c>
      <c r="E2824">
        <v>34</v>
      </c>
      <c r="F2824">
        <v>17</v>
      </c>
      <c r="G2824">
        <v>2</v>
      </c>
      <c r="H2824">
        <v>4.53</v>
      </c>
      <c r="P2824">
        <v>0</v>
      </c>
      <c r="Q2824">
        <v>0</v>
      </c>
      <c r="R2824">
        <v>0</v>
      </c>
      <c r="S2824">
        <v>1</v>
      </c>
    </row>
    <row r="2825" spans="1:19" hidden="1" x14ac:dyDescent="0.35">
      <c r="A2825">
        <v>57203572968</v>
      </c>
      <c r="B2825" t="s">
        <v>2829</v>
      </c>
      <c r="C2825" t="str">
        <f>_xlfn.XLOOKUP(A2825,[1]Affiliations!$J$2:$J$5328,[1]Affiliations!$K$2:$K$5328,0)</f>
        <v>Universidade de Fortaleza</v>
      </c>
      <c r="D2825">
        <v>2</v>
      </c>
      <c r="E2825">
        <v>0</v>
      </c>
      <c r="F2825">
        <v>0</v>
      </c>
      <c r="G2825">
        <v>0</v>
      </c>
      <c r="H2825">
        <v>0</v>
      </c>
      <c r="P2825">
        <v>0</v>
      </c>
      <c r="Q2825">
        <v>0</v>
      </c>
      <c r="R2825">
        <v>0</v>
      </c>
      <c r="S2825">
        <v>0</v>
      </c>
    </row>
    <row r="2826" spans="1:19" hidden="1" x14ac:dyDescent="0.35">
      <c r="A2826">
        <v>57201254668</v>
      </c>
      <c r="B2826" t="s">
        <v>2830</v>
      </c>
      <c r="C2826" t="str">
        <f>_xlfn.XLOOKUP(A2826,[1]Affiliations!$J$2:$J$5328,[1]Affiliations!$K$2:$K$5328,0)</f>
        <v>Universidade de Brasília</v>
      </c>
      <c r="D2826">
        <v>8</v>
      </c>
      <c r="E2826">
        <v>101</v>
      </c>
      <c r="F2826">
        <v>12.625</v>
      </c>
      <c r="G2826">
        <v>6</v>
      </c>
      <c r="H2826">
        <v>1.03</v>
      </c>
      <c r="I2826">
        <v>0</v>
      </c>
      <c r="J2826">
        <v>0</v>
      </c>
      <c r="K2826">
        <v>0</v>
      </c>
      <c r="L2826">
        <v>3</v>
      </c>
      <c r="M2826">
        <v>8</v>
      </c>
      <c r="N2826">
        <v>8</v>
      </c>
      <c r="P2826">
        <v>0</v>
      </c>
      <c r="Q2826">
        <v>0</v>
      </c>
      <c r="R2826">
        <v>0</v>
      </c>
      <c r="S2826">
        <v>3</v>
      </c>
    </row>
    <row r="2827" spans="1:19" x14ac:dyDescent="0.35">
      <c r="A2827">
        <v>24544622800</v>
      </c>
      <c r="B2827" t="s">
        <v>3390</v>
      </c>
      <c r="C2827" t="str">
        <f>_xlfn.XLOOKUP(A2827,[1]Affiliations!$J$2:$J$5328,[1]Affiliations!$K$2:$K$5328,0)</f>
        <v>Universidade de São Paulo</v>
      </c>
      <c r="D2827">
        <v>65</v>
      </c>
      <c r="E2827">
        <v>725</v>
      </c>
      <c r="F2827">
        <v>11.153846</v>
      </c>
      <c r="G2827">
        <v>14</v>
      </c>
      <c r="H2827">
        <v>0.9</v>
      </c>
      <c r="I2827">
        <v>0</v>
      </c>
      <c r="J2827">
        <v>2</v>
      </c>
      <c r="K2827">
        <v>10</v>
      </c>
      <c r="L2827">
        <v>33</v>
      </c>
      <c r="M2827">
        <v>35</v>
      </c>
      <c r="N2827">
        <v>36</v>
      </c>
      <c r="P2827">
        <v>0</v>
      </c>
      <c r="Q2827">
        <v>2</v>
      </c>
      <c r="R2827">
        <v>4</v>
      </c>
      <c r="S2827">
        <v>13</v>
      </c>
    </row>
    <row r="2828" spans="1:19" x14ac:dyDescent="0.35">
      <c r="A2828">
        <v>57222284712</v>
      </c>
      <c r="B2828" t="s">
        <v>3491</v>
      </c>
      <c r="C2828" t="str">
        <f>_xlfn.XLOOKUP(A2828,[1]Affiliations!$J$2:$J$5328,[1]Affiliations!$K$2:$K$5328,0)</f>
        <v>Universidade Federal de Pernambuco</v>
      </c>
      <c r="D2828">
        <v>13</v>
      </c>
      <c r="E2828">
        <v>228</v>
      </c>
      <c r="F2828">
        <v>17.538461999999999</v>
      </c>
      <c r="G2828">
        <v>10</v>
      </c>
      <c r="H2828">
        <v>0.9</v>
      </c>
      <c r="I2828">
        <v>0</v>
      </c>
      <c r="J2828">
        <v>0</v>
      </c>
      <c r="K2828">
        <v>5</v>
      </c>
      <c r="L2828">
        <v>7</v>
      </c>
      <c r="M2828">
        <v>11</v>
      </c>
      <c r="N2828">
        <v>11</v>
      </c>
      <c r="P2828">
        <v>0</v>
      </c>
      <c r="Q2828">
        <v>0</v>
      </c>
      <c r="R2828">
        <v>2</v>
      </c>
      <c r="S2828">
        <v>6</v>
      </c>
    </row>
    <row r="2829" spans="1:19" hidden="1" x14ac:dyDescent="0.35">
      <c r="A2829">
        <v>57224180948</v>
      </c>
      <c r="B2829" t="s">
        <v>2833</v>
      </c>
      <c r="C2829" t="str">
        <f>_xlfn.XLOOKUP(A2829,[1]Affiliations!$J$2:$J$5328,[1]Affiliations!$K$2:$K$5328,0)</f>
        <v>University of Campinas</v>
      </c>
      <c r="D2829">
        <v>5</v>
      </c>
      <c r="E2829">
        <v>25</v>
      </c>
      <c r="F2829">
        <v>5</v>
      </c>
      <c r="G2829">
        <v>2</v>
      </c>
      <c r="H2829">
        <v>0.92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P2829">
        <v>0</v>
      </c>
      <c r="Q2829">
        <v>0</v>
      </c>
      <c r="R2829">
        <v>0</v>
      </c>
      <c r="S2829">
        <v>1</v>
      </c>
    </row>
    <row r="2830" spans="1:19" hidden="1" x14ac:dyDescent="0.35">
      <c r="A2830">
        <v>57614810000</v>
      </c>
      <c r="B2830" t="s">
        <v>2834</v>
      </c>
      <c r="C2830" t="str">
        <f>_xlfn.XLOOKUP(A2830,[1]Affiliations!$J$2:$J$5328,[1]Affiliations!$K$2:$K$5328,0)</f>
        <v>Federal University of Rio de Janeiro</v>
      </c>
      <c r="D2830">
        <v>2</v>
      </c>
      <c r="E2830">
        <v>7</v>
      </c>
      <c r="F2830">
        <v>3.5</v>
      </c>
      <c r="G2830">
        <v>2</v>
      </c>
      <c r="H2830">
        <v>0.34</v>
      </c>
      <c r="I2830">
        <v>0</v>
      </c>
      <c r="J2830">
        <v>0</v>
      </c>
      <c r="K2830">
        <v>0</v>
      </c>
      <c r="L2830">
        <v>2</v>
      </c>
      <c r="M2830">
        <v>2</v>
      </c>
      <c r="N2830">
        <v>2</v>
      </c>
      <c r="P2830">
        <v>0</v>
      </c>
      <c r="Q2830">
        <v>0</v>
      </c>
      <c r="R2830">
        <v>0</v>
      </c>
      <c r="S2830">
        <v>0</v>
      </c>
    </row>
    <row r="2831" spans="1:19" x14ac:dyDescent="0.35">
      <c r="A2831">
        <v>53064254300</v>
      </c>
      <c r="B2831" t="s">
        <v>3628</v>
      </c>
      <c r="C2831" t="str">
        <f>_xlfn.XLOOKUP(A2831,[1]Affiliations!$J$2:$J$5328,[1]Affiliations!$K$2:$K$5328,0)</f>
        <v>Universidade Federal de Minas Gerais</v>
      </c>
      <c r="D2831">
        <v>29</v>
      </c>
      <c r="E2831">
        <v>476</v>
      </c>
      <c r="F2831">
        <v>16.413793999999999</v>
      </c>
      <c r="G2831">
        <v>10</v>
      </c>
      <c r="H2831">
        <v>0.9</v>
      </c>
      <c r="I2831">
        <v>1</v>
      </c>
      <c r="J2831">
        <v>6</v>
      </c>
      <c r="K2831">
        <v>10</v>
      </c>
      <c r="L2831">
        <v>16</v>
      </c>
      <c r="M2831">
        <v>25</v>
      </c>
      <c r="N2831">
        <v>26</v>
      </c>
      <c r="P2831">
        <v>0</v>
      </c>
      <c r="Q2831">
        <v>2</v>
      </c>
      <c r="R2831">
        <v>3</v>
      </c>
      <c r="S2831">
        <v>6</v>
      </c>
    </row>
    <row r="2832" spans="1:19" hidden="1" x14ac:dyDescent="0.35">
      <c r="A2832">
        <v>59913175900</v>
      </c>
      <c r="B2832" t="s">
        <v>2836</v>
      </c>
      <c r="C2832" t="str">
        <f>_xlfn.XLOOKUP(A2832,[1]Affiliations!$J$2:$J$5328,[1]Affiliations!$K$2:$K$5328,0)</f>
        <v>Universidade Federal de Minas Gerais</v>
      </c>
      <c r="D2832">
        <v>0</v>
      </c>
      <c r="G2832">
        <v>0</v>
      </c>
    </row>
    <row r="2833" spans="1:19" x14ac:dyDescent="0.35">
      <c r="A2833">
        <v>55886162200</v>
      </c>
      <c r="B2833" t="s">
        <v>3786</v>
      </c>
      <c r="C2833" t="str">
        <f>_xlfn.XLOOKUP(A2833,[1]Affiliations!$J$2:$J$5328,[1]Affiliations!$K$2:$K$5328,0)</f>
        <v>Universidade Federal de Minas Gerais</v>
      </c>
      <c r="D2833">
        <v>37</v>
      </c>
      <c r="E2833">
        <v>929</v>
      </c>
      <c r="F2833">
        <v>25.108108999999999</v>
      </c>
      <c r="G2833">
        <v>28</v>
      </c>
      <c r="H2833">
        <v>0.9</v>
      </c>
      <c r="I2833">
        <v>0</v>
      </c>
      <c r="J2833">
        <v>8</v>
      </c>
      <c r="K2833">
        <v>17</v>
      </c>
      <c r="L2833">
        <v>27</v>
      </c>
      <c r="M2833">
        <v>33</v>
      </c>
      <c r="N2833">
        <v>35</v>
      </c>
      <c r="P2833">
        <v>0</v>
      </c>
      <c r="Q2833">
        <v>2</v>
      </c>
      <c r="R2833">
        <v>4</v>
      </c>
      <c r="S2833">
        <v>19</v>
      </c>
    </row>
    <row r="2834" spans="1:19" x14ac:dyDescent="0.35">
      <c r="A2834">
        <v>57192129281</v>
      </c>
      <c r="B2834" t="s">
        <v>4322</v>
      </c>
      <c r="C2834" t="str">
        <f>_xlfn.XLOOKUP(A2834,[1]Affiliations!$J$2:$J$5328,[1]Affiliations!$K$2:$K$5328,0)</f>
        <v>Université de Pau et des Pays de l'Adour (+1 more)</v>
      </c>
      <c r="D2834">
        <v>11</v>
      </c>
      <c r="E2834">
        <v>190</v>
      </c>
      <c r="F2834">
        <v>17.272728000000001</v>
      </c>
      <c r="G2834">
        <v>8</v>
      </c>
      <c r="H2834">
        <v>0.9</v>
      </c>
      <c r="I2834">
        <v>0</v>
      </c>
      <c r="J2834">
        <v>1</v>
      </c>
      <c r="K2834">
        <v>3</v>
      </c>
      <c r="L2834">
        <v>9</v>
      </c>
      <c r="M2834">
        <v>11</v>
      </c>
      <c r="N2834">
        <v>11</v>
      </c>
      <c r="P2834">
        <v>0</v>
      </c>
      <c r="Q2834">
        <v>1</v>
      </c>
      <c r="R2834">
        <v>1</v>
      </c>
      <c r="S2834">
        <v>3</v>
      </c>
    </row>
    <row r="2835" spans="1:19" hidden="1" x14ac:dyDescent="0.35">
      <c r="A2835">
        <v>57223906921</v>
      </c>
      <c r="B2835" t="s">
        <v>2839</v>
      </c>
      <c r="C2835" t="str">
        <f>_xlfn.XLOOKUP(A2835,[1]Affiliations!$J$2:$J$5328,[1]Affiliations!$K$2:$K$5328,0)</f>
        <v>Federal University of Rio de Janeiro</v>
      </c>
      <c r="D2835">
        <v>4</v>
      </c>
      <c r="E2835">
        <v>9</v>
      </c>
      <c r="F2835">
        <v>2.25</v>
      </c>
      <c r="G2835">
        <v>2</v>
      </c>
      <c r="H2835">
        <v>0.36</v>
      </c>
      <c r="I2835">
        <v>0</v>
      </c>
      <c r="J2835">
        <v>0</v>
      </c>
      <c r="K2835">
        <v>0</v>
      </c>
      <c r="L2835">
        <v>0</v>
      </c>
      <c r="M2835">
        <v>2</v>
      </c>
      <c r="N2835">
        <v>2</v>
      </c>
      <c r="P2835">
        <v>0</v>
      </c>
      <c r="Q2835">
        <v>0</v>
      </c>
      <c r="R2835">
        <v>0</v>
      </c>
      <c r="S2835">
        <v>0</v>
      </c>
    </row>
    <row r="2836" spans="1:19" hidden="1" x14ac:dyDescent="0.35">
      <c r="A2836">
        <v>57201677354</v>
      </c>
      <c r="B2836" t="s">
        <v>2840</v>
      </c>
      <c r="C2836" t="str">
        <f>_xlfn.XLOOKUP(A2836,[1]Affiliations!$J$2:$J$5328,[1]Affiliations!$K$2:$K$5328,0)</f>
        <v>Pontifical Catholic University of Rio de Janeiro</v>
      </c>
      <c r="D2836">
        <v>1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P2836">
        <v>0</v>
      </c>
      <c r="Q2836">
        <v>0</v>
      </c>
      <c r="R2836">
        <v>0</v>
      </c>
      <c r="S2836">
        <v>0</v>
      </c>
    </row>
    <row r="2837" spans="1:19" hidden="1" x14ac:dyDescent="0.35">
      <c r="A2837">
        <v>57193065070</v>
      </c>
      <c r="B2837" t="s">
        <v>2841</v>
      </c>
      <c r="C2837" t="str">
        <f>_xlfn.XLOOKUP(A2837,[1]Affiliations!$J$2:$J$5328,[1]Affiliations!$K$2:$K$5328,0)</f>
        <v>Serviço Nacional de Aprendizagem Industrial</v>
      </c>
      <c r="D2837">
        <v>2</v>
      </c>
      <c r="E2837">
        <v>18</v>
      </c>
      <c r="F2837">
        <v>9</v>
      </c>
      <c r="G2837">
        <v>2</v>
      </c>
      <c r="H2837">
        <v>0.82</v>
      </c>
      <c r="I2837">
        <v>0</v>
      </c>
      <c r="J2837">
        <v>1</v>
      </c>
      <c r="K2837">
        <v>1</v>
      </c>
      <c r="L2837">
        <v>1</v>
      </c>
      <c r="M2837">
        <v>1</v>
      </c>
      <c r="N2837">
        <v>1</v>
      </c>
      <c r="P2837">
        <v>0</v>
      </c>
      <c r="Q2837">
        <v>0</v>
      </c>
      <c r="R2837">
        <v>0</v>
      </c>
      <c r="S2837">
        <v>1</v>
      </c>
    </row>
    <row r="2838" spans="1:19" x14ac:dyDescent="0.35">
      <c r="A2838">
        <v>6508195763</v>
      </c>
      <c r="B2838" t="s">
        <v>4586</v>
      </c>
      <c r="C2838" t="str">
        <f>_xlfn.XLOOKUP(A2838,[1]Affiliations!$J$2:$J$5328,[1]Affiliations!$K$2:$K$5328,0)</f>
        <v>Pontifícia Universidade Católica do Rio Grande do Sul (+1 more)</v>
      </c>
      <c r="D2838">
        <v>29</v>
      </c>
      <c r="E2838">
        <v>799</v>
      </c>
      <c r="F2838">
        <v>27.551722999999999</v>
      </c>
      <c r="G2838">
        <v>23</v>
      </c>
      <c r="H2838">
        <v>0.9</v>
      </c>
      <c r="I2838">
        <v>1</v>
      </c>
      <c r="J2838">
        <v>7</v>
      </c>
      <c r="K2838">
        <v>12</v>
      </c>
      <c r="L2838">
        <v>15</v>
      </c>
      <c r="M2838">
        <v>25</v>
      </c>
      <c r="N2838">
        <v>28</v>
      </c>
      <c r="P2838">
        <v>0</v>
      </c>
      <c r="Q2838">
        <v>1</v>
      </c>
      <c r="R2838">
        <v>4</v>
      </c>
      <c r="S2838">
        <v>16</v>
      </c>
    </row>
    <row r="2839" spans="1:19" hidden="1" x14ac:dyDescent="0.35">
      <c r="A2839">
        <v>25638788000</v>
      </c>
      <c r="B2839" t="s">
        <v>2843</v>
      </c>
      <c r="C2839" t="str">
        <f>_xlfn.XLOOKUP(A2839,[1]Affiliations!$J$2:$J$5328,[1]Affiliations!$K$2:$K$5328,0)</f>
        <v>Universidade Federal de Minas Gerais</v>
      </c>
      <c r="D2839">
        <v>16</v>
      </c>
      <c r="E2839">
        <v>160</v>
      </c>
      <c r="F2839">
        <v>10</v>
      </c>
      <c r="G2839">
        <v>15</v>
      </c>
      <c r="H2839">
        <v>0.67</v>
      </c>
      <c r="I2839">
        <v>0</v>
      </c>
      <c r="J2839">
        <v>3</v>
      </c>
      <c r="K2839">
        <v>4</v>
      </c>
      <c r="L2839">
        <v>7</v>
      </c>
      <c r="M2839">
        <v>9</v>
      </c>
      <c r="N2839">
        <v>13</v>
      </c>
      <c r="P2839">
        <v>0</v>
      </c>
      <c r="Q2839">
        <v>0</v>
      </c>
      <c r="R2839">
        <v>0</v>
      </c>
      <c r="S2839">
        <v>3</v>
      </c>
    </row>
    <row r="2840" spans="1:19" hidden="1" x14ac:dyDescent="0.35">
      <c r="A2840">
        <v>57216317967</v>
      </c>
      <c r="B2840" t="s">
        <v>2844</v>
      </c>
      <c r="C2840" t="str">
        <f>_xlfn.XLOOKUP(A2840,[1]Affiliations!$J$2:$J$5328,[1]Affiliations!$K$2:$K$5328,0)</f>
        <v>Universidade Federal de Pernambuco</v>
      </c>
      <c r="D2840">
        <v>9</v>
      </c>
      <c r="E2840">
        <v>96</v>
      </c>
      <c r="F2840">
        <v>10.666667</v>
      </c>
      <c r="G2840">
        <v>5</v>
      </c>
      <c r="H2840">
        <v>1.2</v>
      </c>
      <c r="I2840">
        <v>0</v>
      </c>
      <c r="J2840">
        <v>0</v>
      </c>
      <c r="K2840">
        <v>0</v>
      </c>
      <c r="L2840">
        <v>1</v>
      </c>
      <c r="M2840">
        <v>5</v>
      </c>
      <c r="N2840">
        <v>5</v>
      </c>
      <c r="P2840">
        <v>0</v>
      </c>
      <c r="Q2840">
        <v>0</v>
      </c>
      <c r="R2840">
        <v>1</v>
      </c>
      <c r="S2840">
        <v>4</v>
      </c>
    </row>
    <row r="2841" spans="1:19" hidden="1" x14ac:dyDescent="0.35">
      <c r="A2841">
        <v>57193426682</v>
      </c>
      <c r="B2841" t="s">
        <v>2845</v>
      </c>
      <c r="C2841" t="str">
        <f>_xlfn.XLOOKUP(A2841,[1]Affiliations!$J$2:$J$5328,[1]Affiliations!$K$2:$K$5328,0)</f>
        <v>Universidade Federal do Rio Grande do Sul (+1 more)</v>
      </c>
      <c r="D2841">
        <v>31</v>
      </c>
      <c r="E2841">
        <v>326</v>
      </c>
      <c r="F2841">
        <v>10.5161295</v>
      </c>
      <c r="G2841">
        <v>10</v>
      </c>
      <c r="H2841">
        <v>0.48</v>
      </c>
      <c r="I2841">
        <v>0</v>
      </c>
      <c r="J2841">
        <v>0</v>
      </c>
      <c r="K2841">
        <v>4</v>
      </c>
      <c r="L2841">
        <v>13</v>
      </c>
      <c r="M2841">
        <v>26</v>
      </c>
      <c r="N2841">
        <v>29</v>
      </c>
      <c r="P2841">
        <v>0</v>
      </c>
      <c r="Q2841">
        <v>0</v>
      </c>
      <c r="R2841">
        <v>0</v>
      </c>
      <c r="S2841">
        <v>6</v>
      </c>
    </row>
    <row r="2842" spans="1:19" hidden="1" x14ac:dyDescent="0.35">
      <c r="A2842">
        <v>57299818200</v>
      </c>
      <c r="B2842" t="s">
        <v>2846</v>
      </c>
      <c r="C2842" t="str">
        <f>_xlfn.XLOOKUP(A2842,[1]Affiliations!$J$2:$J$5328,[1]Affiliations!$K$2:$K$5328,0)</f>
        <v>Universidade Federal de Uberlândia</v>
      </c>
      <c r="D2842">
        <v>1</v>
      </c>
      <c r="E2842">
        <v>2</v>
      </c>
      <c r="F2842">
        <v>2</v>
      </c>
      <c r="G2842">
        <v>1</v>
      </c>
      <c r="H2842">
        <v>0.18</v>
      </c>
      <c r="I2842">
        <v>0</v>
      </c>
      <c r="J2842">
        <v>0</v>
      </c>
      <c r="K2842">
        <v>0</v>
      </c>
      <c r="L2842">
        <v>1</v>
      </c>
      <c r="M2842">
        <v>1</v>
      </c>
      <c r="N2842">
        <v>1</v>
      </c>
      <c r="P2842">
        <v>0</v>
      </c>
      <c r="Q2842">
        <v>0</v>
      </c>
      <c r="R2842">
        <v>0</v>
      </c>
      <c r="S2842">
        <v>0</v>
      </c>
    </row>
    <row r="2843" spans="1:19" hidden="1" x14ac:dyDescent="0.35">
      <c r="A2843">
        <v>55756033700</v>
      </c>
      <c r="B2843" t="s">
        <v>2847</v>
      </c>
      <c r="C2843" t="str">
        <f>_xlfn.XLOOKUP(A2843,[1]Affiliations!$J$2:$J$5328,[1]Affiliations!$K$2:$K$5328,0)</f>
        <v>Universidade do Estado do Rio de Janeiro</v>
      </c>
      <c r="D2843">
        <v>9</v>
      </c>
      <c r="E2843">
        <v>101</v>
      </c>
      <c r="F2843">
        <v>11.222222</v>
      </c>
      <c r="G2843">
        <v>7</v>
      </c>
      <c r="H2843">
        <v>0.6</v>
      </c>
      <c r="I2843">
        <v>0</v>
      </c>
      <c r="J2843">
        <v>0</v>
      </c>
      <c r="K2843">
        <v>2</v>
      </c>
      <c r="L2843">
        <v>8</v>
      </c>
      <c r="M2843">
        <v>8</v>
      </c>
      <c r="N2843">
        <v>9</v>
      </c>
      <c r="P2843">
        <v>0</v>
      </c>
      <c r="Q2843">
        <v>0</v>
      </c>
      <c r="R2843">
        <v>0</v>
      </c>
      <c r="S2843">
        <v>2</v>
      </c>
    </row>
    <row r="2844" spans="1:19" x14ac:dyDescent="0.35">
      <c r="A2844">
        <v>55293608000</v>
      </c>
      <c r="B2844" t="s">
        <v>5216</v>
      </c>
      <c r="C2844" t="str">
        <f>_xlfn.XLOOKUP(A2844,[1]Affiliations!$J$2:$J$5328,[1]Affiliations!$K$2:$K$5328,0)</f>
        <v>Vizlab - X-Reality and GeoInformatics Lab (+1 more)</v>
      </c>
      <c r="D2844">
        <v>19</v>
      </c>
      <c r="E2844">
        <v>200</v>
      </c>
      <c r="F2844">
        <v>10.526316</v>
      </c>
      <c r="G2844">
        <v>9</v>
      </c>
      <c r="H2844">
        <v>0.9</v>
      </c>
      <c r="I2844">
        <v>0</v>
      </c>
      <c r="J2844">
        <v>4</v>
      </c>
      <c r="K2844">
        <v>7</v>
      </c>
      <c r="L2844">
        <v>12</v>
      </c>
      <c r="M2844">
        <v>17</v>
      </c>
      <c r="N2844">
        <v>19</v>
      </c>
      <c r="P2844">
        <v>0</v>
      </c>
      <c r="Q2844">
        <v>1</v>
      </c>
      <c r="R2844">
        <v>1</v>
      </c>
      <c r="S2844">
        <v>5</v>
      </c>
    </row>
    <row r="2845" spans="1:19" x14ac:dyDescent="0.35">
      <c r="A2845">
        <v>7005475778</v>
      </c>
      <c r="B2845" t="s">
        <v>51</v>
      </c>
      <c r="C2845" t="str">
        <f>_xlfn.XLOOKUP(A2845,[1]Affiliations!$J$2:$J$5328,[1]Affiliations!$K$2:$K$5328,0)</f>
        <v>Universidade Federal de Minas Gerais</v>
      </c>
      <c r="D2845">
        <v>48</v>
      </c>
      <c r="E2845">
        <v>693</v>
      </c>
      <c r="F2845">
        <v>14.4375</v>
      </c>
      <c r="G2845">
        <v>33</v>
      </c>
      <c r="H2845">
        <v>0.89</v>
      </c>
      <c r="I2845">
        <v>5</v>
      </c>
      <c r="J2845">
        <v>17</v>
      </c>
      <c r="K2845">
        <v>28</v>
      </c>
      <c r="L2845">
        <v>34</v>
      </c>
      <c r="M2845">
        <v>37</v>
      </c>
      <c r="N2845">
        <v>44</v>
      </c>
      <c r="P2845">
        <v>0</v>
      </c>
      <c r="Q2845">
        <v>1</v>
      </c>
      <c r="R2845">
        <v>4</v>
      </c>
      <c r="S2845">
        <v>9</v>
      </c>
    </row>
    <row r="2846" spans="1:19" hidden="1" x14ac:dyDescent="0.35">
      <c r="A2846">
        <v>56642506700</v>
      </c>
      <c r="B2846" t="s">
        <v>2850</v>
      </c>
      <c r="C2846" t="str">
        <f>_xlfn.XLOOKUP(A2846,[1]Affiliations!$J$2:$J$5328,[1]Affiliations!$K$2:$K$5328,0)</f>
        <v>Petróleo Brasileiro S.A. (+1 more)</v>
      </c>
      <c r="D2846">
        <v>9</v>
      </c>
      <c r="E2846">
        <v>119</v>
      </c>
      <c r="F2846">
        <v>13.222222</v>
      </c>
      <c r="G2846">
        <v>5</v>
      </c>
      <c r="H2846">
        <v>0.8</v>
      </c>
      <c r="I2846">
        <v>0</v>
      </c>
      <c r="J2846">
        <v>0</v>
      </c>
      <c r="K2846">
        <v>3</v>
      </c>
      <c r="L2846">
        <v>5</v>
      </c>
      <c r="M2846">
        <v>9</v>
      </c>
      <c r="N2846">
        <v>9</v>
      </c>
      <c r="P2846">
        <v>0</v>
      </c>
      <c r="Q2846">
        <v>0</v>
      </c>
      <c r="R2846">
        <v>0</v>
      </c>
      <c r="S2846">
        <v>3</v>
      </c>
    </row>
    <row r="2847" spans="1:19" x14ac:dyDescent="0.35">
      <c r="A2847">
        <v>7006297634</v>
      </c>
      <c r="B2847" t="s">
        <v>273</v>
      </c>
      <c r="C2847" t="str">
        <f>_xlfn.XLOOKUP(A2847,[1]Affiliations!$J$2:$J$5328,[1]Affiliations!$K$2:$K$5328,0)</f>
        <v>Universidade Federal de Goiás (+4 more)</v>
      </c>
      <c r="D2847">
        <v>65</v>
      </c>
      <c r="E2847">
        <v>1646</v>
      </c>
      <c r="F2847">
        <v>25.323076</v>
      </c>
      <c r="G2847">
        <v>31</v>
      </c>
      <c r="H2847">
        <v>0.89</v>
      </c>
      <c r="I2847">
        <v>1</v>
      </c>
      <c r="J2847">
        <v>6</v>
      </c>
      <c r="K2847">
        <v>18</v>
      </c>
      <c r="L2847">
        <v>31</v>
      </c>
      <c r="M2847">
        <v>50</v>
      </c>
      <c r="N2847">
        <v>57</v>
      </c>
      <c r="P2847">
        <v>0</v>
      </c>
      <c r="Q2847">
        <v>5</v>
      </c>
      <c r="R2847">
        <v>17</v>
      </c>
      <c r="S2847">
        <v>36</v>
      </c>
    </row>
    <row r="2848" spans="1:19" hidden="1" x14ac:dyDescent="0.35">
      <c r="A2848">
        <v>57796557400</v>
      </c>
      <c r="B2848" t="s">
        <v>2852</v>
      </c>
      <c r="C2848" t="str">
        <f>_xlfn.XLOOKUP(A2848,[1]Affiliations!$J$2:$J$5328,[1]Affiliations!$K$2:$K$5328,0)</f>
        <v>Universidade Federal do Rio Grande do Sul (+1 more)</v>
      </c>
      <c r="D2848">
        <v>4</v>
      </c>
      <c r="E2848">
        <v>8</v>
      </c>
      <c r="F2848">
        <v>2</v>
      </c>
      <c r="G2848">
        <v>2</v>
      </c>
      <c r="H2848">
        <v>0.63</v>
      </c>
      <c r="I2848">
        <v>1</v>
      </c>
      <c r="J2848">
        <v>1</v>
      </c>
      <c r="K2848">
        <v>2</v>
      </c>
      <c r="L2848">
        <v>2</v>
      </c>
      <c r="M2848">
        <v>2</v>
      </c>
      <c r="N2848">
        <v>2</v>
      </c>
      <c r="P2848">
        <v>0</v>
      </c>
      <c r="Q2848">
        <v>0</v>
      </c>
      <c r="R2848">
        <v>0</v>
      </c>
      <c r="S2848">
        <v>0</v>
      </c>
    </row>
    <row r="2849" spans="1:19" x14ac:dyDescent="0.35">
      <c r="A2849">
        <v>57208176607</v>
      </c>
      <c r="B2849" t="s">
        <v>478</v>
      </c>
      <c r="C2849" t="str">
        <f>_xlfn.XLOOKUP(A2849,[1]Affiliations!$J$2:$J$5328,[1]Affiliations!$K$2:$K$5328,0)</f>
        <v>Universidade de São Paulo</v>
      </c>
      <c r="D2849">
        <v>6</v>
      </c>
      <c r="E2849">
        <v>45</v>
      </c>
      <c r="F2849">
        <v>7.5</v>
      </c>
      <c r="G2849">
        <v>4</v>
      </c>
      <c r="H2849">
        <v>0.89</v>
      </c>
      <c r="I2849">
        <v>0</v>
      </c>
      <c r="J2849">
        <v>1</v>
      </c>
      <c r="K2849">
        <v>1</v>
      </c>
      <c r="L2849">
        <v>2</v>
      </c>
      <c r="M2849">
        <v>4</v>
      </c>
      <c r="N2849">
        <v>5</v>
      </c>
      <c r="P2849">
        <v>0</v>
      </c>
      <c r="Q2849">
        <v>0</v>
      </c>
      <c r="R2849">
        <v>1</v>
      </c>
      <c r="S2849">
        <v>1</v>
      </c>
    </row>
    <row r="2850" spans="1:19" hidden="1" x14ac:dyDescent="0.35">
      <c r="A2850">
        <v>59749820400</v>
      </c>
      <c r="B2850" t="s">
        <v>2854</v>
      </c>
      <c r="C2850" t="str">
        <f>_xlfn.XLOOKUP(A2850,[1]Affiliations!$J$2:$J$5328,[1]Affiliations!$K$2:$K$5328,0)</f>
        <v>Universidade Federal Fluminense</v>
      </c>
      <c r="D2850">
        <v>0</v>
      </c>
      <c r="G2850">
        <v>1</v>
      </c>
    </row>
    <row r="2851" spans="1:19" hidden="1" x14ac:dyDescent="0.35">
      <c r="A2851">
        <v>57291145100</v>
      </c>
      <c r="B2851" t="s">
        <v>2855</v>
      </c>
      <c r="C2851" t="str">
        <f>_xlfn.XLOOKUP(A2851,[1]Affiliations!$J$2:$J$5328,[1]Affiliations!$K$2:$K$5328,0)</f>
        <v>Universidade Federal Fluminense</v>
      </c>
      <c r="D2851">
        <v>6</v>
      </c>
      <c r="E2851">
        <v>12</v>
      </c>
      <c r="F2851">
        <v>2</v>
      </c>
      <c r="G2851">
        <v>2</v>
      </c>
      <c r="H2851">
        <v>0.24</v>
      </c>
      <c r="I2851">
        <v>0</v>
      </c>
      <c r="J2851">
        <v>1</v>
      </c>
      <c r="K2851">
        <v>1</v>
      </c>
      <c r="L2851">
        <v>4</v>
      </c>
      <c r="M2851">
        <v>5</v>
      </c>
      <c r="N2851">
        <v>6</v>
      </c>
      <c r="P2851">
        <v>0</v>
      </c>
      <c r="Q2851">
        <v>0</v>
      </c>
      <c r="R2851">
        <v>0</v>
      </c>
      <c r="S2851">
        <v>0</v>
      </c>
    </row>
    <row r="2852" spans="1:19" hidden="1" x14ac:dyDescent="0.35">
      <c r="A2852">
        <v>57170735800</v>
      </c>
      <c r="B2852" t="s">
        <v>2856</v>
      </c>
      <c r="C2852" t="str">
        <f>_xlfn.XLOOKUP(A2852,[1]Affiliations!$J$2:$J$5328,[1]Affiliations!$K$2:$K$5328,0)</f>
        <v>Federal University of Rio de Janeiro</v>
      </c>
      <c r="D2852">
        <v>1</v>
      </c>
      <c r="E2852">
        <v>28</v>
      </c>
      <c r="F2852">
        <v>28</v>
      </c>
      <c r="G2852">
        <v>1</v>
      </c>
      <c r="H2852">
        <v>1.1599999999999999</v>
      </c>
      <c r="I2852">
        <v>0</v>
      </c>
      <c r="J2852">
        <v>1</v>
      </c>
      <c r="K2852">
        <v>1</v>
      </c>
      <c r="L2852">
        <v>1</v>
      </c>
      <c r="M2852">
        <v>1</v>
      </c>
      <c r="N2852">
        <v>1</v>
      </c>
      <c r="P2852">
        <v>0</v>
      </c>
      <c r="Q2852">
        <v>0</v>
      </c>
      <c r="R2852">
        <v>0</v>
      </c>
      <c r="S2852">
        <v>1</v>
      </c>
    </row>
    <row r="2853" spans="1:19" hidden="1" x14ac:dyDescent="0.35">
      <c r="A2853">
        <v>57203535364</v>
      </c>
      <c r="B2853" t="s">
        <v>2857</v>
      </c>
      <c r="C2853" t="str">
        <f>_xlfn.XLOOKUP(A2853,[1]Affiliations!$J$2:$J$5328,[1]Affiliations!$K$2:$K$5328,0)</f>
        <v>Seaseep Dados de Petróleo</v>
      </c>
      <c r="D2853">
        <v>3</v>
      </c>
      <c r="E2853">
        <v>28</v>
      </c>
      <c r="F2853">
        <v>9.3333329999999997</v>
      </c>
      <c r="G2853">
        <v>2</v>
      </c>
      <c r="H2853">
        <v>0.41</v>
      </c>
      <c r="I2853">
        <v>0</v>
      </c>
      <c r="J2853">
        <v>0</v>
      </c>
      <c r="K2853">
        <v>0</v>
      </c>
      <c r="L2853">
        <v>0</v>
      </c>
      <c r="M2853">
        <v>2</v>
      </c>
      <c r="N2853">
        <v>2</v>
      </c>
      <c r="P2853">
        <v>0</v>
      </c>
      <c r="Q2853">
        <v>0</v>
      </c>
      <c r="R2853">
        <v>0</v>
      </c>
      <c r="S2853">
        <v>0</v>
      </c>
    </row>
    <row r="2854" spans="1:19" x14ac:dyDescent="0.35">
      <c r="A2854">
        <v>7004711891</v>
      </c>
      <c r="B2854" t="s">
        <v>497</v>
      </c>
      <c r="C2854" t="str">
        <f>_xlfn.XLOOKUP(A2854,[1]Affiliations!$J$2:$J$5328,[1]Affiliations!$K$2:$K$5328,0)</f>
        <v>Universidade de São Paulo</v>
      </c>
      <c r="D2854">
        <v>96</v>
      </c>
      <c r="E2854">
        <v>1952</v>
      </c>
      <c r="F2854">
        <v>20.333334000000001</v>
      </c>
      <c r="G2854">
        <v>43</v>
      </c>
      <c r="H2854">
        <v>0.89</v>
      </c>
      <c r="I2854">
        <v>2</v>
      </c>
      <c r="J2854">
        <v>28</v>
      </c>
      <c r="K2854">
        <v>53</v>
      </c>
      <c r="L2854">
        <v>71</v>
      </c>
      <c r="M2854">
        <v>85</v>
      </c>
      <c r="N2854">
        <v>93</v>
      </c>
      <c r="P2854">
        <v>0</v>
      </c>
      <c r="Q2854">
        <v>2</v>
      </c>
      <c r="R2854">
        <v>9</v>
      </c>
      <c r="S2854">
        <v>49</v>
      </c>
    </row>
    <row r="2855" spans="1:19" x14ac:dyDescent="0.35">
      <c r="A2855">
        <v>57200108468</v>
      </c>
      <c r="B2855" t="s">
        <v>786</v>
      </c>
      <c r="C2855" t="str">
        <f>_xlfn.XLOOKUP(A2855,[1]Affiliations!$J$2:$J$5328,[1]Affiliations!$K$2:$K$5328,0)</f>
        <v>Federal University of Rio de Janeiro</v>
      </c>
      <c r="D2855">
        <v>11</v>
      </c>
      <c r="E2855">
        <v>145</v>
      </c>
      <c r="F2855">
        <v>13.181818</v>
      </c>
      <c r="G2855">
        <v>7</v>
      </c>
      <c r="H2855">
        <v>0.89</v>
      </c>
      <c r="I2855">
        <v>1</v>
      </c>
      <c r="J2855">
        <v>3</v>
      </c>
      <c r="K2855">
        <v>3</v>
      </c>
      <c r="L2855">
        <v>6</v>
      </c>
      <c r="M2855">
        <v>6</v>
      </c>
      <c r="N2855">
        <v>10</v>
      </c>
      <c r="P2855">
        <v>0</v>
      </c>
      <c r="Q2855">
        <v>0</v>
      </c>
      <c r="R2855">
        <v>1</v>
      </c>
      <c r="S2855">
        <v>3</v>
      </c>
    </row>
    <row r="2856" spans="1:19" x14ac:dyDescent="0.35">
      <c r="A2856">
        <v>10139894700</v>
      </c>
      <c r="B2856" t="s">
        <v>817</v>
      </c>
      <c r="C2856" t="str">
        <f>_xlfn.XLOOKUP(A2856,[1]Affiliations!$J$2:$J$5328,[1]Affiliations!$K$2:$K$5328,0)</f>
        <v>Universidade do Estado do Rio de Janeiro</v>
      </c>
      <c r="D2856">
        <v>34</v>
      </c>
      <c r="E2856">
        <v>668</v>
      </c>
      <c r="F2856">
        <v>19.647058000000001</v>
      </c>
      <c r="G2856">
        <v>21</v>
      </c>
      <c r="H2856">
        <v>0.89</v>
      </c>
      <c r="I2856">
        <v>1</v>
      </c>
      <c r="J2856">
        <v>2</v>
      </c>
      <c r="K2856">
        <v>8</v>
      </c>
      <c r="L2856">
        <v>19</v>
      </c>
      <c r="M2856">
        <v>30</v>
      </c>
      <c r="N2856">
        <v>32</v>
      </c>
      <c r="P2856">
        <v>0</v>
      </c>
      <c r="Q2856">
        <v>2</v>
      </c>
      <c r="R2856">
        <v>7</v>
      </c>
      <c r="S2856">
        <v>19</v>
      </c>
    </row>
    <row r="2857" spans="1:19" hidden="1" x14ac:dyDescent="0.35">
      <c r="A2857">
        <v>57222382368</v>
      </c>
      <c r="B2857" t="s">
        <v>2861</v>
      </c>
      <c r="C2857" t="str">
        <f>_xlfn.XLOOKUP(A2857,[1]Affiliations!$J$2:$J$5328,[1]Affiliations!$K$2:$K$5328,0)</f>
        <v>Universidade Federal do Ceará</v>
      </c>
      <c r="D2857">
        <v>3</v>
      </c>
      <c r="E2857">
        <v>13</v>
      </c>
      <c r="F2857">
        <v>4.3333335000000002</v>
      </c>
      <c r="G2857">
        <v>2</v>
      </c>
      <c r="H2857">
        <v>0.39</v>
      </c>
      <c r="I2857">
        <v>0</v>
      </c>
      <c r="J2857">
        <v>0</v>
      </c>
      <c r="K2857">
        <v>0</v>
      </c>
      <c r="L2857">
        <v>0</v>
      </c>
      <c r="M2857">
        <v>1</v>
      </c>
      <c r="N2857">
        <v>3</v>
      </c>
      <c r="P2857">
        <v>0</v>
      </c>
      <c r="Q2857">
        <v>0</v>
      </c>
      <c r="R2857">
        <v>0</v>
      </c>
      <c r="S2857">
        <v>1</v>
      </c>
    </row>
    <row r="2858" spans="1:19" hidden="1" x14ac:dyDescent="0.35">
      <c r="A2858">
        <v>57210854084</v>
      </c>
      <c r="B2858" t="s">
        <v>2862</v>
      </c>
      <c r="C2858" t="str">
        <f>_xlfn.XLOOKUP(A2858,[1]Affiliations!$J$2:$J$5328,[1]Affiliations!$K$2:$K$5328,0)</f>
        <v>Federal University of Rio de Janeiro</v>
      </c>
      <c r="D2858">
        <v>4</v>
      </c>
      <c r="E2858">
        <v>66</v>
      </c>
      <c r="F2858">
        <v>16.5</v>
      </c>
      <c r="G2858">
        <v>4</v>
      </c>
      <c r="H2858">
        <v>0.65</v>
      </c>
      <c r="I2858">
        <v>0</v>
      </c>
      <c r="J2858">
        <v>2</v>
      </c>
      <c r="K2858">
        <v>2</v>
      </c>
      <c r="L2858">
        <v>4</v>
      </c>
      <c r="M2858">
        <v>4</v>
      </c>
      <c r="N2858">
        <v>4</v>
      </c>
      <c r="P2858">
        <v>0</v>
      </c>
      <c r="Q2858">
        <v>0</v>
      </c>
      <c r="R2858">
        <v>0</v>
      </c>
      <c r="S2858">
        <v>2</v>
      </c>
    </row>
    <row r="2859" spans="1:19" hidden="1" x14ac:dyDescent="0.35">
      <c r="A2859">
        <v>56970926100</v>
      </c>
      <c r="B2859" t="s">
        <v>2863</v>
      </c>
      <c r="C2859" t="str">
        <f>_xlfn.XLOOKUP(A2859,[1]Affiliations!$J$2:$J$5328,[1]Affiliations!$K$2:$K$5328,0)</f>
        <v>Sun Yat-Sen University (+2 more)</v>
      </c>
      <c r="D2859">
        <v>16</v>
      </c>
      <c r="E2859">
        <v>148</v>
      </c>
      <c r="F2859">
        <v>9.25</v>
      </c>
      <c r="G2859">
        <v>9</v>
      </c>
      <c r="H2859">
        <v>0.56000000000000005</v>
      </c>
      <c r="I2859">
        <v>0</v>
      </c>
      <c r="J2859">
        <v>1</v>
      </c>
      <c r="K2859">
        <v>6</v>
      </c>
      <c r="L2859">
        <v>14</v>
      </c>
      <c r="M2859">
        <v>15</v>
      </c>
      <c r="N2859">
        <v>15</v>
      </c>
      <c r="P2859">
        <v>0</v>
      </c>
      <c r="Q2859">
        <v>0</v>
      </c>
      <c r="R2859">
        <v>0</v>
      </c>
      <c r="S2859">
        <v>4</v>
      </c>
    </row>
    <row r="2860" spans="1:19" hidden="1" x14ac:dyDescent="0.35">
      <c r="A2860">
        <v>36348574600</v>
      </c>
      <c r="B2860" t="s">
        <v>2864</v>
      </c>
      <c r="C2860" t="str">
        <f>_xlfn.XLOOKUP(A2860,[1]Affiliations!$J$2:$J$5328,[1]Affiliations!$K$2:$K$5328,0)</f>
        <v>Universidade Estadual Paulista “Júlio de Mesquita Filho” (+1 more)</v>
      </c>
      <c r="D2860">
        <v>16</v>
      </c>
      <c r="E2860">
        <v>143</v>
      </c>
      <c r="F2860">
        <v>8.9375</v>
      </c>
      <c r="G2860">
        <v>9</v>
      </c>
      <c r="H2860">
        <v>0.77</v>
      </c>
      <c r="I2860">
        <v>0</v>
      </c>
      <c r="J2860">
        <v>1</v>
      </c>
      <c r="K2860">
        <v>2</v>
      </c>
      <c r="L2860">
        <v>4</v>
      </c>
      <c r="M2860">
        <v>6</v>
      </c>
      <c r="N2860">
        <v>7</v>
      </c>
      <c r="P2860">
        <v>0</v>
      </c>
      <c r="Q2860">
        <v>0</v>
      </c>
      <c r="R2860">
        <v>0</v>
      </c>
      <c r="S2860">
        <v>2</v>
      </c>
    </row>
    <row r="2861" spans="1:19" hidden="1" x14ac:dyDescent="0.35">
      <c r="A2861">
        <v>57824658400</v>
      </c>
      <c r="B2861" t="s">
        <v>2865</v>
      </c>
      <c r="C2861" t="str">
        <f>_xlfn.XLOOKUP(A2861,[1]Affiliations!$J$2:$J$5328,[1]Affiliations!$K$2:$K$5328,0)</f>
        <v>Universidade Federal de Pernambuco</v>
      </c>
      <c r="D2861">
        <v>6</v>
      </c>
      <c r="E2861">
        <v>77</v>
      </c>
      <c r="F2861">
        <v>12.833333</v>
      </c>
      <c r="G2861">
        <v>7</v>
      </c>
      <c r="H2861">
        <v>1.2</v>
      </c>
      <c r="I2861">
        <v>0</v>
      </c>
      <c r="J2861">
        <v>1</v>
      </c>
      <c r="K2861">
        <v>2</v>
      </c>
      <c r="L2861">
        <v>6</v>
      </c>
      <c r="M2861">
        <v>6</v>
      </c>
      <c r="N2861">
        <v>6</v>
      </c>
      <c r="P2861">
        <v>0</v>
      </c>
      <c r="Q2861">
        <v>0</v>
      </c>
      <c r="R2861">
        <v>0</v>
      </c>
      <c r="S2861">
        <v>6</v>
      </c>
    </row>
    <row r="2862" spans="1:19" x14ac:dyDescent="0.35">
      <c r="A2862">
        <v>57215657217</v>
      </c>
      <c r="B2862" t="s">
        <v>1354</v>
      </c>
      <c r="C2862" t="str">
        <f>_xlfn.XLOOKUP(A2862,[1]Affiliations!$J$2:$J$5328,[1]Affiliations!$K$2:$K$5328,0)</f>
        <v>Universidade Federal de Goiás</v>
      </c>
      <c r="D2862">
        <v>14</v>
      </c>
      <c r="E2862">
        <v>169</v>
      </c>
      <c r="F2862">
        <v>12.071427999999999</v>
      </c>
      <c r="G2862">
        <v>9</v>
      </c>
      <c r="H2862">
        <v>0.89</v>
      </c>
      <c r="I2862">
        <v>0</v>
      </c>
      <c r="J2862">
        <v>3</v>
      </c>
      <c r="K2862">
        <v>5</v>
      </c>
      <c r="L2862">
        <v>10</v>
      </c>
      <c r="M2862">
        <v>13</v>
      </c>
      <c r="N2862">
        <v>13</v>
      </c>
      <c r="P2862">
        <v>0</v>
      </c>
      <c r="Q2862">
        <v>0</v>
      </c>
      <c r="R2862">
        <v>1</v>
      </c>
      <c r="S2862">
        <v>6</v>
      </c>
    </row>
    <row r="2863" spans="1:19" x14ac:dyDescent="0.35">
      <c r="A2863">
        <v>15759237300</v>
      </c>
      <c r="B2863" t="s">
        <v>1564</v>
      </c>
      <c r="C2863" t="str">
        <f>_xlfn.XLOOKUP(A2863,[1]Affiliations!$J$2:$J$5328,[1]Affiliations!$K$2:$K$5328,0)</f>
        <v>and Data Processing (+6 more)</v>
      </c>
      <c r="D2863">
        <v>21</v>
      </c>
      <c r="E2863">
        <v>131</v>
      </c>
      <c r="F2863">
        <v>6.2380953000000003</v>
      </c>
      <c r="G2863">
        <v>14</v>
      </c>
      <c r="H2863">
        <v>0.89</v>
      </c>
      <c r="I2863">
        <v>0</v>
      </c>
      <c r="J2863">
        <v>1</v>
      </c>
      <c r="K2863">
        <v>1</v>
      </c>
      <c r="L2863">
        <v>1</v>
      </c>
      <c r="M2863">
        <v>8</v>
      </c>
      <c r="N2863">
        <v>10</v>
      </c>
      <c r="P2863">
        <v>0</v>
      </c>
      <c r="Q2863">
        <v>0</v>
      </c>
      <c r="R2863">
        <v>2</v>
      </c>
      <c r="S2863">
        <v>2</v>
      </c>
    </row>
    <row r="2864" spans="1:19" x14ac:dyDescent="0.35">
      <c r="A2864">
        <v>8940585000</v>
      </c>
      <c r="B2864" t="s">
        <v>1775</v>
      </c>
      <c r="C2864" t="str">
        <f>_xlfn.XLOOKUP(A2864,[1]Affiliations!$J$2:$J$5328,[1]Affiliations!$K$2:$K$5328,0)</f>
        <v>University of Campinas (+1 more)</v>
      </c>
      <c r="D2864">
        <v>33</v>
      </c>
      <c r="E2864">
        <v>458</v>
      </c>
      <c r="F2864">
        <v>13.878788</v>
      </c>
      <c r="G2864">
        <v>15</v>
      </c>
      <c r="H2864">
        <v>0.89</v>
      </c>
      <c r="I2864">
        <v>0</v>
      </c>
      <c r="J2864">
        <v>2</v>
      </c>
      <c r="K2864">
        <v>4</v>
      </c>
      <c r="L2864">
        <v>12</v>
      </c>
      <c r="M2864">
        <v>26</v>
      </c>
      <c r="N2864">
        <v>29</v>
      </c>
      <c r="P2864">
        <v>0</v>
      </c>
      <c r="Q2864">
        <v>1</v>
      </c>
      <c r="R2864">
        <v>4</v>
      </c>
      <c r="S2864">
        <v>11</v>
      </c>
    </row>
    <row r="2865" spans="1:19" hidden="1" x14ac:dyDescent="0.35">
      <c r="A2865">
        <v>56902649600</v>
      </c>
      <c r="B2865" t="s">
        <v>2869</v>
      </c>
      <c r="C2865" t="str">
        <f>_xlfn.XLOOKUP(A2865,[1]Affiliations!$J$2:$J$5328,[1]Affiliations!$K$2:$K$5328,0)</f>
        <v>Secretaria Municipal de Cultura do Município de Presidente Figueiredo – SEMCULTE</v>
      </c>
      <c r="D2865">
        <v>1</v>
      </c>
      <c r="E2865">
        <v>19</v>
      </c>
      <c r="F2865">
        <v>19</v>
      </c>
      <c r="G2865">
        <v>1</v>
      </c>
      <c r="H2865">
        <v>0.59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1</v>
      </c>
      <c r="P2865">
        <v>0</v>
      </c>
      <c r="Q2865">
        <v>0</v>
      </c>
      <c r="R2865">
        <v>0</v>
      </c>
      <c r="S2865">
        <v>0</v>
      </c>
    </row>
    <row r="2866" spans="1:19" x14ac:dyDescent="0.35">
      <c r="A2866">
        <v>35104824400</v>
      </c>
      <c r="B2866" t="s">
        <v>2095</v>
      </c>
      <c r="C2866" t="str">
        <f>_xlfn.XLOOKUP(A2866,[1]Affiliations!$J$2:$J$5328,[1]Affiliations!$K$2:$K$5328,0)</f>
        <v>Universidade Federal do Ceará</v>
      </c>
      <c r="D2866">
        <v>46</v>
      </c>
      <c r="E2866">
        <v>580</v>
      </c>
      <c r="F2866">
        <v>12.608696</v>
      </c>
      <c r="G2866">
        <v>18</v>
      </c>
      <c r="H2866">
        <v>0.89</v>
      </c>
      <c r="I2866">
        <v>0</v>
      </c>
      <c r="J2866">
        <v>4</v>
      </c>
      <c r="K2866">
        <v>17</v>
      </c>
      <c r="L2866">
        <v>28</v>
      </c>
      <c r="M2866">
        <v>43</v>
      </c>
      <c r="N2866">
        <v>44</v>
      </c>
      <c r="P2866">
        <v>0</v>
      </c>
      <c r="Q2866">
        <v>1</v>
      </c>
      <c r="R2866">
        <v>2</v>
      </c>
      <c r="S2866">
        <v>17</v>
      </c>
    </row>
    <row r="2867" spans="1:19" hidden="1" x14ac:dyDescent="0.35">
      <c r="A2867">
        <v>59895468500</v>
      </c>
      <c r="B2867" t="s">
        <v>2871</v>
      </c>
      <c r="C2867" t="str">
        <f>_xlfn.XLOOKUP(A2867,[1]Affiliations!$J$2:$J$5328,[1]Affiliations!$K$2:$K$5328,0)</f>
        <v>UniversidadeFederal de Alagoas (+1 more)</v>
      </c>
      <c r="D2867">
        <v>13</v>
      </c>
      <c r="E2867">
        <v>52</v>
      </c>
      <c r="F2867">
        <v>4</v>
      </c>
      <c r="G2867">
        <v>4</v>
      </c>
      <c r="H2867">
        <v>0.26</v>
      </c>
      <c r="I2867">
        <v>0</v>
      </c>
      <c r="J2867">
        <v>0</v>
      </c>
      <c r="K2867">
        <v>1</v>
      </c>
      <c r="L2867">
        <v>5</v>
      </c>
      <c r="M2867">
        <v>7</v>
      </c>
      <c r="N2867">
        <v>8</v>
      </c>
      <c r="P2867">
        <v>0</v>
      </c>
      <c r="Q2867">
        <v>0</v>
      </c>
      <c r="R2867">
        <v>0</v>
      </c>
      <c r="S2867">
        <v>0</v>
      </c>
    </row>
    <row r="2868" spans="1:19" hidden="1" x14ac:dyDescent="0.35">
      <c r="A2868">
        <v>57928124400</v>
      </c>
      <c r="B2868" t="s">
        <v>2872</v>
      </c>
      <c r="C2868" t="str">
        <f>_xlfn.XLOOKUP(A2868,[1]Affiliations!$J$2:$J$5328,[1]Affiliations!$K$2:$K$5328,0)</f>
        <v>Universidade Federal de Alagoas</v>
      </c>
      <c r="D2868">
        <v>1</v>
      </c>
      <c r="E2868">
        <v>7</v>
      </c>
      <c r="F2868">
        <v>7</v>
      </c>
      <c r="G2868">
        <v>1</v>
      </c>
      <c r="H2868">
        <v>0.42</v>
      </c>
      <c r="I2868">
        <v>0</v>
      </c>
      <c r="J2868">
        <v>0</v>
      </c>
      <c r="K2868">
        <v>0</v>
      </c>
      <c r="L2868">
        <v>1</v>
      </c>
      <c r="M2868">
        <v>1</v>
      </c>
      <c r="N2868">
        <v>1</v>
      </c>
      <c r="P2868">
        <v>0</v>
      </c>
      <c r="Q2868">
        <v>0</v>
      </c>
      <c r="R2868">
        <v>0</v>
      </c>
      <c r="S2868">
        <v>0</v>
      </c>
    </row>
    <row r="2869" spans="1:19" hidden="1" x14ac:dyDescent="0.35">
      <c r="A2869">
        <v>57426258500</v>
      </c>
      <c r="B2869" t="s">
        <v>2873</v>
      </c>
      <c r="C2869" t="str">
        <f>_xlfn.XLOOKUP(A2869,[1]Affiliations!$J$2:$J$5328,[1]Affiliations!$K$2:$K$5328,0)</f>
        <v>Universidade Federal de Alagoas</v>
      </c>
      <c r="D2869">
        <v>1</v>
      </c>
      <c r="E2869">
        <v>4</v>
      </c>
      <c r="F2869">
        <v>4</v>
      </c>
      <c r="G2869">
        <v>1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1</v>
      </c>
      <c r="P2869">
        <v>0</v>
      </c>
      <c r="Q2869">
        <v>0</v>
      </c>
      <c r="R2869">
        <v>0</v>
      </c>
      <c r="S2869">
        <v>0</v>
      </c>
    </row>
    <row r="2870" spans="1:19" hidden="1" x14ac:dyDescent="0.35">
      <c r="A2870">
        <v>56684067800</v>
      </c>
      <c r="B2870" t="s">
        <v>2874</v>
      </c>
      <c r="C2870" t="str">
        <f>_xlfn.XLOOKUP(A2870,[1]Affiliations!$J$2:$J$5328,[1]Affiliations!$K$2:$K$5328,0)</f>
        <v>Universidade Federal do Espírito Santo</v>
      </c>
      <c r="D2870">
        <v>0</v>
      </c>
      <c r="G2870">
        <v>1</v>
      </c>
    </row>
    <row r="2871" spans="1:19" x14ac:dyDescent="0.35">
      <c r="A2871">
        <v>57193698345</v>
      </c>
      <c r="B2871" t="s">
        <v>2562</v>
      </c>
      <c r="C2871" t="str">
        <f>_xlfn.XLOOKUP(A2871,[1]Affiliations!$J$2:$J$5328,[1]Affiliations!$K$2:$K$5328,0)</f>
        <v>Vizlab - X-Reality and GeoInformatics Lab (+1 more)</v>
      </c>
      <c r="D2871">
        <v>22</v>
      </c>
      <c r="E2871">
        <v>219</v>
      </c>
      <c r="F2871">
        <v>9.9545449999999995</v>
      </c>
      <c r="G2871">
        <v>6</v>
      </c>
      <c r="H2871">
        <v>0.89</v>
      </c>
      <c r="I2871">
        <v>0</v>
      </c>
      <c r="J2871">
        <v>2</v>
      </c>
      <c r="K2871">
        <v>3</v>
      </c>
      <c r="L2871">
        <v>9</v>
      </c>
      <c r="M2871">
        <v>12</v>
      </c>
      <c r="N2871">
        <v>21</v>
      </c>
      <c r="P2871">
        <v>0</v>
      </c>
      <c r="Q2871">
        <v>0</v>
      </c>
      <c r="R2871">
        <v>1</v>
      </c>
      <c r="S2871">
        <v>3</v>
      </c>
    </row>
    <row r="2872" spans="1:19" hidden="1" x14ac:dyDescent="0.35">
      <c r="A2872">
        <v>57202741138</v>
      </c>
      <c r="B2872" t="s">
        <v>2876</v>
      </c>
      <c r="C2872" t="str">
        <f>_xlfn.XLOOKUP(A2872,[1]Affiliations!$J$2:$J$5328,[1]Affiliations!$K$2:$K$5328,0)</f>
        <v>Federal University of Rio de Janeiro</v>
      </c>
      <c r="D2872">
        <v>1</v>
      </c>
      <c r="E2872">
        <v>28</v>
      </c>
      <c r="F2872">
        <v>28</v>
      </c>
      <c r="G2872">
        <v>1</v>
      </c>
      <c r="H2872">
        <v>0.49</v>
      </c>
      <c r="I2872">
        <v>0</v>
      </c>
      <c r="J2872">
        <v>0</v>
      </c>
      <c r="K2872">
        <v>0</v>
      </c>
      <c r="L2872">
        <v>1</v>
      </c>
      <c r="M2872">
        <v>1</v>
      </c>
      <c r="N2872">
        <v>1</v>
      </c>
      <c r="P2872">
        <v>0</v>
      </c>
      <c r="Q2872">
        <v>0</v>
      </c>
      <c r="R2872">
        <v>0</v>
      </c>
      <c r="S2872">
        <v>1</v>
      </c>
    </row>
    <row r="2873" spans="1:19" x14ac:dyDescent="0.35">
      <c r="A2873">
        <v>57084424100</v>
      </c>
      <c r="B2873" t="s">
        <v>2963</v>
      </c>
      <c r="C2873" t="str">
        <f>_xlfn.XLOOKUP(A2873,[1]Affiliations!$J$2:$J$5328,[1]Affiliations!$K$2:$K$5328,0)</f>
        <v>University of Campinas</v>
      </c>
      <c r="D2873">
        <v>22</v>
      </c>
      <c r="E2873">
        <v>399</v>
      </c>
      <c r="F2873">
        <v>18.136364</v>
      </c>
      <c r="G2873">
        <v>11</v>
      </c>
      <c r="H2873">
        <v>0.89</v>
      </c>
      <c r="I2873">
        <v>0</v>
      </c>
      <c r="J2873">
        <v>0</v>
      </c>
      <c r="K2873">
        <v>4</v>
      </c>
      <c r="L2873">
        <v>17</v>
      </c>
      <c r="M2873">
        <v>19</v>
      </c>
      <c r="N2873">
        <v>19</v>
      </c>
      <c r="P2873">
        <v>0</v>
      </c>
      <c r="Q2873">
        <v>0</v>
      </c>
      <c r="R2873">
        <v>3</v>
      </c>
      <c r="S2873">
        <v>10</v>
      </c>
    </row>
    <row r="2874" spans="1:19" x14ac:dyDescent="0.35">
      <c r="A2874">
        <v>26421317200</v>
      </c>
      <c r="B2874" t="s">
        <v>3468</v>
      </c>
      <c r="C2874" t="str">
        <f>_xlfn.XLOOKUP(A2874,[1]Affiliations!$J$2:$J$5328,[1]Affiliations!$K$2:$K$5328,0)</f>
        <v>Federal University of Rio de Janeiro</v>
      </c>
      <c r="D2874">
        <v>30</v>
      </c>
      <c r="E2874">
        <v>515</v>
      </c>
      <c r="F2874">
        <v>17.166665999999999</v>
      </c>
      <c r="G2874">
        <v>10</v>
      </c>
      <c r="H2874">
        <v>0.89</v>
      </c>
      <c r="I2874">
        <v>0</v>
      </c>
      <c r="J2874">
        <v>4</v>
      </c>
      <c r="K2874">
        <v>9</v>
      </c>
      <c r="L2874">
        <v>13</v>
      </c>
      <c r="M2874">
        <v>15</v>
      </c>
      <c r="N2874">
        <v>17</v>
      </c>
      <c r="P2874">
        <v>1</v>
      </c>
      <c r="Q2874">
        <v>3</v>
      </c>
      <c r="R2874">
        <v>4</v>
      </c>
      <c r="S2874">
        <v>9</v>
      </c>
    </row>
    <row r="2875" spans="1:19" hidden="1" x14ac:dyDescent="0.35">
      <c r="A2875">
        <v>57218615923</v>
      </c>
      <c r="B2875" t="s">
        <v>2879</v>
      </c>
      <c r="C2875" t="str">
        <f>_xlfn.XLOOKUP(A2875,[1]Affiliations!$J$2:$J$5328,[1]Affiliations!$K$2:$K$5328,0)</f>
        <v>Universidade Federal do Rio Grande do Norte</v>
      </c>
      <c r="D2875">
        <v>1</v>
      </c>
      <c r="E2875">
        <v>19</v>
      </c>
      <c r="F2875">
        <v>19</v>
      </c>
      <c r="G2875">
        <v>1</v>
      </c>
      <c r="H2875">
        <v>0.91</v>
      </c>
      <c r="I2875">
        <v>0</v>
      </c>
      <c r="J2875">
        <v>0</v>
      </c>
      <c r="K2875">
        <v>1</v>
      </c>
      <c r="L2875">
        <v>1</v>
      </c>
      <c r="M2875">
        <v>1</v>
      </c>
      <c r="N2875">
        <v>1</v>
      </c>
      <c r="P2875">
        <v>0</v>
      </c>
      <c r="Q2875">
        <v>0</v>
      </c>
      <c r="R2875">
        <v>0</v>
      </c>
      <c r="S2875">
        <v>1</v>
      </c>
    </row>
    <row r="2876" spans="1:19" hidden="1" x14ac:dyDescent="0.35">
      <c r="A2876">
        <v>57222591838</v>
      </c>
      <c r="B2876" t="s">
        <v>2880</v>
      </c>
      <c r="C2876" t="str">
        <f>_xlfn.XLOOKUP(A2876,[1]Affiliations!$J$2:$J$5328,[1]Affiliations!$K$2:$K$5328,0)</f>
        <v>Universidade Federal Rural do Rio de Janeiro (+1 more)</v>
      </c>
      <c r="D2876">
        <v>9</v>
      </c>
      <c r="E2876">
        <v>57</v>
      </c>
      <c r="F2876">
        <v>6.3333335000000002</v>
      </c>
      <c r="G2876">
        <v>11</v>
      </c>
      <c r="H2876">
        <v>0.41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6</v>
      </c>
      <c r="P2876">
        <v>0</v>
      </c>
      <c r="Q2876">
        <v>0</v>
      </c>
      <c r="R2876">
        <v>0</v>
      </c>
      <c r="S2876">
        <v>1</v>
      </c>
    </row>
    <row r="2877" spans="1:19" x14ac:dyDescent="0.35">
      <c r="A2877">
        <v>6603569530</v>
      </c>
      <c r="B2877" t="s">
        <v>3622</v>
      </c>
      <c r="C2877" t="str">
        <f>_xlfn.XLOOKUP(A2877,[1]Affiliations!$J$2:$J$5328,[1]Affiliations!$K$2:$K$5328,0)</f>
        <v>Federal University of Santa Catarina</v>
      </c>
      <c r="D2877">
        <v>152</v>
      </c>
      <c r="E2877">
        <v>1897</v>
      </c>
      <c r="F2877">
        <v>12.480263000000001</v>
      </c>
      <c r="G2877">
        <v>37</v>
      </c>
      <c r="H2877">
        <v>0.89</v>
      </c>
      <c r="I2877">
        <v>1</v>
      </c>
      <c r="J2877">
        <v>21</v>
      </c>
      <c r="K2877">
        <v>52</v>
      </c>
      <c r="L2877">
        <v>69</v>
      </c>
      <c r="M2877">
        <v>83</v>
      </c>
      <c r="N2877">
        <v>117</v>
      </c>
      <c r="P2877">
        <v>0</v>
      </c>
      <c r="Q2877">
        <v>5</v>
      </c>
      <c r="R2877">
        <v>10</v>
      </c>
      <c r="S2877">
        <v>32</v>
      </c>
    </row>
    <row r="2878" spans="1:19" hidden="1" x14ac:dyDescent="0.35">
      <c r="A2878">
        <v>58857021300</v>
      </c>
      <c r="B2878" t="s">
        <v>2882</v>
      </c>
      <c r="C2878" t="str">
        <f>_xlfn.XLOOKUP(A2878,[1]Affiliations!$J$2:$J$5328,[1]Affiliations!$K$2:$K$5328,0)</f>
        <v>Universidade de São Paulo</v>
      </c>
      <c r="D2878">
        <v>2</v>
      </c>
      <c r="E2878">
        <v>6</v>
      </c>
      <c r="F2878">
        <v>3</v>
      </c>
      <c r="G2878">
        <v>1</v>
      </c>
      <c r="H2878">
        <v>0.22</v>
      </c>
      <c r="I2878">
        <v>0</v>
      </c>
      <c r="J2878">
        <v>0</v>
      </c>
      <c r="K2878">
        <v>0</v>
      </c>
      <c r="L2878">
        <v>1</v>
      </c>
      <c r="M2878">
        <v>1</v>
      </c>
      <c r="N2878">
        <v>1</v>
      </c>
      <c r="P2878">
        <v>0</v>
      </c>
      <c r="Q2878">
        <v>0</v>
      </c>
      <c r="R2878">
        <v>0</v>
      </c>
      <c r="S2878">
        <v>0</v>
      </c>
    </row>
    <row r="2879" spans="1:19" hidden="1" x14ac:dyDescent="0.35">
      <c r="A2879">
        <v>7006451125</v>
      </c>
      <c r="B2879" t="s">
        <v>2883</v>
      </c>
      <c r="C2879" t="str">
        <f>_xlfn.XLOOKUP(A2879,[1]Affiliations!$J$2:$J$5328,[1]Affiliations!$K$2:$K$5328,0)</f>
        <v>Universidade Federal de Minas Gerais</v>
      </c>
      <c r="D2879">
        <v>22</v>
      </c>
      <c r="E2879">
        <v>89</v>
      </c>
      <c r="F2879">
        <v>4.0454545</v>
      </c>
      <c r="G2879">
        <v>8</v>
      </c>
      <c r="H2879">
        <v>0.53</v>
      </c>
      <c r="I2879">
        <v>1</v>
      </c>
      <c r="J2879">
        <v>1</v>
      </c>
      <c r="K2879">
        <v>1</v>
      </c>
      <c r="L2879">
        <v>4</v>
      </c>
      <c r="M2879">
        <v>8</v>
      </c>
      <c r="N2879">
        <v>16</v>
      </c>
      <c r="P2879">
        <v>0</v>
      </c>
      <c r="Q2879">
        <v>0</v>
      </c>
      <c r="R2879">
        <v>0</v>
      </c>
      <c r="S2879">
        <v>1</v>
      </c>
    </row>
    <row r="2880" spans="1:19" x14ac:dyDescent="0.35">
      <c r="A2880">
        <v>56516855700</v>
      </c>
      <c r="B2880" t="s">
        <v>3741</v>
      </c>
      <c r="C2880" t="str">
        <f>_xlfn.XLOOKUP(A2880,[1]Affiliations!$J$2:$J$5328,[1]Affiliations!$K$2:$K$5328,0)</f>
        <v>DEMa</v>
      </c>
      <c r="D2880">
        <v>11</v>
      </c>
      <c r="E2880">
        <v>226</v>
      </c>
      <c r="F2880">
        <v>20.545453999999999</v>
      </c>
      <c r="G2880">
        <v>8</v>
      </c>
      <c r="H2880">
        <v>0.89</v>
      </c>
      <c r="I2880">
        <v>1</v>
      </c>
      <c r="J2880">
        <v>2</v>
      </c>
      <c r="K2880">
        <v>4</v>
      </c>
      <c r="L2880">
        <v>8</v>
      </c>
      <c r="M2880">
        <v>11</v>
      </c>
      <c r="N2880">
        <v>11</v>
      </c>
      <c r="P2880">
        <v>0</v>
      </c>
      <c r="Q2880">
        <v>0</v>
      </c>
      <c r="R2880">
        <v>2</v>
      </c>
      <c r="S2880">
        <v>8</v>
      </c>
    </row>
    <row r="2881" spans="1:19" hidden="1" x14ac:dyDescent="0.35">
      <c r="A2881">
        <v>57742466400</v>
      </c>
      <c r="B2881" t="s">
        <v>2885</v>
      </c>
      <c r="C2881" t="str">
        <f>_xlfn.XLOOKUP(A2881,[1]Affiliations!$J$2:$J$5328,[1]Affiliations!$K$2:$K$5328,0)</f>
        <v>NIDF</v>
      </c>
      <c r="D2881">
        <v>1</v>
      </c>
      <c r="E2881">
        <v>0</v>
      </c>
      <c r="F2881">
        <v>0</v>
      </c>
      <c r="G2881">
        <v>0</v>
      </c>
      <c r="H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5">
      <c r="A2882">
        <v>57204728391</v>
      </c>
      <c r="B2882" t="s">
        <v>3970</v>
      </c>
      <c r="C2882" t="str">
        <f>_xlfn.XLOOKUP(A2882,[1]Affiliations!$J$2:$J$5328,[1]Affiliations!$K$2:$K$5328,0)</f>
        <v>Universidade Federal de Goiás</v>
      </c>
      <c r="D2882">
        <v>13</v>
      </c>
      <c r="E2882">
        <v>99</v>
      </c>
      <c r="F2882">
        <v>7.6153845999999996</v>
      </c>
      <c r="G2882">
        <v>7</v>
      </c>
      <c r="H2882">
        <v>0.89</v>
      </c>
      <c r="I2882">
        <v>0</v>
      </c>
      <c r="J2882">
        <v>1</v>
      </c>
      <c r="K2882">
        <v>1</v>
      </c>
      <c r="L2882">
        <v>6</v>
      </c>
      <c r="M2882">
        <v>9</v>
      </c>
      <c r="N2882">
        <v>10</v>
      </c>
      <c r="P2882">
        <v>0</v>
      </c>
      <c r="Q2882">
        <v>0</v>
      </c>
      <c r="R2882">
        <v>1</v>
      </c>
      <c r="S2882">
        <v>3</v>
      </c>
    </row>
    <row r="2883" spans="1:19" hidden="1" x14ac:dyDescent="0.35">
      <c r="A2883">
        <v>36094350800</v>
      </c>
      <c r="B2883" t="s">
        <v>2887</v>
      </c>
      <c r="C2883" t="str">
        <f>_xlfn.XLOOKUP(A2883,[1]Affiliations!$J$2:$J$5328,[1]Affiliations!$K$2:$K$5328,0)</f>
        <v>Federal University of Rio de Janeiro</v>
      </c>
      <c r="D2883">
        <v>1</v>
      </c>
      <c r="E2883">
        <v>6</v>
      </c>
      <c r="F2883">
        <v>6</v>
      </c>
      <c r="G2883">
        <v>3</v>
      </c>
      <c r="H2883">
        <v>0.24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1</v>
      </c>
      <c r="P2883">
        <v>0</v>
      </c>
      <c r="Q2883">
        <v>0</v>
      </c>
      <c r="R2883">
        <v>0</v>
      </c>
      <c r="S2883">
        <v>0</v>
      </c>
    </row>
    <row r="2884" spans="1:19" hidden="1" x14ac:dyDescent="0.35">
      <c r="A2884">
        <v>7202777791</v>
      </c>
      <c r="B2884" t="s">
        <v>2888</v>
      </c>
      <c r="C2884" t="str">
        <f>_xlfn.XLOOKUP(A2884,[1]Affiliations!$J$2:$J$5328,[1]Affiliations!$K$2:$K$5328,0)</f>
        <v>Petróleo Brasileiro S.A. (+2 more)</v>
      </c>
      <c r="D2884">
        <v>11</v>
      </c>
      <c r="E2884">
        <v>72</v>
      </c>
      <c r="F2884">
        <v>6.5454545</v>
      </c>
      <c r="G2884">
        <v>9</v>
      </c>
      <c r="H2884">
        <v>1.1100000000000001</v>
      </c>
      <c r="I2884">
        <v>0</v>
      </c>
      <c r="J2884">
        <v>0</v>
      </c>
      <c r="K2884">
        <v>1</v>
      </c>
      <c r="L2884">
        <v>8</v>
      </c>
      <c r="M2884">
        <v>8</v>
      </c>
      <c r="N2884">
        <v>8</v>
      </c>
      <c r="P2884">
        <v>0</v>
      </c>
      <c r="Q2884">
        <v>0</v>
      </c>
      <c r="R2884">
        <v>0</v>
      </c>
      <c r="S2884">
        <v>2</v>
      </c>
    </row>
    <row r="2885" spans="1:19" hidden="1" x14ac:dyDescent="0.35">
      <c r="A2885">
        <v>56776752300</v>
      </c>
      <c r="B2885" t="s">
        <v>2889</v>
      </c>
      <c r="C2885" t="str">
        <f>_xlfn.XLOOKUP(A2885,[1]Affiliations!$J$2:$J$5328,[1]Affiliations!$K$2:$K$5328,0)</f>
        <v>Laboratório Nacional Agropecuário (LANAGRO)</v>
      </c>
      <c r="D2885">
        <v>3</v>
      </c>
      <c r="E2885">
        <v>58</v>
      </c>
      <c r="F2885">
        <v>19.333334000000001</v>
      </c>
      <c r="G2885">
        <v>4</v>
      </c>
      <c r="H2885">
        <v>0.5</v>
      </c>
      <c r="I2885">
        <v>0</v>
      </c>
      <c r="J2885">
        <v>0</v>
      </c>
      <c r="K2885">
        <v>1</v>
      </c>
      <c r="L2885">
        <v>1</v>
      </c>
      <c r="M2885">
        <v>2</v>
      </c>
      <c r="N2885">
        <v>3</v>
      </c>
      <c r="P2885">
        <v>0</v>
      </c>
      <c r="Q2885">
        <v>0</v>
      </c>
      <c r="R2885">
        <v>1</v>
      </c>
      <c r="S2885">
        <v>1</v>
      </c>
    </row>
    <row r="2886" spans="1:19" hidden="1" x14ac:dyDescent="0.35">
      <c r="A2886">
        <v>58118664600</v>
      </c>
      <c r="B2886" t="s">
        <v>2890</v>
      </c>
      <c r="C2886" t="str">
        <f>_xlfn.XLOOKUP(A2886,[1]Affiliations!$J$2:$J$5328,[1]Affiliations!$K$2:$K$5328,0)</f>
        <v>Universidade Federal do Rio Grande do Sul</v>
      </c>
      <c r="D2886">
        <v>1</v>
      </c>
      <c r="E2886">
        <v>11</v>
      </c>
      <c r="F2886">
        <v>11</v>
      </c>
      <c r="G2886">
        <v>1</v>
      </c>
      <c r="H2886">
        <v>1.39</v>
      </c>
      <c r="I2886">
        <v>0</v>
      </c>
      <c r="J2886">
        <v>0</v>
      </c>
      <c r="K2886">
        <v>0</v>
      </c>
      <c r="L2886">
        <v>1</v>
      </c>
      <c r="M2886">
        <v>1</v>
      </c>
      <c r="N2886">
        <v>1</v>
      </c>
      <c r="P2886">
        <v>0</v>
      </c>
      <c r="Q2886">
        <v>0</v>
      </c>
      <c r="R2886">
        <v>0</v>
      </c>
      <c r="S2886">
        <v>1</v>
      </c>
    </row>
    <row r="2887" spans="1:19" hidden="1" x14ac:dyDescent="0.35">
      <c r="A2887">
        <v>57220660109</v>
      </c>
      <c r="B2887" t="s">
        <v>2891</v>
      </c>
      <c r="C2887" t="str">
        <f>_xlfn.XLOOKUP(A2887,[1]Affiliations!$J$2:$J$5328,[1]Affiliations!$K$2:$K$5328,0)</f>
        <v>Centro Brasileiro de Pesquisas Físicas</v>
      </c>
      <c r="D2887">
        <v>5</v>
      </c>
      <c r="E2887">
        <v>65</v>
      </c>
      <c r="F2887">
        <v>13</v>
      </c>
      <c r="G2887">
        <v>5</v>
      </c>
      <c r="H2887">
        <v>1.22</v>
      </c>
      <c r="I2887">
        <v>0</v>
      </c>
      <c r="J2887">
        <v>0</v>
      </c>
      <c r="K2887">
        <v>0</v>
      </c>
      <c r="L2887">
        <v>4</v>
      </c>
      <c r="M2887">
        <v>5</v>
      </c>
      <c r="N2887">
        <v>5</v>
      </c>
      <c r="P2887">
        <v>0</v>
      </c>
      <c r="Q2887">
        <v>0</v>
      </c>
      <c r="R2887">
        <v>1</v>
      </c>
      <c r="S2887">
        <v>4</v>
      </c>
    </row>
    <row r="2888" spans="1:19" hidden="1" x14ac:dyDescent="0.35">
      <c r="A2888">
        <v>55550356800</v>
      </c>
      <c r="B2888" t="s">
        <v>2892</v>
      </c>
      <c r="C2888" t="str">
        <f>_xlfn.XLOOKUP(A2888,[1]Affiliations!$J$2:$J$5328,[1]Affiliations!$K$2:$K$5328,0)</f>
        <v>Universidade Federal de Juiz de Fora</v>
      </c>
      <c r="D2888">
        <v>8</v>
      </c>
      <c r="E2888">
        <v>73</v>
      </c>
      <c r="F2888">
        <v>9.125</v>
      </c>
      <c r="G2888">
        <v>7</v>
      </c>
      <c r="H2888">
        <v>0.46</v>
      </c>
      <c r="I2888">
        <v>0</v>
      </c>
      <c r="J2888">
        <v>0</v>
      </c>
      <c r="K2888">
        <v>2</v>
      </c>
      <c r="L2888">
        <v>4</v>
      </c>
      <c r="M2888">
        <v>8</v>
      </c>
      <c r="N2888">
        <v>8</v>
      </c>
      <c r="P2888">
        <v>0</v>
      </c>
      <c r="Q2888">
        <v>0</v>
      </c>
      <c r="R2888">
        <v>0</v>
      </c>
      <c r="S2888">
        <v>1</v>
      </c>
    </row>
    <row r="2889" spans="1:19" hidden="1" x14ac:dyDescent="0.35">
      <c r="A2889">
        <v>55956579500</v>
      </c>
      <c r="B2889" t="s">
        <v>2893</v>
      </c>
      <c r="C2889" t="str">
        <f>_xlfn.XLOOKUP(A2889,[1]Affiliations!$J$2:$J$5328,[1]Affiliations!$K$2:$K$5328,0)</f>
        <v>Universidade Federal do Pampa</v>
      </c>
      <c r="D2889">
        <v>3</v>
      </c>
      <c r="E2889">
        <v>56</v>
      </c>
      <c r="F2889">
        <v>18.666665999999999</v>
      </c>
      <c r="G2889">
        <v>2</v>
      </c>
      <c r="H2889">
        <v>1.1100000000000001</v>
      </c>
      <c r="I2889">
        <v>0</v>
      </c>
      <c r="J2889">
        <v>0</v>
      </c>
      <c r="K2889">
        <v>0</v>
      </c>
      <c r="L2889">
        <v>1</v>
      </c>
      <c r="M2889">
        <v>2</v>
      </c>
      <c r="N2889">
        <v>3</v>
      </c>
      <c r="P2889">
        <v>0</v>
      </c>
      <c r="Q2889">
        <v>0</v>
      </c>
      <c r="R2889">
        <v>0</v>
      </c>
      <c r="S2889">
        <v>1</v>
      </c>
    </row>
    <row r="2890" spans="1:19" hidden="1" x14ac:dyDescent="0.35">
      <c r="A2890">
        <v>57203641390</v>
      </c>
      <c r="B2890" t="s">
        <v>2894</v>
      </c>
      <c r="C2890" t="str">
        <f>_xlfn.XLOOKUP(A2890,[1]Affiliations!$J$2:$J$5328,[1]Affiliations!$K$2:$K$5328,0)</f>
        <v>Federal University of Rio de Janeiro</v>
      </c>
      <c r="D2890">
        <v>1</v>
      </c>
      <c r="E2890">
        <v>21</v>
      </c>
      <c r="F2890">
        <v>21</v>
      </c>
      <c r="G2890">
        <v>1</v>
      </c>
      <c r="H2890">
        <v>0.74</v>
      </c>
      <c r="I2890">
        <v>0</v>
      </c>
      <c r="J2890">
        <v>0</v>
      </c>
      <c r="K2890">
        <v>0</v>
      </c>
      <c r="L2890">
        <v>1</v>
      </c>
      <c r="M2890">
        <v>1</v>
      </c>
      <c r="N2890">
        <v>1</v>
      </c>
      <c r="P2890">
        <v>0</v>
      </c>
      <c r="Q2890">
        <v>0</v>
      </c>
      <c r="R2890">
        <v>0</v>
      </c>
      <c r="S2890">
        <v>1</v>
      </c>
    </row>
    <row r="2891" spans="1:19" hidden="1" x14ac:dyDescent="0.35">
      <c r="A2891">
        <v>58778624800</v>
      </c>
      <c r="B2891" t="s">
        <v>2895</v>
      </c>
      <c r="C2891" t="str">
        <f>_xlfn.XLOOKUP(A2891,[1]Affiliations!$J$2:$J$5328,[1]Affiliations!$K$2:$K$5328,0)</f>
        <v>University of Campinas</v>
      </c>
      <c r="D2891">
        <v>6</v>
      </c>
      <c r="E2891">
        <v>40</v>
      </c>
      <c r="F2891">
        <v>6.6666664999999998</v>
      </c>
      <c r="G2891">
        <v>4</v>
      </c>
      <c r="H2891">
        <v>0.21</v>
      </c>
      <c r="I2891">
        <v>0</v>
      </c>
      <c r="J2891">
        <v>0</v>
      </c>
      <c r="K2891">
        <v>0</v>
      </c>
      <c r="L2891">
        <v>2</v>
      </c>
      <c r="M2891">
        <v>5</v>
      </c>
      <c r="N2891">
        <v>5</v>
      </c>
      <c r="P2891">
        <v>0</v>
      </c>
      <c r="Q2891">
        <v>0</v>
      </c>
      <c r="R2891">
        <v>0</v>
      </c>
      <c r="S2891">
        <v>0</v>
      </c>
    </row>
    <row r="2892" spans="1:19" hidden="1" x14ac:dyDescent="0.35">
      <c r="A2892">
        <v>55850905300</v>
      </c>
      <c r="B2892" t="s">
        <v>2896</v>
      </c>
      <c r="C2892" t="str">
        <f>_xlfn.XLOOKUP(A2892,[1]Affiliations!$J$2:$J$5328,[1]Affiliations!$K$2:$K$5328,0)</f>
        <v>Federal University of Santa Catarina</v>
      </c>
      <c r="D2892">
        <v>1</v>
      </c>
      <c r="E2892">
        <v>0</v>
      </c>
      <c r="F2892">
        <v>0</v>
      </c>
      <c r="G2892">
        <v>2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P2892">
        <v>0</v>
      </c>
      <c r="Q2892">
        <v>0</v>
      </c>
      <c r="R2892">
        <v>0</v>
      </c>
      <c r="S2892">
        <v>0</v>
      </c>
    </row>
    <row r="2893" spans="1:19" hidden="1" x14ac:dyDescent="0.35">
      <c r="A2893">
        <v>58663415800</v>
      </c>
      <c r="B2893" t="s">
        <v>2897</v>
      </c>
      <c r="C2893" t="str">
        <f>_xlfn.XLOOKUP(A2893,[1]Affiliations!$J$2:$J$5328,[1]Affiliations!$K$2:$K$5328,0)</f>
        <v>Universidade Federal de Campina Grande</v>
      </c>
      <c r="D2893">
        <v>3</v>
      </c>
      <c r="E2893">
        <v>2</v>
      </c>
      <c r="F2893">
        <v>0.66666669999999995</v>
      </c>
      <c r="G2893">
        <v>1</v>
      </c>
      <c r="H2893">
        <v>7.0000000000000007E-2</v>
      </c>
      <c r="I2893">
        <v>0</v>
      </c>
      <c r="J2893">
        <v>0</v>
      </c>
      <c r="K2893">
        <v>0</v>
      </c>
      <c r="L2893">
        <v>1</v>
      </c>
      <c r="M2893">
        <v>3</v>
      </c>
      <c r="N2893">
        <v>3</v>
      </c>
      <c r="P2893">
        <v>0</v>
      </c>
      <c r="Q2893">
        <v>0</v>
      </c>
      <c r="R2893">
        <v>0</v>
      </c>
      <c r="S2893">
        <v>0</v>
      </c>
    </row>
    <row r="2894" spans="1:19" hidden="1" x14ac:dyDescent="0.35">
      <c r="A2894">
        <v>56737389000</v>
      </c>
      <c r="B2894" t="s">
        <v>2898</v>
      </c>
      <c r="C2894" t="str">
        <f>_xlfn.XLOOKUP(A2894,[1]Affiliations!$J$2:$J$5328,[1]Affiliations!$K$2:$K$5328,0)</f>
        <v>Federal University of Rio de Janeiro</v>
      </c>
      <c r="D2894">
        <v>3</v>
      </c>
      <c r="E2894">
        <v>77</v>
      </c>
      <c r="F2894">
        <v>25.666665999999999</v>
      </c>
      <c r="G2894">
        <v>3</v>
      </c>
      <c r="H2894">
        <v>0.77</v>
      </c>
      <c r="I2894">
        <v>0</v>
      </c>
      <c r="J2894">
        <v>0</v>
      </c>
      <c r="K2894">
        <v>0</v>
      </c>
      <c r="L2894">
        <v>2</v>
      </c>
      <c r="M2894">
        <v>2</v>
      </c>
      <c r="N2894">
        <v>3</v>
      </c>
      <c r="P2894">
        <v>0</v>
      </c>
      <c r="Q2894">
        <v>0</v>
      </c>
      <c r="R2894">
        <v>0</v>
      </c>
      <c r="S2894">
        <v>1</v>
      </c>
    </row>
    <row r="2895" spans="1:19" hidden="1" x14ac:dyDescent="0.35">
      <c r="A2895">
        <v>55190054800</v>
      </c>
      <c r="B2895" t="s">
        <v>2899</v>
      </c>
      <c r="C2895" t="str">
        <f>_xlfn.XLOOKUP(A2895,[1]Affiliations!$J$2:$J$5328,[1]Affiliations!$K$2:$K$5328,0)</f>
        <v>Universidade Federal de Goiás</v>
      </c>
      <c r="D2895">
        <v>50</v>
      </c>
      <c r="E2895">
        <v>310</v>
      </c>
      <c r="F2895">
        <v>6.2</v>
      </c>
      <c r="G2895">
        <v>10</v>
      </c>
      <c r="H2895">
        <v>0.44</v>
      </c>
      <c r="I2895">
        <v>0</v>
      </c>
      <c r="J2895">
        <v>1</v>
      </c>
      <c r="K2895">
        <v>2</v>
      </c>
      <c r="L2895">
        <v>21</v>
      </c>
      <c r="M2895">
        <v>36</v>
      </c>
      <c r="N2895">
        <v>43</v>
      </c>
      <c r="P2895">
        <v>0</v>
      </c>
      <c r="Q2895">
        <v>0</v>
      </c>
      <c r="R2895">
        <v>0</v>
      </c>
      <c r="S2895">
        <v>6</v>
      </c>
    </row>
    <row r="2896" spans="1:19" hidden="1" x14ac:dyDescent="0.35">
      <c r="A2896">
        <v>57204184225</v>
      </c>
      <c r="B2896" t="s">
        <v>2900</v>
      </c>
      <c r="C2896" t="str">
        <f>_xlfn.XLOOKUP(A2896,[1]Affiliations!$J$2:$J$5328,[1]Affiliations!$K$2:$K$5328,0)</f>
        <v>Federal University of Rio de Janeiro</v>
      </c>
      <c r="D2896">
        <v>7</v>
      </c>
      <c r="E2896">
        <v>53</v>
      </c>
      <c r="F2896">
        <v>7.5714290000000002</v>
      </c>
      <c r="G2896">
        <v>5</v>
      </c>
      <c r="H2896">
        <v>0.27</v>
      </c>
      <c r="I2896">
        <v>0</v>
      </c>
      <c r="J2896">
        <v>0</v>
      </c>
      <c r="K2896">
        <v>0</v>
      </c>
      <c r="L2896">
        <v>2</v>
      </c>
      <c r="M2896">
        <v>4</v>
      </c>
      <c r="N2896">
        <v>7</v>
      </c>
      <c r="P2896">
        <v>0</v>
      </c>
      <c r="Q2896">
        <v>0</v>
      </c>
      <c r="R2896">
        <v>0</v>
      </c>
      <c r="S2896">
        <v>2</v>
      </c>
    </row>
    <row r="2897" spans="1:19" hidden="1" x14ac:dyDescent="0.35">
      <c r="A2897">
        <v>57195981457</v>
      </c>
      <c r="B2897" t="s">
        <v>2901</v>
      </c>
      <c r="C2897" t="str">
        <f>_xlfn.XLOOKUP(A2897,[1]Affiliations!$J$2:$J$5328,[1]Affiliations!$K$2:$K$5328,0)</f>
        <v>Universidade Federal de Pernambuco</v>
      </c>
      <c r="D2897">
        <v>2</v>
      </c>
      <c r="E2897">
        <v>11</v>
      </c>
      <c r="F2897">
        <v>5.5</v>
      </c>
      <c r="G2897">
        <v>2</v>
      </c>
      <c r="H2897">
        <v>0.14000000000000001</v>
      </c>
      <c r="P2897">
        <v>0</v>
      </c>
      <c r="Q2897">
        <v>0</v>
      </c>
      <c r="R2897">
        <v>0</v>
      </c>
      <c r="S2897">
        <v>0</v>
      </c>
    </row>
    <row r="2898" spans="1:19" hidden="1" x14ac:dyDescent="0.35">
      <c r="A2898">
        <v>57210552642</v>
      </c>
      <c r="B2898" t="s">
        <v>2902</v>
      </c>
      <c r="C2898" t="str">
        <f>_xlfn.XLOOKUP(A2898,[1]Affiliations!$J$2:$J$5328,[1]Affiliations!$K$2:$K$5328,0)</f>
        <v>Universidade Federal do Rio Grande do Norte</v>
      </c>
      <c r="D2898">
        <v>6</v>
      </c>
      <c r="E2898">
        <v>59</v>
      </c>
      <c r="F2898">
        <v>9.8333329999999997</v>
      </c>
      <c r="G2898">
        <v>4</v>
      </c>
      <c r="H2898">
        <v>1.03</v>
      </c>
      <c r="I2898">
        <v>0</v>
      </c>
      <c r="J2898">
        <v>2</v>
      </c>
      <c r="K2898">
        <v>2</v>
      </c>
      <c r="L2898">
        <v>4</v>
      </c>
      <c r="M2898">
        <v>4</v>
      </c>
      <c r="N2898">
        <v>4</v>
      </c>
      <c r="P2898">
        <v>0</v>
      </c>
      <c r="Q2898">
        <v>0</v>
      </c>
      <c r="R2898">
        <v>0</v>
      </c>
      <c r="S2898">
        <v>2</v>
      </c>
    </row>
    <row r="2899" spans="1:19" x14ac:dyDescent="0.35">
      <c r="A2899">
        <v>57191873441</v>
      </c>
      <c r="B2899" t="s">
        <v>4746</v>
      </c>
      <c r="C2899" t="str">
        <f>_xlfn.XLOOKUP(A2899,[1]Affiliations!$J$2:$J$5328,[1]Affiliations!$K$2:$K$5328,0)</f>
        <v>Universidade do Estado do Rio de Janeiro (+2 more)</v>
      </c>
      <c r="D2899">
        <v>10</v>
      </c>
      <c r="E2899">
        <v>216</v>
      </c>
      <c r="F2899">
        <v>21.6</v>
      </c>
      <c r="G2899">
        <v>9</v>
      </c>
      <c r="H2899">
        <v>0.89</v>
      </c>
      <c r="I2899">
        <v>1</v>
      </c>
      <c r="J2899">
        <v>1</v>
      </c>
      <c r="K2899">
        <v>4</v>
      </c>
      <c r="L2899">
        <v>7</v>
      </c>
      <c r="M2899">
        <v>8</v>
      </c>
      <c r="N2899">
        <v>9</v>
      </c>
      <c r="P2899">
        <v>0</v>
      </c>
      <c r="Q2899">
        <v>0</v>
      </c>
      <c r="R2899">
        <v>3</v>
      </c>
      <c r="S2899">
        <v>4</v>
      </c>
    </row>
    <row r="2900" spans="1:19" hidden="1" x14ac:dyDescent="0.35">
      <c r="A2900">
        <v>57220028867</v>
      </c>
      <c r="B2900" t="s">
        <v>2904</v>
      </c>
      <c r="C2900" t="str">
        <f>_xlfn.XLOOKUP(A2900,[1]Affiliations!$J$2:$J$5328,[1]Affiliations!$K$2:$K$5328,0)</f>
        <v>Pontifical Catholic University of Rio de Janeiro</v>
      </c>
      <c r="D2900">
        <v>2</v>
      </c>
      <c r="E2900">
        <v>24</v>
      </c>
      <c r="F2900">
        <v>12</v>
      </c>
      <c r="G2900">
        <v>2</v>
      </c>
      <c r="H2900">
        <v>1.3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1</v>
      </c>
      <c r="P2900">
        <v>0</v>
      </c>
      <c r="Q2900">
        <v>0</v>
      </c>
      <c r="R2900">
        <v>0</v>
      </c>
      <c r="S2900">
        <v>0</v>
      </c>
    </row>
    <row r="2901" spans="1:19" hidden="1" x14ac:dyDescent="0.35">
      <c r="A2901">
        <v>57196185533</v>
      </c>
      <c r="B2901" t="s">
        <v>2905</v>
      </c>
      <c r="C2901" t="str">
        <f>_xlfn.XLOOKUP(A2901,[1]Affiliations!$J$2:$J$5328,[1]Affiliations!$K$2:$K$5328,0)</f>
        <v>Pontifical Catholic University of Rio de Janeiro</v>
      </c>
      <c r="D2901">
        <v>1</v>
      </c>
      <c r="E2901">
        <v>3</v>
      </c>
      <c r="F2901">
        <v>3</v>
      </c>
      <c r="G2901">
        <v>1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1</v>
      </c>
      <c r="N2901">
        <v>1</v>
      </c>
      <c r="P2901">
        <v>0</v>
      </c>
      <c r="Q2901">
        <v>0</v>
      </c>
      <c r="R2901">
        <v>0</v>
      </c>
      <c r="S2901">
        <v>0</v>
      </c>
    </row>
    <row r="2902" spans="1:19" hidden="1" x14ac:dyDescent="0.35">
      <c r="A2902">
        <v>56379815900</v>
      </c>
      <c r="B2902" t="s">
        <v>2906</v>
      </c>
      <c r="C2902" t="str">
        <f>_xlfn.XLOOKUP(A2902,[1]Affiliations!$J$2:$J$5328,[1]Affiliations!$K$2:$K$5328,0)</f>
        <v>Universidade Federal do Espírito Santo</v>
      </c>
      <c r="D2902">
        <v>3</v>
      </c>
      <c r="E2902">
        <v>6</v>
      </c>
      <c r="F2902">
        <v>2</v>
      </c>
      <c r="G2902">
        <v>1</v>
      </c>
      <c r="H2902">
        <v>0.05</v>
      </c>
      <c r="I2902">
        <v>0</v>
      </c>
      <c r="J2902">
        <v>0</v>
      </c>
      <c r="K2902">
        <v>0</v>
      </c>
      <c r="L2902">
        <v>0</v>
      </c>
      <c r="M2902">
        <v>2</v>
      </c>
      <c r="N2902">
        <v>3</v>
      </c>
      <c r="P2902">
        <v>0</v>
      </c>
      <c r="Q2902">
        <v>0</v>
      </c>
      <c r="R2902">
        <v>0</v>
      </c>
      <c r="S2902">
        <v>0</v>
      </c>
    </row>
    <row r="2903" spans="1:19" hidden="1" x14ac:dyDescent="0.35">
      <c r="A2903">
        <v>57221739886</v>
      </c>
      <c r="B2903" t="s">
        <v>2907</v>
      </c>
      <c r="C2903" t="str">
        <f>_xlfn.XLOOKUP(A2903,[1]Affiliations!$J$2:$J$5328,[1]Affiliations!$K$2:$K$5328,0)</f>
        <v>Federal University of Santa Catarina</v>
      </c>
      <c r="D2903">
        <v>1</v>
      </c>
      <c r="E2903">
        <v>22</v>
      </c>
      <c r="F2903">
        <v>22</v>
      </c>
      <c r="G2903">
        <v>1</v>
      </c>
      <c r="H2903">
        <v>1.66</v>
      </c>
      <c r="I2903">
        <v>0</v>
      </c>
      <c r="J2903">
        <v>0</v>
      </c>
      <c r="K2903">
        <v>0</v>
      </c>
      <c r="L2903">
        <v>1</v>
      </c>
      <c r="M2903">
        <v>1</v>
      </c>
      <c r="N2903">
        <v>1</v>
      </c>
      <c r="P2903">
        <v>0</v>
      </c>
      <c r="Q2903">
        <v>0</v>
      </c>
      <c r="R2903">
        <v>0</v>
      </c>
      <c r="S2903">
        <v>1</v>
      </c>
    </row>
    <row r="2904" spans="1:19" x14ac:dyDescent="0.35">
      <c r="A2904">
        <v>7005944571</v>
      </c>
      <c r="B2904" t="s">
        <v>4894</v>
      </c>
      <c r="C2904" t="str">
        <f>_xlfn.XLOOKUP(A2904,[1]Affiliations!$J$2:$J$5328,[1]Affiliations!$K$2:$K$5328,0)</f>
        <v>Universidade Federal do Rio Grande do Sul</v>
      </c>
      <c r="D2904">
        <v>15</v>
      </c>
      <c r="E2904">
        <v>364</v>
      </c>
      <c r="F2904">
        <v>24.266666000000001</v>
      </c>
      <c r="G2904">
        <v>18</v>
      </c>
      <c r="H2904">
        <v>0.89</v>
      </c>
      <c r="I2904">
        <v>0</v>
      </c>
      <c r="J2904">
        <v>2</v>
      </c>
      <c r="K2904">
        <v>9</v>
      </c>
      <c r="L2904">
        <v>12</v>
      </c>
      <c r="M2904">
        <v>13</v>
      </c>
      <c r="N2904">
        <v>15</v>
      </c>
      <c r="P2904">
        <v>0</v>
      </c>
      <c r="Q2904">
        <v>1</v>
      </c>
      <c r="R2904">
        <v>1</v>
      </c>
      <c r="S2904">
        <v>6</v>
      </c>
    </row>
    <row r="2905" spans="1:19" hidden="1" x14ac:dyDescent="0.35">
      <c r="A2905">
        <v>57224832302</v>
      </c>
      <c r="B2905" t="s">
        <v>2909</v>
      </c>
      <c r="C2905" t="str">
        <f>_xlfn.XLOOKUP(A2905,[1]Affiliations!$J$2:$J$5328,[1]Affiliations!$K$2:$K$5328,0)</f>
        <v>Universidade de Brasília</v>
      </c>
      <c r="D2905">
        <v>11</v>
      </c>
      <c r="E2905">
        <v>80</v>
      </c>
      <c r="F2905">
        <v>7.2727275000000002</v>
      </c>
      <c r="G2905">
        <v>5</v>
      </c>
      <c r="H2905">
        <v>0.57999999999999996</v>
      </c>
      <c r="I2905">
        <v>0</v>
      </c>
      <c r="J2905">
        <v>1</v>
      </c>
      <c r="K2905">
        <v>1</v>
      </c>
      <c r="L2905">
        <v>2</v>
      </c>
      <c r="M2905">
        <v>5</v>
      </c>
      <c r="N2905">
        <v>8</v>
      </c>
      <c r="P2905">
        <v>0</v>
      </c>
      <c r="Q2905">
        <v>0</v>
      </c>
      <c r="R2905">
        <v>0</v>
      </c>
      <c r="S2905">
        <v>1</v>
      </c>
    </row>
    <row r="2906" spans="1:19" x14ac:dyDescent="0.35">
      <c r="A2906">
        <v>7005838352</v>
      </c>
      <c r="B2906" t="s">
        <v>155</v>
      </c>
      <c r="C2906" t="str">
        <f>_xlfn.XLOOKUP(A2906,[1]Affiliations!$J$2:$J$5328,[1]Affiliations!$K$2:$K$5328,0)</f>
        <v>Federal University of Rio de Janeiro</v>
      </c>
      <c r="D2906">
        <v>40</v>
      </c>
      <c r="E2906">
        <v>875</v>
      </c>
      <c r="F2906">
        <v>21.875</v>
      </c>
      <c r="G2906">
        <v>47</v>
      </c>
      <c r="H2906">
        <v>0.88</v>
      </c>
      <c r="I2906">
        <v>0</v>
      </c>
      <c r="J2906">
        <v>3</v>
      </c>
      <c r="K2906">
        <v>8</v>
      </c>
      <c r="L2906">
        <v>19</v>
      </c>
      <c r="M2906">
        <v>33</v>
      </c>
      <c r="N2906">
        <v>37</v>
      </c>
      <c r="P2906">
        <v>0</v>
      </c>
      <c r="Q2906">
        <v>1</v>
      </c>
      <c r="R2906">
        <v>4</v>
      </c>
      <c r="S2906">
        <v>18</v>
      </c>
    </row>
    <row r="2907" spans="1:19" x14ac:dyDescent="0.35">
      <c r="A2907">
        <v>35319586400</v>
      </c>
      <c r="B2907" t="s">
        <v>192</v>
      </c>
      <c r="C2907" t="str">
        <f>_xlfn.XLOOKUP(A2907,[1]Affiliations!$J$2:$J$5328,[1]Affiliations!$K$2:$K$5328,0)</f>
        <v>University of Campinas</v>
      </c>
      <c r="D2907">
        <v>53</v>
      </c>
      <c r="E2907">
        <v>1057</v>
      </c>
      <c r="F2907">
        <v>19.943396</v>
      </c>
      <c r="G2907">
        <v>21</v>
      </c>
      <c r="H2907">
        <v>0.88</v>
      </c>
      <c r="I2907">
        <v>0</v>
      </c>
      <c r="J2907">
        <v>7</v>
      </c>
      <c r="K2907">
        <v>17</v>
      </c>
      <c r="L2907">
        <v>33</v>
      </c>
      <c r="M2907">
        <v>45</v>
      </c>
      <c r="N2907">
        <v>50</v>
      </c>
      <c r="P2907">
        <v>0</v>
      </c>
      <c r="Q2907">
        <v>1</v>
      </c>
      <c r="R2907">
        <v>5</v>
      </c>
      <c r="S2907">
        <v>22</v>
      </c>
    </row>
    <row r="2908" spans="1:19" hidden="1" x14ac:dyDescent="0.35">
      <c r="A2908">
        <v>57220031119</v>
      </c>
      <c r="B2908" t="s">
        <v>2912</v>
      </c>
      <c r="C2908" t="str">
        <f>_xlfn.XLOOKUP(A2908,[1]Affiliations!$J$2:$J$5328,[1]Affiliations!$K$2:$K$5328,0)</f>
        <v>Pontifical Catholic University of Rio de Janeiro</v>
      </c>
      <c r="D2908">
        <v>1</v>
      </c>
      <c r="E2908">
        <v>12</v>
      </c>
      <c r="F2908">
        <v>12</v>
      </c>
      <c r="G2908">
        <v>1</v>
      </c>
      <c r="H2908">
        <v>0.26</v>
      </c>
      <c r="I2908">
        <v>0</v>
      </c>
      <c r="J2908">
        <v>0</v>
      </c>
      <c r="K2908">
        <v>0</v>
      </c>
      <c r="L2908">
        <v>1</v>
      </c>
      <c r="M2908">
        <v>1</v>
      </c>
      <c r="N2908">
        <v>1</v>
      </c>
      <c r="P2908">
        <v>0</v>
      </c>
      <c r="Q2908">
        <v>0</v>
      </c>
      <c r="R2908">
        <v>0</v>
      </c>
      <c r="S2908">
        <v>0</v>
      </c>
    </row>
    <row r="2909" spans="1:19" hidden="1" x14ac:dyDescent="0.35">
      <c r="A2909">
        <v>57189847866</v>
      </c>
      <c r="B2909" t="s">
        <v>2913</v>
      </c>
      <c r="C2909" t="str">
        <f>_xlfn.XLOOKUP(A2909,[1]Affiliations!$J$2:$J$5328,[1]Affiliations!$K$2:$K$5328,0)</f>
        <v>Universidade de São Paulo</v>
      </c>
      <c r="D2909">
        <v>1</v>
      </c>
      <c r="E2909">
        <v>18</v>
      </c>
      <c r="F2909">
        <v>18</v>
      </c>
      <c r="G2909">
        <v>1</v>
      </c>
      <c r="H2909">
        <v>0.67</v>
      </c>
      <c r="I2909">
        <v>0</v>
      </c>
      <c r="J2909">
        <v>0</v>
      </c>
      <c r="K2909">
        <v>1</v>
      </c>
      <c r="L2909">
        <v>1</v>
      </c>
      <c r="M2909">
        <v>1</v>
      </c>
      <c r="N2909">
        <v>1</v>
      </c>
      <c r="P2909">
        <v>0</v>
      </c>
      <c r="Q2909">
        <v>0</v>
      </c>
      <c r="R2909">
        <v>0</v>
      </c>
      <c r="S2909">
        <v>0</v>
      </c>
    </row>
    <row r="2910" spans="1:19" hidden="1" x14ac:dyDescent="0.35">
      <c r="A2910">
        <v>35097381400</v>
      </c>
      <c r="B2910" t="s">
        <v>2914</v>
      </c>
      <c r="C2910" t="str">
        <f>_xlfn.XLOOKUP(A2910,[1]Affiliations!$J$2:$J$5328,[1]Affiliations!$K$2:$K$5328,0)</f>
        <v>Federal University of Rio de Janeiro</v>
      </c>
      <c r="D2910">
        <v>13</v>
      </c>
      <c r="E2910">
        <v>135</v>
      </c>
      <c r="F2910">
        <v>10.384615</v>
      </c>
      <c r="G2910">
        <v>7</v>
      </c>
      <c r="H2910">
        <v>0.49</v>
      </c>
      <c r="I2910">
        <v>0</v>
      </c>
      <c r="J2910">
        <v>2</v>
      </c>
      <c r="K2910">
        <v>2</v>
      </c>
      <c r="L2910">
        <v>7</v>
      </c>
      <c r="M2910">
        <v>10</v>
      </c>
      <c r="N2910">
        <v>12</v>
      </c>
      <c r="P2910">
        <v>0</v>
      </c>
      <c r="Q2910">
        <v>0</v>
      </c>
      <c r="R2910">
        <v>0</v>
      </c>
      <c r="S2910">
        <v>3</v>
      </c>
    </row>
    <row r="2911" spans="1:19" x14ac:dyDescent="0.35">
      <c r="A2911">
        <v>7005832653</v>
      </c>
      <c r="B2911" t="s">
        <v>309</v>
      </c>
      <c r="C2911" t="str">
        <f>_xlfn.XLOOKUP(A2911,[1]Affiliations!$J$2:$J$5328,[1]Affiliations!$K$2:$K$5328,0)</f>
        <v>Federal University of Rio de Janeiro</v>
      </c>
      <c r="D2911">
        <v>52</v>
      </c>
      <c r="E2911">
        <v>971</v>
      </c>
      <c r="F2911">
        <v>18.673076999999999</v>
      </c>
      <c r="G2911">
        <v>40</v>
      </c>
      <c r="H2911">
        <v>0.88</v>
      </c>
      <c r="I2911">
        <v>0</v>
      </c>
      <c r="J2911">
        <v>9</v>
      </c>
      <c r="K2911">
        <v>18</v>
      </c>
      <c r="L2911">
        <v>32</v>
      </c>
      <c r="M2911">
        <v>43</v>
      </c>
      <c r="N2911">
        <v>44</v>
      </c>
      <c r="P2911">
        <v>0</v>
      </c>
      <c r="Q2911">
        <v>1</v>
      </c>
      <c r="R2911">
        <v>6</v>
      </c>
      <c r="S2911">
        <v>22</v>
      </c>
    </row>
    <row r="2912" spans="1:19" x14ac:dyDescent="0.35">
      <c r="A2912">
        <v>23396260500</v>
      </c>
      <c r="B2912" t="s">
        <v>806</v>
      </c>
      <c r="C2912" t="str">
        <f>_xlfn.XLOOKUP(A2912,[1]Affiliations!$J$2:$J$5328,[1]Affiliations!$K$2:$K$5328,0)</f>
        <v>Pontifical Catholic University of Rio de Janeiro (+1 more)</v>
      </c>
      <c r="D2912">
        <v>5</v>
      </c>
      <c r="E2912">
        <v>103</v>
      </c>
      <c r="F2912">
        <v>20.6</v>
      </c>
      <c r="G2912">
        <v>7</v>
      </c>
      <c r="H2912">
        <v>0.88</v>
      </c>
      <c r="I2912">
        <v>0</v>
      </c>
      <c r="J2912">
        <v>1</v>
      </c>
      <c r="K2912">
        <v>1</v>
      </c>
      <c r="L2912">
        <v>2</v>
      </c>
      <c r="M2912">
        <v>2</v>
      </c>
      <c r="N2912">
        <v>2</v>
      </c>
      <c r="P2912">
        <v>0</v>
      </c>
      <c r="Q2912">
        <v>1</v>
      </c>
      <c r="R2912">
        <v>1</v>
      </c>
      <c r="S2912">
        <v>2</v>
      </c>
    </row>
    <row r="2913" spans="1:19" hidden="1" x14ac:dyDescent="0.35">
      <c r="A2913">
        <v>57189847111</v>
      </c>
      <c r="B2913" t="s">
        <v>2917</v>
      </c>
      <c r="C2913" t="str">
        <f>_xlfn.XLOOKUP(A2913,[1]Affiliations!$J$2:$J$5328,[1]Affiliations!$K$2:$K$5328,0)</f>
        <v>Universidade de São Paulo</v>
      </c>
      <c r="D2913">
        <v>2</v>
      </c>
      <c r="E2913">
        <v>23</v>
      </c>
      <c r="F2913">
        <v>11.5</v>
      </c>
      <c r="G2913">
        <v>2</v>
      </c>
      <c r="H2913">
        <v>0.45</v>
      </c>
      <c r="I2913">
        <v>0</v>
      </c>
      <c r="J2913">
        <v>0</v>
      </c>
      <c r="K2913">
        <v>1</v>
      </c>
      <c r="L2913">
        <v>2</v>
      </c>
      <c r="M2913">
        <v>2</v>
      </c>
      <c r="N2913">
        <v>2</v>
      </c>
      <c r="P2913">
        <v>0</v>
      </c>
      <c r="Q2913">
        <v>0</v>
      </c>
      <c r="R2913">
        <v>0</v>
      </c>
      <c r="S2913">
        <v>0</v>
      </c>
    </row>
    <row r="2914" spans="1:19" hidden="1" x14ac:dyDescent="0.35">
      <c r="A2914">
        <v>41261852200</v>
      </c>
      <c r="B2914" t="s">
        <v>2918</v>
      </c>
      <c r="C2914" t="str">
        <f>_xlfn.XLOOKUP(A2914,[1]Affiliations!$J$2:$J$5328,[1]Affiliations!$K$2:$K$5328,0)</f>
        <v>Universidade Federal de Alagoas (+1 more)</v>
      </c>
      <c r="D2914">
        <v>11</v>
      </c>
      <c r="E2914">
        <v>61</v>
      </c>
      <c r="F2914">
        <v>5.5454545</v>
      </c>
      <c r="G2914">
        <v>7</v>
      </c>
      <c r="H2914">
        <v>0.28999999999999998</v>
      </c>
      <c r="I2914">
        <v>0</v>
      </c>
      <c r="J2914">
        <v>1</v>
      </c>
      <c r="K2914">
        <v>1</v>
      </c>
      <c r="L2914">
        <v>5</v>
      </c>
      <c r="M2914">
        <v>8</v>
      </c>
      <c r="N2914">
        <v>8</v>
      </c>
      <c r="P2914">
        <v>0</v>
      </c>
      <c r="Q2914">
        <v>0</v>
      </c>
      <c r="R2914">
        <v>0</v>
      </c>
      <c r="S2914">
        <v>0</v>
      </c>
    </row>
    <row r="2915" spans="1:19" x14ac:dyDescent="0.35">
      <c r="A2915">
        <v>57212086651</v>
      </c>
      <c r="B2915" t="s">
        <v>1148</v>
      </c>
      <c r="C2915" t="str">
        <f>_xlfn.XLOOKUP(A2915,[1]Affiliations!$J$2:$J$5328,[1]Affiliations!$K$2:$K$5328,0)</f>
        <v>Universidade Federal do Espírito Santo</v>
      </c>
      <c r="D2915">
        <v>9</v>
      </c>
      <c r="E2915">
        <v>139</v>
      </c>
      <c r="F2915">
        <v>15.444445</v>
      </c>
      <c r="G2915">
        <v>6</v>
      </c>
      <c r="H2915">
        <v>0.88</v>
      </c>
      <c r="I2915">
        <v>0</v>
      </c>
      <c r="J2915">
        <v>2</v>
      </c>
      <c r="K2915">
        <v>4</v>
      </c>
      <c r="L2915">
        <v>8</v>
      </c>
      <c r="M2915">
        <v>8</v>
      </c>
      <c r="N2915">
        <v>8</v>
      </c>
      <c r="P2915">
        <v>0</v>
      </c>
      <c r="Q2915">
        <v>0</v>
      </c>
      <c r="R2915">
        <v>1</v>
      </c>
      <c r="S2915">
        <v>5</v>
      </c>
    </row>
    <row r="2916" spans="1:19" x14ac:dyDescent="0.35">
      <c r="A2916">
        <v>55395574900</v>
      </c>
      <c r="B2916" t="s">
        <v>1182</v>
      </c>
      <c r="C2916" t="str">
        <f>_xlfn.XLOOKUP(A2916,[1]Affiliations!$J$2:$J$5328,[1]Affiliations!$K$2:$K$5328,0)</f>
        <v>Pontifical Catholic University of Rio de Janeiro</v>
      </c>
      <c r="D2916">
        <v>54</v>
      </c>
      <c r="E2916">
        <v>824</v>
      </c>
      <c r="F2916">
        <v>15.259259</v>
      </c>
      <c r="G2916">
        <v>23</v>
      </c>
      <c r="H2916">
        <v>0.88</v>
      </c>
      <c r="I2916">
        <v>1</v>
      </c>
      <c r="J2916">
        <v>10</v>
      </c>
      <c r="K2916">
        <v>21</v>
      </c>
      <c r="L2916">
        <v>31</v>
      </c>
      <c r="M2916">
        <v>43</v>
      </c>
      <c r="N2916">
        <v>48</v>
      </c>
      <c r="P2916">
        <v>0</v>
      </c>
      <c r="Q2916">
        <v>2</v>
      </c>
      <c r="R2916">
        <v>3</v>
      </c>
      <c r="S2916">
        <v>17</v>
      </c>
    </row>
    <row r="2917" spans="1:19" x14ac:dyDescent="0.35">
      <c r="A2917">
        <v>7005988591</v>
      </c>
      <c r="B2917" t="s">
        <v>1372</v>
      </c>
      <c r="C2917" t="str">
        <f>_xlfn.XLOOKUP(A2917,[1]Affiliations!$J$2:$J$5328,[1]Affiliations!$K$2:$K$5328,0)</f>
        <v>Federal University of Rio de Janeiro</v>
      </c>
      <c r="D2917">
        <v>55</v>
      </c>
      <c r="E2917">
        <v>866</v>
      </c>
      <c r="F2917">
        <v>15.745455</v>
      </c>
      <c r="G2917">
        <v>23</v>
      </c>
      <c r="H2917">
        <v>0.88</v>
      </c>
      <c r="I2917">
        <v>0</v>
      </c>
      <c r="J2917">
        <v>1</v>
      </c>
      <c r="K2917">
        <v>13</v>
      </c>
      <c r="L2917">
        <v>33</v>
      </c>
      <c r="M2917">
        <v>45</v>
      </c>
      <c r="N2917">
        <v>47</v>
      </c>
      <c r="P2917">
        <v>0</v>
      </c>
      <c r="Q2917">
        <v>1</v>
      </c>
      <c r="R2917">
        <v>4</v>
      </c>
      <c r="S2917">
        <v>17</v>
      </c>
    </row>
    <row r="2918" spans="1:19" hidden="1" x14ac:dyDescent="0.35">
      <c r="A2918">
        <v>59298540900</v>
      </c>
      <c r="B2918" t="s">
        <v>2922</v>
      </c>
      <c r="C2918" t="str">
        <f>_xlfn.XLOOKUP(A2918,[1]Affiliations!$J$2:$J$5328,[1]Affiliations!$K$2:$K$5328,0)</f>
        <v>Federal University of Rio de Janeiro</v>
      </c>
      <c r="D2918">
        <v>2</v>
      </c>
      <c r="E2918">
        <v>13</v>
      </c>
      <c r="F2918">
        <v>6.5</v>
      </c>
      <c r="G2918">
        <v>3</v>
      </c>
      <c r="H2918">
        <v>1.4</v>
      </c>
      <c r="I2918">
        <v>0</v>
      </c>
      <c r="J2918">
        <v>0</v>
      </c>
      <c r="K2918">
        <v>1</v>
      </c>
      <c r="L2918">
        <v>1</v>
      </c>
      <c r="M2918">
        <v>1</v>
      </c>
      <c r="N2918">
        <v>1</v>
      </c>
      <c r="P2918">
        <v>0</v>
      </c>
      <c r="Q2918">
        <v>0</v>
      </c>
      <c r="R2918">
        <v>0</v>
      </c>
      <c r="S2918">
        <v>1</v>
      </c>
    </row>
    <row r="2919" spans="1:19" hidden="1" x14ac:dyDescent="0.35">
      <c r="A2919">
        <v>57043658800</v>
      </c>
      <c r="B2919" t="s">
        <v>2923</v>
      </c>
      <c r="C2919" t="str">
        <f>_xlfn.XLOOKUP(A2919,[1]Affiliations!$J$2:$J$5328,[1]Affiliations!$K$2:$K$5328,0)</f>
        <v>Federal University of Rio de Janeiro</v>
      </c>
      <c r="D2919">
        <v>27</v>
      </c>
      <c r="E2919">
        <v>198</v>
      </c>
      <c r="F2919">
        <v>7.3333335000000002</v>
      </c>
      <c r="G2919">
        <v>9</v>
      </c>
      <c r="H2919">
        <v>0.47</v>
      </c>
      <c r="I2919">
        <v>0</v>
      </c>
      <c r="J2919">
        <v>1</v>
      </c>
      <c r="K2919">
        <v>7</v>
      </c>
      <c r="L2919">
        <v>13</v>
      </c>
      <c r="M2919">
        <v>18</v>
      </c>
      <c r="N2919">
        <v>22</v>
      </c>
      <c r="P2919">
        <v>0</v>
      </c>
      <c r="Q2919">
        <v>0</v>
      </c>
      <c r="R2919">
        <v>0</v>
      </c>
      <c r="S2919">
        <v>5</v>
      </c>
    </row>
    <row r="2920" spans="1:19" hidden="1" x14ac:dyDescent="0.35">
      <c r="A2920">
        <v>59234433600</v>
      </c>
      <c r="B2920" t="s">
        <v>2924</v>
      </c>
      <c r="C2920" t="str">
        <f>_xlfn.XLOOKUP(A2920,[1]Affiliations!$J$2:$J$5328,[1]Affiliations!$K$2:$K$5328,0)</f>
        <v>Universidade de São Paulo</v>
      </c>
      <c r="D2920">
        <v>1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1</v>
      </c>
      <c r="N2920">
        <v>1</v>
      </c>
      <c r="P2920">
        <v>0</v>
      </c>
      <c r="Q2920">
        <v>0</v>
      </c>
      <c r="R2920">
        <v>0</v>
      </c>
      <c r="S2920">
        <v>0</v>
      </c>
    </row>
    <row r="2921" spans="1:19" x14ac:dyDescent="0.35">
      <c r="A2921">
        <v>57216901850</v>
      </c>
      <c r="B2921" t="s">
        <v>1730</v>
      </c>
      <c r="C2921" t="str">
        <f>_xlfn.XLOOKUP(A2921,[1]Affiliations!$J$2:$J$5328,[1]Affiliations!$K$2:$K$5328,0)</f>
        <v>Federal University of Santa Catarina</v>
      </c>
      <c r="D2921">
        <v>33</v>
      </c>
      <c r="E2921">
        <v>734</v>
      </c>
      <c r="F2921">
        <v>22.242424</v>
      </c>
      <c r="G2921">
        <v>17</v>
      </c>
      <c r="H2921">
        <v>0.88</v>
      </c>
      <c r="I2921">
        <v>5</v>
      </c>
      <c r="J2921">
        <v>11</v>
      </c>
      <c r="K2921">
        <v>18</v>
      </c>
      <c r="L2921">
        <v>26</v>
      </c>
      <c r="M2921">
        <v>31</v>
      </c>
      <c r="N2921">
        <v>32</v>
      </c>
      <c r="P2921">
        <v>0</v>
      </c>
      <c r="Q2921">
        <v>3</v>
      </c>
      <c r="R2921">
        <v>10</v>
      </c>
      <c r="S2921">
        <v>20</v>
      </c>
    </row>
    <row r="2922" spans="1:19" x14ac:dyDescent="0.35">
      <c r="A2922">
        <v>6601956323</v>
      </c>
      <c r="B2922" t="s">
        <v>2032</v>
      </c>
      <c r="C2922" t="str">
        <f>_xlfn.XLOOKUP(A2922,[1]Affiliations!$J$2:$J$5328,[1]Affiliations!$K$2:$K$5328,0)</f>
        <v>Federal University of Rio de Janeiro</v>
      </c>
      <c r="D2922">
        <v>45</v>
      </c>
      <c r="E2922">
        <v>687</v>
      </c>
      <c r="F2922">
        <v>15.266666000000001</v>
      </c>
      <c r="G2922">
        <v>17</v>
      </c>
      <c r="H2922">
        <v>0.88</v>
      </c>
      <c r="I2922">
        <v>0</v>
      </c>
      <c r="J2922">
        <v>1</v>
      </c>
      <c r="K2922">
        <v>7</v>
      </c>
      <c r="L2922">
        <v>24</v>
      </c>
      <c r="M2922">
        <v>35</v>
      </c>
      <c r="N2922">
        <v>42</v>
      </c>
      <c r="P2922">
        <v>0</v>
      </c>
      <c r="Q2922">
        <v>0</v>
      </c>
      <c r="R2922">
        <v>2</v>
      </c>
      <c r="S2922">
        <v>16</v>
      </c>
    </row>
    <row r="2923" spans="1:19" hidden="1" x14ac:dyDescent="0.35">
      <c r="A2923">
        <v>58191324100</v>
      </c>
      <c r="B2923" t="s">
        <v>2927</v>
      </c>
      <c r="C2923" t="str">
        <f>_xlfn.XLOOKUP(A2923,[1]Affiliations!$J$2:$J$5328,[1]Affiliations!$K$2:$K$5328,0)</f>
        <v>Universidade Tiradentes (+1 more)</v>
      </c>
      <c r="D2923">
        <v>1</v>
      </c>
      <c r="E2923">
        <v>2</v>
      </c>
      <c r="F2923">
        <v>2</v>
      </c>
      <c r="G2923">
        <v>1</v>
      </c>
      <c r="H2923">
        <v>0.27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1</v>
      </c>
      <c r="P2923">
        <v>0</v>
      </c>
      <c r="Q2923">
        <v>0</v>
      </c>
      <c r="R2923">
        <v>0</v>
      </c>
      <c r="S2923">
        <v>0</v>
      </c>
    </row>
    <row r="2924" spans="1:19" hidden="1" x14ac:dyDescent="0.35">
      <c r="A2924">
        <v>16316577300</v>
      </c>
      <c r="B2924" t="s">
        <v>2928</v>
      </c>
      <c r="C2924" t="str">
        <f>_xlfn.XLOOKUP(A2924,[1]Affiliations!$J$2:$J$5328,[1]Affiliations!$K$2:$K$5328,0)</f>
        <v>Universidade do Estado do Rio de Janeiro (+1 more)</v>
      </c>
      <c r="D2924">
        <v>2</v>
      </c>
      <c r="E2924">
        <v>59</v>
      </c>
      <c r="F2924">
        <v>29.5</v>
      </c>
      <c r="G2924">
        <v>3</v>
      </c>
      <c r="H2924">
        <v>1.1000000000000001</v>
      </c>
      <c r="I2924">
        <v>0</v>
      </c>
      <c r="J2924">
        <v>0</v>
      </c>
      <c r="K2924">
        <v>1</v>
      </c>
      <c r="L2924">
        <v>1</v>
      </c>
      <c r="M2924">
        <v>1</v>
      </c>
      <c r="N2924">
        <v>1</v>
      </c>
      <c r="P2924">
        <v>0</v>
      </c>
      <c r="Q2924">
        <v>0</v>
      </c>
      <c r="R2924">
        <v>1</v>
      </c>
      <c r="S2924">
        <v>1</v>
      </c>
    </row>
    <row r="2925" spans="1:19" x14ac:dyDescent="0.35">
      <c r="A2925">
        <v>6603983856</v>
      </c>
      <c r="B2925" t="s">
        <v>2183</v>
      </c>
      <c r="C2925" t="str">
        <f>_xlfn.XLOOKUP(A2925,[1]Affiliations!$J$2:$J$5328,[1]Affiliations!$K$2:$K$5328,0)</f>
        <v>Universidade Federal do Rio Grande do Sul</v>
      </c>
      <c r="D2925">
        <v>61</v>
      </c>
      <c r="E2925">
        <v>1322</v>
      </c>
      <c r="F2925">
        <v>21.672129999999999</v>
      </c>
      <c r="G2925">
        <v>41</v>
      </c>
      <c r="H2925">
        <v>0.88</v>
      </c>
      <c r="I2925">
        <v>2</v>
      </c>
      <c r="J2925">
        <v>13</v>
      </c>
      <c r="K2925">
        <v>27</v>
      </c>
      <c r="L2925">
        <v>48</v>
      </c>
      <c r="M2925">
        <v>54</v>
      </c>
      <c r="N2925">
        <v>55</v>
      </c>
      <c r="P2925">
        <v>0</v>
      </c>
      <c r="Q2925">
        <v>1</v>
      </c>
      <c r="R2925">
        <v>10</v>
      </c>
      <c r="S2925">
        <v>25</v>
      </c>
    </row>
    <row r="2926" spans="1:19" hidden="1" x14ac:dyDescent="0.35">
      <c r="A2926">
        <v>57209750437</v>
      </c>
      <c r="B2926" t="s">
        <v>2930</v>
      </c>
      <c r="C2926" t="str">
        <f>_xlfn.XLOOKUP(A2926,[1]Affiliations!$J$2:$J$5328,[1]Affiliations!$K$2:$K$5328,0)</f>
        <v>Federal University of Rio de Janeiro</v>
      </c>
      <c r="D2926">
        <v>7</v>
      </c>
      <c r="E2926">
        <v>5</v>
      </c>
      <c r="F2926">
        <v>0.71428572999999995</v>
      </c>
      <c r="G2926">
        <v>1</v>
      </c>
      <c r="H2926">
        <v>0.1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4</v>
      </c>
      <c r="P2926">
        <v>0</v>
      </c>
      <c r="Q2926">
        <v>0</v>
      </c>
      <c r="R2926">
        <v>0</v>
      </c>
      <c r="S2926">
        <v>0</v>
      </c>
    </row>
    <row r="2927" spans="1:19" hidden="1" x14ac:dyDescent="0.35">
      <c r="A2927">
        <v>57218456226</v>
      </c>
      <c r="B2927" t="s">
        <v>2931</v>
      </c>
      <c r="C2927" t="str">
        <f>_xlfn.XLOOKUP(A2927,[1]Affiliations!$J$2:$J$5328,[1]Affiliations!$K$2:$K$5328,0)</f>
        <v>Federal University of Rio de Janeiro</v>
      </c>
      <c r="D2927">
        <v>1</v>
      </c>
      <c r="E2927">
        <v>17</v>
      </c>
      <c r="F2927">
        <v>17</v>
      </c>
      <c r="G2927">
        <v>1</v>
      </c>
      <c r="H2927">
        <v>0.52</v>
      </c>
      <c r="I2927">
        <v>0</v>
      </c>
      <c r="J2927">
        <v>0</v>
      </c>
      <c r="K2927">
        <v>0</v>
      </c>
      <c r="L2927">
        <v>1</v>
      </c>
      <c r="M2927">
        <v>1</v>
      </c>
      <c r="N2927">
        <v>1</v>
      </c>
      <c r="P2927">
        <v>0</v>
      </c>
      <c r="Q2927">
        <v>0</v>
      </c>
      <c r="R2927">
        <v>0</v>
      </c>
      <c r="S2927">
        <v>1</v>
      </c>
    </row>
    <row r="2928" spans="1:19" x14ac:dyDescent="0.35">
      <c r="A2928">
        <v>7005053199</v>
      </c>
      <c r="B2928" t="s">
        <v>2280</v>
      </c>
      <c r="C2928" t="str">
        <f>_xlfn.XLOOKUP(A2928,[1]Affiliations!$J$2:$J$5328,[1]Affiliations!$K$2:$K$5328,0)</f>
        <v>Universidade Federal do Rio Grande do Sul</v>
      </c>
      <c r="D2928">
        <v>58</v>
      </c>
      <c r="E2928">
        <v>754</v>
      </c>
      <c r="F2928">
        <v>13</v>
      </c>
      <c r="G2928">
        <v>22</v>
      </c>
      <c r="H2928">
        <v>0.88</v>
      </c>
      <c r="I2928">
        <v>3</v>
      </c>
      <c r="J2928">
        <v>13</v>
      </c>
      <c r="K2928">
        <v>16</v>
      </c>
      <c r="L2928">
        <v>30</v>
      </c>
      <c r="M2928">
        <v>45</v>
      </c>
      <c r="N2928">
        <v>47</v>
      </c>
      <c r="P2928">
        <v>0</v>
      </c>
      <c r="Q2928">
        <v>0</v>
      </c>
      <c r="R2928">
        <v>3</v>
      </c>
      <c r="S2928">
        <v>18</v>
      </c>
    </row>
    <row r="2929" spans="1:19" hidden="1" x14ac:dyDescent="0.35">
      <c r="A2929">
        <v>56367464600</v>
      </c>
      <c r="B2929" t="s">
        <v>2933</v>
      </c>
      <c r="C2929" t="str">
        <f>_xlfn.XLOOKUP(A2929,[1]Affiliations!$J$2:$J$5328,[1]Affiliations!$K$2:$K$5328,0)</f>
        <v>Universidade de São Paulo</v>
      </c>
      <c r="D2929">
        <v>1</v>
      </c>
      <c r="E2929">
        <v>2</v>
      </c>
      <c r="F2929">
        <v>2</v>
      </c>
      <c r="G2929">
        <v>1</v>
      </c>
      <c r="H2929">
        <v>0.56999999999999995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1</v>
      </c>
      <c r="P2929">
        <v>0</v>
      </c>
      <c r="Q2929">
        <v>0</v>
      </c>
      <c r="R2929">
        <v>0</v>
      </c>
      <c r="S2929">
        <v>0</v>
      </c>
    </row>
    <row r="2930" spans="1:19" hidden="1" x14ac:dyDescent="0.35">
      <c r="A2930">
        <v>57503449900</v>
      </c>
      <c r="B2930" t="s">
        <v>2934</v>
      </c>
      <c r="C2930" t="str">
        <f>_xlfn.XLOOKUP(A2930,[1]Affiliations!$J$2:$J$5328,[1]Affiliations!$K$2:$K$5328,0)</f>
        <v>Universidade Federal do Espírito Santo</v>
      </c>
      <c r="D2930">
        <v>1</v>
      </c>
      <c r="E2930">
        <v>16</v>
      </c>
      <c r="F2930">
        <v>16</v>
      </c>
      <c r="G2930">
        <v>1</v>
      </c>
      <c r="H2930">
        <v>0.48</v>
      </c>
      <c r="I2930">
        <v>0</v>
      </c>
      <c r="J2930">
        <v>0</v>
      </c>
      <c r="K2930">
        <v>0</v>
      </c>
      <c r="L2930">
        <v>0</v>
      </c>
      <c r="M2930">
        <v>1</v>
      </c>
      <c r="N2930">
        <v>1</v>
      </c>
      <c r="P2930">
        <v>0</v>
      </c>
      <c r="Q2930">
        <v>0</v>
      </c>
      <c r="R2930">
        <v>0</v>
      </c>
      <c r="S2930">
        <v>0</v>
      </c>
    </row>
    <row r="2931" spans="1:19" hidden="1" x14ac:dyDescent="0.35">
      <c r="A2931">
        <v>7004226013</v>
      </c>
      <c r="B2931" t="s">
        <v>2935</v>
      </c>
      <c r="C2931" t="str">
        <f>_xlfn.XLOOKUP(A2931,[1]Affiliations!$J$2:$J$5328,[1]Affiliations!$K$2:$K$5328,0)</f>
        <v>Universidade Federal do Espírito Santo</v>
      </c>
      <c r="D2931">
        <v>30</v>
      </c>
      <c r="E2931">
        <v>272</v>
      </c>
      <c r="F2931">
        <v>9.0666670000000007</v>
      </c>
      <c r="G2931">
        <v>9</v>
      </c>
      <c r="H2931">
        <v>0.59</v>
      </c>
      <c r="I2931">
        <v>0</v>
      </c>
      <c r="J2931">
        <v>5</v>
      </c>
      <c r="K2931">
        <v>22</v>
      </c>
      <c r="L2931">
        <v>25</v>
      </c>
      <c r="M2931">
        <v>29</v>
      </c>
      <c r="N2931">
        <v>29</v>
      </c>
      <c r="P2931">
        <v>0</v>
      </c>
      <c r="Q2931">
        <v>0</v>
      </c>
      <c r="R2931">
        <v>0</v>
      </c>
      <c r="S2931">
        <v>5</v>
      </c>
    </row>
    <row r="2932" spans="1:19" hidden="1" x14ac:dyDescent="0.35">
      <c r="A2932">
        <v>8886859900</v>
      </c>
      <c r="B2932" t="s">
        <v>2936</v>
      </c>
      <c r="C2932" t="str">
        <f>_xlfn.XLOOKUP(A2932,[1]Affiliations!$J$2:$J$5328,[1]Affiliations!$K$2:$K$5328,0)</f>
        <v>Instituto Federal de Educação, Ciência e Tecnologia do Rio de Janeiro (+1 more)</v>
      </c>
      <c r="D2932">
        <v>4</v>
      </c>
      <c r="E2932">
        <v>37</v>
      </c>
      <c r="F2932">
        <v>9.25</v>
      </c>
      <c r="G2932">
        <v>5</v>
      </c>
      <c r="H2932">
        <v>0.51</v>
      </c>
      <c r="I2932">
        <v>0</v>
      </c>
      <c r="J2932">
        <v>0</v>
      </c>
      <c r="K2932">
        <v>1</v>
      </c>
      <c r="L2932">
        <v>3</v>
      </c>
      <c r="M2932">
        <v>4</v>
      </c>
      <c r="N2932">
        <v>4</v>
      </c>
      <c r="P2932">
        <v>0</v>
      </c>
      <c r="Q2932">
        <v>0</v>
      </c>
      <c r="R2932">
        <v>0</v>
      </c>
      <c r="S2932">
        <v>0</v>
      </c>
    </row>
    <row r="2933" spans="1:19" x14ac:dyDescent="0.35">
      <c r="A2933">
        <v>57207692794</v>
      </c>
      <c r="B2933" t="s">
        <v>2308</v>
      </c>
      <c r="C2933" t="str">
        <f>_xlfn.XLOOKUP(A2933,[1]Affiliations!$J$2:$J$5328,[1]Affiliations!$K$2:$K$5328,0)</f>
        <v>DEMa</v>
      </c>
      <c r="D2933">
        <v>16</v>
      </c>
      <c r="E2933">
        <v>194</v>
      </c>
      <c r="F2933">
        <v>12.125</v>
      </c>
      <c r="G2933">
        <v>9</v>
      </c>
      <c r="H2933">
        <v>0.88</v>
      </c>
      <c r="I2933">
        <v>0</v>
      </c>
      <c r="J2933">
        <v>2</v>
      </c>
      <c r="K2933">
        <v>4</v>
      </c>
      <c r="L2933">
        <v>12</v>
      </c>
      <c r="M2933">
        <v>15</v>
      </c>
      <c r="N2933">
        <v>16</v>
      </c>
      <c r="P2933">
        <v>0</v>
      </c>
      <c r="Q2933">
        <v>0</v>
      </c>
      <c r="R2933">
        <v>2</v>
      </c>
      <c r="S2933">
        <v>8</v>
      </c>
    </row>
    <row r="2934" spans="1:19" hidden="1" x14ac:dyDescent="0.35">
      <c r="A2934">
        <v>52864150700</v>
      </c>
      <c r="B2934" t="s">
        <v>2938</v>
      </c>
      <c r="C2934" t="str">
        <f>_xlfn.XLOOKUP(A2934,[1]Affiliations!$J$2:$J$5328,[1]Affiliations!$K$2:$K$5328,0)</f>
        <v>Universidade Federal Fluminense (+1 more)</v>
      </c>
      <c r="D2934">
        <v>2</v>
      </c>
      <c r="E2934">
        <v>18</v>
      </c>
      <c r="F2934">
        <v>9</v>
      </c>
      <c r="G2934">
        <v>2</v>
      </c>
      <c r="H2934">
        <v>1.04</v>
      </c>
      <c r="I2934">
        <v>0</v>
      </c>
      <c r="J2934">
        <v>0</v>
      </c>
      <c r="K2934">
        <v>0</v>
      </c>
      <c r="L2934">
        <v>1</v>
      </c>
      <c r="M2934">
        <v>1</v>
      </c>
      <c r="N2934">
        <v>1</v>
      </c>
      <c r="P2934">
        <v>0</v>
      </c>
      <c r="Q2934">
        <v>0</v>
      </c>
      <c r="R2934">
        <v>0</v>
      </c>
      <c r="S2934">
        <v>0</v>
      </c>
    </row>
    <row r="2935" spans="1:19" hidden="1" x14ac:dyDescent="0.35">
      <c r="A2935">
        <v>57222240241</v>
      </c>
      <c r="B2935" t="s">
        <v>2939</v>
      </c>
      <c r="C2935" t="str">
        <f>_xlfn.XLOOKUP(A2935,[1]Affiliations!$J$2:$J$5328,[1]Affiliations!$K$2:$K$5328,0)</f>
        <v>Vizlab - X-Reality and GeoInformatics Lab (+1 more)</v>
      </c>
      <c r="D2935">
        <v>4</v>
      </c>
      <c r="E2935">
        <v>26</v>
      </c>
      <c r="F2935">
        <v>6.5</v>
      </c>
      <c r="G2935">
        <v>3</v>
      </c>
      <c r="H2935">
        <v>0.57999999999999996</v>
      </c>
      <c r="I2935">
        <v>0</v>
      </c>
      <c r="J2935">
        <v>0</v>
      </c>
      <c r="K2935">
        <v>3</v>
      </c>
      <c r="L2935">
        <v>3</v>
      </c>
      <c r="M2935">
        <v>4</v>
      </c>
      <c r="N2935">
        <v>4</v>
      </c>
      <c r="P2935">
        <v>0</v>
      </c>
      <c r="Q2935">
        <v>0</v>
      </c>
      <c r="R2935">
        <v>0</v>
      </c>
      <c r="S2935">
        <v>0</v>
      </c>
    </row>
    <row r="2936" spans="1:19" hidden="1" x14ac:dyDescent="0.35">
      <c r="A2936">
        <v>57254443500</v>
      </c>
      <c r="B2936" t="s">
        <v>2940</v>
      </c>
      <c r="C2936" t="str">
        <f>_xlfn.XLOOKUP(A2936,[1]Affiliations!$J$2:$J$5328,[1]Affiliations!$K$2:$K$5328,0)</f>
        <v>Federal University of Rio de Janeiro</v>
      </c>
      <c r="D2936">
        <v>4</v>
      </c>
      <c r="E2936">
        <v>28</v>
      </c>
      <c r="F2936">
        <v>7</v>
      </c>
      <c r="G2936">
        <v>3</v>
      </c>
      <c r="H2936">
        <v>0.61</v>
      </c>
      <c r="I2936">
        <v>0</v>
      </c>
      <c r="J2936">
        <v>2</v>
      </c>
      <c r="K2936">
        <v>2</v>
      </c>
      <c r="L2936">
        <v>4</v>
      </c>
      <c r="M2936">
        <v>4</v>
      </c>
      <c r="N2936">
        <v>4</v>
      </c>
      <c r="P2936">
        <v>0</v>
      </c>
      <c r="Q2936">
        <v>0</v>
      </c>
      <c r="R2936">
        <v>0</v>
      </c>
      <c r="S2936">
        <v>1</v>
      </c>
    </row>
    <row r="2937" spans="1:19" hidden="1" x14ac:dyDescent="0.35">
      <c r="A2937">
        <v>6504262449</v>
      </c>
      <c r="B2937" t="s">
        <v>2941</v>
      </c>
      <c r="C2937" t="str">
        <f>_xlfn.XLOOKUP(A2937,[1]Affiliations!$J$2:$J$5328,[1]Affiliations!$K$2:$K$5328,0)</f>
        <v>SimWorx Engineering R and D (+1 more)</v>
      </c>
      <c r="D2937">
        <v>5</v>
      </c>
      <c r="E2937">
        <v>27</v>
      </c>
      <c r="F2937">
        <v>5.4</v>
      </c>
      <c r="G2937">
        <v>2</v>
      </c>
      <c r="H2937">
        <v>1.42</v>
      </c>
      <c r="P2937">
        <v>0</v>
      </c>
      <c r="Q2937">
        <v>0</v>
      </c>
      <c r="R2937">
        <v>0</v>
      </c>
      <c r="S2937">
        <v>1</v>
      </c>
    </row>
    <row r="2938" spans="1:19" x14ac:dyDescent="0.35">
      <c r="A2938">
        <v>22234072500</v>
      </c>
      <c r="B2938" t="s">
        <v>2431</v>
      </c>
      <c r="C2938" t="str">
        <f>_xlfn.XLOOKUP(A2938,[1]Affiliations!$J$2:$J$5328,[1]Affiliations!$K$2:$K$5328,0)</f>
        <v>Universidade Federal de Mato Grosso do Sul</v>
      </c>
      <c r="D2938">
        <v>38</v>
      </c>
      <c r="E2938">
        <v>221</v>
      </c>
      <c r="F2938">
        <v>5.8157896999999998</v>
      </c>
      <c r="G2938">
        <v>8</v>
      </c>
      <c r="H2938">
        <v>0.88</v>
      </c>
      <c r="I2938">
        <v>0</v>
      </c>
      <c r="J2938">
        <v>1</v>
      </c>
      <c r="K2938">
        <v>5</v>
      </c>
      <c r="L2938">
        <v>12</v>
      </c>
      <c r="M2938">
        <v>15</v>
      </c>
      <c r="N2938">
        <v>18</v>
      </c>
      <c r="P2938">
        <v>0</v>
      </c>
      <c r="Q2938">
        <v>0</v>
      </c>
      <c r="R2938">
        <v>1</v>
      </c>
      <c r="S2938">
        <v>3</v>
      </c>
    </row>
    <row r="2939" spans="1:19" hidden="1" x14ac:dyDescent="0.35">
      <c r="A2939">
        <v>57210620709</v>
      </c>
      <c r="B2939" t="s">
        <v>2943</v>
      </c>
      <c r="C2939" t="str">
        <f>_xlfn.XLOOKUP(A2939,[1]Affiliations!$J$2:$J$5328,[1]Affiliations!$K$2:$K$5328,0)</f>
        <v>Universidade Federal Fluminense</v>
      </c>
      <c r="D2939">
        <v>1</v>
      </c>
      <c r="E2939">
        <v>92</v>
      </c>
      <c r="F2939">
        <v>92</v>
      </c>
      <c r="G2939">
        <v>1</v>
      </c>
      <c r="H2939">
        <v>4.2</v>
      </c>
      <c r="I2939">
        <v>0</v>
      </c>
      <c r="J2939">
        <v>0</v>
      </c>
      <c r="K2939">
        <v>0</v>
      </c>
      <c r="L2939">
        <v>1</v>
      </c>
      <c r="M2939">
        <v>1</v>
      </c>
      <c r="N2939">
        <v>1</v>
      </c>
      <c r="P2939">
        <v>0</v>
      </c>
      <c r="Q2939">
        <v>1</v>
      </c>
      <c r="R2939">
        <v>1</v>
      </c>
      <c r="S2939">
        <v>1</v>
      </c>
    </row>
    <row r="2940" spans="1:19" x14ac:dyDescent="0.35">
      <c r="A2940">
        <v>57209170765</v>
      </c>
      <c r="B2940" t="s">
        <v>2492</v>
      </c>
      <c r="C2940" t="str">
        <f>_xlfn.XLOOKUP(A2940,[1]Affiliations!$J$2:$J$5328,[1]Affiliations!$K$2:$K$5328,0)</f>
        <v>University of Campinas (+5 more)</v>
      </c>
      <c r="D2940">
        <v>215</v>
      </c>
      <c r="E2940">
        <v>3490</v>
      </c>
      <c r="F2940">
        <v>16.232557</v>
      </c>
      <c r="G2940">
        <v>42</v>
      </c>
      <c r="H2940">
        <v>0.88</v>
      </c>
      <c r="I2940">
        <v>1</v>
      </c>
      <c r="J2940">
        <v>23</v>
      </c>
      <c r="K2940">
        <v>48</v>
      </c>
      <c r="L2940">
        <v>124</v>
      </c>
      <c r="M2940">
        <v>191</v>
      </c>
      <c r="N2940">
        <v>206</v>
      </c>
      <c r="P2940">
        <v>0</v>
      </c>
      <c r="Q2940">
        <v>1</v>
      </c>
      <c r="R2940">
        <v>18</v>
      </c>
      <c r="S2940">
        <v>80</v>
      </c>
    </row>
    <row r="2941" spans="1:19" hidden="1" x14ac:dyDescent="0.35">
      <c r="A2941">
        <v>57196472346</v>
      </c>
      <c r="B2941" t="s">
        <v>2945</v>
      </c>
      <c r="C2941" t="str">
        <f>_xlfn.XLOOKUP(A2941,[1]Affiliations!$J$2:$J$5328,[1]Affiliations!$K$2:$K$5328,0)</f>
        <v>Pontifícia Universidade Católica do Rio Grande do Sul</v>
      </c>
      <c r="D2941">
        <v>1</v>
      </c>
      <c r="E2941">
        <v>20</v>
      </c>
      <c r="F2941">
        <v>20</v>
      </c>
      <c r="G2941">
        <v>1</v>
      </c>
      <c r="H2941">
        <v>0.65</v>
      </c>
      <c r="I2941">
        <v>0</v>
      </c>
      <c r="J2941">
        <v>0</v>
      </c>
      <c r="K2941">
        <v>0</v>
      </c>
      <c r="L2941">
        <v>0</v>
      </c>
      <c r="M2941">
        <v>1</v>
      </c>
      <c r="N2941">
        <v>1</v>
      </c>
      <c r="P2941">
        <v>0</v>
      </c>
      <c r="Q2941">
        <v>0</v>
      </c>
      <c r="R2941">
        <v>0</v>
      </c>
      <c r="S2941">
        <v>0</v>
      </c>
    </row>
    <row r="2942" spans="1:19" hidden="1" x14ac:dyDescent="0.35">
      <c r="A2942">
        <v>57211521869</v>
      </c>
      <c r="B2942" t="s">
        <v>2946</v>
      </c>
      <c r="C2942" t="str">
        <f>_xlfn.XLOOKUP(A2942,[1]Affiliations!$J$2:$J$5328,[1]Affiliations!$K$2:$K$5328,0)</f>
        <v>Petrosoft Design</v>
      </c>
      <c r="D2942">
        <v>5</v>
      </c>
      <c r="E2942">
        <v>15</v>
      </c>
      <c r="F2942">
        <v>3</v>
      </c>
      <c r="G2942">
        <v>2</v>
      </c>
      <c r="H2942">
        <v>0.26</v>
      </c>
      <c r="I2942">
        <v>0</v>
      </c>
      <c r="J2942">
        <v>1</v>
      </c>
      <c r="K2942">
        <v>1</v>
      </c>
      <c r="L2942">
        <v>3</v>
      </c>
      <c r="M2942">
        <v>4</v>
      </c>
      <c r="N2942">
        <v>4</v>
      </c>
      <c r="P2942">
        <v>0</v>
      </c>
      <c r="Q2942">
        <v>0</v>
      </c>
      <c r="R2942">
        <v>0</v>
      </c>
      <c r="S2942">
        <v>0</v>
      </c>
    </row>
    <row r="2943" spans="1:19" hidden="1" x14ac:dyDescent="0.35">
      <c r="A2943">
        <v>57209615879</v>
      </c>
      <c r="B2943" t="s">
        <v>2947</v>
      </c>
      <c r="C2943" t="str">
        <f>_xlfn.XLOOKUP(A2943,[1]Affiliations!$J$2:$J$5328,[1]Affiliations!$K$2:$K$5328,0)</f>
        <v>Instituto de Pesquisa Aplicada Alan Turing</v>
      </c>
      <c r="D2943">
        <v>1</v>
      </c>
      <c r="E2943">
        <v>3</v>
      </c>
      <c r="F2943">
        <v>3</v>
      </c>
      <c r="G2943">
        <v>1</v>
      </c>
      <c r="H2943">
        <v>0.1</v>
      </c>
      <c r="I2943">
        <v>0</v>
      </c>
      <c r="J2943">
        <v>0</v>
      </c>
      <c r="K2943">
        <v>1</v>
      </c>
      <c r="L2943">
        <v>1</v>
      </c>
      <c r="M2943">
        <v>1</v>
      </c>
      <c r="N2943">
        <v>1</v>
      </c>
      <c r="P2943">
        <v>0</v>
      </c>
      <c r="Q2943">
        <v>0</v>
      </c>
      <c r="R2943">
        <v>0</v>
      </c>
      <c r="S2943">
        <v>0</v>
      </c>
    </row>
    <row r="2944" spans="1:19" hidden="1" x14ac:dyDescent="0.35">
      <c r="A2944">
        <v>7201958689</v>
      </c>
      <c r="B2944" t="s">
        <v>2948</v>
      </c>
      <c r="C2944" t="str">
        <f>_xlfn.XLOOKUP(A2944,[1]Affiliations!$J$2:$J$5328,[1]Affiliations!$K$2:$K$5328,0)</f>
        <v>Universidade de São Paulo</v>
      </c>
      <c r="D2944">
        <v>8</v>
      </c>
      <c r="E2944">
        <v>54</v>
      </c>
      <c r="F2944">
        <v>6.75</v>
      </c>
      <c r="G2944">
        <v>6</v>
      </c>
      <c r="H2944">
        <v>0.34</v>
      </c>
      <c r="I2944">
        <v>0</v>
      </c>
      <c r="J2944">
        <v>1</v>
      </c>
      <c r="K2944">
        <v>1</v>
      </c>
      <c r="L2944">
        <v>5</v>
      </c>
      <c r="M2944">
        <v>5</v>
      </c>
      <c r="N2944">
        <v>5</v>
      </c>
      <c r="P2944">
        <v>0</v>
      </c>
      <c r="Q2944">
        <v>0</v>
      </c>
      <c r="R2944">
        <v>0</v>
      </c>
      <c r="S2944">
        <v>2</v>
      </c>
    </row>
    <row r="2945" spans="1:19" hidden="1" x14ac:dyDescent="0.35">
      <c r="A2945">
        <v>55293061800</v>
      </c>
      <c r="B2945" t="s">
        <v>2949</v>
      </c>
      <c r="C2945" t="str">
        <f>_xlfn.XLOOKUP(A2945,[1]Affiliations!$J$2:$J$5328,[1]Affiliations!$K$2:$K$5328,0)</f>
        <v>Serviço Geológico do Brasil, Companhia de Pesquisa de Recursos Minerais</v>
      </c>
      <c r="D2945">
        <v>3</v>
      </c>
      <c r="E2945">
        <v>27</v>
      </c>
      <c r="F2945">
        <v>9</v>
      </c>
      <c r="G2945">
        <v>6</v>
      </c>
      <c r="H2945">
        <v>0.47</v>
      </c>
      <c r="I2945">
        <v>0</v>
      </c>
      <c r="J2945">
        <v>0</v>
      </c>
      <c r="K2945">
        <v>1</v>
      </c>
      <c r="L2945">
        <v>2</v>
      </c>
      <c r="M2945">
        <v>3</v>
      </c>
      <c r="N2945">
        <v>3</v>
      </c>
      <c r="P2945">
        <v>0</v>
      </c>
      <c r="Q2945">
        <v>0</v>
      </c>
      <c r="R2945">
        <v>0</v>
      </c>
      <c r="S2945">
        <v>0</v>
      </c>
    </row>
    <row r="2946" spans="1:19" hidden="1" x14ac:dyDescent="0.35">
      <c r="A2946">
        <v>55515977400</v>
      </c>
      <c r="B2946" t="s">
        <v>2950</v>
      </c>
      <c r="C2946" t="str">
        <f>_xlfn.XLOOKUP(A2946,[1]Affiliations!$J$2:$J$5328,[1]Affiliations!$K$2:$K$5328,0)</f>
        <v>Universidade Federal Fluminense</v>
      </c>
      <c r="D2946">
        <v>18</v>
      </c>
      <c r="E2946">
        <v>39</v>
      </c>
      <c r="F2946">
        <v>2.1666666999999999</v>
      </c>
      <c r="G2946">
        <v>6</v>
      </c>
      <c r="H2946">
        <v>0.18</v>
      </c>
      <c r="I2946">
        <v>0</v>
      </c>
      <c r="J2946">
        <v>1</v>
      </c>
      <c r="K2946">
        <v>1</v>
      </c>
      <c r="L2946">
        <v>2</v>
      </c>
      <c r="M2946">
        <v>8</v>
      </c>
      <c r="N2946">
        <v>14</v>
      </c>
      <c r="P2946">
        <v>0</v>
      </c>
      <c r="Q2946">
        <v>0</v>
      </c>
      <c r="R2946">
        <v>0</v>
      </c>
      <c r="S2946">
        <v>0</v>
      </c>
    </row>
    <row r="2947" spans="1:19" hidden="1" x14ac:dyDescent="0.35">
      <c r="A2947">
        <v>57202485190</v>
      </c>
      <c r="B2947" t="s">
        <v>2951</v>
      </c>
      <c r="C2947" t="str">
        <f>_xlfn.XLOOKUP(A2947,[1]Affiliations!$J$2:$J$5328,[1]Affiliations!$K$2:$K$5328,0)</f>
        <v>Pontifical Catholic University of Rio de Janeiro</v>
      </c>
      <c r="D2947">
        <v>6</v>
      </c>
      <c r="E2947">
        <v>46</v>
      </c>
      <c r="F2947">
        <v>7.6666664999999998</v>
      </c>
      <c r="G2947">
        <v>3</v>
      </c>
      <c r="H2947">
        <v>0.67</v>
      </c>
      <c r="I2947">
        <v>0</v>
      </c>
      <c r="J2947">
        <v>0</v>
      </c>
      <c r="K2947">
        <v>0</v>
      </c>
      <c r="L2947">
        <v>0</v>
      </c>
      <c r="M2947">
        <v>2</v>
      </c>
      <c r="N2947">
        <v>3</v>
      </c>
      <c r="P2947">
        <v>0</v>
      </c>
      <c r="Q2947">
        <v>0</v>
      </c>
      <c r="R2947">
        <v>1</v>
      </c>
      <c r="S2947">
        <v>2</v>
      </c>
    </row>
    <row r="2948" spans="1:19" hidden="1" x14ac:dyDescent="0.35">
      <c r="A2948">
        <v>57211949100</v>
      </c>
      <c r="B2948" t="s">
        <v>2952</v>
      </c>
      <c r="C2948" t="str">
        <f>_xlfn.XLOOKUP(A2948,[1]Affiliations!$J$2:$J$5328,[1]Affiliations!$K$2:$K$5328,0)</f>
        <v>Instituto Nacional de Tecnologia (+1 more)</v>
      </c>
      <c r="D2948">
        <v>1</v>
      </c>
      <c r="E2948">
        <v>9</v>
      </c>
      <c r="F2948">
        <v>9</v>
      </c>
      <c r="G2948">
        <v>1</v>
      </c>
      <c r="H2948">
        <v>0.74</v>
      </c>
      <c r="I2948">
        <v>0</v>
      </c>
      <c r="J2948">
        <v>0</v>
      </c>
      <c r="K2948">
        <v>0</v>
      </c>
      <c r="L2948">
        <v>1</v>
      </c>
      <c r="M2948">
        <v>1</v>
      </c>
      <c r="N2948">
        <v>1</v>
      </c>
      <c r="P2948">
        <v>0</v>
      </c>
      <c r="Q2948">
        <v>0</v>
      </c>
      <c r="R2948">
        <v>0</v>
      </c>
      <c r="S2948">
        <v>1</v>
      </c>
    </row>
    <row r="2949" spans="1:19" x14ac:dyDescent="0.35">
      <c r="A2949">
        <v>55953731800</v>
      </c>
      <c r="B2949" t="s">
        <v>3008</v>
      </c>
      <c r="C2949" t="str">
        <f>_xlfn.XLOOKUP(A2949,[1]Affiliations!$J$2:$J$5328,[1]Affiliations!$K$2:$K$5328,0)</f>
        <v>Federal Center for Technological Education of Minas Gerais</v>
      </c>
      <c r="D2949">
        <v>18</v>
      </c>
      <c r="E2949">
        <v>249</v>
      </c>
      <c r="F2949">
        <v>13.833333</v>
      </c>
      <c r="G2949">
        <v>9</v>
      </c>
      <c r="H2949">
        <v>0.88</v>
      </c>
      <c r="I2949">
        <v>1</v>
      </c>
      <c r="J2949">
        <v>3</v>
      </c>
      <c r="K2949">
        <v>4</v>
      </c>
      <c r="L2949">
        <v>7</v>
      </c>
      <c r="M2949">
        <v>10</v>
      </c>
      <c r="N2949">
        <v>11</v>
      </c>
      <c r="P2949">
        <v>0</v>
      </c>
      <c r="Q2949">
        <v>1</v>
      </c>
      <c r="R2949">
        <v>4</v>
      </c>
      <c r="S2949">
        <v>6</v>
      </c>
    </row>
    <row r="2950" spans="1:19" hidden="1" x14ac:dyDescent="0.35">
      <c r="A2950">
        <v>56362643800</v>
      </c>
      <c r="B2950" t="s">
        <v>2954</v>
      </c>
      <c r="C2950" t="str">
        <f>_xlfn.XLOOKUP(A2950,[1]Affiliations!$J$2:$J$5328,[1]Affiliations!$K$2:$K$5328,0)</f>
        <v>Vizlab - X-Reality and GeoInformatics Lab</v>
      </c>
      <c r="D2950">
        <v>4</v>
      </c>
      <c r="E2950">
        <v>33</v>
      </c>
      <c r="F2950">
        <v>8.25</v>
      </c>
      <c r="G2950">
        <v>4</v>
      </c>
      <c r="H2950">
        <v>0.65</v>
      </c>
      <c r="I2950">
        <v>0</v>
      </c>
      <c r="J2950">
        <v>1</v>
      </c>
      <c r="K2950">
        <v>1</v>
      </c>
      <c r="L2950">
        <v>2</v>
      </c>
      <c r="M2950">
        <v>3</v>
      </c>
      <c r="N2950">
        <v>4</v>
      </c>
      <c r="P2950">
        <v>0</v>
      </c>
      <c r="Q2950">
        <v>0</v>
      </c>
      <c r="R2950">
        <v>0</v>
      </c>
      <c r="S2950">
        <v>1</v>
      </c>
    </row>
    <row r="2951" spans="1:19" hidden="1" x14ac:dyDescent="0.35">
      <c r="A2951">
        <v>57296451500</v>
      </c>
      <c r="B2951" t="s">
        <v>2955</v>
      </c>
      <c r="C2951" t="str">
        <f>_xlfn.XLOOKUP(A2951,[1]Affiliations!$J$2:$J$5328,[1]Affiliations!$K$2:$K$5328,0)</f>
        <v>Federal University of Rio de Janeiro</v>
      </c>
      <c r="D2951">
        <v>5</v>
      </c>
      <c r="E2951">
        <v>6</v>
      </c>
      <c r="F2951">
        <v>1.2</v>
      </c>
      <c r="G2951">
        <v>2</v>
      </c>
      <c r="H2951">
        <v>0.37</v>
      </c>
      <c r="I2951">
        <v>0</v>
      </c>
      <c r="J2951">
        <v>1</v>
      </c>
      <c r="K2951">
        <v>1</v>
      </c>
      <c r="L2951">
        <v>2</v>
      </c>
      <c r="M2951">
        <v>2</v>
      </c>
      <c r="N2951">
        <v>3</v>
      </c>
      <c r="P2951">
        <v>0</v>
      </c>
      <c r="Q2951">
        <v>0</v>
      </c>
      <c r="R2951">
        <v>0</v>
      </c>
      <c r="S2951">
        <v>0</v>
      </c>
    </row>
    <row r="2952" spans="1:19" hidden="1" x14ac:dyDescent="0.35">
      <c r="A2952">
        <v>58365372200</v>
      </c>
      <c r="B2952" t="s">
        <v>2956</v>
      </c>
      <c r="C2952" t="str">
        <f>_xlfn.XLOOKUP(A2952,[1]Affiliations!$J$2:$J$5328,[1]Affiliations!$K$2:$K$5328,0)</f>
        <v>Federal University of Rio de Janeiro</v>
      </c>
      <c r="D2952">
        <v>0</v>
      </c>
      <c r="G2952">
        <v>0</v>
      </c>
    </row>
    <row r="2953" spans="1:19" hidden="1" x14ac:dyDescent="0.35">
      <c r="A2953">
        <v>57221493844</v>
      </c>
      <c r="B2953" t="s">
        <v>2957</v>
      </c>
      <c r="C2953" t="str">
        <f>_xlfn.XLOOKUP(A2953,[1]Affiliations!$J$2:$J$5328,[1]Affiliations!$K$2:$K$5328,0)</f>
        <v>Federal University of Rio de Janeiro</v>
      </c>
      <c r="D2953">
        <v>8</v>
      </c>
      <c r="E2953">
        <v>14</v>
      </c>
      <c r="F2953">
        <v>1.75</v>
      </c>
      <c r="G2953">
        <v>1</v>
      </c>
      <c r="H2953">
        <v>0.47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2</v>
      </c>
      <c r="P2953">
        <v>0</v>
      </c>
      <c r="Q2953">
        <v>0</v>
      </c>
      <c r="R2953">
        <v>0</v>
      </c>
      <c r="S2953">
        <v>1</v>
      </c>
    </row>
    <row r="2954" spans="1:19" x14ac:dyDescent="0.35">
      <c r="A2954">
        <v>57219943468</v>
      </c>
      <c r="B2954" t="s">
        <v>3344</v>
      </c>
      <c r="C2954" t="str">
        <f>_xlfn.XLOOKUP(A2954,[1]Affiliations!$J$2:$J$5328,[1]Affiliations!$K$2:$K$5328,0)</f>
        <v>Universidade Tiradentes (+1 more)</v>
      </c>
      <c r="D2954">
        <v>5</v>
      </c>
      <c r="E2954">
        <v>108</v>
      </c>
      <c r="F2954">
        <v>21.6</v>
      </c>
      <c r="G2954">
        <v>6</v>
      </c>
      <c r="H2954">
        <v>0.88</v>
      </c>
      <c r="I2954">
        <v>0</v>
      </c>
      <c r="J2954">
        <v>1</v>
      </c>
      <c r="K2954">
        <v>3</v>
      </c>
      <c r="L2954">
        <v>5</v>
      </c>
      <c r="M2954">
        <v>5</v>
      </c>
      <c r="N2954">
        <v>5</v>
      </c>
      <c r="P2954">
        <v>0</v>
      </c>
      <c r="Q2954">
        <v>1</v>
      </c>
      <c r="R2954">
        <v>1</v>
      </c>
      <c r="S2954">
        <v>4</v>
      </c>
    </row>
    <row r="2955" spans="1:19" hidden="1" x14ac:dyDescent="0.35">
      <c r="A2955">
        <v>56303462300</v>
      </c>
      <c r="B2955" t="s">
        <v>2959</v>
      </c>
      <c r="C2955" t="str">
        <f>_xlfn.XLOOKUP(A2955,[1]Affiliations!$J$2:$J$5328,[1]Affiliations!$K$2:$K$5328,0)</f>
        <v>Instituto SENAI de Inovação em Engenharia de Superfícies</v>
      </c>
      <c r="D2955">
        <v>1</v>
      </c>
      <c r="E2955">
        <v>17</v>
      </c>
      <c r="F2955">
        <v>17</v>
      </c>
      <c r="G2955">
        <v>2</v>
      </c>
      <c r="H2955">
        <v>0.19</v>
      </c>
      <c r="I2955">
        <v>0</v>
      </c>
      <c r="J2955">
        <v>0</v>
      </c>
      <c r="K2955">
        <v>0</v>
      </c>
      <c r="L2955">
        <v>1</v>
      </c>
      <c r="M2955">
        <v>1</v>
      </c>
      <c r="N2955">
        <v>1</v>
      </c>
      <c r="P2955">
        <v>0</v>
      </c>
      <c r="Q2955">
        <v>0</v>
      </c>
      <c r="R2955">
        <v>0</v>
      </c>
      <c r="S2955">
        <v>0</v>
      </c>
    </row>
    <row r="2956" spans="1:19" hidden="1" x14ac:dyDescent="0.35">
      <c r="A2956">
        <v>58784107000</v>
      </c>
      <c r="B2956" t="s">
        <v>2960</v>
      </c>
      <c r="C2956" t="str">
        <f>_xlfn.XLOOKUP(A2956,[1]Affiliations!$J$2:$J$5328,[1]Affiliations!$K$2:$K$5328,0)</f>
        <v>Instituto SENAI de Inovação em Engenharia de Superfícies – Centro de Inovação e Tecnologia CIT SENAI</v>
      </c>
      <c r="D2956">
        <v>1</v>
      </c>
      <c r="E2956">
        <v>3</v>
      </c>
      <c r="F2956">
        <v>3</v>
      </c>
      <c r="G2956">
        <v>1</v>
      </c>
      <c r="H2956">
        <v>0.51</v>
      </c>
      <c r="I2956">
        <v>0</v>
      </c>
      <c r="J2956">
        <v>0</v>
      </c>
      <c r="K2956">
        <v>0</v>
      </c>
      <c r="L2956">
        <v>1</v>
      </c>
      <c r="M2956">
        <v>1</v>
      </c>
      <c r="N2956">
        <v>1</v>
      </c>
      <c r="P2956">
        <v>0</v>
      </c>
      <c r="Q2956">
        <v>0</v>
      </c>
      <c r="R2956">
        <v>0</v>
      </c>
      <c r="S2956">
        <v>0</v>
      </c>
    </row>
    <row r="2957" spans="1:19" hidden="1" x14ac:dyDescent="0.35">
      <c r="A2957">
        <v>57210556126</v>
      </c>
      <c r="B2957" t="s">
        <v>2961</v>
      </c>
      <c r="C2957" t="str">
        <f>_xlfn.XLOOKUP(A2957,[1]Affiliations!$J$2:$J$5328,[1]Affiliations!$K$2:$K$5328,0)</f>
        <v>Federal University of Rio de Janeiro</v>
      </c>
      <c r="D2957">
        <v>2</v>
      </c>
      <c r="E2957">
        <v>20</v>
      </c>
      <c r="F2957">
        <v>10</v>
      </c>
      <c r="G2957">
        <v>2</v>
      </c>
      <c r="H2957">
        <v>0.56999999999999995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P2957">
        <v>0</v>
      </c>
      <c r="Q2957">
        <v>0</v>
      </c>
      <c r="R2957">
        <v>0</v>
      </c>
      <c r="S2957">
        <v>0</v>
      </c>
    </row>
    <row r="2958" spans="1:19" hidden="1" x14ac:dyDescent="0.35">
      <c r="A2958">
        <v>7202733565</v>
      </c>
      <c r="B2958" t="s">
        <v>2962</v>
      </c>
      <c r="C2958" t="str">
        <f>_xlfn.XLOOKUP(A2958,[1]Affiliations!$J$2:$J$5328,[1]Affiliations!$K$2:$K$5328,0)</f>
        <v>Universidade Federal do Piauí (+1 more)</v>
      </c>
      <c r="D2958">
        <v>9</v>
      </c>
      <c r="E2958">
        <v>180</v>
      </c>
      <c r="F2958">
        <v>20</v>
      </c>
      <c r="G2958">
        <v>20</v>
      </c>
      <c r="H2958">
        <v>0.71</v>
      </c>
      <c r="I2958">
        <v>0</v>
      </c>
      <c r="J2958">
        <v>1</v>
      </c>
      <c r="K2958">
        <v>1</v>
      </c>
      <c r="L2958">
        <v>3</v>
      </c>
      <c r="M2958">
        <v>8</v>
      </c>
      <c r="N2958">
        <v>9</v>
      </c>
      <c r="P2958">
        <v>0</v>
      </c>
      <c r="Q2958">
        <v>0</v>
      </c>
      <c r="R2958">
        <v>0</v>
      </c>
      <c r="S2958">
        <v>1</v>
      </c>
    </row>
    <row r="2959" spans="1:19" x14ac:dyDescent="0.35">
      <c r="A2959">
        <v>56096745700</v>
      </c>
      <c r="B2959" t="s">
        <v>3364</v>
      </c>
      <c r="C2959" t="str">
        <f>_xlfn.XLOOKUP(A2959,[1]Affiliations!$J$2:$J$5328,[1]Affiliations!$K$2:$K$5328,0)</f>
        <v>Vale S.A. (+1 more)</v>
      </c>
      <c r="D2959">
        <v>16</v>
      </c>
      <c r="E2959">
        <v>245</v>
      </c>
      <c r="F2959">
        <v>15.3125</v>
      </c>
      <c r="G2959">
        <v>8</v>
      </c>
      <c r="H2959">
        <v>0.88</v>
      </c>
      <c r="I2959">
        <v>0</v>
      </c>
      <c r="J2959">
        <v>3</v>
      </c>
      <c r="K2959">
        <v>4</v>
      </c>
      <c r="L2959">
        <v>11</v>
      </c>
      <c r="M2959">
        <v>13</v>
      </c>
      <c r="N2959">
        <v>13</v>
      </c>
      <c r="P2959">
        <v>0</v>
      </c>
      <c r="Q2959">
        <v>1</v>
      </c>
      <c r="R2959">
        <v>1</v>
      </c>
      <c r="S2959">
        <v>8</v>
      </c>
    </row>
    <row r="2960" spans="1:19" x14ac:dyDescent="0.35">
      <c r="A2960">
        <v>56059548100</v>
      </c>
      <c r="B2960" t="s">
        <v>3413</v>
      </c>
      <c r="C2960" t="str">
        <f>_xlfn.XLOOKUP(A2960,[1]Affiliations!$J$2:$J$5328,[1]Affiliations!$K$2:$K$5328,0)</f>
        <v>Pontifícia Universidade Católica do Rio Grande do Sul</v>
      </c>
      <c r="D2960">
        <v>27</v>
      </c>
      <c r="E2960">
        <v>532</v>
      </c>
      <c r="F2960">
        <v>19.703703000000001</v>
      </c>
      <c r="G2960">
        <v>15</v>
      </c>
      <c r="H2960">
        <v>0.88</v>
      </c>
      <c r="I2960">
        <v>0</v>
      </c>
      <c r="J2960">
        <v>0</v>
      </c>
      <c r="K2960">
        <v>7</v>
      </c>
      <c r="L2960">
        <v>12</v>
      </c>
      <c r="M2960">
        <v>18</v>
      </c>
      <c r="N2960">
        <v>24</v>
      </c>
      <c r="P2960">
        <v>0</v>
      </c>
      <c r="Q2960">
        <v>0</v>
      </c>
      <c r="R2960">
        <v>3</v>
      </c>
      <c r="S2960">
        <v>12</v>
      </c>
    </row>
    <row r="2961" spans="1:19" x14ac:dyDescent="0.35">
      <c r="A2961">
        <v>57189459314</v>
      </c>
      <c r="B2961" t="s">
        <v>3488</v>
      </c>
      <c r="C2961" t="str">
        <f>_xlfn.XLOOKUP(A2961,[1]Affiliations!$J$2:$J$5328,[1]Affiliations!$K$2:$K$5328,0)</f>
        <v>Vizlab - X-Reality and GeoInformatics Lab</v>
      </c>
      <c r="D2961">
        <v>19</v>
      </c>
      <c r="E2961">
        <v>250</v>
      </c>
      <c r="F2961">
        <v>13.157895</v>
      </c>
      <c r="G2961">
        <v>8</v>
      </c>
      <c r="H2961">
        <v>0.88</v>
      </c>
      <c r="I2961">
        <v>0</v>
      </c>
      <c r="J2961">
        <v>2</v>
      </c>
      <c r="K2961">
        <v>5</v>
      </c>
      <c r="L2961">
        <v>11</v>
      </c>
      <c r="M2961">
        <v>13</v>
      </c>
      <c r="N2961">
        <v>18</v>
      </c>
      <c r="P2961">
        <v>0</v>
      </c>
      <c r="Q2961">
        <v>1</v>
      </c>
      <c r="R2961">
        <v>1</v>
      </c>
      <c r="S2961">
        <v>4</v>
      </c>
    </row>
    <row r="2962" spans="1:19" x14ac:dyDescent="0.35">
      <c r="A2962">
        <v>55184936700</v>
      </c>
      <c r="B2962" t="s">
        <v>3600</v>
      </c>
      <c r="C2962" t="str">
        <f>_xlfn.XLOOKUP(A2962,[1]Affiliations!$J$2:$J$5328,[1]Affiliations!$K$2:$K$5328,0)</f>
        <v>Universidade de São Paulo (+1 more)</v>
      </c>
      <c r="D2962">
        <v>37</v>
      </c>
      <c r="E2962">
        <v>351</v>
      </c>
      <c r="F2962">
        <v>9.4864859999999993</v>
      </c>
      <c r="G2962">
        <v>21</v>
      </c>
      <c r="H2962">
        <v>0.88</v>
      </c>
      <c r="I2962">
        <v>2</v>
      </c>
      <c r="J2962">
        <v>3</v>
      </c>
      <c r="K2962">
        <v>6</v>
      </c>
      <c r="L2962">
        <v>9</v>
      </c>
      <c r="M2962">
        <v>14</v>
      </c>
      <c r="N2962">
        <v>22</v>
      </c>
      <c r="P2962">
        <v>0</v>
      </c>
      <c r="Q2962">
        <v>0</v>
      </c>
      <c r="R2962">
        <v>3</v>
      </c>
      <c r="S2962">
        <v>8</v>
      </c>
    </row>
    <row r="2963" spans="1:19" hidden="1" x14ac:dyDescent="0.35">
      <c r="A2963">
        <v>57216442179</v>
      </c>
      <c r="B2963" t="s">
        <v>2967</v>
      </c>
      <c r="C2963" t="str">
        <f>_xlfn.XLOOKUP(A2963,[1]Affiliations!$J$2:$J$5328,[1]Affiliations!$K$2:$K$5328,0)</f>
        <v>Universidade Estadual Paulista “Júlio de Mesquita Filho”</v>
      </c>
      <c r="D2963">
        <v>5</v>
      </c>
      <c r="E2963">
        <v>26</v>
      </c>
      <c r="F2963">
        <v>5.2</v>
      </c>
      <c r="G2963">
        <v>3</v>
      </c>
      <c r="H2963">
        <v>0.76</v>
      </c>
      <c r="I2963">
        <v>0</v>
      </c>
      <c r="J2963">
        <v>1</v>
      </c>
      <c r="K2963">
        <v>1</v>
      </c>
      <c r="L2963">
        <v>1</v>
      </c>
      <c r="M2963">
        <v>1</v>
      </c>
      <c r="N2963">
        <v>1</v>
      </c>
      <c r="P2963">
        <v>0</v>
      </c>
      <c r="Q2963">
        <v>0</v>
      </c>
      <c r="R2963">
        <v>0</v>
      </c>
      <c r="S2963">
        <v>1</v>
      </c>
    </row>
    <row r="2964" spans="1:19" hidden="1" x14ac:dyDescent="0.35">
      <c r="A2964">
        <v>57215187155</v>
      </c>
      <c r="B2964" t="s">
        <v>2968</v>
      </c>
      <c r="C2964" t="str">
        <f>_xlfn.XLOOKUP(A2964,[1]Affiliations!$J$2:$J$5328,[1]Affiliations!$K$2:$K$5328,0)</f>
        <v>Universidade Federal de Alagoas</v>
      </c>
      <c r="D2964">
        <v>4</v>
      </c>
      <c r="E2964">
        <v>15</v>
      </c>
      <c r="F2964">
        <v>3.75</v>
      </c>
      <c r="G2964">
        <v>2</v>
      </c>
      <c r="H2964">
        <v>0.3</v>
      </c>
      <c r="I2964">
        <v>0</v>
      </c>
      <c r="J2964">
        <v>1</v>
      </c>
      <c r="K2964">
        <v>1</v>
      </c>
      <c r="L2964">
        <v>4</v>
      </c>
      <c r="M2964">
        <v>4</v>
      </c>
      <c r="N2964">
        <v>4</v>
      </c>
      <c r="P2964">
        <v>0</v>
      </c>
      <c r="Q2964">
        <v>0</v>
      </c>
      <c r="R2964">
        <v>0</v>
      </c>
      <c r="S2964">
        <v>0</v>
      </c>
    </row>
    <row r="2965" spans="1:19" hidden="1" x14ac:dyDescent="0.35">
      <c r="A2965">
        <v>7202369239</v>
      </c>
      <c r="B2965" t="s">
        <v>2969</v>
      </c>
      <c r="C2965" t="str">
        <f>_xlfn.XLOOKUP(A2965,[1]Affiliations!$J$2:$J$5328,[1]Affiliations!$K$2:$K$5328,0)</f>
        <v>Federal University of Rio de Janeiro</v>
      </c>
      <c r="D2965">
        <v>5</v>
      </c>
      <c r="E2965">
        <v>3</v>
      </c>
      <c r="F2965">
        <v>0.6</v>
      </c>
      <c r="G2965">
        <v>2</v>
      </c>
      <c r="H2965">
        <v>0.02</v>
      </c>
      <c r="I2965">
        <v>0</v>
      </c>
      <c r="J2965">
        <v>0</v>
      </c>
      <c r="K2965">
        <v>0</v>
      </c>
      <c r="L2965">
        <v>0</v>
      </c>
      <c r="M2965">
        <v>1</v>
      </c>
      <c r="N2965">
        <v>1</v>
      </c>
      <c r="P2965">
        <v>0</v>
      </c>
      <c r="Q2965">
        <v>0</v>
      </c>
      <c r="R2965">
        <v>0</v>
      </c>
      <c r="S2965">
        <v>0</v>
      </c>
    </row>
    <row r="2966" spans="1:19" hidden="1" x14ac:dyDescent="0.35">
      <c r="A2966">
        <v>57193858705</v>
      </c>
      <c r="B2966" t="s">
        <v>2970</v>
      </c>
      <c r="C2966" t="str">
        <f>_xlfn.XLOOKUP(A2966,[1]Affiliations!$J$2:$J$5328,[1]Affiliations!$K$2:$K$5328,0)</f>
        <v>Federal University of Rio de Janeiro</v>
      </c>
      <c r="D2966">
        <v>1</v>
      </c>
      <c r="E2966">
        <v>13</v>
      </c>
      <c r="F2966">
        <v>13</v>
      </c>
      <c r="G2966">
        <v>1</v>
      </c>
      <c r="H2966">
        <v>0.57999999999999996</v>
      </c>
      <c r="I2966">
        <v>0</v>
      </c>
      <c r="J2966">
        <v>0</v>
      </c>
      <c r="K2966">
        <v>0</v>
      </c>
      <c r="L2966">
        <v>1</v>
      </c>
      <c r="M2966">
        <v>1</v>
      </c>
      <c r="N2966">
        <v>1</v>
      </c>
      <c r="P2966">
        <v>0</v>
      </c>
      <c r="Q2966">
        <v>0</v>
      </c>
      <c r="R2966">
        <v>0</v>
      </c>
      <c r="S2966">
        <v>0</v>
      </c>
    </row>
    <row r="2967" spans="1:19" x14ac:dyDescent="0.35">
      <c r="A2967">
        <v>57212008382</v>
      </c>
      <c r="B2967" t="s">
        <v>3618</v>
      </c>
      <c r="C2967" t="str">
        <f>_xlfn.XLOOKUP(A2967,[1]Affiliations!$J$2:$J$5328,[1]Affiliations!$K$2:$K$5328,0)</f>
        <v>Federal University of Rio de Janeiro</v>
      </c>
      <c r="D2967">
        <v>6</v>
      </c>
      <c r="E2967">
        <v>207</v>
      </c>
      <c r="F2967">
        <v>34.5</v>
      </c>
      <c r="G2967">
        <v>5</v>
      </c>
      <c r="H2967">
        <v>0.88</v>
      </c>
      <c r="I2967">
        <v>0</v>
      </c>
      <c r="J2967">
        <v>1</v>
      </c>
      <c r="K2967">
        <v>1</v>
      </c>
      <c r="L2967">
        <v>2</v>
      </c>
      <c r="M2967">
        <v>5</v>
      </c>
      <c r="N2967">
        <v>6</v>
      </c>
      <c r="P2967">
        <v>0</v>
      </c>
      <c r="Q2967">
        <v>1</v>
      </c>
      <c r="R2967">
        <v>1</v>
      </c>
      <c r="S2967">
        <v>1</v>
      </c>
    </row>
    <row r="2968" spans="1:19" x14ac:dyDescent="0.35">
      <c r="A2968">
        <v>6507040606</v>
      </c>
      <c r="B2968" t="s">
        <v>3858</v>
      </c>
      <c r="C2968" t="str">
        <f>_xlfn.XLOOKUP(A2968,[1]Affiliations!$J$2:$J$5328,[1]Affiliations!$K$2:$K$5328,0)</f>
        <v>Universidade Federal do Rio Grande do Sul</v>
      </c>
      <c r="D2968">
        <v>16</v>
      </c>
      <c r="E2968">
        <v>414</v>
      </c>
      <c r="F2968">
        <v>25.875</v>
      </c>
      <c r="G2968">
        <v>31</v>
      </c>
      <c r="H2968">
        <v>0.88</v>
      </c>
      <c r="I2968">
        <v>0</v>
      </c>
      <c r="J2968">
        <v>3</v>
      </c>
      <c r="K2968">
        <v>5</v>
      </c>
      <c r="L2968">
        <v>11</v>
      </c>
      <c r="M2968">
        <v>14</v>
      </c>
      <c r="N2968">
        <v>15</v>
      </c>
      <c r="P2968">
        <v>0</v>
      </c>
      <c r="Q2968">
        <v>0</v>
      </c>
      <c r="R2968">
        <v>1</v>
      </c>
      <c r="S2968">
        <v>8</v>
      </c>
    </row>
    <row r="2969" spans="1:19" hidden="1" x14ac:dyDescent="0.35">
      <c r="A2969">
        <v>56555974100</v>
      </c>
      <c r="B2969" t="s">
        <v>2973</v>
      </c>
      <c r="C2969" t="str">
        <f>_xlfn.XLOOKUP(A2969,[1]Affiliations!$J$2:$J$5328,[1]Affiliations!$K$2:$K$5328,0)</f>
        <v>Federal University of Rio de Janeiro</v>
      </c>
      <c r="D2969">
        <v>12</v>
      </c>
      <c r="E2969">
        <v>63</v>
      </c>
      <c r="F2969">
        <v>5.25</v>
      </c>
      <c r="G2969">
        <v>4</v>
      </c>
      <c r="H2969">
        <v>0.51</v>
      </c>
      <c r="I2969">
        <v>0</v>
      </c>
      <c r="J2969">
        <v>0</v>
      </c>
      <c r="K2969">
        <v>0</v>
      </c>
      <c r="L2969">
        <v>3</v>
      </c>
      <c r="M2969">
        <v>3</v>
      </c>
      <c r="N2969">
        <v>7</v>
      </c>
      <c r="P2969">
        <v>0</v>
      </c>
      <c r="Q2969">
        <v>0</v>
      </c>
      <c r="R2969">
        <v>0</v>
      </c>
      <c r="S2969">
        <v>3</v>
      </c>
    </row>
    <row r="2970" spans="1:19" x14ac:dyDescent="0.35">
      <c r="A2970">
        <v>57207111892</v>
      </c>
      <c r="B2970" t="s">
        <v>4191</v>
      </c>
      <c r="C2970" t="str">
        <f>_xlfn.XLOOKUP(A2970,[1]Affiliations!$J$2:$J$5328,[1]Affiliations!$K$2:$K$5328,0)</f>
        <v>Universidade Estadual Paulista “Júlio de Mesquita Filho”</v>
      </c>
      <c r="D2970">
        <v>10</v>
      </c>
      <c r="E2970">
        <v>114</v>
      </c>
      <c r="F2970">
        <v>11.4</v>
      </c>
      <c r="G2970">
        <v>5</v>
      </c>
      <c r="H2970">
        <v>0.88</v>
      </c>
      <c r="I2970">
        <v>1</v>
      </c>
      <c r="J2970">
        <v>1</v>
      </c>
      <c r="K2970">
        <v>3</v>
      </c>
      <c r="L2970">
        <v>4</v>
      </c>
      <c r="M2970">
        <v>7</v>
      </c>
      <c r="N2970">
        <v>8</v>
      </c>
      <c r="P2970">
        <v>0</v>
      </c>
      <c r="Q2970">
        <v>0</v>
      </c>
      <c r="R2970">
        <v>1</v>
      </c>
      <c r="S2970">
        <v>2</v>
      </c>
    </row>
    <row r="2971" spans="1:19" hidden="1" x14ac:dyDescent="0.35">
      <c r="A2971">
        <v>57193239906</v>
      </c>
      <c r="B2971" t="s">
        <v>2975</v>
      </c>
      <c r="C2971" t="str">
        <f>_xlfn.XLOOKUP(A2971,[1]Affiliations!$J$2:$J$5328,[1]Affiliations!$K$2:$K$5328,0)</f>
        <v>DEMa</v>
      </c>
      <c r="D2971">
        <v>2</v>
      </c>
      <c r="E2971">
        <v>36</v>
      </c>
      <c r="F2971">
        <v>18</v>
      </c>
      <c r="G2971">
        <v>2</v>
      </c>
      <c r="H2971">
        <v>0.53</v>
      </c>
      <c r="I2971">
        <v>0</v>
      </c>
      <c r="J2971">
        <v>0</v>
      </c>
      <c r="K2971">
        <v>0</v>
      </c>
      <c r="L2971">
        <v>2</v>
      </c>
      <c r="M2971">
        <v>2</v>
      </c>
      <c r="N2971">
        <v>2</v>
      </c>
      <c r="P2971">
        <v>0</v>
      </c>
      <c r="Q2971">
        <v>0</v>
      </c>
      <c r="R2971">
        <v>0</v>
      </c>
      <c r="S2971">
        <v>1</v>
      </c>
    </row>
    <row r="2972" spans="1:19" hidden="1" x14ac:dyDescent="0.35">
      <c r="A2972">
        <v>57212755327</v>
      </c>
      <c r="B2972" t="s">
        <v>2976</v>
      </c>
      <c r="C2972" t="str">
        <f>_xlfn.XLOOKUP(A2972,[1]Affiliations!$J$2:$J$5328,[1]Affiliations!$K$2:$K$5328,0)</f>
        <v>Instituto de Pesquisa Aplicada Alan Turing</v>
      </c>
      <c r="D2972">
        <v>1</v>
      </c>
      <c r="E2972">
        <v>3</v>
      </c>
      <c r="F2972">
        <v>3</v>
      </c>
      <c r="G2972">
        <v>1</v>
      </c>
      <c r="H2972">
        <v>0.1</v>
      </c>
      <c r="I2972">
        <v>0</v>
      </c>
      <c r="J2972">
        <v>0</v>
      </c>
      <c r="K2972">
        <v>1</v>
      </c>
      <c r="L2972">
        <v>1</v>
      </c>
      <c r="M2972">
        <v>1</v>
      </c>
      <c r="N2972">
        <v>1</v>
      </c>
      <c r="P2972">
        <v>0</v>
      </c>
      <c r="Q2972">
        <v>0</v>
      </c>
      <c r="R2972">
        <v>0</v>
      </c>
      <c r="S2972">
        <v>0</v>
      </c>
    </row>
    <row r="2973" spans="1:19" hidden="1" x14ac:dyDescent="0.35">
      <c r="A2973">
        <v>55811144400</v>
      </c>
      <c r="B2973" t="s">
        <v>2977</v>
      </c>
      <c r="C2973" t="str">
        <f>_xlfn.XLOOKUP(A2973,[1]Affiliations!$J$2:$J$5328,[1]Affiliations!$K$2:$K$5328,0)</f>
        <v>Universidade Federal do Rio Grande do Norte (+2 more)</v>
      </c>
      <c r="D2973">
        <v>7</v>
      </c>
      <c r="E2973">
        <v>37</v>
      </c>
      <c r="F2973">
        <v>5.2857139999999996</v>
      </c>
      <c r="G2973">
        <v>4</v>
      </c>
      <c r="H2973">
        <v>0.4</v>
      </c>
      <c r="I2973">
        <v>0</v>
      </c>
      <c r="J2973">
        <v>1</v>
      </c>
      <c r="K2973">
        <v>3</v>
      </c>
      <c r="L2973">
        <v>4</v>
      </c>
      <c r="M2973">
        <v>4</v>
      </c>
      <c r="N2973">
        <v>4</v>
      </c>
      <c r="P2973">
        <v>0</v>
      </c>
      <c r="Q2973">
        <v>0</v>
      </c>
      <c r="R2973">
        <v>0</v>
      </c>
      <c r="S2973">
        <v>0</v>
      </c>
    </row>
    <row r="2974" spans="1:19" hidden="1" x14ac:dyDescent="0.35">
      <c r="A2974">
        <v>58782547800</v>
      </c>
      <c r="B2974" t="s">
        <v>2978</v>
      </c>
      <c r="C2974" t="str">
        <f>_xlfn.XLOOKUP(A2974,[1]Affiliations!$J$2:$J$5328,[1]Affiliations!$K$2:$K$5328,0)</f>
        <v>Federal University of Rio de Janeiro</v>
      </c>
      <c r="D2974">
        <v>1</v>
      </c>
      <c r="E2974">
        <v>10</v>
      </c>
      <c r="F2974">
        <v>10</v>
      </c>
      <c r="G2974">
        <v>1</v>
      </c>
      <c r="H2974">
        <v>1.1000000000000001</v>
      </c>
      <c r="I2974">
        <v>0</v>
      </c>
      <c r="J2974">
        <v>0</v>
      </c>
      <c r="K2974">
        <v>0</v>
      </c>
      <c r="L2974">
        <v>0</v>
      </c>
      <c r="M2974">
        <v>1</v>
      </c>
      <c r="N2974">
        <v>1</v>
      </c>
      <c r="P2974">
        <v>0</v>
      </c>
      <c r="Q2974">
        <v>0</v>
      </c>
      <c r="R2974">
        <v>0</v>
      </c>
      <c r="S2974">
        <v>1</v>
      </c>
    </row>
    <row r="2975" spans="1:19" hidden="1" x14ac:dyDescent="0.35">
      <c r="A2975">
        <v>57191201100</v>
      </c>
      <c r="B2975" t="s">
        <v>2979</v>
      </c>
      <c r="C2975" t="str">
        <f>_xlfn.XLOOKUP(A2975,[1]Affiliations!$J$2:$J$5328,[1]Affiliations!$K$2:$K$5328,0)</f>
        <v>Símeros</v>
      </c>
      <c r="D2975">
        <v>5</v>
      </c>
      <c r="E2975">
        <v>18</v>
      </c>
      <c r="F2975">
        <v>3.6</v>
      </c>
      <c r="G2975">
        <v>3</v>
      </c>
      <c r="H2975">
        <v>0.79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4</v>
      </c>
      <c r="P2975">
        <v>0</v>
      </c>
      <c r="Q2975">
        <v>0</v>
      </c>
      <c r="R2975">
        <v>0</v>
      </c>
      <c r="S2975">
        <v>0</v>
      </c>
    </row>
    <row r="2976" spans="1:19" hidden="1" x14ac:dyDescent="0.35">
      <c r="A2976">
        <v>10938897000</v>
      </c>
      <c r="B2976" t="s">
        <v>2980</v>
      </c>
      <c r="C2976" t="str">
        <f>_xlfn.XLOOKUP(A2976,[1]Affiliations!$J$2:$J$5328,[1]Affiliations!$K$2:$K$5328,0)</f>
        <v>Federal University of Rio de Janeiro</v>
      </c>
      <c r="D2976">
        <v>0</v>
      </c>
      <c r="G2976">
        <v>13</v>
      </c>
    </row>
    <row r="2977" spans="1:19" hidden="1" x14ac:dyDescent="0.35">
      <c r="A2977">
        <v>57191404214</v>
      </c>
      <c r="B2977" t="s">
        <v>2981</v>
      </c>
      <c r="C2977" t="str">
        <f>_xlfn.XLOOKUP(A2977,[1]Affiliations!$J$2:$J$5328,[1]Affiliations!$K$2:$K$5328,0)</f>
        <v>Universidad EAFIT (+1 more)</v>
      </c>
      <c r="D2977">
        <v>3</v>
      </c>
      <c r="E2977">
        <v>44</v>
      </c>
      <c r="F2977">
        <v>14.666667</v>
      </c>
      <c r="G2977">
        <v>3</v>
      </c>
      <c r="H2977">
        <v>0.5</v>
      </c>
      <c r="I2977">
        <v>0</v>
      </c>
      <c r="J2977">
        <v>2</v>
      </c>
      <c r="K2977">
        <v>2</v>
      </c>
      <c r="L2977">
        <v>3</v>
      </c>
      <c r="M2977">
        <v>3</v>
      </c>
      <c r="N2977">
        <v>3</v>
      </c>
      <c r="P2977">
        <v>0</v>
      </c>
      <c r="Q2977">
        <v>0</v>
      </c>
      <c r="R2977">
        <v>0</v>
      </c>
      <c r="S2977">
        <v>1</v>
      </c>
    </row>
    <row r="2978" spans="1:19" x14ac:dyDescent="0.35">
      <c r="A2978">
        <v>57211079470</v>
      </c>
      <c r="B2978" t="s">
        <v>4193</v>
      </c>
      <c r="C2978" t="str">
        <f>_xlfn.XLOOKUP(A2978,[1]Affiliations!$J$2:$J$5328,[1]Affiliations!$K$2:$K$5328,0)</f>
        <v>Federal University of Rio de Janeiro</v>
      </c>
      <c r="D2978">
        <v>14</v>
      </c>
      <c r="E2978">
        <v>327</v>
      </c>
      <c r="F2978">
        <v>23.357143000000001</v>
      </c>
      <c r="G2978">
        <v>23</v>
      </c>
      <c r="H2978">
        <v>0.88</v>
      </c>
      <c r="I2978">
        <v>0</v>
      </c>
      <c r="J2978">
        <v>1</v>
      </c>
      <c r="K2978">
        <v>3</v>
      </c>
      <c r="L2978">
        <v>9</v>
      </c>
      <c r="M2978">
        <v>13</v>
      </c>
      <c r="N2978">
        <v>14</v>
      </c>
      <c r="P2978">
        <v>0</v>
      </c>
      <c r="Q2978">
        <v>1</v>
      </c>
      <c r="R2978">
        <v>3</v>
      </c>
      <c r="S2978">
        <v>6</v>
      </c>
    </row>
    <row r="2979" spans="1:19" hidden="1" x14ac:dyDescent="0.35">
      <c r="A2979">
        <v>58547582900</v>
      </c>
      <c r="B2979" t="s">
        <v>2983</v>
      </c>
      <c r="C2979" t="str">
        <f>_xlfn.XLOOKUP(A2979,[1]Affiliations!$J$2:$J$5328,[1]Affiliations!$K$2:$K$5328,0)</f>
        <v>Universidade Federal de Santa Maria</v>
      </c>
      <c r="D2979">
        <v>1</v>
      </c>
      <c r="E2979">
        <v>2</v>
      </c>
      <c r="F2979">
        <v>2</v>
      </c>
      <c r="G2979">
        <v>2</v>
      </c>
      <c r="H2979">
        <v>0.34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1</v>
      </c>
      <c r="P2979">
        <v>0</v>
      </c>
      <c r="Q2979">
        <v>0</v>
      </c>
      <c r="R2979">
        <v>0</v>
      </c>
      <c r="S2979">
        <v>0</v>
      </c>
    </row>
    <row r="2980" spans="1:19" x14ac:dyDescent="0.35">
      <c r="A2980">
        <v>57194775390</v>
      </c>
      <c r="B2980" t="s">
        <v>4330</v>
      </c>
      <c r="C2980" t="str">
        <f>_xlfn.XLOOKUP(A2980,[1]Affiliations!$J$2:$J$5328,[1]Affiliations!$K$2:$K$5328,0)</f>
        <v>Universidade Federal de Goiás</v>
      </c>
      <c r="D2980">
        <v>25</v>
      </c>
      <c r="E2980">
        <v>399</v>
      </c>
      <c r="F2980">
        <v>15.96</v>
      </c>
      <c r="G2980">
        <v>11</v>
      </c>
      <c r="H2980">
        <v>0.88</v>
      </c>
      <c r="I2980">
        <v>0</v>
      </c>
      <c r="J2980">
        <v>3</v>
      </c>
      <c r="K2980">
        <v>7</v>
      </c>
      <c r="L2980">
        <v>19</v>
      </c>
      <c r="M2980">
        <v>21</v>
      </c>
      <c r="N2980">
        <v>25</v>
      </c>
      <c r="P2980">
        <v>0</v>
      </c>
      <c r="Q2980">
        <v>1</v>
      </c>
      <c r="R2980">
        <v>3</v>
      </c>
      <c r="S2980">
        <v>10</v>
      </c>
    </row>
    <row r="2981" spans="1:19" hidden="1" x14ac:dyDescent="0.35">
      <c r="A2981">
        <v>57745632000</v>
      </c>
      <c r="B2981" t="s">
        <v>2985</v>
      </c>
      <c r="C2981" t="str">
        <f>_xlfn.XLOOKUP(A2981,[1]Affiliations!$J$2:$J$5328,[1]Affiliations!$K$2:$K$5328,0)</f>
        <v>Pontifical Catholic University of Rio de Janeiro (+2 more)</v>
      </c>
      <c r="D2981">
        <v>2</v>
      </c>
      <c r="E2981">
        <v>11</v>
      </c>
      <c r="F2981">
        <v>5.5</v>
      </c>
      <c r="G2981">
        <v>3</v>
      </c>
      <c r="H2981">
        <v>0.65</v>
      </c>
      <c r="I2981">
        <v>0</v>
      </c>
      <c r="J2981">
        <v>0</v>
      </c>
      <c r="K2981">
        <v>0</v>
      </c>
      <c r="L2981">
        <v>2</v>
      </c>
      <c r="M2981">
        <v>2</v>
      </c>
      <c r="N2981">
        <v>2</v>
      </c>
      <c r="P2981">
        <v>0</v>
      </c>
      <c r="Q2981">
        <v>0</v>
      </c>
      <c r="R2981">
        <v>0</v>
      </c>
      <c r="S2981">
        <v>1</v>
      </c>
    </row>
    <row r="2982" spans="1:19" x14ac:dyDescent="0.35">
      <c r="A2982">
        <v>22942326300</v>
      </c>
      <c r="B2982" t="s">
        <v>4896</v>
      </c>
      <c r="C2982" t="str">
        <f>_xlfn.XLOOKUP(A2982,[1]Affiliations!$J$2:$J$5328,[1]Affiliations!$K$2:$K$5328,0)</f>
        <v>Centro Brasileiro de Pesquisas Físicas (+1 more)</v>
      </c>
      <c r="D2982">
        <v>40</v>
      </c>
      <c r="E2982">
        <v>780</v>
      </c>
      <c r="F2982">
        <v>19.5</v>
      </c>
      <c r="G2982">
        <v>22</v>
      </c>
      <c r="H2982">
        <v>0.88</v>
      </c>
      <c r="I2982">
        <v>0</v>
      </c>
      <c r="J2982">
        <v>2</v>
      </c>
      <c r="K2982">
        <v>15</v>
      </c>
      <c r="L2982">
        <v>30</v>
      </c>
      <c r="M2982">
        <v>38</v>
      </c>
      <c r="N2982">
        <v>39</v>
      </c>
      <c r="P2982">
        <v>0</v>
      </c>
      <c r="Q2982">
        <v>1</v>
      </c>
      <c r="R2982">
        <v>4</v>
      </c>
      <c r="S2982">
        <v>18</v>
      </c>
    </row>
    <row r="2983" spans="1:19" hidden="1" x14ac:dyDescent="0.35">
      <c r="A2983">
        <v>57192067665</v>
      </c>
      <c r="B2983" t="s">
        <v>2987</v>
      </c>
      <c r="C2983" t="str">
        <f>_xlfn.XLOOKUP(A2983,[1]Affiliations!$J$2:$J$5328,[1]Affiliations!$K$2:$K$5328,0)</f>
        <v>Universidade Federal do Rio Grande do Sul</v>
      </c>
      <c r="D2983">
        <v>3</v>
      </c>
      <c r="E2983">
        <v>3</v>
      </c>
      <c r="F2983">
        <v>1</v>
      </c>
      <c r="G2983">
        <v>1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1</v>
      </c>
      <c r="P2983">
        <v>0</v>
      </c>
      <c r="Q2983">
        <v>0</v>
      </c>
      <c r="R2983">
        <v>0</v>
      </c>
      <c r="S2983">
        <v>0</v>
      </c>
    </row>
    <row r="2984" spans="1:19" hidden="1" x14ac:dyDescent="0.35">
      <c r="A2984">
        <v>6506977591</v>
      </c>
      <c r="B2984" t="s">
        <v>2988</v>
      </c>
      <c r="C2984" t="str">
        <f>_xlfn.XLOOKUP(A2984,[1]Affiliations!$J$2:$J$5328,[1]Affiliations!$K$2:$K$5328,0)</f>
        <v>Pontifícia Universidade Católica do Rio Grande do Sul</v>
      </c>
      <c r="D2984">
        <v>23</v>
      </c>
      <c r="E2984">
        <v>357</v>
      </c>
      <c r="F2984">
        <v>15.521739</v>
      </c>
      <c r="G2984">
        <v>17</v>
      </c>
      <c r="H2984">
        <v>0.73</v>
      </c>
      <c r="I2984">
        <v>1</v>
      </c>
      <c r="J2984">
        <v>2</v>
      </c>
      <c r="K2984">
        <v>6</v>
      </c>
      <c r="L2984">
        <v>14</v>
      </c>
      <c r="M2984">
        <v>18</v>
      </c>
      <c r="N2984">
        <v>22</v>
      </c>
      <c r="P2984">
        <v>0</v>
      </c>
      <c r="Q2984">
        <v>0</v>
      </c>
      <c r="R2984">
        <v>0</v>
      </c>
      <c r="S2984">
        <v>7</v>
      </c>
    </row>
    <row r="2985" spans="1:19" hidden="1" x14ac:dyDescent="0.35">
      <c r="A2985">
        <v>55839435600</v>
      </c>
      <c r="B2985" t="s">
        <v>2989</v>
      </c>
      <c r="C2985" t="str">
        <f>_xlfn.XLOOKUP(A2985,[1]Affiliations!$J$2:$J$5328,[1]Affiliations!$K$2:$K$5328,0)</f>
        <v>Universidade Federal do Espírito Santo</v>
      </c>
      <c r="D2985">
        <v>0</v>
      </c>
      <c r="G2985">
        <v>1</v>
      </c>
    </row>
    <row r="2986" spans="1:19" hidden="1" x14ac:dyDescent="0.35">
      <c r="A2986">
        <v>8583291000</v>
      </c>
      <c r="B2986" t="s">
        <v>2990</v>
      </c>
      <c r="C2986" t="str">
        <f>_xlfn.XLOOKUP(A2986,[1]Affiliations!$J$2:$J$5328,[1]Affiliations!$K$2:$K$5328,0)</f>
        <v>Universidade Federal do Espírito Santo</v>
      </c>
      <c r="D2986">
        <v>8</v>
      </c>
      <c r="E2986">
        <v>100</v>
      </c>
      <c r="F2986">
        <v>12.5</v>
      </c>
      <c r="G2986">
        <v>6</v>
      </c>
      <c r="H2986">
        <v>0.47</v>
      </c>
      <c r="I2986">
        <v>0</v>
      </c>
      <c r="J2986">
        <v>0</v>
      </c>
      <c r="K2986">
        <v>3</v>
      </c>
      <c r="L2986">
        <v>5</v>
      </c>
      <c r="M2986">
        <v>8</v>
      </c>
      <c r="N2986">
        <v>8</v>
      </c>
      <c r="P2986">
        <v>0</v>
      </c>
      <c r="Q2986">
        <v>0</v>
      </c>
      <c r="R2986">
        <v>0</v>
      </c>
      <c r="S2986">
        <v>1</v>
      </c>
    </row>
    <row r="2987" spans="1:19" hidden="1" x14ac:dyDescent="0.35">
      <c r="A2987">
        <v>8895249300</v>
      </c>
      <c r="B2987" t="s">
        <v>2991</v>
      </c>
      <c r="C2987" t="str">
        <f>_xlfn.XLOOKUP(A2987,[1]Affiliations!$J$2:$J$5328,[1]Affiliations!$K$2:$K$5328,0)</f>
        <v>NIDF (+2 more)</v>
      </c>
      <c r="D2987">
        <v>38</v>
      </c>
      <c r="E2987">
        <v>263</v>
      </c>
      <c r="F2987">
        <v>6.9210525000000001</v>
      </c>
      <c r="G2987">
        <v>15</v>
      </c>
      <c r="H2987">
        <v>1.02</v>
      </c>
      <c r="I2987">
        <v>1</v>
      </c>
      <c r="J2987">
        <v>1</v>
      </c>
      <c r="K2987">
        <v>3</v>
      </c>
      <c r="L2987">
        <v>20</v>
      </c>
      <c r="M2987">
        <v>22</v>
      </c>
      <c r="N2987">
        <v>22</v>
      </c>
      <c r="P2987">
        <v>0</v>
      </c>
      <c r="Q2987">
        <v>0</v>
      </c>
      <c r="R2987">
        <v>0</v>
      </c>
      <c r="S2987">
        <v>10</v>
      </c>
    </row>
    <row r="2988" spans="1:19" x14ac:dyDescent="0.35">
      <c r="A2988">
        <v>6507369077</v>
      </c>
      <c r="B2988" t="s">
        <v>4934</v>
      </c>
      <c r="C2988" t="str">
        <f>_xlfn.XLOOKUP(A2988,[1]Affiliations!$J$2:$J$5328,[1]Affiliations!$K$2:$K$5328,0)</f>
        <v>Universidade Federal da Bahia (+1 more)</v>
      </c>
      <c r="D2988">
        <v>34</v>
      </c>
      <c r="E2988">
        <v>737</v>
      </c>
      <c r="F2988">
        <v>21.676469999999998</v>
      </c>
      <c r="G2988">
        <v>17</v>
      </c>
      <c r="H2988">
        <v>0.88</v>
      </c>
      <c r="I2988">
        <v>0</v>
      </c>
      <c r="J2988">
        <v>1</v>
      </c>
      <c r="K2988">
        <v>6</v>
      </c>
      <c r="L2988">
        <v>14</v>
      </c>
      <c r="M2988">
        <v>22</v>
      </c>
      <c r="N2988">
        <v>28</v>
      </c>
      <c r="P2988">
        <v>0</v>
      </c>
      <c r="Q2988">
        <v>2</v>
      </c>
      <c r="R2988">
        <v>7</v>
      </c>
      <c r="S2988">
        <v>10</v>
      </c>
    </row>
    <row r="2989" spans="1:19" hidden="1" x14ac:dyDescent="0.35">
      <c r="A2989">
        <v>7005055005</v>
      </c>
      <c r="B2989" t="s">
        <v>2993</v>
      </c>
      <c r="C2989" t="str">
        <f>_xlfn.XLOOKUP(A2989,[1]Affiliations!$J$2:$J$5328,[1]Affiliations!$K$2:$K$5328,0)</f>
        <v>Federal University of Rio de Janeiro</v>
      </c>
      <c r="D2989">
        <v>1</v>
      </c>
      <c r="E2989">
        <v>23</v>
      </c>
      <c r="F2989">
        <v>23</v>
      </c>
      <c r="G2989">
        <v>3</v>
      </c>
      <c r="H2989">
        <v>1.67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1</v>
      </c>
      <c r="P2989">
        <v>0</v>
      </c>
      <c r="Q2989">
        <v>0</v>
      </c>
      <c r="R2989">
        <v>0</v>
      </c>
      <c r="S2989">
        <v>1</v>
      </c>
    </row>
    <row r="2990" spans="1:19" x14ac:dyDescent="0.35">
      <c r="A2990">
        <v>57209170765</v>
      </c>
      <c r="B2990" t="s">
        <v>2492</v>
      </c>
      <c r="C2990" t="str">
        <f>_xlfn.XLOOKUP(A2990,[1]Affiliations!$J$2:$J$5328,[1]Affiliations!$K$2:$K$5328,0)</f>
        <v>University of Campinas (+5 more)</v>
      </c>
      <c r="D2990">
        <v>215</v>
      </c>
      <c r="E2990">
        <v>3490</v>
      </c>
      <c r="F2990">
        <v>16.232557</v>
      </c>
      <c r="G2990">
        <v>42</v>
      </c>
      <c r="H2990">
        <v>0.88</v>
      </c>
      <c r="I2990">
        <v>1</v>
      </c>
      <c r="J2990">
        <v>23</v>
      </c>
      <c r="K2990">
        <v>48</v>
      </c>
      <c r="L2990">
        <v>124</v>
      </c>
      <c r="M2990">
        <v>191</v>
      </c>
      <c r="N2990">
        <v>206</v>
      </c>
      <c r="P2990">
        <v>0</v>
      </c>
      <c r="Q2990">
        <v>1</v>
      </c>
      <c r="R2990">
        <v>18</v>
      </c>
      <c r="S2990">
        <v>80</v>
      </c>
    </row>
    <row r="2991" spans="1:19" x14ac:dyDescent="0.35">
      <c r="A2991">
        <v>6505958538</v>
      </c>
      <c r="B2991" t="s">
        <v>5219</v>
      </c>
      <c r="C2991" t="str">
        <f>_xlfn.XLOOKUP(A2991,[1]Affiliations!$J$2:$J$5328,[1]Affiliations!$K$2:$K$5328,0)</f>
        <v>Universidade Federal de Santa Maria</v>
      </c>
      <c r="D2991">
        <v>51</v>
      </c>
      <c r="E2991">
        <v>1041</v>
      </c>
      <c r="F2991">
        <v>20.411764000000002</v>
      </c>
      <c r="G2991">
        <v>22</v>
      </c>
      <c r="H2991">
        <v>0.88</v>
      </c>
      <c r="I2991">
        <v>0</v>
      </c>
      <c r="J2991">
        <v>4</v>
      </c>
      <c r="K2991">
        <v>20</v>
      </c>
      <c r="L2991">
        <v>35</v>
      </c>
      <c r="M2991">
        <v>46</v>
      </c>
      <c r="N2991">
        <v>49</v>
      </c>
      <c r="P2991">
        <v>0</v>
      </c>
      <c r="Q2991">
        <v>3</v>
      </c>
      <c r="R2991">
        <v>7</v>
      </c>
      <c r="S2991">
        <v>16</v>
      </c>
    </row>
    <row r="2992" spans="1:19" x14ac:dyDescent="0.35">
      <c r="A2992">
        <v>7102658832</v>
      </c>
      <c r="B2992" t="s">
        <v>212</v>
      </c>
      <c r="C2992" t="str">
        <f>_xlfn.XLOOKUP(A2992,[1]Affiliations!$J$2:$J$5328,[1]Affiliations!$K$2:$K$5328,0)</f>
        <v>National Institute of Technology (INT) (+2 more)</v>
      </c>
      <c r="D2992">
        <v>26</v>
      </c>
      <c r="E2992">
        <v>725</v>
      </c>
      <c r="F2992">
        <v>27.884615</v>
      </c>
      <c r="G2992">
        <v>31</v>
      </c>
      <c r="H2992">
        <v>0.87</v>
      </c>
      <c r="I2992">
        <v>0</v>
      </c>
      <c r="J2992">
        <v>3</v>
      </c>
      <c r="K2992">
        <v>15</v>
      </c>
      <c r="L2992">
        <v>20</v>
      </c>
      <c r="M2992">
        <v>25</v>
      </c>
      <c r="N2992">
        <v>25</v>
      </c>
      <c r="P2992">
        <v>0</v>
      </c>
      <c r="Q2992">
        <v>1</v>
      </c>
      <c r="R2992">
        <v>6</v>
      </c>
      <c r="S2992">
        <v>18</v>
      </c>
    </row>
    <row r="2993" spans="1:19" hidden="1" x14ac:dyDescent="0.35">
      <c r="A2993">
        <v>58678070300</v>
      </c>
      <c r="B2993" t="s">
        <v>2996</v>
      </c>
      <c r="C2993" t="str">
        <f>_xlfn.XLOOKUP(A2993,[1]Affiliations!$J$2:$J$5328,[1]Affiliations!$K$2:$K$5328,0)</f>
        <v>Instituto de Pesquisas Tecnologicas</v>
      </c>
      <c r="D2993">
        <v>1</v>
      </c>
      <c r="E2993">
        <v>0</v>
      </c>
      <c r="F2993">
        <v>0</v>
      </c>
      <c r="G2993">
        <v>0</v>
      </c>
      <c r="H2993">
        <v>0</v>
      </c>
      <c r="P2993">
        <v>0</v>
      </c>
      <c r="Q2993">
        <v>0</v>
      </c>
      <c r="R2993">
        <v>0</v>
      </c>
      <c r="S2993">
        <v>0</v>
      </c>
    </row>
    <row r="2994" spans="1:19" x14ac:dyDescent="0.35">
      <c r="A2994">
        <v>6604028880</v>
      </c>
      <c r="B2994" t="s">
        <v>418</v>
      </c>
      <c r="C2994" t="str">
        <f>_xlfn.XLOOKUP(A2994,[1]Affiliations!$J$2:$J$5328,[1]Affiliations!$K$2:$K$5328,0)</f>
        <v>Universidade Federal de Uberlândia</v>
      </c>
      <c r="D2994">
        <v>132</v>
      </c>
      <c r="E2994">
        <v>3259</v>
      </c>
      <c r="F2994">
        <v>24.689394</v>
      </c>
      <c r="G2994">
        <v>50</v>
      </c>
      <c r="H2994">
        <v>0.87</v>
      </c>
      <c r="I2994">
        <v>0</v>
      </c>
      <c r="J2994">
        <v>10</v>
      </c>
      <c r="K2994">
        <v>23</v>
      </c>
      <c r="L2994">
        <v>99</v>
      </c>
      <c r="M2994">
        <v>118</v>
      </c>
      <c r="N2994">
        <v>122</v>
      </c>
      <c r="P2994">
        <v>1</v>
      </c>
      <c r="Q2994">
        <v>4</v>
      </c>
      <c r="R2994">
        <v>17</v>
      </c>
      <c r="S2994">
        <v>76</v>
      </c>
    </row>
    <row r="2995" spans="1:19" x14ac:dyDescent="0.35">
      <c r="A2995">
        <v>36809084800</v>
      </c>
      <c r="B2995" t="s">
        <v>598</v>
      </c>
      <c r="C2995" t="str">
        <f>_xlfn.XLOOKUP(A2995,[1]Affiliations!$J$2:$J$5328,[1]Affiliations!$K$2:$K$5328,0)</f>
        <v>Universidade Tecnológica Federal do Paraná</v>
      </c>
      <c r="D2995">
        <v>80</v>
      </c>
      <c r="E2995">
        <v>836</v>
      </c>
      <c r="F2995">
        <v>10.45</v>
      </c>
      <c r="G2995">
        <v>18</v>
      </c>
      <c r="H2995">
        <v>0.87</v>
      </c>
      <c r="I2995">
        <v>1</v>
      </c>
      <c r="J2995">
        <v>9</v>
      </c>
      <c r="K2995">
        <v>26</v>
      </c>
      <c r="L2995">
        <v>48</v>
      </c>
      <c r="M2995">
        <v>53</v>
      </c>
      <c r="N2995">
        <v>58</v>
      </c>
      <c r="P2995">
        <v>0</v>
      </c>
      <c r="Q2995">
        <v>2</v>
      </c>
      <c r="R2995">
        <v>4</v>
      </c>
      <c r="S2995">
        <v>14</v>
      </c>
    </row>
    <row r="2996" spans="1:19" hidden="1" x14ac:dyDescent="0.35">
      <c r="A2996">
        <v>58090734200</v>
      </c>
      <c r="B2996" t="s">
        <v>2999</v>
      </c>
      <c r="C2996" t="str">
        <f>_xlfn.XLOOKUP(A2996,[1]Affiliations!$J$2:$J$5328,[1]Affiliations!$K$2:$K$5328,0)</f>
        <v>Universidade Tiradentes</v>
      </c>
      <c r="D2996">
        <v>2</v>
      </c>
      <c r="E2996">
        <v>9</v>
      </c>
      <c r="F2996">
        <v>4.5</v>
      </c>
      <c r="G2996">
        <v>2</v>
      </c>
      <c r="H2996">
        <v>0.3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2</v>
      </c>
      <c r="P2996">
        <v>0</v>
      </c>
      <c r="Q2996">
        <v>0</v>
      </c>
      <c r="R2996">
        <v>0</v>
      </c>
      <c r="S2996">
        <v>0</v>
      </c>
    </row>
    <row r="2997" spans="1:19" hidden="1" x14ac:dyDescent="0.35">
      <c r="A2997">
        <v>60155517200</v>
      </c>
      <c r="B2997" t="s">
        <v>3000</v>
      </c>
      <c r="C2997" t="str">
        <f>_xlfn.XLOOKUP(A2997,[1]Affiliations!$J$2:$J$5328,[1]Affiliations!$K$2:$K$5328,0)</f>
        <v>Federal University of Pará</v>
      </c>
      <c r="D2997">
        <v>0</v>
      </c>
      <c r="G2997">
        <v>0</v>
      </c>
    </row>
    <row r="2998" spans="1:19" x14ac:dyDescent="0.35">
      <c r="A2998">
        <v>57211589216</v>
      </c>
      <c r="B2998" t="s">
        <v>1553</v>
      </c>
      <c r="C2998" t="str">
        <f>_xlfn.XLOOKUP(A2998,[1]Affiliations!$J$2:$J$5328,[1]Affiliations!$K$2:$K$5328,0)</f>
        <v>Emerson Automation Solutions</v>
      </c>
      <c r="D2998">
        <v>6</v>
      </c>
      <c r="E2998">
        <v>85</v>
      </c>
      <c r="F2998">
        <v>14.166667</v>
      </c>
      <c r="G2998">
        <v>4</v>
      </c>
      <c r="H2998">
        <v>0.87</v>
      </c>
      <c r="I2998">
        <v>0</v>
      </c>
      <c r="J2998">
        <v>2</v>
      </c>
      <c r="K2998">
        <v>2</v>
      </c>
      <c r="L2998">
        <v>2</v>
      </c>
      <c r="M2998">
        <v>3</v>
      </c>
      <c r="N2998">
        <v>3</v>
      </c>
      <c r="P2998">
        <v>0</v>
      </c>
      <c r="Q2998">
        <v>0</v>
      </c>
      <c r="R2998">
        <v>1</v>
      </c>
      <c r="S2998">
        <v>1</v>
      </c>
    </row>
    <row r="2999" spans="1:19" x14ac:dyDescent="0.35">
      <c r="A2999">
        <v>7006173003</v>
      </c>
      <c r="B2999" t="s">
        <v>1939</v>
      </c>
      <c r="C2999" t="str">
        <f>_xlfn.XLOOKUP(A2999,[1]Affiliations!$J$2:$J$5328,[1]Affiliations!$K$2:$K$5328,0)</f>
        <v>Universidade Federal de Minas Gerais</v>
      </c>
      <c r="D2999">
        <v>49</v>
      </c>
      <c r="E2999">
        <v>1044</v>
      </c>
      <c r="F2999">
        <v>21.306121999999998</v>
      </c>
      <c r="G2999">
        <v>24</v>
      </c>
      <c r="H2999">
        <v>0.87</v>
      </c>
      <c r="I2999">
        <v>1</v>
      </c>
      <c r="J2999">
        <v>3</v>
      </c>
      <c r="K2999">
        <v>10</v>
      </c>
      <c r="L2999">
        <v>22</v>
      </c>
      <c r="M2999">
        <v>38</v>
      </c>
      <c r="N2999">
        <v>42</v>
      </c>
      <c r="P2999">
        <v>0</v>
      </c>
      <c r="Q2999">
        <v>1</v>
      </c>
      <c r="R2999">
        <v>6</v>
      </c>
      <c r="S2999">
        <v>20</v>
      </c>
    </row>
    <row r="3000" spans="1:19" hidden="1" x14ac:dyDescent="0.35">
      <c r="A3000">
        <v>58632182300</v>
      </c>
      <c r="B3000" t="s">
        <v>3003</v>
      </c>
      <c r="C3000" t="str">
        <f>_xlfn.XLOOKUP(A3000,[1]Affiliations!$J$2:$J$5328,[1]Affiliations!$K$2:$K$5328,0)</f>
        <v>Universidade Federal do Rio Grande do Norte</v>
      </c>
      <c r="D3000">
        <v>1</v>
      </c>
      <c r="E3000">
        <v>11</v>
      </c>
      <c r="F3000">
        <v>11</v>
      </c>
      <c r="G3000">
        <v>1</v>
      </c>
      <c r="H3000">
        <v>1.51</v>
      </c>
      <c r="I3000">
        <v>0</v>
      </c>
      <c r="J3000">
        <v>0</v>
      </c>
      <c r="K3000">
        <v>0</v>
      </c>
      <c r="L3000">
        <v>1</v>
      </c>
      <c r="M3000">
        <v>1</v>
      </c>
      <c r="N3000">
        <v>1</v>
      </c>
      <c r="P3000">
        <v>0</v>
      </c>
      <c r="Q3000">
        <v>0</v>
      </c>
      <c r="R3000">
        <v>0</v>
      </c>
      <c r="S3000">
        <v>1</v>
      </c>
    </row>
    <row r="3001" spans="1:19" hidden="1" x14ac:dyDescent="0.35">
      <c r="A3001">
        <v>57200132030</v>
      </c>
      <c r="B3001" t="s">
        <v>3004</v>
      </c>
      <c r="C3001" t="str">
        <f>_xlfn.XLOOKUP(A3001,[1]Affiliations!$J$2:$J$5328,[1]Affiliations!$K$2:$K$5328,0)</f>
        <v>Universidade Federal do Ceará</v>
      </c>
      <c r="D3001">
        <v>1</v>
      </c>
      <c r="E3001">
        <v>19</v>
      </c>
      <c r="F3001">
        <v>19</v>
      </c>
      <c r="G3001">
        <v>1</v>
      </c>
      <c r="H3001">
        <v>0.75</v>
      </c>
      <c r="I3001">
        <v>0</v>
      </c>
      <c r="J3001">
        <v>0</v>
      </c>
      <c r="K3001">
        <v>0</v>
      </c>
      <c r="L3001">
        <v>0</v>
      </c>
      <c r="M3001">
        <v>1</v>
      </c>
      <c r="N3001">
        <v>1</v>
      </c>
      <c r="P3001">
        <v>0</v>
      </c>
      <c r="Q3001">
        <v>0</v>
      </c>
      <c r="R3001">
        <v>0</v>
      </c>
      <c r="S3001">
        <v>0</v>
      </c>
    </row>
    <row r="3002" spans="1:19" x14ac:dyDescent="0.35">
      <c r="A3002">
        <v>55354374000</v>
      </c>
      <c r="B3002" t="s">
        <v>1977</v>
      </c>
      <c r="C3002" t="str">
        <f>_xlfn.XLOOKUP(A3002,[1]Affiliations!$J$2:$J$5328,[1]Affiliations!$K$2:$K$5328,0)</f>
        <v>Universidade Federal de Goiás</v>
      </c>
      <c r="D3002">
        <v>13</v>
      </c>
      <c r="E3002">
        <v>197</v>
      </c>
      <c r="F3002">
        <v>15.153846</v>
      </c>
      <c r="G3002">
        <v>8</v>
      </c>
      <c r="H3002">
        <v>0.87</v>
      </c>
      <c r="I3002">
        <v>0</v>
      </c>
      <c r="J3002">
        <v>1</v>
      </c>
      <c r="K3002">
        <v>5</v>
      </c>
      <c r="L3002">
        <v>8</v>
      </c>
      <c r="M3002">
        <v>11</v>
      </c>
      <c r="N3002">
        <v>12</v>
      </c>
      <c r="P3002">
        <v>0</v>
      </c>
      <c r="Q3002">
        <v>1</v>
      </c>
      <c r="R3002">
        <v>2</v>
      </c>
      <c r="S3002">
        <v>5</v>
      </c>
    </row>
    <row r="3003" spans="1:19" hidden="1" x14ac:dyDescent="0.35">
      <c r="A3003">
        <v>57223104042</v>
      </c>
      <c r="B3003" t="s">
        <v>3006</v>
      </c>
      <c r="C3003" t="str">
        <f>_xlfn.XLOOKUP(A3003,[1]Affiliations!$J$2:$J$5328,[1]Affiliations!$K$2:$K$5328,0)</f>
        <v>SIMEC Mechanical Simulation</v>
      </c>
      <c r="D3003">
        <v>2</v>
      </c>
      <c r="E3003">
        <v>3</v>
      </c>
      <c r="F3003">
        <v>1.5</v>
      </c>
      <c r="G3003">
        <v>1</v>
      </c>
      <c r="H3003">
        <v>0.14000000000000001</v>
      </c>
      <c r="I3003">
        <v>0</v>
      </c>
      <c r="J3003">
        <v>1</v>
      </c>
      <c r="K3003">
        <v>1</v>
      </c>
      <c r="L3003">
        <v>1</v>
      </c>
      <c r="M3003">
        <v>1</v>
      </c>
      <c r="N3003">
        <v>2</v>
      </c>
      <c r="P3003">
        <v>0</v>
      </c>
      <c r="Q3003">
        <v>0</v>
      </c>
      <c r="R3003">
        <v>0</v>
      </c>
      <c r="S3003">
        <v>0</v>
      </c>
    </row>
    <row r="3004" spans="1:19" x14ac:dyDescent="0.35">
      <c r="A3004">
        <v>7103090012</v>
      </c>
      <c r="B3004" t="s">
        <v>2114</v>
      </c>
      <c r="C3004" t="str">
        <f>_xlfn.XLOOKUP(A3004,[1]Affiliations!$J$2:$J$5328,[1]Affiliations!$K$2:$K$5328,0)</f>
        <v>Federal University of Santa Catarina</v>
      </c>
      <c r="D3004">
        <v>32</v>
      </c>
      <c r="E3004">
        <v>721</v>
      </c>
      <c r="F3004">
        <v>22.53125</v>
      </c>
      <c r="G3004">
        <v>18</v>
      </c>
      <c r="H3004">
        <v>0.87</v>
      </c>
      <c r="I3004">
        <v>0</v>
      </c>
      <c r="J3004">
        <v>4</v>
      </c>
      <c r="K3004">
        <v>8</v>
      </c>
      <c r="L3004">
        <v>16</v>
      </c>
      <c r="M3004">
        <v>23</v>
      </c>
      <c r="N3004">
        <v>27</v>
      </c>
      <c r="P3004">
        <v>0</v>
      </c>
      <c r="Q3004">
        <v>4</v>
      </c>
      <c r="R3004">
        <v>4</v>
      </c>
      <c r="S3004">
        <v>9</v>
      </c>
    </row>
    <row r="3005" spans="1:19" x14ac:dyDescent="0.35">
      <c r="A3005">
        <v>57196464399</v>
      </c>
      <c r="B3005" t="s">
        <v>2420</v>
      </c>
      <c r="C3005" t="str">
        <f>_xlfn.XLOOKUP(A3005,[1]Affiliations!$J$2:$J$5328,[1]Affiliations!$K$2:$K$5328,0)</f>
        <v>Vizlab - X-Reality and GeoInformatics Lab (+1 more)</v>
      </c>
      <c r="D3005">
        <v>22</v>
      </c>
      <c r="E3005">
        <v>406</v>
      </c>
      <c r="F3005">
        <v>18.454546000000001</v>
      </c>
      <c r="G3005">
        <v>10</v>
      </c>
      <c r="H3005">
        <v>0.87</v>
      </c>
      <c r="I3005">
        <v>2</v>
      </c>
      <c r="J3005">
        <v>4</v>
      </c>
      <c r="K3005">
        <v>8</v>
      </c>
      <c r="L3005">
        <v>13</v>
      </c>
      <c r="M3005">
        <v>15</v>
      </c>
      <c r="N3005">
        <v>16</v>
      </c>
      <c r="P3005">
        <v>1</v>
      </c>
      <c r="Q3005">
        <v>1</v>
      </c>
      <c r="R3005">
        <v>1</v>
      </c>
      <c r="S3005">
        <v>8</v>
      </c>
    </row>
    <row r="3006" spans="1:19" hidden="1" x14ac:dyDescent="0.35">
      <c r="A3006">
        <v>58125952300</v>
      </c>
      <c r="B3006" t="s">
        <v>3009</v>
      </c>
      <c r="C3006" t="str">
        <f>_xlfn.XLOOKUP(A3006,[1]Affiliations!$J$2:$J$5328,[1]Affiliations!$K$2:$K$5328,0)</f>
        <v>SIMEROS</v>
      </c>
      <c r="D3006">
        <v>1</v>
      </c>
      <c r="E3006">
        <v>2</v>
      </c>
      <c r="F3006">
        <v>2</v>
      </c>
      <c r="G3006">
        <v>1</v>
      </c>
      <c r="H3006">
        <v>0.98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P3006">
        <v>0</v>
      </c>
      <c r="Q3006">
        <v>0</v>
      </c>
      <c r="R3006">
        <v>0</v>
      </c>
      <c r="S3006">
        <v>0</v>
      </c>
    </row>
    <row r="3007" spans="1:19" x14ac:dyDescent="0.35">
      <c r="A3007">
        <v>43061238800</v>
      </c>
      <c r="B3007" t="s">
        <v>2655</v>
      </c>
      <c r="C3007" t="str">
        <f>_xlfn.XLOOKUP(A3007,[1]Affiliations!$J$2:$J$5328,[1]Affiliations!$K$2:$K$5328,0)</f>
        <v>Universidade Federal do Paraná (+1 more)</v>
      </c>
      <c r="D3007">
        <v>5</v>
      </c>
      <c r="E3007">
        <v>113</v>
      </c>
      <c r="F3007">
        <v>22.6</v>
      </c>
      <c r="G3007">
        <v>9</v>
      </c>
      <c r="H3007">
        <v>0.87</v>
      </c>
      <c r="I3007">
        <v>0</v>
      </c>
      <c r="J3007">
        <v>2</v>
      </c>
      <c r="K3007">
        <v>2</v>
      </c>
      <c r="L3007">
        <v>4</v>
      </c>
      <c r="M3007">
        <v>5</v>
      </c>
      <c r="N3007">
        <v>5</v>
      </c>
      <c r="P3007">
        <v>0</v>
      </c>
      <c r="Q3007">
        <v>1</v>
      </c>
      <c r="R3007">
        <v>1</v>
      </c>
      <c r="S3007">
        <v>1</v>
      </c>
    </row>
    <row r="3008" spans="1:19" hidden="1" x14ac:dyDescent="0.35">
      <c r="A3008">
        <v>59727973700</v>
      </c>
      <c r="B3008" t="s">
        <v>3011</v>
      </c>
      <c r="C3008" t="str">
        <f>_xlfn.XLOOKUP(A3008,[1]Affiliations!$J$2:$J$5328,[1]Affiliations!$K$2:$K$5328,0)</f>
        <v>Universidade Federal da Bahia</v>
      </c>
      <c r="D3008">
        <v>0</v>
      </c>
      <c r="G3008">
        <v>0</v>
      </c>
    </row>
    <row r="3009" spans="1:19" hidden="1" x14ac:dyDescent="0.35">
      <c r="A3009">
        <v>57339342800</v>
      </c>
      <c r="B3009" t="s">
        <v>3012</v>
      </c>
      <c r="C3009" t="str">
        <f>_xlfn.XLOOKUP(A3009,[1]Affiliations!$J$2:$J$5328,[1]Affiliations!$K$2:$K$5328,0)</f>
        <v>Federal University of Rio de Janeiro</v>
      </c>
      <c r="D3009">
        <v>2</v>
      </c>
      <c r="E3009">
        <v>22</v>
      </c>
      <c r="F3009">
        <v>11</v>
      </c>
      <c r="G3009">
        <v>2</v>
      </c>
      <c r="H3009">
        <v>1.79</v>
      </c>
      <c r="I3009">
        <v>0</v>
      </c>
      <c r="J3009">
        <v>0</v>
      </c>
      <c r="K3009">
        <v>0</v>
      </c>
      <c r="L3009">
        <v>2</v>
      </c>
      <c r="M3009">
        <v>2</v>
      </c>
      <c r="N3009">
        <v>2</v>
      </c>
      <c r="P3009">
        <v>0</v>
      </c>
      <c r="Q3009">
        <v>0</v>
      </c>
      <c r="R3009">
        <v>1</v>
      </c>
      <c r="S3009">
        <v>1</v>
      </c>
    </row>
    <row r="3010" spans="1:19" x14ac:dyDescent="0.35">
      <c r="A3010">
        <v>7102832419</v>
      </c>
      <c r="B3010" t="s">
        <v>2731</v>
      </c>
      <c r="C3010" t="str">
        <f>_xlfn.XLOOKUP(A3010,[1]Affiliations!$J$2:$J$5328,[1]Affiliations!$K$2:$K$5328,0)</f>
        <v>Vizlab - X-Reality and GeoInformatics Lab (+1 more)</v>
      </c>
      <c r="D3010">
        <v>9</v>
      </c>
      <c r="E3010">
        <v>110</v>
      </c>
      <c r="F3010">
        <v>12.222222</v>
      </c>
      <c r="G3010">
        <v>6</v>
      </c>
      <c r="H3010">
        <v>0.87</v>
      </c>
      <c r="I3010">
        <v>0</v>
      </c>
      <c r="J3010">
        <v>0</v>
      </c>
      <c r="K3010">
        <v>2</v>
      </c>
      <c r="L3010">
        <v>5</v>
      </c>
      <c r="M3010">
        <v>9</v>
      </c>
      <c r="N3010">
        <v>9</v>
      </c>
      <c r="P3010">
        <v>0</v>
      </c>
      <c r="Q3010">
        <v>1</v>
      </c>
      <c r="R3010">
        <v>2</v>
      </c>
      <c r="S3010">
        <v>2</v>
      </c>
    </row>
    <row r="3011" spans="1:19" hidden="1" x14ac:dyDescent="0.35">
      <c r="A3011">
        <v>16177877300</v>
      </c>
      <c r="B3011" t="s">
        <v>3014</v>
      </c>
      <c r="C3011" t="str">
        <f>_xlfn.XLOOKUP(A3011,[1]Affiliations!$J$2:$J$5328,[1]Affiliations!$K$2:$K$5328,0)</f>
        <v>University of Campinas</v>
      </c>
      <c r="D3011">
        <v>15</v>
      </c>
      <c r="E3011">
        <v>164</v>
      </c>
      <c r="F3011">
        <v>10.933332999999999</v>
      </c>
      <c r="G3011">
        <v>10</v>
      </c>
      <c r="H3011">
        <v>0.86</v>
      </c>
      <c r="I3011">
        <v>0</v>
      </c>
      <c r="J3011">
        <v>0</v>
      </c>
      <c r="K3011">
        <v>1</v>
      </c>
      <c r="L3011">
        <v>5</v>
      </c>
      <c r="M3011">
        <v>6</v>
      </c>
      <c r="N3011">
        <v>9</v>
      </c>
      <c r="P3011">
        <v>0</v>
      </c>
      <c r="Q3011">
        <v>0</v>
      </c>
      <c r="R3011">
        <v>0</v>
      </c>
      <c r="S3011">
        <v>4</v>
      </c>
    </row>
    <row r="3012" spans="1:19" hidden="1" x14ac:dyDescent="0.35">
      <c r="A3012">
        <v>57220156604</v>
      </c>
      <c r="B3012" t="s">
        <v>3015</v>
      </c>
      <c r="C3012" t="str">
        <f>_xlfn.XLOOKUP(A3012,[1]Affiliations!$J$2:$J$5328,[1]Affiliations!$K$2:$K$5328,0)</f>
        <v>Federal University of Santa Catarina</v>
      </c>
      <c r="D3012">
        <v>2</v>
      </c>
      <c r="E3012">
        <v>23</v>
      </c>
      <c r="F3012">
        <v>11.5</v>
      </c>
      <c r="G3012">
        <v>2</v>
      </c>
      <c r="H3012">
        <v>0.53</v>
      </c>
      <c r="I3012">
        <v>0</v>
      </c>
      <c r="J3012">
        <v>0</v>
      </c>
      <c r="K3012">
        <v>0</v>
      </c>
      <c r="L3012">
        <v>2</v>
      </c>
      <c r="M3012">
        <v>2</v>
      </c>
      <c r="N3012">
        <v>2</v>
      </c>
      <c r="P3012">
        <v>0</v>
      </c>
      <c r="Q3012">
        <v>0</v>
      </c>
      <c r="R3012">
        <v>0</v>
      </c>
      <c r="S3012">
        <v>0</v>
      </c>
    </row>
    <row r="3013" spans="1:19" x14ac:dyDescent="0.35">
      <c r="A3013">
        <v>57201496852</v>
      </c>
      <c r="B3013" t="s">
        <v>2965</v>
      </c>
      <c r="C3013" t="str">
        <f>_xlfn.XLOOKUP(A3013,[1]Affiliations!$J$2:$J$5328,[1]Affiliations!$K$2:$K$5328,0)</f>
        <v>Universidade Federal da Bahia</v>
      </c>
      <c r="D3013">
        <v>32</v>
      </c>
      <c r="E3013">
        <v>432</v>
      </c>
      <c r="F3013">
        <v>13.5</v>
      </c>
      <c r="G3013">
        <v>12</v>
      </c>
      <c r="H3013">
        <v>0.87</v>
      </c>
      <c r="I3013">
        <v>1</v>
      </c>
      <c r="J3013">
        <v>1</v>
      </c>
      <c r="K3013">
        <v>3</v>
      </c>
      <c r="L3013">
        <v>11</v>
      </c>
      <c r="M3013">
        <v>23</v>
      </c>
      <c r="N3013">
        <v>31</v>
      </c>
      <c r="P3013">
        <v>0</v>
      </c>
      <c r="Q3013">
        <v>2</v>
      </c>
      <c r="R3013">
        <v>3</v>
      </c>
      <c r="S3013">
        <v>12</v>
      </c>
    </row>
    <row r="3014" spans="1:19" hidden="1" x14ac:dyDescent="0.35">
      <c r="A3014">
        <v>57878598400</v>
      </c>
      <c r="B3014" t="s">
        <v>3017</v>
      </c>
      <c r="C3014" t="str">
        <f>_xlfn.XLOOKUP(A3014,[1]Affiliations!$J$2:$J$5328,[1]Affiliations!$K$2:$K$5328,0)</f>
        <v>Universidade Federal do Rio Grande do Sul</v>
      </c>
      <c r="D3014">
        <v>1</v>
      </c>
      <c r="E3014">
        <v>4</v>
      </c>
      <c r="F3014">
        <v>4</v>
      </c>
      <c r="G3014">
        <v>1</v>
      </c>
      <c r="H3014">
        <v>0.39</v>
      </c>
      <c r="I3014">
        <v>0</v>
      </c>
      <c r="J3014">
        <v>0</v>
      </c>
      <c r="K3014">
        <v>0</v>
      </c>
      <c r="L3014">
        <v>0</v>
      </c>
      <c r="M3014">
        <v>1</v>
      </c>
      <c r="N3014">
        <v>1</v>
      </c>
      <c r="P3014">
        <v>0</v>
      </c>
      <c r="Q3014">
        <v>0</v>
      </c>
      <c r="R3014">
        <v>0</v>
      </c>
      <c r="S3014">
        <v>0</v>
      </c>
    </row>
    <row r="3015" spans="1:19" hidden="1" x14ac:dyDescent="0.35">
      <c r="A3015">
        <v>57140598600</v>
      </c>
      <c r="B3015" t="s">
        <v>3018</v>
      </c>
      <c r="C3015" t="str">
        <f>_xlfn.XLOOKUP(A3015,[1]Affiliations!$J$2:$J$5328,[1]Affiliations!$K$2:$K$5328,0)</f>
        <v>Federal University of Rio de Janeiro</v>
      </c>
      <c r="D3015">
        <v>1</v>
      </c>
      <c r="E3015">
        <v>16</v>
      </c>
      <c r="F3015">
        <v>16</v>
      </c>
      <c r="G3015">
        <v>1</v>
      </c>
      <c r="H3015">
        <v>0.21</v>
      </c>
      <c r="I3015">
        <v>0</v>
      </c>
      <c r="J3015">
        <v>0</v>
      </c>
      <c r="K3015">
        <v>0</v>
      </c>
      <c r="L3015">
        <v>1</v>
      </c>
      <c r="M3015">
        <v>1</v>
      </c>
      <c r="N3015">
        <v>1</v>
      </c>
      <c r="P3015">
        <v>0</v>
      </c>
      <c r="Q3015">
        <v>0</v>
      </c>
      <c r="R3015">
        <v>0</v>
      </c>
      <c r="S3015">
        <v>0</v>
      </c>
    </row>
    <row r="3016" spans="1:19" hidden="1" x14ac:dyDescent="0.35">
      <c r="A3016">
        <v>6507617197</v>
      </c>
      <c r="B3016" t="s">
        <v>3019</v>
      </c>
      <c r="C3016" t="str">
        <f>_xlfn.XLOOKUP(A3016,[1]Affiliations!$J$2:$J$5328,[1]Affiliations!$K$2:$K$5328,0)</f>
        <v>Instituto Nacional de Tecnologia</v>
      </c>
      <c r="D3016">
        <v>23</v>
      </c>
      <c r="E3016">
        <v>174</v>
      </c>
      <c r="F3016">
        <v>7.5652175000000002</v>
      </c>
      <c r="G3016">
        <v>12</v>
      </c>
      <c r="H3016">
        <v>0.74</v>
      </c>
      <c r="I3016">
        <v>0</v>
      </c>
      <c r="J3016">
        <v>0</v>
      </c>
      <c r="K3016">
        <v>0</v>
      </c>
      <c r="L3016">
        <v>8</v>
      </c>
      <c r="M3016">
        <v>12</v>
      </c>
      <c r="N3016">
        <v>14</v>
      </c>
      <c r="P3016">
        <v>0</v>
      </c>
      <c r="Q3016">
        <v>0</v>
      </c>
      <c r="R3016">
        <v>0</v>
      </c>
      <c r="S3016">
        <v>4</v>
      </c>
    </row>
    <row r="3017" spans="1:19" x14ac:dyDescent="0.35">
      <c r="A3017">
        <v>25028054300</v>
      </c>
      <c r="B3017" t="s">
        <v>3051</v>
      </c>
      <c r="C3017" t="str">
        <f>_xlfn.XLOOKUP(A3017,[1]Affiliations!$J$2:$J$5328,[1]Affiliations!$K$2:$K$5328,0)</f>
        <v>Federal University of Santa Catarina</v>
      </c>
      <c r="D3017">
        <v>125</v>
      </c>
      <c r="E3017">
        <v>2762</v>
      </c>
      <c r="F3017">
        <v>22.096</v>
      </c>
      <c r="G3017">
        <v>36</v>
      </c>
      <c r="H3017">
        <v>0.87</v>
      </c>
      <c r="I3017">
        <v>1</v>
      </c>
      <c r="J3017">
        <v>15</v>
      </c>
      <c r="K3017">
        <v>32</v>
      </c>
      <c r="L3017">
        <v>69</v>
      </c>
      <c r="M3017">
        <v>106</v>
      </c>
      <c r="N3017">
        <v>119</v>
      </c>
      <c r="P3017">
        <v>0</v>
      </c>
      <c r="Q3017">
        <v>7</v>
      </c>
      <c r="R3017">
        <v>25</v>
      </c>
      <c r="S3017">
        <v>52</v>
      </c>
    </row>
    <row r="3018" spans="1:19" x14ac:dyDescent="0.35">
      <c r="A3018">
        <v>23028191500</v>
      </c>
      <c r="B3018" t="s">
        <v>3102</v>
      </c>
      <c r="C3018" t="str">
        <f>_xlfn.XLOOKUP(A3018,[1]Affiliations!$J$2:$J$5328,[1]Affiliations!$K$2:$K$5328,0)</f>
        <v>Universidade do Estado do Rio de Janeiro</v>
      </c>
      <c r="D3018">
        <v>9</v>
      </c>
      <c r="E3018">
        <v>171</v>
      </c>
      <c r="F3018">
        <v>19</v>
      </c>
      <c r="G3018">
        <v>7</v>
      </c>
      <c r="H3018">
        <v>0.87</v>
      </c>
      <c r="I3018">
        <v>0</v>
      </c>
      <c r="J3018">
        <v>0</v>
      </c>
      <c r="K3018">
        <v>2</v>
      </c>
      <c r="L3018">
        <v>5</v>
      </c>
      <c r="M3018">
        <v>7</v>
      </c>
      <c r="N3018">
        <v>7</v>
      </c>
      <c r="P3018">
        <v>0</v>
      </c>
      <c r="Q3018">
        <v>0</v>
      </c>
      <c r="R3018">
        <v>1</v>
      </c>
      <c r="S3018">
        <v>3</v>
      </c>
    </row>
    <row r="3019" spans="1:19" hidden="1" x14ac:dyDescent="0.35">
      <c r="A3019">
        <v>57903775000</v>
      </c>
      <c r="B3019" t="s">
        <v>3022</v>
      </c>
      <c r="C3019" t="str">
        <f>_xlfn.XLOOKUP(A3019,[1]Affiliations!$J$2:$J$5328,[1]Affiliations!$K$2:$K$5328,0)</f>
        <v>Federal University of Rio de Janeiro</v>
      </c>
      <c r="D3019">
        <v>1</v>
      </c>
      <c r="E3019">
        <v>2</v>
      </c>
      <c r="F3019">
        <v>2</v>
      </c>
      <c r="G3019">
        <v>1</v>
      </c>
      <c r="H3019">
        <v>7.0000000000000007E-2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1</v>
      </c>
      <c r="P3019">
        <v>0</v>
      </c>
      <c r="Q3019">
        <v>0</v>
      </c>
      <c r="R3019">
        <v>0</v>
      </c>
      <c r="S3019">
        <v>0</v>
      </c>
    </row>
    <row r="3020" spans="1:19" x14ac:dyDescent="0.35">
      <c r="A3020">
        <v>35234199200</v>
      </c>
      <c r="B3020" t="s">
        <v>3121</v>
      </c>
      <c r="C3020" t="str">
        <f>_xlfn.XLOOKUP(A3020,[1]Affiliations!$J$2:$J$5328,[1]Affiliations!$K$2:$K$5328,0)</f>
        <v>Universidade da Região de Joinville (+1 more)</v>
      </c>
      <c r="D3020">
        <v>91</v>
      </c>
      <c r="E3020">
        <v>2021</v>
      </c>
      <c r="F3020">
        <v>22.208791999999999</v>
      </c>
      <c r="G3020">
        <v>30</v>
      </c>
      <c r="H3020">
        <v>0.87</v>
      </c>
      <c r="I3020">
        <v>1</v>
      </c>
      <c r="J3020">
        <v>10</v>
      </c>
      <c r="K3020">
        <v>16</v>
      </c>
      <c r="L3020">
        <v>48</v>
      </c>
      <c r="M3020">
        <v>79</v>
      </c>
      <c r="N3020">
        <v>87</v>
      </c>
      <c r="P3020">
        <v>0</v>
      </c>
      <c r="Q3020">
        <v>7</v>
      </c>
      <c r="R3020">
        <v>18</v>
      </c>
      <c r="S3020">
        <v>39</v>
      </c>
    </row>
    <row r="3021" spans="1:19" x14ac:dyDescent="0.35">
      <c r="A3021">
        <v>14831775800</v>
      </c>
      <c r="B3021" t="s">
        <v>3199</v>
      </c>
      <c r="C3021" t="str">
        <f>_xlfn.XLOOKUP(A3021,[1]Affiliations!$J$2:$J$5328,[1]Affiliations!$K$2:$K$5328,0)</f>
        <v>University of Aveiro (+1 more)</v>
      </c>
      <c r="D3021">
        <v>65</v>
      </c>
      <c r="E3021">
        <v>1127</v>
      </c>
      <c r="F3021">
        <v>17.338460000000001</v>
      </c>
      <c r="G3021">
        <v>25</v>
      </c>
      <c r="H3021">
        <v>0.87</v>
      </c>
      <c r="I3021">
        <v>0</v>
      </c>
      <c r="J3021">
        <v>8</v>
      </c>
      <c r="K3021">
        <v>18</v>
      </c>
      <c r="L3021">
        <v>36</v>
      </c>
      <c r="M3021">
        <v>49</v>
      </c>
      <c r="N3021">
        <v>56</v>
      </c>
      <c r="P3021">
        <v>0</v>
      </c>
      <c r="Q3021">
        <v>2</v>
      </c>
      <c r="R3021">
        <v>5</v>
      </c>
      <c r="S3021">
        <v>25</v>
      </c>
    </row>
    <row r="3022" spans="1:19" x14ac:dyDescent="0.35">
      <c r="A3022">
        <v>56096992800</v>
      </c>
      <c r="B3022" t="s">
        <v>4074</v>
      </c>
      <c r="C3022" t="str">
        <f>_xlfn.XLOOKUP(A3022,[1]Affiliations!$J$2:$J$5328,[1]Affiliations!$K$2:$K$5328,0)</f>
        <v>Universidade Federal de Viçosa</v>
      </c>
      <c r="D3022">
        <v>13</v>
      </c>
      <c r="E3022">
        <v>224</v>
      </c>
      <c r="F3022">
        <v>17.23077</v>
      </c>
      <c r="G3022">
        <v>7</v>
      </c>
      <c r="H3022">
        <v>0.87</v>
      </c>
      <c r="I3022">
        <v>0</v>
      </c>
      <c r="J3022">
        <v>2</v>
      </c>
      <c r="K3022">
        <v>3</v>
      </c>
      <c r="L3022">
        <v>7</v>
      </c>
      <c r="M3022">
        <v>10</v>
      </c>
      <c r="N3022">
        <v>11</v>
      </c>
      <c r="P3022">
        <v>0</v>
      </c>
      <c r="Q3022">
        <v>0</v>
      </c>
      <c r="R3022">
        <v>2</v>
      </c>
      <c r="S3022">
        <v>4</v>
      </c>
    </row>
    <row r="3023" spans="1:19" hidden="1" x14ac:dyDescent="0.35">
      <c r="A3023">
        <v>60151588700</v>
      </c>
      <c r="B3023" t="s">
        <v>3026</v>
      </c>
      <c r="C3023" t="str">
        <f>_xlfn.XLOOKUP(A3023,[1]Affiliations!$J$2:$J$5328,[1]Affiliations!$K$2:$K$5328,0)</f>
        <v>SLB</v>
      </c>
      <c r="D3023">
        <v>0</v>
      </c>
      <c r="G3023">
        <v>0</v>
      </c>
    </row>
    <row r="3024" spans="1:19" hidden="1" x14ac:dyDescent="0.35">
      <c r="A3024">
        <v>60177752700</v>
      </c>
      <c r="B3024" t="s">
        <v>3027</v>
      </c>
      <c r="C3024" t="str">
        <f>_xlfn.XLOOKUP(A3024,[1]Affiliations!$J$2:$J$5328,[1]Affiliations!$K$2:$K$5328,0)</f>
        <v>Universidade Federal do Rio Grande do Norte</v>
      </c>
      <c r="D3024">
        <v>0</v>
      </c>
      <c r="G3024">
        <v>0</v>
      </c>
    </row>
    <row r="3025" spans="1:19" hidden="1" x14ac:dyDescent="0.35">
      <c r="A3025">
        <v>57214573077</v>
      </c>
      <c r="B3025" t="s">
        <v>3028</v>
      </c>
      <c r="C3025" t="str">
        <f>_xlfn.XLOOKUP(A3025,[1]Affiliations!$J$2:$J$5328,[1]Affiliations!$K$2:$K$5328,0)</f>
        <v>Federal University of Santa Catarina</v>
      </c>
      <c r="D3025">
        <v>2</v>
      </c>
      <c r="E3025">
        <v>39</v>
      </c>
      <c r="F3025">
        <v>19.5</v>
      </c>
      <c r="G3025">
        <v>2</v>
      </c>
      <c r="H3025">
        <v>0.44</v>
      </c>
      <c r="I3025">
        <v>0</v>
      </c>
      <c r="J3025">
        <v>0</v>
      </c>
      <c r="K3025">
        <v>1</v>
      </c>
      <c r="L3025">
        <v>1</v>
      </c>
      <c r="M3025">
        <v>1</v>
      </c>
      <c r="N3025">
        <v>2</v>
      </c>
      <c r="P3025">
        <v>0</v>
      </c>
      <c r="Q3025">
        <v>0</v>
      </c>
      <c r="R3025">
        <v>0</v>
      </c>
      <c r="S3025">
        <v>1</v>
      </c>
    </row>
    <row r="3026" spans="1:19" hidden="1" x14ac:dyDescent="0.35">
      <c r="A3026">
        <v>57211367492</v>
      </c>
      <c r="B3026" t="s">
        <v>3029</v>
      </c>
      <c r="C3026" t="str">
        <f>_xlfn.XLOOKUP(A3026,[1]Affiliations!$J$2:$J$5328,[1]Affiliations!$K$2:$K$5328,0)</f>
        <v>Universidade Federal do Rio Grande do Norte</v>
      </c>
      <c r="D3026">
        <v>1</v>
      </c>
      <c r="E3026">
        <v>10</v>
      </c>
      <c r="F3026">
        <v>10</v>
      </c>
      <c r="G3026">
        <v>1</v>
      </c>
      <c r="H3026">
        <v>0.27</v>
      </c>
      <c r="I3026">
        <v>0</v>
      </c>
      <c r="J3026">
        <v>0</v>
      </c>
      <c r="K3026">
        <v>0</v>
      </c>
      <c r="L3026">
        <v>1</v>
      </c>
      <c r="M3026">
        <v>1</v>
      </c>
      <c r="N3026">
        <v>1</v>
      </c>
      <c r="P3026">
        <v>0</v>
      </c>
      <c r="Q3026">
        <v>0</v>
      </c>
      <c r="R3026">
        <v>0</v>
      </c>
      <c r="S3026">
        <v>0</v>
      </c>
    </row>
    <row r="3027" spans="1:19" x14ac:dyDescent="0.35">
      <c r="A3027">
        <v>55022790100</v>
      </c>
      <c r="B3027" t="s">
        <v>4315</v>
      </c>
      <c r="C3027" t="str">
        <f>_xlfn.XLOOKUP(A3027,[1]Affiliations!$J$2:$J$5328,[1]Affiliations!$K$2:$K$5328,0)</f>
        <v>Federal University of Pará</v>
      </c>
      <c r="D3027">
        <v>31</v>
      </c>
      <c r="E3027">
        <v>286</v>
      </c>
      <c r="F3027">
        <v>9.2258060000000004</v>
      </c>
      <c r="G3027">
        <v>10</v>
      </c>
      <c r="H3027">
        <v>0.87</v>
      </c>
      <c r="I3027">
        <v>0</v>
      </c>
      <c r="J3027">
        <v>3</v>
      </c>
      <c r="K3027">
        <v>5</v>
      </c>
      <c r="L3027">
        <v>11</v>
      </c>
      <c r="M3027">
        <v>25</v>
      </c>
      <c r="N3027">
        <v>30</v>
      </c>
      <c r="P3027">
        <v>0</v>
      </c>
      <c r="Q3027">
        <v>1</v>
      </c>
      <c r="R3027">
        <v>1</v>
      </c>
      <c r="S3027">
        <v>8</v>
      </c>
    </row>
    <row r="3028" spans="1:19" x14ac:dyDescent="0.35">
      <c r="A3028">
        <v>7004225897</v>
      </c>
      <c r="B3028" t="s">
        <v>4381</v>
      </c>
      <c r="C3028" t="str">
        <f>_xlfn.XLOOKUP(A3028,[1]Affiliations!$J$2:$J$5328,[1]Affiliations!$K$2:$K$5328,0)</f>
        <v>University of Campinas</v>
      </c>
      <c r="D3028">
        <v>55</v>
      </c>
      <c r="E3028">
        <v>868</v>
      </c>
      <c r="F3028">
        <v>15.781817999999999</v>
      </c>
      <c r="G3028">
        <v>26</v>
      </c>
      <c r="H3028">
        <v>0.87</v>
      </c>
      <c r="I3028">
        <v>0</v>
      </c>
      <c r="J3028">
        <v>11</v>
      </c>
      <c r="K3028">
        <v>21</v>
      </c>
      <c r="L3028">
        <v>43</v>
      </c>
      <c r="M3028">
        <v>51</v>
      </c>
      <c r="N3028">
        <v>53</v>
      </c>
      <c r="P3028">
        <v>0</v>
      </c>
      <c r="Q3028">
        <v>2</v>
      </c>
      <c r="R3028">
        <v>6</v>
      </c>
      <c r="S3028">
        <v>18</v>
      </c>
    </row>
    <row r="3029" spans="1:19" hidden="1" x14ac:dyDescent="0.35">
      <c r="A3029">
        <v>57204466928</v>
      </c>
      <c r="B3029" t="s">
        <v>3032</v>
      </c>
      <c r="C3029" t="str">
        <f>_xlfn.XLOOKUP(A3029,[1]Affiliations!$J$2:$J$5328,[1]Affiliations!$K$2:$K$5328,0)</f>
        <v>Federal University of Rio de Janeiro</v>
      </c>
      <c r="D3029">
        <v>2</v>
      </c>
      <c r="E3029">
        <v>226</v>
      </c>
      <c r="F3029">
        <v>113</v>
      </c>
      <c r="G3029">
        <v>2</v>
      </c>
      <c r="H3029">
        <v>5.07</v>
      </c>
      <c r="I3029">
        <v>0</v>
      </c>
      <c r="J3029">
        <v>2</v>
      </c>
      <c r="K3029">
        <v>2</v>
      </c>
      <c r="L3029">
        <v>2</v>
      </c>
      <c r="M3029">
        <v>2</v>
      </c>
      <c r="N3029">
        <v>2</v>
      </c>
      <c r="P3029">
        <v>0</v>
      </c>
      <c r="Q3029">
        <v>2</v>
      </c>
      <c r="R3029">
        <v>2</v>
      </c>
      <c r="S3029">
        <v>2</v>
      </c>
    </row>
    <row r="3030" spans="1:19" hidden="1" x14ac:dyDescent="0.35">
      <c r="A3030">
        <v>38061716600</v>
      </c>
      <c r="B3030" t="s">
        <v>3033</v>
      </c>
      <c r="C3030" t="str">
        <f>_xlfn.XLOOKUP(A3030,[1]Affiliations!$J$2:$J$5328,[1]Affiliations!$K$2:$K$5328,0)</f>
        <v>Federal University of Rio de Janeiro</v>
      </c>
      <c r="D3030">
        <v>3</v>
      </c>
      <c r="E3030">
        <v>46</v>
      </c>
      <c r="F3030">
        <v>15.333333</v>
      </c>
      <c r="G3030">
        <v>2</v>
      </c>
      <c r="H3030">
        <v>0.82</v>
      </c>
      <c r="I3030">
        <v>0</v>
      </c>
      <c r="J3030">
        <v>1</v>
      </c>
      <c r="K3030">
        <v>1</v>
      </c>
      <c r="L3030">
        <v>2</v>
      </c>
      <c r="M3030">
        <v>2</v>
      </c>
      <c r="N3030">
        <v>3</v>
      </c>
      <c r="P3030">
        <v>0</v>
      </c>
      <c r="Q3030">
        <v>0</v>
      </c>
      <c r="R3030">
        <v>0</v>
      </c>
      <c r="S3030">
        <v>1</v>
      </c>
    </row>
    <row r="3031" spans="1:19" hidden="1" x14ac:dyDescent="0.35">
      <c r="A3031">
        <v>8334281000</v>
      </c>
      <c r="B3031" t="s">
        <v>3034</v>
      </c>
      <c r="C3031" t="str">
        <f>_xlfn.XLOOKUP(A3031,[1]Affiliations!$J$2:$J$5328,[1]Affiliations!$K$2:$K$5328,0)</f>
        <v>Universidade Federal de Santa Maria</v>
      </c>
      <c r="D3031">
        <v>10</v>
      </c>
      <c r="E3031">
        <v>135</v>
      </c>
      <c r="F3031">
        <v>13.5</v>
      </c>
      <c r="G3031">
        <v>9</v>
      </c>
      <c r="H3031">
        <v>0.83</v>
      </c>
      <c r="I3031">
        <v>0</v>
      </c>
      <c r="J3031">
        <v>3</v>
      </c>
      <c r="K3031">
        <v>4</v>
      </c>
      <c r="L3031">
        <v>9</v>
      </c>
      <c r="M3031">
        <v>9</v>
      </c>
      <c r="N3031">
        <v>10</v>
      </c>
      <c r="P3031">
        <v>0</v>
      </c>
      <c r="Q3031">
        <v>0</v>
      </c>
      <c r="R3031">
        <v>0</v>
      </c>
      <c r="S3031">
        <v>3</v>
      </c>
    </row>
    <row r="3032" spans="1:19" x14ac:dyDescent="0.35">
      <c r="A3032">
        <v>55892460200</v>
      </c>
      <c r="B3032" t="s">
        <v>4476</v>
      </c>
      <c r="C3032" t="str">
        <f>_xlfn.XLOOKUP(A3032,[1]Affiliations!$J$2:$J$5328,[1]Affiliations!$K$2:$K$5328,0)</f>
        <v>Universidade Tiradentes</v>
      </c>
      <c r="D3032">
        <v>9</v>
      </c>
      <c r="E3032">
        <v>228</v>
      </c>
      <c r="F3032">
        <v>25.333334000000001</v>
      </c>
      <c r="G3032">
        <v>8</v>
      </c>
      <c r="H3032">
        <v>0.87</v>
      </c>
      <c r="I3032">
        <v>0</v>
      </c>
      <c r="J3032">
        <v>1</v>
      </c>
      <c r="K3032">
        <v>2</v>
      </c>
      <c r="L3032">
        <v>8</v>
      </c>
      <c r="M3032">
        <v>9</v>
      </c>
      <c r="N3032">
        <v>9</v>
      </c>
      <c r="P3032">
        <v>0</v>
      </c>
      <c r="Q3032">
        <v>1</v>
      </c>
      <c r="R3032">
        <v>1</v>
      </c>
      <c r="S3032">
        <v>4</v>
      </c>
    </row>
    <row r="3033" spans="1:19" hidden="1" x14ac:dyDescent="0.35">
      <c r="A3033">
        <v>7201480804</v>
      </c>
      <c r="B3033" t="s">
        <v>3036</v>
      </c>
      <c r="C3033" t="str">
        <f>_xlfn.XLOOKUP(A3033,[1]Affiliations!$J$2:$J$5328,[1]Affiliations!$K$2:$K$5328,0)</f>
        <v>Universidade Federal da Bahia</v>
      </c>
      <c r="D3033">
        <v>6</v>
      </c>
      <c r="E3033">
        <v>56</v>
      </c>
      <c r="F3033">
        <v>9.3333329999999997</v>
      </c>
      <c r="G3033">
        <v>5</v>
      </c>
      <c r="H3033">
        <v>0.6</v>
      </c>
      <c r="I3033">
        <v>0</v>
      </c>
      <c r="J3033">
        <v>0</v>
      </c>
      <c r="K3033">
        <v>1</v>
      </c>
      <c r="L3033">
        <v>2</v>
      </c>
      <c r="M3033">
        <v>3</v>
      </c>
      <c r="N3033">
        <v>3</v>
      </c>
      <c r="P3033">
        <v>0</v>
      </c>
      <c r="Q3033">
        <v>0</v>
      </c>
      <c r="R3033">
        <v>0</v>
      </c>
      <c r="S3033">
        <v>1</v>
      </c>
    </row>
    <row r="3034" spans="1:19" hidden="1" x14ac:dyDescent="0.35">
      <c r="A3034">
        <v>57202996619</v>
      </c>
      <c r="B3034" t="s">
        <v>3037</v>
      </c>
      <c r="C3034" t="str">
        <f>_xlfn.XLOOKUP(A3034,[1]Affiliations!$J$2:$J$5328,[1]Affiliations!$K$2:$K$5328,0)</f>
        <v>Federal University of Santa Catarina</v>
      </c>
      <c r="D3034">
        <v>1</v>
      </c>
      <c r="E3034">
        <v>6</v>
      </c>
      <c r="F3034">
        <v>6</v>
      </c>
      <c r="G3034">
        <v>1</v>
      </c>
      <c r="H3034">
        <v>0.27</v>
      </c>
      <c r="P3034">
        <v>0</v>
      </c>
      <c r="Q3034">
        <v>0</v>
      </c>
      <c r="R3034">
        <v>0</v>
      </c>
      <c r="S3034">
        <v>0</v>
      </c>
    </row>
    <row r="3035" spans="1:19" hidden="1" x14ac:dyDescent="0.35">
      <c r="A3035">
        <v>57205114235</v>
      </c>
      <c r="B3035" t="s">
        <v>3038</v>
      </c>
      <c r="C3035" t="str">
        <f>_xlfn.XLOOKUP(A3035,[1]Affiliations!$J$2:$J$5328,[1]Affiliations!$K$2:$K$5328,0)</f>
        <v>Universidade Federal do Espírito Santo</v>
      </c>
      <c r="D3035">
        <v>3</v>
      </c>
      <c r="E3035">
        <v>35</v>
      </c>
      <c r="F3035">
        <v>11.666667</v>
      </c>
      <c r="G3035">
        <v>3</v>
      </c>
      <c r="H3035">
        <v>0.93</v>
      </c>
      <c r="I3035">
        <v>0</v>
      </c>
      <c r="J3035">
        <v>2</v>
      </c>
      <c r="K3035">
        <v>3</v>
      </c>
      <c r="L3035">
        <v>3</v>
      </c>
      <c r="M3035">
        <v>3</v>
      </c>
      <c r="N3035">
        <v>3</v>
      </c>
      <c r="P3035">
        <v>0</v>
      </c>
      <c r="Q3035">
        <v>0</v>
      </c>
      <c r="R3035">
        <v>0</v>
      </c>
      <c r="S3035">
        <v>2</v>
      </c>
    </row>
    <row r="3036" spans="1:19" hidden="1" x14ac:dyDescent="0.35">
      <c r="A3036">
        <v>36872594900</v>
      </c>
      <c r="B3036" t="s">
        <v>3039</v>
      </c>
      <c r="C3036" t="str">
        <f>_xlfn.XLOOKUP(A3036,[1]Affiliations!$J$2:$J$5328,[1]Affiliations!$K$2:$K$5328,0)</f>
        <v>Universidade Federal da Bahia</v>
      </c>
      <c r="D3036">
        <v>8</v>
      </c>
      <c r="E3036">
        <v>100</v>
      </c>
      <c r="F3036">
        <v>12.5</v>
      </c>
      <c r="G3036">
        <v>6</v>
      </c>
      <c r="H3036">
        <v>0.82</v>
      </c>
      <c r="I3036">
        <v>0</v>
      </c>
      <c r="J3036">
        <v>0</v>
      </c>
      <c r="K3036">
        <v>0</v>
      </c>
      <c r="L3036">
        <v>1</v>
      </c>
      <c r="M3036">
        <v>3</v>
      </c>
      <c r="N3036">
        <v>6</v>
      </c>
      <c r="P3036">
        <v>0</v>
      </c>
      <c r="Q3036">
        <v>0</v>
      </c>
      <c r="R3036">
        <v>0</v>
      </c>
      <c r="S3036">
        <v>2</v>
      </c>
    </row>
    <row r="3037" spans="1:19" hidden="1" x14ac:dyDescent="0.35">
      <c r="A3037">
        <v>37107993700</v>
      </c>
      <c r="B3037" t="s">
        <v>3040</v>
      </c>
      <c r="C3037" t="str">
        <f>_xlfn.XLOOKUP(A3037,[1]Affiliations!$J$2:$J$5328,[1]Affiliations!$K$2:$K$5328,0)</f>
        <v>Pontifícia Universidade Católica do Rio Grande do Sul</v>
      </c>
      <c r="D3037">
        <v>2</v>
      </c>
      <c r="E3037">
        <v>69</v>
      </c>
      <c r="F3037">
        <v>34.5</v>
      </c>
      <c r="G3037">
        <v>4</v>
      </c>
      <c r="H3037">
        <v>0.94</v>
      </c>
      <c r="I3037">
        <v>0</v>
      </c>
      <c r="J3037">
        <v>0</v>
      </c>
      <c r="K3037">
        <v>1</v>
      </c>
      <c r="L3037">
        <v>1</v>
      </c>
      <c r="M3037">
        <v>2</v>
      </c>
      <c r="N3037">
        <v>2</v>
      </c>
      <c r="P3037">
        <v>0</v>
      </c>
      <c r="Q3037">
        <v>0</v>
      </c>
      <c r="R3037">
        <v>0</v>
      </c>
      <c r="S3037">
        <v>1</v>
      </c>
    </row>
    <row r="3038" spans="1:19" hidden="1" x14ac:dyDescent="0.35">
      <c r="A3038">
        <v>55556692900</v>
      </c>
      <c r="B3038" t="s">
        <v>3041</v>
      </c>
      <c r="C3038" t="str">
        <f>_xlfn.XLOOKUP(A3038,[1]Affiliations!$J$2:$J$5328,[1]Affiliations!$K$2:$K$5328,0)</f>
        <v>Universidade Federal de Jataí</v>
      </c>
      <c r="D3038">
        <v>17</v>
      </c>
      <c r="E3038">
        <v>176</v>
      </c>
      <c r="F3038">
        <v>10.3529415</v>
      </c>
      <c r="G3038">
        <v>8</v>
      </c>
      <c r="H3038">
        <v>0.56999999999999995</v>
      </c>
      <c r="I3038">
        <v>0</v>
      </c>
      <c r="J3038">
        <v>0</v>
      </c>
      <c r="K3038">
        <v>2</v>
      </c>
      <c r="L3038">
        <v>5</v>
      </c>
      <c r="M3038">
        <v>11</v>
      </c>
      <c r="N3038">
        <v>16</v>
      </c>
      <c r="P3038">
        <v>0</v>
      </c>
      <c r="Q3038">
        <v>0</v>
      </c>
      <c r="R3038">
        <v>0</v>
      </c>
      <c r="S3038">
        <v>4</v>
      </c>
    </row>
    <row r="3039" spans="1:19" hidden="1" x14ac:dyDescent="0.35">
      <c r="A3039">
        <v>56379707600</v>
      </c>
      <c r="B3039" t="s">
        <v>3042</v>
      </c>
      <c r="C3039" t="str">
        <f>_xlfn.XLOOKUP(A3039,[1]Affiliations!$J$2:$J$5328,[1]Affiliations!$K$2:$K$5328,0)</f>
        <v>Universidade Federal do Espírito Santo</v>
      </c>
      <c r="D3039">
        <v>1</v>
      </c>
      <c r="E3039">
        <v>5</v>
      </c>
      <c r="F3039">
        <v>5</v>
      </c>
      <c r="G3039">
        <v>1</v>
      </c>
      <c r="H3039">
        <v>0.1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1</v>
      </c>
      <c r="P3039">
        <v>0</v>
      </c>
      <c r="Q3039">
        <v>0</v>
      </c>
      <c r="R3039">
        <v>0</v>
      </c>
      <c r="S3039">
        <v>0</v>
      </c>
    </row>
    <row r="3040" spans="1:19" hidden="1" x14ac:dyDescent="0.35">
      <c r="A3040">
        <v>59171758600</v>
      </c>
      <c r="B3040" t="s">
        <v>3043</v>
      </c>
      <c r="C3040" t="str">
        <f>_xlfn.XLOOKUP(A3040,[1]Affiliations!$J$2:$J$5328,[1]Affiliations!$K$2:$K$5328,0)</f>
        <v>Universidade Federal de Goiás</v>
      </c>
      <c r="D3040">
        <v>1</v>
      </c>
      <c r="E3040">
        <v>0</v>
      </c>
      <c r="F3040">
        <v>0</v>
      </c>
      <c r="G3040">
        <v>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</v>
      </c>
      <c r="N3040">
        <v>1</v>
      </c>
      <c r="P3040">
        <v>0</v>
      </c>
      <c r="Q3040">
        <v>0</v>
      </c>
      <c r="R3040">
        <v>0</v>
      </c>
      <c r="S3040">
        <v>0</v>
      </c>
    </row>
    <row r="3041" spans="1:19" hidden="1" x14ac:dyDescent="0.35">
      <c r="A3041">
        <v>57189702104</v>
      </c>
      <c r="B3041" t="s">
        <v>3044</v>
      </c>
      <c r="C3041" t="str">
        <f>_xlfn.XLOOKUP(A3041,[1]Affiliations!$J$2:$J$5328,[1]Affiliations!$K$2:$K$5328,0)</f>
        <v>Universidade Federal do Rio Grande do Sul</v>
      </c>
      <c r="D3041">
        <v>6</v>
      </c>
      <c r="E3041">
        <v>58</v>
      </c>
      <c r="F3041">
        <v>9.6666670000000003</v>
      </c>
      <c r="G3041">
        <v>4</v>
      </c>
      <c r="H3041">
        <v>0.27</v>
      </c>
      <c r="I3041">
        <v>1</v>
      </c>
      <c r="J3041">
        <v>2</v>
      </c>
      <c r="K3041">
        <v>2</v>
      </c>
      <c r="L3041">
        <v>2</v>
      </c>
      <c r="M3041">
        <v>5</v>
      </c>
      <c r="N3041">
        <v>5</v>
      </c>
      <c r="P3041">
        <v>0</v>
      </c>
      <c r="Q3041">
        <v>0</v>
      </c>
      <c r="R3041">
        <v>0</v>
      </c>
      <c r="S3041">
        <v>2</v>
      </c>
    </row>
    <row r="3042" spans="1:19" x14ac:dyDescent="0.35">
      <c r="A3042">
        <v>7201439365</v>
      </c>
      <c r="B3042" t="s">
        <v>4562</v>
      </c>
      <c r="C3042" t="str">
        <f>_xlfn.XLOOKUP(A3042,[1]Affiliations!$J$2:$J$5328,[1]Affiliations!$K$2:$K$5328,0)</f>
        <v>Federal University of Rio de Janeiro</v>
      </c>
      <c r="D3042">
        <v>32</v>
      </c>
      <c r="E3042">
        <v>531</v>
      </c>
      <c r="F3042">
        <v>16.59375</v>
      </c>
      <c r="G3042">
        <v>17</v>
      </c>
      <c r="H3042">
        <v>0.87</v>
      </c>
      <c r="I3042">
        <v>3</v>
      </c>
      <c r="J3042">
        <v>9</v>
      </c>
      <c r="K3042">
        <v>15</v>
      </c>
      <c r="L3042">
        <v>23</v>
      </c>
      <c r="M3042">
        <v>30</v>
      </c>
      <c r="N3042">
        <v>31</v>
      </c>
      <c r="P3042">
        <v>0</v>
      </c>
      <c r="Q3042">
        <v>0</v>
      </c>
      <c r="R3042">
        <v>2</v>
      </c>
      <c r="S3042">
        <v>12</v>
      </c>
    </row>
    <row r="3043" spans="1:19" hidden="1" x14ac:dyDescent="0.35">
      <c r="A3043">
        <v>57212441907</v>
      </c>
      <c r="B3043" t="s">
        <v>3046</v>
      </c>
      <c r="C3043" t="str">
        <f>_xlfn.XLOOKUP(A3043,[1]Affiliations!$J$2:$J$5328,[1]Affiliations!$K$2:$K$5328,0)</f>
        <v>Geological Survey of Brazil</v>
      </c>
      <c r="D3043">
        <v>6</v>
      </c>
      <c r="E3043">
        <v>51</v>
      </c>
      <c r="F3043">
        <v>8.5</v>
      </c>
      <c r="G3043">
        <v>4</v>
      </c>
      <c r="H3043">
        <v>0.94</v>
      </c>
      <c r="I3043">
        <v>0</v>
      </c>
      <c r="J3043">
        <v>1</v>
      </c>
      <c r="K3043">
        <v>2</v>
      </c>
      <c r="L3043">
        <v>4</v>
      </c>
      <c r="M3043">
        <v>5</v>
      </c>
      <c r="N3043">
        <v>5</v>
      </c>
      <c r="P3043">
        <v>0</v>
      </c>
      <c r="Q3043">
        <v>0</v>
      </c>
      <c r="R3043">
        <v>0</v>
      </c>
      <c r="S3043">
        <v>1</v>
      </c>
    </row>
    <row r="3044" spans="1:19" hidden="1" x14ac:dyDescent="0.35">
      <c r="A3044">
        <v>57224603905</v>
      </c>
      <c r="B3044" t="s">
        <v>3047</v>
      </c>
      <c r="C3044" t="str">
        <f>_xlfn.XLOOKUP(A3044,[1]Affiliations!$J$2:$J$5328,[1]Affiliations!$K$2:$K$5328,0)</f>
        <v>Oceanographic Modeling and Observation Network (REMO) (+1 more)</v>
      </c>
      <c r="D3044">
        <v>1</v>
      </c>
      <c r="E3044">
        <v>22</v>
      </c>
      <c r="F3044">
        <v>22</v>
      </c>
      <c r="G3044">
        <v>1</v>
      </c>
      <c r="H3044">
        <v>1.32</v>
      </c>
      <c r="I3044">
        <v>0</v>
      </c>
      <c r="J3044">
        <v>0</v>
      </c>
      <c r="K3044">
        <v>0</v>
      </c>
      <c r="L3044">
        <v>1</v>
      </c>
      <c r="M3044">
        <v>1</v>
      </c>
      <c r="N3044">
        <v>1</v>
      </c>
      <c r="P3044">
        <v>0</v>
      </c>
      <c r="Q3044">
        <v>0</v>
      </c>
      <c r="R3044">
        <v>0</v>
      </c>
      <c r="S3044">
        <v>1</v>
      </c>
    </row>
    <row r="3045" spans="1:19" hidden="1" x14ac:dyDescent="0.35">
      <c r="A3045">
        <v>58357815100</v>
      </c>
      <c r="B3045" t="s">
        <v>3048</v>
      </c>
      <c r="C3045" t="str">
        <f>_xlfn.XLOOKUP(A3045,[1]Affiliations!$J$2:$J$5328,[1]Affiliations!$K$2:$K$5328,0)</f>
        <v>Federal University of Santa Catarina</v>
      </c>
      <c r="D3045">
        <v>4</v>
      </c>
      <c r="E3045">
        <v>17</v>
      </c>
      <c r="F3045">
        <v>4.25</v>
      </c>
      <c r="G3045">
        <v>2</v>
      </c>
      <c r="H3045">
        <v>0.87</v>
      </c>
      <c r="I3045">
        <v>0</v>
      </c>
      <c r="J3045">
        <v>0</v>
      </c>
      <c r="K3045">
        <v>0</v>
      </c>
      <c r="L3045">
        <v>0</v>
      </c>
      <c r="M3045">
        <v>4</v>
      </c>
      <c r="N3045">
        <v>4</v>
      </c>
      <c r="P3045">
        <v>0</v>
      </c>
      <c r="Q3045">
        <v>0</v>
      </c>
      <c r="R3045">
        <v>0</v>
      </c>
      <c r="S3045">
        <v>0</v>
      </c>
    </row>
    <row r="3046" spans="1:19" hidden="1" x14ac:dyDescent="0.35">
      <c r="A3046">
        <v>57224523699</v>
      </c>
      <c r="B3046" t="s">
        <v>3049</v>
      </c>
      <c r="C3046" t="str">
        <f>_xlfn.XLOOKUP(A3046,[1]Affiliations!$J$2:$J$5328,[1]Affiliations!$K$2:$K$5328,0)</f>
        <v>Pontifical Catholic University of Rio de Janeiro</v>
      </c>
      <c r="D3046">
        <v>1</v>
      </c>
      <c r="E3046">
        <v>0</v>
      </c>
      <c r="F3046">
        <v>0</v>
      </c>
      <c r="G3046">
        <v>0</v>
      </c>
      <c r="H3046">
        <v>0</v>
      </c>
      <c r="P3046">
        <v>0</v>
      </c>
      <c r="Q3046">
        <v>0</v>
      </c>
      <c r="R3046">
        <v>0</v>
      </c>
      <c r="S3046">
        <v>0</v>
      </c>
    </row>
    <row r="3047" spans="1:19" hidden="1" x14ac:dyDescent="0.35">
      <c r="A3047">
        <v>57189699935</v>
      </c>
      <c r="B3047" t="s">
        <v>3050</v>
      </c>
      <c r="C3047" t="str">
        <f>_xlfn.XLOOKUP(A3047,[1]Affiliations!$J$2:$J$5328,[1]Affiliations!$K$2:$K$5328,0)</f>
        <v>Universidade Federal de Viçosa (+1 more)</v>
      </c>
      <c r="D3047">
        <v>23</v>
      </c>
      <c r="E3047">
        <v>250</v>
      </c>
      <c r="F3047">
        <v>10.869565</v>
      </c>
      <c r="G3047">
        <v>11</v>
      </c>
      <c r="H3047">
        <v>0.8</v>
      </c>
      <c r="I3047">
        <v>0</v>
      </c>
      <c r="J3047">
        <v>0</v>
      </c>
      <c r="K3047">
        <v>5</v>
      </c>
      <c r="L3047">
        <v>19</v>
      </c>
      <c r="M3047">
        <v>22</v>
      </c>
      <c r="N3047">
        <v>22</v>
      </c>
      <c r="P3047">
        <v>0</v>
      </c>
      <c r="Q3047">
        <v>0</v>
      </c>
      <c r="R3047">
        <v>0</v>
      </c>
      <c r="S3047">
        <v>7</v>
      </c>
    </row>
    <row r="3048" spans="1:19" x14ac:dyDescent="0.35">
      <c r="A3048">
        <v>57214536244</v>
      </c>
      <c r="B3048" t="s">
        <v>4569</v>
      </c>
      <c r="C3048" t="str">
        <f>_xlfn.XLOOKUP(A3048,[1]Affiliations!$J$2:$J$5328,[1]Affiliations!$K$2:$K$5328,0)</f>
        <v>Federal University of Santa Catarina</v>
      </c>
      <c r="D3048">
        <v>5</v>
      </c>
      <c r="E3048">
        <v>58</v>
      </c>
      <c r="F3048">
        <v>11.6</v>
      </c>
      <c r="G3048">
        <v>4</v>
      </c>
      <c r="H3048">
        <v>0.87</v>
      </c>
      <c r="I3048">
        <v>0</v>
      </c>
      <c r="J3048">
        <v>1</v>
      </c>
      <c r="K3048">
        <v>2</v>
      </c>
      <c r="L3048">
        <v>3</v>
      </c>
      <c r="M3048">
        <v>5</v>
      </c>
      <c r="N3048">
        <v>5</v>
      </c>
      <c r="P3048">
        <v>0</v>
      </c>
      <c r="Q3048">
        <v>0</v>
      </c>
      <c r="R3048">
        <v>2</v>
      </c>
      <c r="S3048">
        <v>3</v>
      </c>
    </row>
    <row r="3049" spans="1:19" hidden="1" x14ac:dyDescent="0.35">
      <c r="A3049">
        <v>59361035800</v>
      </c>
      <c r="B3049" t="s">
        <v>3052</v>
      </c>
      <c r="C3049" t="str">
        <f>_xlfn.XLOOKUP(A3049,[1]Affiliations!$J$2:$J$5328,[1]Affiliations!$K$2:$K$5328,0)</f>
        <v>Universidade Tecnológica Federal do Paraná</v>
      </c>
      <c r="D3049">
        <v>1</v>
      </c>
      <c r="E3049">
        <v>1</v>
      </c>
      <c r="F3049">
        <v>1</v>
      </c>
      <c r="G3049">
        <v>1</v>
      </c>
      <c r="H3049">
        <v>1.72</v>
      </c>
      <c r="P3049">
        <v>0</v>
      </c>
      <c r="Q3049">
        <v>0</v>
      </c>
      <c r="R3049">
        <v>0</v>
      </c>
      <c r="S3049">
        <v>0</v>
      </c>
    </row>
    <row r="3050" spans="1:19" x14ac:dyDescent="0.35">
      <c r="A3050">
        <v>55324027700</v>
      </c>
      <c r="B3050" t="s">
        <v>4648</v>
      </c>
      <c r="C3050" t="str">
        <f>_xlfn.XLOOKUP(A3050,[1]Affiliations!$J$2:$J$5328,[1]Affiliations!$K$2:$K$5328,0)</f>
        <v>University of Campinas (+3 more)</v>
      </c>
      <c r="D3050">
        <v>54</v>
      </c>
      <c r="E3050">
        <v>1236</v>
      </c>
      <c r="F3050">
        <v>22.88889</v>
      </c>
      <c r="G3050">
        <v>25</v>
      </c>
      <c r="H3050">
        <v>0.87</v>
      </c>
      <c r="I3050">
        <v>0</v>
      </c>
      <c r="J3050">
        <v>9</v>
      </c>
      <c r="K3050">
        <v>21</v>
      </c>
      <c r="L3050">
        <v>39</v>
      </c>
      <c r="M3050">
        <v>47</v>
      </c>
      <c r="N3050">
        <v>51</v>
      </c>
      <c r="P3050">
        <v>0</v>
      </c>
      <c r="Q3050">
        <v>2</v>
      </c>
      <c r="R3050">
        <v>8</v>
      </c>
      <c r="S3050">
        <v>22</v>
      </c>
    </row>
    <row r="3051" spans="1:19" x14ac:dyDescent="0.35">
      <c r="A3051">
        <v>57199644703</v>
      </c>
      <c r="B3051" t="s">
        <v>4935</v>
      </c>
      <c r="C3051" t="str">
        <f>_xlfn.XLOOKUP(A3051,[1]Affiliations!$J$2:$J$5328,[1]Affiliations!$K$2:$K$5328,0)</f>
        <v>Universidade de São Paulo</v>
      </c>
      <c r="D3051">
        <v>104</v>
      </c>
      <c r="E3051">
        <v>2085</v>
      </c>
      <c r="F3051">
        <v>20.048076999999999</v>
      </c>
      <c r="G3051">
        <v>37</v>
      </c>
      <c r="H3051">
        <v>0.87</v>
      </c>
      <c r="I3051">
        <v>0</v>
      </c>
      <c r="J3051">
        <v>36</v>
      </c>
      <c r="K3051">
        <v>69</v>
      </c>
      <c r="L3051">
        <v>82</v>
      </c>
      <c r="M3051">
        <v>92</v>
      </c>
      <c r="N3051">
        <v>102</v>
      </c>
      <c r="P3051">
        <v>0</v>
      </c>
      <c r="Q3051">
        <v>2</v>
      </c>
      <c r="R3051">
        <v>9</v>
      </c>
      <c r="S3051">
        <v>49</v>
      </c>
    </row>
    <row r="3052" spans="1:19" x14ac:dyDescent="0.35">
      <c r="A3052">
        <v>6701600084</v>
      </c>
      <c r="B3052" t="s">
        <v>4938</v>
      </c>
      <c r="C3052" t="str">
        <f>_xlfn.XLOOKUP(A3052,[1]Affiliations!$J$2:$J$5328,[1]Affiliations!$K$2:$K$5328,0)</f>
        <v>Federal University of Rio de Janeiro</v>
      </c>
      <c r="D3052">
        <v>47</v>
      </c>
      <c r="E3052">
        <v>808</v>
      </c>
      <c r="F3052">
        <v>17.191490000000002</v>
      </c>
      <c r="G3052">
        <v>19</v>
      </c>
      <c r="H3052">
        <v>0.87</v>
      </c>
      <c r="I3052">
        <v>0</v>
      </c>
      <c r="J3052">
        <v>6</v>
      </c>
      <c r="K3052">
        <v>10</v>
      </c>
      <c r="L3052">
        <v>21</v>
      </c>
      <c r="M3052">
        <v>23</v>
      </c>
      <c r="N3052">
        <v>26</v>
      </c>
      <c r="P3052">
        <v>1</v>
      </c>
      <c r="Q3052">
        <v>3</v>
      </c>
      <c r="R3052">
        <v>3</v>
      </c>
      <c r="S3052">
        <v>7</v>
      </c>
    </row>
    <row r="3053" spans="1:19" hidden="1" x14ac:dyDescent="0.35">
      <c r="A3053">
        <v>57816521000</v>
      </c>
      <c r="B3053" t="s">
        <v>3056</v>
      </c>
      <c r="C3053" t="str">
        <f>_xlfn.XLOOKUP(A3053,[1]Affiliations!$J$2:$J$5328,[1]Affiliations!$K$2:$K$5328,0)</f>
        <v>Universidade Federal de Pernambuco</v>
      </c>
      <c r="D3053">
        <v>6</v>
      </c>
      <c r="E3053">
        <v>27</v>
      </c>
      <c r="F3053">
        <v>4.5</v>
      </c>
      <c r="G3053">
        <v>3</v>
      </c>
      <c r="H3053">
        <v>0.48</v>
      </c>
      <c r="I3053">
        <v>0</v>
      </c>
      <c r="J3053">
        <v>0</v>
      </c>
      <c r="K3053">
        <v>1</v>
      </c>
      <c r="L3053">
        <v>4</v>
      </c>
      <c r="M3053">
        <v>4</v>
      </c>
      <c r="N3053">
        <v>4</v>
      </c>
      <c r="P3053">
        <v>0</v>
      </c>
      <c r="Q3053">
        <v>0</v>
      </c>
      <c r="R3053">
        <v>0</v>
      </c>
      <c r="S3053">
        <v>1</v>
      </c>
    </row>
    <row r="3054" spans="1:19" hidden="1" x14ac:dyDescent="0.35">
      <c r="A3054">
        <v>26867931900</v>
      </c>
      <c r="B3054" t="s">
        <v>3057</v>
      </c>
      <c r="C3054" t="str">
        <f>_xlfn.XLOOKUP(A3054,[1]Affiliations!$J$2:$J$5328,[1]Affiliations!$K$2:$K$5328,0)</f>
        <v>Science and Technology of Sao Paulo (IFSP)</v>
      </c>
      <c r="D3054">
        <v>7</v>
      </c>
      <c r="E3054">
        <v>120</v>
      </c>
      <c r="F3054">
        <v>17.142856999999999</v>
      </c>
      <c r="G3054">
        <v>9</v>
      </c>
      <c r="H3054">
        <v>0.77</v>
      </c>
      <c r="I3054">
        <v>0</v>
      </c>
      <c r="J3054">
        <v>1</v>
      </c>
      <c r="K3054">
        <v>3</v>
      </c>
      <c r="L3054">
        <v>5</v>
      </c>
      <c r="M3054">
        <v>6</v>
      </c>
      <c r="N3054">
        <v>7</v>
      </c>
      <c r="P3054">
        <v>0</v>
      </c>
      <c r="Q3054">
        <v>0</v>
      </c>
      <c r="R3054">
        <v>0</v>
      </c>
      <c r="S3054">
        <v>2</v>
      </c>
    </row>
    <row r="3055" spans="1:19" hidden="1" x14ac:dyDescent="0.35">
      <c r="A3055">
        <v>59307063000</v>
      </c>
      <c r="B3055" t="s">
        <v>3058</v>
      </c>
      <c r="C3055" t="str">
        <f>_xlfn.XLOOKUP(A3055,[1]Affiliations!$J$2:$J$5328,[1]Affiliations!$K$2:$K$5328,0)</f>
        <v>Universidade Federal do Espírito Santo</v>
      </c>
      <c r="D3055">
        <v>2</v>
      </c>
      <c r="E3055">
        <v>5</v>
      </c>
      <c r="F3055">
        <v>2.5</v>
      </c>
      <c r="G3055">
        <v>1</v>
      </c>
      <c r="H3055">
        <v>1.02</v>
      </c>
      <c r="P3055">
        <v>0</v>
      </c>
      <c r="Q3055">
        <v>0</v>
      </c>
      <c r="R3055">
        <v>0</v>
      </c>
      <c r="S3055">
        <v>0</v>
      </c>
    </row>
    <row r="3056" spans="1:19" x14ac:dyDescent="0.35">
      <c r="A3056">
        <v>56810352800</v>
      </c>
      <c r="B3056" t="s">
        <v>4952</v>
      </c>
      <c r="C3056" t="str">
        <f>_xlfn.XLOOKUP(A3056,[1]Affiliations!$J$2:$J$5328,[1]Affiliations!$K$2:$K$5328,0)</f>
        <v>Federal University of Rio de Janeiro</v>
      </c>
      <c r="D3056">
        <v>23</v>
      </c>
      <c r="E3056">
        <v>384</v>
      </c>
      <c r="F3056">
        <v>16.695651999999999</v>
      </c>
      <c r="G3056">
        <v>10</v>
      </c>
      <c r="H3056">
        <v>0.87</v>
      </c>
      <c r="I3056">
        <v>0</v>
      </c>
      <c r="J3056">
        <v>5</v>
      </c>
      <c r="K3056">
        <v>7</v>
      </c>
      <c r="L3056">
        <v>10</v>
      </c>
      <c r="M3056">
        <v>10</v>
      </c>
      <c r="N3056">
        <v>11</v>
      </c>
      <c r="P3056">
        <v>0</v>
      </c>
      <c r="Q3056">
        <v>1</v>
      </c>
      <c r="R3056">
        <v>2</v>
      </c>
      <c r="S3056">
        <v>10</v>
      </c>
    </row>
    <row r="3057" spans="1:19" hidden="1" x14ac:dyDescent="0.35">
      <c r="A3057">
        <v>57200371070</v>
      </c>
      <c r="B3057" t="s">
        <v>3060</v>
      </c>
      <c r="C3057" t="str">
        <f>_xlfn.XLOOKUP(A3057,[1]Affiliations!$J$2:$J$5328,[1]Affiliations!$K$2:$K$5328,0)</f>
        <v>Universidade Federal do Rio Grande do Norte (+1 more)</v>
      </c>
      <c r="D3057">
        <v>4</v>
      </c>
      <c r="E3057">
        <v>42</v>
      </c>
      <c r="F3057">
        <v>10.5</v>
      </c>
      <c r="G3057">
        <v>3</v>
      </c>
      <c r="H3057">
        <v>0.89</v>
      </c>
      <c r="I3057">
        <v>0</v>
      </c>
      <c r="J3057">
        <v>1</v>
      </c>
      <c r="K3057">
        <v>1</v>
      </c>
      <c r="L3057">
        <v>2</v>
      </c>
      <c r="M3057">
        <v>3</v>
      </c>
      <c r="N3057">
        <v>4</v>
      </c>
      <c r="P3057">
        <v>0</v>
      </c>
      <c r="Q3057">
        <v>0</v>
      </c>
      <c r="R3057">
        <v>0</v>
      </c>
      <c r="S3057">
        <v>2</v>
      </c>
    </row>
    <row r="3058" spans="1:19" x14ac:dyDescent="0.35">
      <c r="A3058">
        <v>50061929600</v>
      </c>
      <c r="B3058" t="s">
        <v>5027</v>
      </c>
      <c r="C3058" t="str">
        <f>_xlfn.XLOOKUP(A3058,[1]Affiliations!$J$2:$J$5328,[1]Affiliations!$K$2:$K$5328,0)</f>
        <v>DEMa</v>
      </c>
      <c r="D3058">
        <v>14</v>
      </c>
      <c r="E3058">
        <v>218</v>
      </c>
      <c r="F3058">
        <v>15.571427999999999</v>
      </c>
      <c r="G3058">
        <v>12</v>
      </c>
      <c r="H3058">
        <v>0.87</v>
      </c>
      <c r="I3058">
        <v>0</v>
      </c>
      <c r="J3058">
        <v>1</v>
      </c>
      <c r="K3058">
        <v>5</v>
      </c>
      <c r="L3058">
        <v>8</v>
      </c>
      <c r="M3058">
        <v>8</v>
      </c>
      <c r="N3058">
        <v>11</v>
      </c>
      <c r="P3058">
        <v>0</v>
      </c>
      <c r="Q3058">
        <v>0</v>
      </c>
      <c r="R3058">
        <v>1</v>
      </c>
      <c r="S3058">
        <v>4</v>
      </c>
    </row>
    <row r="3059" spans="1:19" hidden="1" x14ac:dyDescent="0.35">
      <c r="A3059">
        <v>57202984675</v>
      </c>
      <c r="B3059" t="s">
        <v>3062</v>
      </c>
      <c r="C3059" t="str">
        <f>_xlfn.XLOOKUP(A3059,[1]Affiliations!$J$2:$J$5328,[1]Affiliations!$K$2:$K$5328,0)</f>
        <v>Universidade Tecnológica Federal do Paraná (+2 more)</v>
      </c>
      <c r="D3059">
        <v>7</v>
      </c>
      <c r="E3059">
        <v>16</v>
      </c>
      <c r="F3059">
        <v>2.2857143999999998</v>
      </c>
      <c r="G3059">
        <v>3</v>
      </c>
      <c r="H3059">
        <v>0.69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3</v>
      </c>
      <c r="P3059">
        <v>0</v>
      </c>
      <c r="Q3059">
        <v>0</v>
      </c>
      <c r="R3059">
        <v>0</v>
      </c>
      <c r="S3059">
        <v>0</v>
      </c>
    </row>
    <row r="3060" spans="1:19" hidden="1" x14ac:dyDescent="0.35">
      <c r="A3060">
        <v>57194028550</v>
      </c>
      <c r="B3060" t="s">
        <v>3063</v>
      </c>
      <c r="C3060" t="str">
        <f>_xlfn.XLOOKUP(A3060,[1]Affiliations!$J$2:$J$5328,[1]Affiliations!$K$2:$K$5328,0)</f>
        <v>Universidade de Brasília</v>
      </c>
      <c r="D3060">
        <v>20</v>
      </c>
      <c r="E3060">
        <v>94</v>
      </c>
      <c r="F3060">
        <v>4.7</v>
      </c>
      <c r="G3060">
        <v>7</v>
      </c>
      <c r="H3060">
        <v>0.65</v>
      </c>
      <c r="I3060">
        <v>0</v>
      </c>
      <c r="J3060">
        <v>1</v>
      </c>
      <c r="K3060">
        <v>3</v>
      </c>
      <c r="L3060">
        <v>6</v>
      </c>
      <c r="M3060">
        <v>15</v>
      </c>
      <c r="N3060">
        <v>15</v>
      </c>
      <c r="P3060">
        <v>0</v>
      </c>
      <c r="Q3060">
        <v>0</v>
      </c>
      <c r="R3060">
        <v>0</v>
      </c>
      <c r="S3060">
        <v>4</v>
      </c>
    </row>
    <row r="3061" spans="1:19" x14ac:dyDescent="0.35">
      <c r="A3061">
        <v>57195437138</v>
      </c>
      <c r="B3061" t="s">
        <v>5178</v>
      </c>
      <c r="C3061" t="str">
        <f>_xlfn.XLOOKUP(A3061,[1]Affiliations!$J$2:$J$5328,[1]Affiliations!$K$2:$K$5328,0)</f>
        <v>DEMa</v>
      </c>
      <c r="D3061">
        <v>13</v>
      </c>
      <c r="E3061">
        <v>154</v>
      </c>
      <c r="F3061">
        <v>11.846154</v>
      </c>
      <c r="G3061">
        <v>8</v>
      </c>
      <c r="H3061">
        <v>0.87</v>
      </c>
      <c r="I3061">
        <v>0</v>
      </c>
      <c r="J3061">
        <v>0</v>
      </c>
      <c r="K3061">
        <v>4</v>
      </c>
      <c r="L3061">
        <v>8</v>
      </c>
      <c r="M3061">
        <v>13</v>
      </c>
      <c r="N3061">
        <v>13</v>
      </c>
      <c r="P3061">
        <v>0</v>
      </c>
      <c r="Q3061">
        <v>1</v>
      </c>
      <c r="R3061">
        <v>1</v>
      </c>
      <c r="S3061">
        <v>6</v>
      </c>
    </row>
    <row r="3062" spans="1:19" hidden="1" x14ac:dyDescent="0.35">
      <c r="A3062">
        <v>35275200700</v>
      </c>
      <c r="B3062" t="s">
        <v>3065</v>
      </c>
      <c r="C3062" t="str">
        <f>_xlfn.XLOOKUP(A3062,[1]Affiliations!$J$2:$J$5328,[1]Affiliations!$K$2:$K$5328,0)</f>
        <v>Universidade Federal do Espírito Santo</v>
      </c>
      <c r="D3062">
        <v>11</v>
      </c>
      <c r="E3062">
        <v>106</v>
      </c>
      <c r="F3062">
        <v>9.6363640000000004</v>
      </c>
      <c r="G3062">
        <v>7</v>
      </c>
      <c r="H3062">
        <v>0.47</v>
      </c>
      <c r="I3062">
        <v>0</v>
      </c>
      <c r="J3062">
        <v>2</v>
      </c>
      <c r="K3062">
        <v>3</v>
      </c>
      <c r="L3062">
        <v>4</v>
      </c>
      <c r="M3062">
        <v>5</v>
      </c>
      <c r="N3062">
        <v>11</v>
      </c>
      <c r="P3062">
        <v>0</v>
      </c>
      <c r="Q3062">
        <v>0</v>
      </c>
      <c r="R3062">
        <v>0</v>
      </c>
      <c r="S3062">
        <v>2</v>
      </c>
    </row>
    <row r="3063" spans="1:19" x14ac:dyDescent="0.35">
      <c r="A3063">
        <v>56075083100</v>
      </c>
      <c r="B3063" t="s">
        <v>213</v>
      </c>
      <c r="C3063" t="str">
        <f>_xlfn.XLOOKUP(A3063,[1]Affiliations!$J$2:$J$5328,[1]Affiliations!$K$2:$K$5328,0)</f>
        <v>Science and Technology of Espírito Santo (+4 more)</v>
      </c>
      <c r="D3063">
        <v>15</v>
      </c>
      <c r="E3063">
        <v>323</v>
      </c>
      <c r="F3063">
        <v>21.533332999999999</v>
      </c>
      <c r="G3063">
        <v>11</v>
      </c>
      <c r="H3063">
        <v>0.86</v>
      </c>
      <c r="I3063">
        <v>0</v>
      </c>
      <c r="J3063">
        <v>3</v>
      </c>
      <c r="K3063">
        <v>5</v>
      </c>
      <c r="L3063">
        <v>11</v>
      </c>
      <c r="M3063">
        <v>15</v>
      </c>
      <c r="N3063">
        <v>15</v>
      </c>
      <c r="P3063">
        <v>0</v>
      </c>
      <c r="Q3063">
        <v>0</v>
      </c>
      <c r="R3063">
        <v>1</v>
      </c>
      <c r="S3063">
        <v>8</v>
      </c>
    </row>
    <row r="3064" spans="1:19" hidden="1" x14ac:dyDescent="0.35">
      <c r="A3064">
        <v>57142483500</v>
      </c>
      <c r="B3064" t="s">
        <v>3067</v>
      </c>
      <c r="C3064" t="str">
        <f>_xlfn.XLOOKUP(A3064,[1]Affiliations!$J$2:$J$5328,[1]Affiliations!$K$2:$K$5328,0)</f>
        <v>Universidade Estadual do Norte Fluminense (+1 more)</v>
      </c>
      <c r="D3064">
        <v>4</v>
      </c>
      <c r="E3064">
        <v>68</v>
      </c>
      <c r="F3064">
        <v>17</v>
      </c>
      <c r="G3064">
        <v>3</v>
      </c>
      <c r="H3064">
        <v>2.0299999999999998</v>
      </c>
      <c r="I3064">
        <v>0</v>
      </c>
      <c r="J3064">
        <v>0</v>
      </c>
      <c r="K3064">
        <v>0</v>
      </c>
      <c r="L3064">
        <v>2</v>
      </c>
      <c r="M3064">
        <v>2</v>
      </c>
      <c r="N3064">
        <v>2</v>
      </c>
      <c r="P3064">
        <v>0</v>
      </c>
      <c r="Q3064">
        <v>0</v>
      </c>
      <c r="R3064">
        <v>0</v>
      </c>
      <c r="S3064">
        <v>1</v>
      </c>
    </row>
    <row r="3065" spans="1:19" hidden="1" x14ac:dyDescent="0.35">
      <c r="A3065">
        <v>57195457713</v>
      </c>
      <c r="B3065" t="s">
        <v>3068</v>
      </c>
      <c r="C3065" t="str">
        <f>_xlfn.XLOOKUP(A3065,[1]Affiliations!$J$2:$J$5328,[1]Affiliations!$K$2:$K$5328,0)</f>
        <v>Federal University of Rio de Janeiro</v>
      </c>
      <c r="D3065">
        <v>5</v>
      </c>
      <c r="E3065">
        <v>70</v>
      </c>
      <c r="F3065">
        <v>14</v>
      </c>
      <c r="G3065">
        <v>5</v>
      </c>
      <c r="H3065">
        <v>0.69</v>
      </c>
      <c r="I3065">
        <v>0</v>
      </c>
      <c r="J3065">
        <v>0</v>
      </c>
      <c r="K3065">
        <v>0</v>
      </c>
      <c r="L3065">
        <v>4</v>
      </c>
      <c r="M3065">
        <v>5</v>
      </c>
      <c r="N3065">
        <v>5</v>
      </c>
      <c r="P3065">
        <v>0</v>
      </c>
      <c r="Q3065">
        <v>0</v>
      </c>
      <c r="R3065">
        <v>0</v>
      </c>
      <c r="S3065">
        <v>3</v>
      </c>
    </row>
    <row r="3066" spans="1:19" x14ac:dyDescent="0.35">
      <c r="A3066">
        <v>35747876200</v>
      </c>
      <c r="B3066" t="s">
        <v>241</v>
      </c>
      <c r="C3066" t="str">
        <f>_xlfn.XLOOKUP(A3066,[1]Affiliations!$J$2:$J$5328,[1]Affiliations!$K$2:$K$5328,0)</f>
        <v>Federal University of Rio de Janeiro</v>
      </c>
      <c r="D3066">
        <v>55</v>
      </c>
      <c r="E3066">
        <v>1061</v>
      </c>
      <c r="F3066">
        <v>19.290908999999999</v>
      </c>
      <c r="G3066">
        <v>21</v>
      </c>
      <c r="H3066">
        <v>0.86</v>
      </c>
      <c r="I3066">
        <v>0</v>
      </c>
      <c r="J3066">
        <v>1</v>
      </c>
      <c r="K3066">
        <v>10</v>
      </c>
      <c r="L3066">
        <v>28</v>
      </c>
      <c r="M3066">
        <v>41</v>
      </c>
      <c r="N3066">
        <v>46</v>
      </c>
      <c r="P3066">
        <v>0</v>
      </c>
      <c r="Q3066">
        <v>2</v>
      </c>
      <c r="R3066">
        <v>6</v>
      </c>
      <c r="S3066">
        <v>26</v>
      </c>
    </row>
    <row r="3067" spans="1:19" hidden="1" x14ac:dyDescent="0.35">
      <c r="A3067">
        <v>57201667063</v>
      </c>
      <c r="B3067" t="s">
        <v>3070</v>
      </c>
      <c r="C3067" t="str">
        <f>_xlfn.XLOOKUP(A3067,[1]Affiliations!$J$2:$J$5328,[1]Affiliations!$K$2:$K$5328,0)</f>
        <v>Pontifical Catholic University of Rio de Janeiro</v>
      </c>
      <c r="D3067">
        <v>2</v>
      </c>
      <c r="E3067">
        <v>4</v>
      </c>
      <c r="F3067">
        <v>2</v>
      </c>
      <c r="G3067">
        <v>2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P3067">
        <v>0</v>
      </c>
      <c r="Q3067">
        <v>0</v>
      </c>
      <c r="R3067">
        <v>0</v>
      </c>
      <c r="S3067">
        <v>0</v>
      </c>
    </row>
    <row r="3068" spans="1:19" x14ac:dyDescent="0.35">
      <c r="A3068">
        <v>56566193900</v>
      </c>
      <c r="B3068" t="s">
        <v>437</v>
      </c>
      <c r="C3068" t="str">
        <f>_xlfn.XLOOKUP(A3068,[1]Affiliations!$J$2:$J$5328,[1]Affiliations!$K$2:$K$5328,0)</f>
        <v>Universidade Federal Rural do Rio de Janeiro</v>
      </c>
      <c r="D3068">
        <v>5</v>
      </c>
      <c r="E3068">
        <v>105</v>
      </c>
      <c r="F3068">
        <v>21</v>
      </c>
      <c r="G3068">
        <v>3</v>
      </c>
      <c r="H3068">
        <v>0.86</v>
      </c>
      <c r="I3068">
        <v>0</v>
      </c>
      <c r="J3068">
        <v>0</v>
      </c>
      <c r="K3068">
        <v>1</v>
      </c>
      <c r="L3068">
        <v>1</v>
      </c>
      <c r="M3068">
        <v>2</v>
      </c>
      <c r="N3068">
        <v>4</v>
      </c>
      <c r="P3068">
        <v>0</v>
      </c>
      <c r="Q3068">
        <v>1</v>
      </c>
      <c r="R3068">
        <v>1</v>
      </c>
      <c r="S3068">
        <v>1</v>
      </c>
    </row>
    <row r="3069" spans="1:19" hidden="1" x14ac:dyDescent="0.35">
      <c r="A3069">
        <v>57211351880</v>
      </c>
      <c r="B3069" t="s">
        <v>3072</v>
      </c>
      <c r="C3069" t="str">
        <f>_xlfn.XLOOKUP(A3069,[1]Affiliations!$J$2:$J$5328,[1]Affiliations!$K$2:$K$5328,0)</f>
        <v>WIKKI Brasil LTDA (+1 more)</v>
      </c>
      <c r="D3069">
        <v>3</v>
      </c>
      <c r="E3069">
        <v>12</v>
      </c>
      <c r="F3069">
        <v>4</v>
      </c>
      <c r="G3069">
        <v>2</v>
      </c>
      <c r="H3069">
        <v>0.35</v>
      </c>
      <c r="I3069">
        <v>0</v>
      </c>
      <c r="J3069">
        <v>0</v>
      </c>
      <c r="K3069">
        <v>0</v>
      </c>
      <c r="L3069">
        <v>2</v>
      </c>
      <c r="M3069">
        <v>2</v>
      </c>
      <c r="N3069">
        <v>2</v>
      </c>
      <c r="P3069">
        <v>0</v>
      </c>
      <c r="Q3069">
        <v>0</v>
      </c>
      <c r="R3069">
        <v>0</v>
      </c>
      <c r="S3069">
        <v>0</v>
      </c>
    </row>
    <row r="3070" spans="1:19" hidden="1" x14ac:dyDescent="0.35">
      <c r="A3070">
        <v>56480218400</v>
      </c>
      <c r="B3070" t="s">
        <v>3073</v>
      </c>
      <c r="C3070" t="str">
        <f>_xlfn.XLOOKUP(A3070,[1]Affiliations!$J$2:$J$5328,[1]Affiliations!$K$2:$K$5328,0)</f>
        <v>Universidade Federal Rural do Rio de Janeiro (+3 more)</v>
      </c>
      <c r="D3070">
        <v>10</v>
      </c>
      <c r="E3070">
        <v>182</v>
      </c>
      <c r="F3070">
        <v>18.2</v>
      </c>
      <c r="G3070">
        <v>9</v>
      </c>
      <c r="H3070">
        <v>0.86</v>
      </c>
      <c r="I3070">
        <v>0</v>
      </c>
      <c r="J3070">
        <v>1</v>
      </c>
      <c r="K3070">
        <v>1</v>
      </c>
      <c r="L3070">
        <v>8</v>
      </c>
      <c r="M3070">
        <v>8</v>
      </c>
      <c r="N3070">
        <v>8</v>
      </c>
      <c r="P3070">
        <v>0</v>
      </c>
      <c r="Q3070">
        <v>0</v>
      </c>
      <c r="R3070">
        <v>0</v>
      </c>
      <c r="S3070">
        <v>3</v>
      </c>
    </row>
    <row r="3071" spans="1:19" hidden="1" x14ac:dyDescent="0.35">
      <c r="A3071">
        <v>23492946800</v>
      </c>
      <c r="B3071" t="s">
        <v>3074</v>
      </c>
      <c r="C3071" t="str">
        <f>_xlfn.XLOOKUP(A3071,[1]Affiliations!$J$2:$J$5328,[1]Affiliations!$K$2:$K$5328,0)</f>
        <v>Pontifícia Universidade Católica do Rio Grande do Sul</v>
      </c>
      <c r="D3071">
        <v>0</v>
      </c>
      <c r="G3071">
        <v>3</v>
      </c>
    </row>
    <row r="3072" spans="1:19" hidden="1" x14ac:dyDescent="0.35">
      <c r="A3072">
        <v>25228814500</v>
      </c>
      <c r="B3072" t="s">
        <v>3075</v>
      </c>
      <c r="C3072" t="str">
        <f>_xlfn.XLOOKUP(A3072,[1]Affiliations!$J$2:$J$5328,[1]Affiliations!$K$2:$K$5328,0)</f>
        <v>Universidade Federal do Ceará</v>
      </c>
      <c r="D3072">
        <v>12</v>
      </c>
      <c r="E3072">
        <v>41</v>
      </c>
      <c r="F3072">
        <v>3.4166666999999999</v>
      </c>
      <c r="G3072">
        <v>4</v>
      </c>
      <c r="H3072">
        <v>0.56999999999999995</v>
      </c>
      <c r="I3072">
        <v>0</v>
      </c>
      <c r="J3072">
        <v>0</v>
      </c>
      <c r="K3072">
        <v>0</v>
      </c>
      <c r="L3072">
        <v>0</v>
      </c>
      <c r="M3072">
        <v>4</v>
      </c>
      <c r="N3072">
        <v>4</v>
      </c>
      <c r="P3072">
        <v>0</v>
      </c>
      <c r="Q3072">
        <v>0</v>
      </c>
      <c r="R3072">
        <v>0</v>
      </c>
      <c r="S3072">
        <v>0</v>
      </c>
    </row>
    <row r="3073" spans="1:19" x14ac:dyDescent="0.35">
      <c r="A3073">
        <v>57192679199</v>
      </c>
      <c r="B3073" t="s">
        <v>453</v>
      </c>
      <c r="C3073" t="str">
        <f>_xlfn.XLOOKUP(A3073,[1]Affiliations!$J$2:$J$5328,[1]Affiliations!$K$2:$K$5328,0)</f>
        <v>Université de Poitiers (+4 more)</v>
      </c>
      <c r="D3073">
        <v>20</v>
      </c>
      <c r="E3073">
        <v>319</v>
      </c>
      <c r="F3073">
        <v>15.95</v>
      </c>
      <c r="G3073">
        <v>11</v>
      </c>
      <c r="H3073">
        <v>0.86</v>
      </c>
      <c r="I3073">
        <v>1</v>
      </c>
      <c r="J3073">
        <v>3</v>
      </c>
      <c r="K3073">
        <v>12</v>
      </c>
      <c r="L3073">
        <v>15</v>
      </c>
      <c r="M3073">
        <v>19</v>
      </c>
      <c r="N3073">
        <v>19</v>
      </c>
      <c r="P3073">
        <v>0</v>
      </c>
      <c r="Q3073">
        <v>0</v>
      </c>
      <c r="R3073">
        <v>2</v>
      </c>
      <c r="S3073">
        <v>9</v>
      </c>
    </row>
    <row r="3074" spans="1:19" x14ac:dyDescent="0.35">
      <c r="A3074">
        <v>6603052433</v>
      </c>
      <c r="B3074" t="s">
        <v>475</v>
      </c>
      <c r="C3074" t="str">
        <f>_xlfn.XLOOKUP(A3074,[1]Affiliations!$J$2:$J$5328,[1]Affiliations!$K$2:$K$5328,0)</f>
        <v>Universidade Federal Fluminense</v>
      </c>
      <c r="D3074">
        <v>32</v>
      </c>
      <c r="E3074">
        <v>488</v>
      </c>
      <c r="F3074">
        <v>15.25</v>
      </c>
      <c r="G3074">
        <v>19</v>
      </c>
      <c r="H3074">
        <v>0.86</v>
      </c>
      <c r="I3074">
        <v>1</v>
      </c>
      <c r="J3074">
        <v>13</v>
      </c>
      <c r="K3074">
        <v>18</v>
      </c>
      <c r="L3074">
        <v>26</v>
      </c>
      <c r="M3074">
        <v>29</v>
      </c>
      <c r="N3074">
        <v>31</v>
      </c>
      <c r="P3074">
        <v>0</v>
      </c>
      <c r="Q3074">
        <v>1</v>
      </c>
      <c r="R3074">
        <v>3</v>
      </c>
      <c r="S3074">
        <v>8</v>
      </c>
    </row>
    <row r="3075" spans="1:19" x14ac:dyDescent="0.35">
      <c r="A3075">
        <v>57203964450</v>
      </c>
      <c r="B3075" t="s">
        <v>990</v>
      </c>
      <c r="C3075" t="str">
        <f>_xlfn.XLOOKUP(A3075,[1]Affiliations!$J$2:$J$5328,[1]Affiliations!$K$2:$K$5328,0)</f>
        <v>PEFOCE (+1 more)</v>
      </c>
      <c r="D3075">
        <v>8</v>
      </c>
      <c r="E3075">
        <v>203</v>
      </c>
      <c r="F3075">
        <v>25.375</v>
      </c>
      <c r="G3075">
        <v>6</v>
      </c>
      <c r="H3075">
        <v>0.86</v>
      </c>
      <c r="I3075">
        <v>0</v>
      </c>
      <c r="J3075">
        <v>1</v>
      </c>
      <c r="K3075">
        <v>3</v>
      </c>
      <c r="L3075">
        <v>6</v>
      </c>
      <c r="M3075">
        <v>7</v>
      </c>
      <c r="N3075">
        <v>7</v>
      </c>
      <c r="P3075">
        <v>0</v>
      </c>
      <c r="Q3075">
        <v>1</v>
      </c>
      <c r="R3075">
        <v>2</v>
      </c>
      <c r="S3075">
        <v>3</v>
      </c>
    </row>
    <row r="3076" spans="1:19" hidden="1" x14ac:dyDescent="0.35">
      <c r="A3076">
        <v>58904207200</v>
      </c>
      <c r="B3076" t="s">
        <v>3079</v>
      </c>
      <c r="C3076" t="str">
        <f>_xlfn.XLOOKUP(A3076,[1]Affiliations!$J$2:$J$5328,[1]Affiliations!$K$2:$K$5328,0)</f>
        <v>SENAI Innovation Institute for Embedded Systems</v>
      </c>
      <c r="D3076">
        <v>1</v>
      </c>
      <c r="E3076">
        <v>0</v>
      </c>
      <c r="F3076">
        <v>0</v>
      </c>
      <c r="G3076">
        <v>0</v>
      </c>
      <c r="H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35">
      <c r="A3077">
        <v>7006005533</v>
      </c>
      <c r="B3077" t="s">
        <v>1478</v>
      </c>
      <c r="C3077" t="str">
        <f>_xlfn.XLOOKUP(A3077,[1]Affiliations!$J$2:$J$5328,[1]Affiliations!$K$2:$K$5328,0)</f>
        <v>Universidade Federal do Espírito Santo</v>
      </c>
      <c r="D3077">
        <v>91</v>
      </c>
      <c r="E3077">
        <v>2045</v>
      </c>
      <c r="F3077">
        <v>22.472526999999999</v>
      </c>
      <c r="G3077">
        <v>39</v>
      </c>
      <c r="H3077">
        <v>0.86</v>
      </c>
      <c r="I3077">
        <v>0</v>
      </c>
      <c r="J3077">
        <v>25</v>
      </c>
      <c r="K3077">
        <v>46</v>
      </c>
      <c r="L3077">
        <v>63</v>
      </c>
      <c r="M3077">
        <v>78</v>
      </c>
      <c r="N3077">
        <v>85</v>
      </c>
      <c r="P3077">
        <v>1</v>
      </c>
      <c r="Q3077">
        <v>3</v>
      </c>
      <c r="R3077">
        <v>12</v>
      </c>
      <c r="S3077">
        <v>48</v>
      </c>
    </row>
    <row r="3078" spans="1:19" hidden="1" x14ac:dyDescent="0.35">
      <c r="A3078">
        <v>57203947052</v>
      </c>
      <c r="B3078" t="s">
        <v>3081</v>
      </c>
      <c r="C3078" t="str">
        <f>_xlfn.XLOOKUP(A3078,[1]Affiliations!$J$2:$J$5328,[1]Affiliations!$K$2:$K$5328,0)</f>
        <v>Universidade Tecnológica Federal do Paraná</v>
      </c>
      <c r="D3078">
        <v>55</v>
      </c>
      <c r="E3078">
        <v>168</v>
      </c>
      <c r="F3078">
        <v>3.0545453999999999</v>
      </c>
      <c r="G3078">
        <v>11</v>
      </c>
      <c r="H3078">
        <v>0.5</v>
      </c>
      <c r="I3078">
        <v>0</v>
      </c>
      <c r="J3078">
        <v>0</v>
      </c>
      <c r="K3078">
        <v>2</v>
      </c>
      <c r="L3078">
        <v>7</v>
      </c>
      <c r="M3078">
        <v>11</v>
      </c>
      <c r="N3078">
        <v>17</v>
      </c>
      <c r="P3078">
        <v>0</v>
      </c>
      <c r="Q3078">
        <v>0</v>
      </c>
      <c r="R3078">
        <v>0</v>
      </c>
      <c r="S3078">
        <v>0</v>
      </c>
    </row>
    <row r="3079" spans="1:19" x14ac:dyDescent="0.35">
      <c r="A3079">
        <v>6602422097</v>
      </c>
      <c r="B3079" t="s">
        <v>1550</v>
      </c>
      <c r="C3079" t="str">
        <f>_xlfn.XLOOKUP(A3079,[1]Affiliations!$J$2:$J$5328,[1]Affiliations!$K$2:$K$5328,0)</f>
        <v>Universidade Federal do Ceará</v>
      </c>
      <c r="D3079">
        <v>103</v>
      </c>
      <c r="E3079">
        <v>2022</v>
      </c>
      <c r="F3079">
        <v>19.631067000000002</v>
      </c>
      <c r="G3079">
        <v>38</v>
      </c>
      <c r="H3079">
        <v>0.86</v>
      </c>
      <c r="I3079">
        <v>4</v>
      </c>
      <c r="J3079">
        <v>19</v>
      </c>
      <c r="K3079">
        <v>38</v>
      </c>
      <c r="L3079">
        <v>71</v>
      </c>
      <c r="M3079">
        <v>96</v>
      </c>
      <c r="N3079">
        <v>100</v>
      </c>
      <c r="P3079">
        <v>1</v>
      </c>
      <c r="Q3079">
        <v>2</v>
      </c>
      <c r="R3079">
        <v>12</v>
      </c>
      <c r="S3079">
        <v>47</v>
      </c>
    </row>
    <row r="3080" spans="1:19" x14ac:dyDescent="0.35">
      <c r="A3080">
        <v>56681824800</v>
      </c>
      <c r="B3080" t="s">
        <v>1572</v>
      </c>
      <c r="C3080" t="str">
        <f>_xlfn.XLOOKUP(A3080,[1]Affiliations!$J$2:$J$5328,[1]Affiliations!$K$2:$K$5328,0)</f>
        <v>Universidade Federal do Rio Grande do Norte</v>
      </c>
      <c r="D3080">
        <v>8</v>
      </c>
      <c r="E3080">
        <v>194</v>
      </c>
      <c r="F3080">
        <v>24.25</v>
      </c>
      <c r="G3080">
        <v>7</v>
      </c>
      <c r="H3080">
        <v>0.86</v>
      </c>
      <c r="I3080">
        <v>0</v>
      </c>
      <c r="J3080">
        <v>0</v>
      </c>
      <c r="K3080">
        <v>1</v>
      </c>
      <c r="L3080">
        <v>4</v>
      </c>
      <c r="M3080">
        <v>7</v>
      </c>
      <c r="N3080">
        <v>8</v>
      </c>
      <c r="P3080">
        <v>0</v>
      </c>
      <c r="Q3080">
        <v>1</v>
      </c>
      <c r="R3080">
        <v>1</v>
      </c>
      <c r="S3080">
        <v>4</v>
      </c>
    </row>
    <row r="3081" spans="1:19" hidden="1" x14ac:dyDescent="0.35">
      <c r="A3081">
        <v>58619675300</v>
      </c>
      <c r="B3081" t="s">
        <v>3084</v>
      </c>
      <c r="C3081" t="str">
        <f>_xlfn.XLOOKUP(A3081,[1]Affiliations!$J$2:$J$5328,[1]Affiliations!$K$2:$K$5328,0)</f>
        <v>Universidade Federal de Pernambuco</v>
      </c>
      <c r="D3081">
        <v>1</v>
      </c>
      <c r="E3081">
        <v>0</v>
      </c>
      <c r="F3081">
        <v>0</v>
      </c>
      <c r="G3081">
        <v>0</v>
      </c>
      <c r="H3081">
        <v>0</v>
      </c>
      <c r="P3081">
        <v>0</v>
      </c>
      <c r="Q3081">
        <v>0</v>
      </c>
      <c r="R3081">
        <v>0</v>
      </c>
      <c r="S3081">
        <v>0</v>
      </c>
    </row>
    <row r="3082" spans="1:19" hidden="1" x14ac:dyDescent="0.35">
      <c r="A3082">
        <v>57216485508</v>
      </c>
      <c r="B3082" t="s">
        <v>3085</v>
      </c>
      <c r="C3082" t="str">
        <f>_xlfn.XLOOKUP(A3082,[1]Affiliations!$J$2:$J$5328,[1]Affiliations!$K$2:$K$5328,0)</f>
        <v>Universidade Federal do Ceará</v>
      </c>
      <c r="D3082">
        <v>4</v>
      </c>
      <c r="E3082">
        <v>66</v>
      </c>
      <c r="F3082">
        <v>16.5</v>
      </c>
      <c r="G3082">
        <v>3</v>
      </c>
      <c r="H3082">
        <v>1.1399999999999999</v>
      </c>
      <c r="I3082">
        <v>0</v>
      </c>
      <c r="J3082">
        <v>1</v>
      </c>
      <c r="K3082">
        <v>1</v>
      </c>
      <c r="L3082">
        <v>3</v>
      </c>
      <c r="M3082">
        <v>4</v>
      </c>
      <c r="N3082">
        <v>4</v>
      </c>
      <c r="P3082">
        <v>0</v>
      </c>
      <c r="Q3082">
        <v>0</v>
      </c>
      <c r="R3082">
        <v>1</v>
      </c>
      <c r="S3082">
        <v>2</v>
      </c>
    </row>
    <row r="3083" spans="1:19" hidden="1" x14ac:dyDescent="0.35">
      <c r="A3083">
        <v>59604174200</v>
      </c>
      <c r="B3083" t="s">
        <v>3086</v>
      </c>
      <c r="C3083" t="str">
        <f>_xlfn.XLOOKUP(A3083,[1]Affiliations!$J$2:$J$5328,[1]Affiliations!$K$2:$K$5328,0)</f>
        <v>Universidade do Estado do Rio de Janeiro (+1 more)</v>
      </c>
      <c r="D3083">
        <v>1</v>
      </c>
      <c r="E3083">
        <v>2</v>
      </c>
      <c r="F3083">
        <v>2</v>
      </c>
      <c r="G3083">
        <v>2</v>
      </c>
      <c r="H3083">
        <v>0.26</v>
      </c>
      <c r="I3083">
        <v>0</v>
      </c>
      <c r="J3083">
        <v>0</v>
      </c>
      <c r="K3083">
        <v>0</v>
      </c>
      <c r="L3083">
        <v>0</v>
      </c>
      <c r="M3083">
        <v>1</v>
      </c>
      <c r="N3083">
        <v>1</v>
      </c>
      <c r="P3083">
        <v>0</v>
      </c>
      <c r="Q3083">
        <v>0</v>
      </c>
      <c r="R3083">
        <v>0</v>
      </c>
      <c r="S3083">
        <v>0</v>
      </c>
    </row>
    <row r="3084" spans="1:19" hidden="1" x14ac:dyDescent="0.35">
      <c r="A3084">
        <v>58437844300</v>
      </c>
      <c r="B3084" t="s">
        <v>3087</v>
      </c>
      <c r="C3084" t="str">
        <f>_xlfn.XLOOKUP(A3084,[1]Affiliations!$J$2:$J$5328,[1]Affiliations!$K$2:$K$5328,0)</f>
        <v>Universidade Federal de Pernambuco</v>
      </c>
      <c r="D3084">
        <v>4</v>
      </c>
      <c r="E3084">
        <v>15</v>
      </c>
      <c r="F3084">
        <v>3.75</v>
      </c>
      <c r="G3084">
        <v>2</v>
      </c>
      <c r="H3084">
        <v>0.56000000000000005</v>
      </c>
      <c r="I3084">
        <v>0</v>
      </c>
      <c r="J3084">
        <v>0</v>
      </c>
      <c r="K3084">
        <v>0</v>
      </c>
      <c r="L3084">
        <v>0</v>
      </c>
      <c r="M3084">
        <v>3</v>
      </c>
      <c r="N3084">
        <v>4</v>
      </c>
      <c r="P3084">
        <v>0</v>
      </c>
      <c r="Q3084">
        <v>0</v>
      </c>
      <c r="R3084">
        <v>0</v>
      </c>
      <c r="S3084">
        <v>0</v>
      </c>
    </row>
    <row r="3085" spans="1:19" x14ac:dyDescent="0.35">
      <c r="A3085">
        <v>57209236771</v>
      </c>
      <c r="B3085" t="s">
        <v>1616</v>
      </c>
      <c r="C3085" t="str">
        <f>_xlfn.XLOOKUP(A3085,[1]Affiliations!$J$2:$J$5328,[1]Affiliations!$K$2:$K$5328,0)</f>
        <v>Universidade de São Paulo (+1 more)</v>
      </c>
      <c r="D3085">
        <v>109</v>
      </c>
      <c r="E3085">
        <v>1276</v>
      </c>
      <c r="F3085">
        <v>11.706422</v>
      </c>
      <c r="G3085">
        <v>29</v>
      </c>
      <c r="H3085">
        <v>0.86</v>
      </c>
      <c r="I3085">
        <v>0</v>
      </c>
      <c r="J3085">
        <v>26</v>
      </c>
      <c r="K3085">
        <v>33</v>
      </c>
      <c r="L3085">
        <v>40</v>
      </c>
      <c r="M3085">
        <v>53</v>
      </c>
      <c r="N3085">
        <v>59</v>
      </c>
      <c r="P3085">
        <v>0</v>
      </c>
      <c r="Q3085">
        <v>1</v>
      </c>
      <c r="R3085">
        <v>6</v>
      </c>
      <c r="S3085">
        <v>31</v>
      </c>
    </row>
    <row r="3086" spans="1:19" x14ac:dyDescent="0.35">
      <c r="A3086">
        <v>6506825793</v>
      </c>
      <c r="B3086" t="s">
        <v>1690</v>
      </c>
      <c r="C3086" t="str">
        <f>_xlfn.XLOOKUP(A3086,[1]Affiliations!$J$2:$J$5328,[1]Affiliations!$K$2:$K$5328,0)</f>
        <v>Universidade Federal do Ceará</v>
      </c>
      <c r="D3086">
        <v>63</v>
      </c>
      <c r="E3086">
        <v>993</v>
      </c>
      <c r="F3086">
        <v>15.761905</v>
      </c>
      <c r="G3086">
        <v>26</v>
      </c>
      <c r="H3086">
        <v>0.86</v>
      </c>
      <c r="I3086">
        <v>0</v>
      </c>
      <c r="J3086">
        <v>4</v>
      </c>
      <c r="K3086">
        <v>20</v>
      </c>
      <c r="L3086">
        <v>44</v>
      </c>
      <c r="M3086">
        <v>59</v>
      </c>
      <c r="N3086">
        <v>61</v>
      </c>
      <c r="P3086">
        <v>0</v>
      </c>
      <c r="Q3086">
        <v>3</v>
      </c>
      <c r="R3086">
        <v>5</v>
      </c>
      <c r="S3086">
        <v>22</v>
      </c>
    </row>
    <row r="3087" spans="1:19" hidden="1" x14ac:dyDescent="0.35">
      <c r="A3087">
        <v>59251795900</v>
      </c>
      <c r="B3087" t="s">
        <v>3090</v>
      </c>
      <c r="C3087" t="str">
        <f>_xlfn.XLOOKUP(A3087,[1]Affiliations!$J$2:$J$5328,[1]Affiliations!$K$2:$K$5328,0)</f>
        <v>SAIPEM</v>
      </c>
      <c r="D3087">
        <v>2</v>
      </c>
      <c r="E3087">
        <v>1</v>
      </c>
      <c r="F3087">
        <v>0.5</v>
      </c>
      <c r="G3087">
        <v>1</v>
      </c>
      <c r="H3087">
        <v>0.69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P3087">
        <v>0</v>
      </c>
      <c r="Q3087">
        <v>0</v>
      </c>
      <c r="R3087">
        <v>0</v>
      </c>
      <c r="S3087">
        <v>0</v>
      </c>
    </row>
    <row r="3088" spans="1:19" hidden="1" x14ac:dyDescent="0.35">
      <c r="A3088">
        <v>57196477721</v>
      </c>
      <c r="B3088" t="s">
        <v>3091</v>
      </c>
      <c r="C3088" t="str">
        <f>_xlfn.XLOOKUP(A3088,[1]Affiliations!$J$2:$J$5328,[1]Affiliations!$K$2:$K$5328,0)</f>
        <v>Universidade Federal do Paraná</v>
      </c>
      <c r="D3088">
        <v>9</v>
      </c>
      <c r="E3088">
        <v>73</v>
      </c>
      <c r="F3088">
        <v>8.1111109999999993</v>
      </c>
      <c r="G3088">
        <v>6</v>
      </c>
      <c r="H3088">
        <v>1.43</v>
      </c>
      <c r="I3088">
        <v>0</v>
      </c>
      <c r="J3088">
        <v>1</v>
      </c>
      <c r="K3088">
        <v>1</v>
      </c>
      <c r="L3088">
        <v>2</v>
      </c>
      <c r="M3088">
        <v>5</v>
      </c>
      <c r="N3088">
        <v>5</v>
      </c>
      <c r="P3088">
        <v>0</v>
      </c>
      <c r="Q3088">
        <v>0</v>
      </c>
      <c r="R3088">
        <v>0</v>
      </c>
      <c r="S3088">
        <v>1</v>
      </c>
    </row>
    <row r="3089" spans="1:19" hidden="1" x14ac:dyDescent="0.35">
      <c r="A3089">
        <v>55811635000</v>
      </c>
      <c r="B3089" t="s">
        <v>3092</v>
      </c>
      <c r="C3089" t="str">
        <f>_xlfn.XLOOKUP(A3089,[1]Affiliations!$J$2:$J$5328,[1]Affiliations!$K$2:$K$5328,0)</f>
        <v>Universidade Federal do Espírito Santo (+1 more)</v>
      </c>
      <c r="D3089">
        <v>1</v>
      </c>
      <c r="E3089">
        <v>5</v>
      </c>
      <c r="F3089">
        <v>5</v>
      </c>
      <c r="G3089">
        <v>3</v>
      </c>
      <c r="H3089">
        <v>0.1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1</v>
      </c>
      <c r="P3089">
        <v>0</v>
      </c>
      <c r="Q3089">
        <v>0</v>
      </c>
      <c r="R3089">
        <v>0</v>
      </c>
      <c r="S3089">
        <v>0</v>
      </c>
    </row>
    <row r="3090" spans="1:19" hidden="1" x14ac:dyDescent="0.35">
      <c r="A3090">
        <v>57209304146</v>
      </c>
      <c r="B3090" t="s">
        <v>3093</v>
      </c>
      <c r="C3090" t="str">
        <f>_xlfn.XLOOKUP(A3090,[1]Affiliations!$J$2:$J$5328,[1]Affiliations!$K$2:$K$5328,0)</f>
        <v>Universidade Estadual Paulista “Júlio de Mesquita Filho”</v>
      </c>
      <c r="D3090">
        <v>2</v>
      </c>
      <c r="E3090">
        <v>40</v>
      </c>
      <c r="F3090">
        <v>20</v>
      </c>
      <c r="G3090">
        <v>2</v>
      </c>
      <c r="H3090">
        <v>0.89</v>
      </c>
      <c r="I3090">
        <v>0</v>
      </c>
      <c r="J3090">
        <v>0</v>
      </c>
      <c r="K3090">
        <v>0</v>
      </c>
      <c r="L3090">
        <v>1</v>
      </c>
      <c r="M3090">
        <v>2</v>
      </c>
      <c r="N3090">
        <v>2</v>
      </c>
      <c r="P3090">
        <v>0</v>
      </c>
      <c r="Q3090">
        <v>0</v>
      </c>
      <c r="R3090">
        <v>0</v>
      </c>
      <c r="S3090">
        <v>2</v>
      </c>
    </row>
    <row r="3091" spans="1:19" hidden="1" x14ac:dyDescent="0.35">
      <c r="A3091">
        <v>57201850218</v>
      </c>
      <c r="B3091" t="s">
        <v>3094</v>
      </c>
      <c r="C3091" t="str">
        <f>_xlfn.XLOOKUP(A3091,[1]Affiliations!$J$2:$J$5328,[1]Affiliations!$K$2:$K$5328,0)</f>
        <v>Universidade Estadual Paulista “Júlio de Mesquita Filho”</v>
      </c>
      <c r="D3091">
        <v>1</v>
      </c>
      <c r="E3091">
        <v>15</v>
      </c>
      <c r="F3091">
        <v>15</v>
      </c>
      <c r="G3091">
        <v>1</v>
      </c>
      <c r="H3091">
        <v>0.19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1</v>
      </c>
      <c r="P3091">
        <v>0</v>
      </c>
      <c r="Q3091">
        <v>0</v>
      </c>
      <c r="R3091">
        <v>0</v>
      </c>
      <c r="S3091">
        <v>0</v>
      </c>
    </row>
    <row r="3092" spans="1:19" hidden="1" x14ac:dyDescent="0.35">
      <c r="A3092">
        <v>57189626704</v>
      </c>
      <c r="B3092" t="s">
        <v>3095</v>
      </c>
      <c r="C3092" t="str">
        <f>_xlfn.XLOOKUP(A3092,[1]Affiliations!$J$2:$J$5328,[1]Affiliations!$K$2:$K$5328,0)</f>
        <v>Universidade Tecnológica Federal do Paraná</v>
      </c>
      <c r="D3092">
        <v>3</v>
      </c>
      <c r="E3092">
        <v>8</v>
      </c>
      <c r="F3092">
        <v>2.6666666999999999</v>
      </c>
      <c r="G3092">
        <v>2</v>
      </c>
      <c r="H3092">
        <v>0.26</v>
      </c>
      <c r="I3092">
        <v>0</v>
      </c>
      <c r="J3092">
        <v>0</v>
      </c>
      <c r="K3092">
        <v>0</v>
      </c>
      <c r="L3092">
        <v>1</v>
      </c>
      <c r="M3092">
        <v>2</v>
      </c>
      <c r="N3092">
        <v>2</v>
      </c>
      <c r="P3092">
        <v>0</v>
      </c>
      <c r="Q3092">
        <v>0</v>
      </c>
      <c r="R3092">
        <v>0</v>
      </c>
      <c r="S3092">
        <v>0</v>
      </c>
    </row>
    <row r="3093" spans="1:19" x14ac:dyDescent="0.35">
      <c r="A3093">
        <v>7102470737</v>
      </c>
      <c r="B3093" t="s">
        <v>1765</v>
      </c>
      <c r="C3093" t="str">
        <f>_xlfn.XLOOKUP(A3093,[1]Affiliations!$J$2:$J$5328,[1]Affiliations!$K$2:$K$5328,0)</f>
        <v>Federal University of Rio de Janeiro</v>
      </c>
      <c r="D3093">
        <v>106</v>
      </c>
      <c r="E3093">
        <v>2508</v>
      </c>
      <c r="F3093">
        <v>23.660378000000001</v>
      </c>
      <c r="G3093">
        <v>36</v>
      </c>
      <c r="H3093">
        <v>0.86</v>
      </c>
      <c r="I3093">
        <v>1</v>
      </c>
      <c r="J3093">
        <v>7</v>
      </c>
      <c r="K3093">
        <v>23</v>
      </c>
      <c r="L3093">
        <v>69</v>
      </c>
      <c r="M3093">
        <v>92</v>
      </c>
      <c r="N3093">
        <v>95</v>
      </c>
      <c r="P3093">
        <v>0</v>
      </c>
      <c r="Q3093">
        <v>4</v>
      </c>
      <c r="R3093">
        <v>15</v>
      </c>
      <c r="S3093">
        <v>43</v>
      </c>
    </row>
    <row r="3094" spans="1:19" hidden="1" x14ac:dyDescent="0.35">
      <c r="A3094">
        <v>9243187300</v>
      </c>
      <c r="B3094" t="s">
        <v>3097</v>
      </c>
      <c r="C3094" t="str">
        <f>_xlfn.XLOOKUP(A3094,[1]Affiliations!$J$2:$J$5328,[1]Affiliations!$K$2:$K$5328,0)</f>
        <v>Universidade de São Paulo</v>
      </c>
      <c r="D3094">
        <v>24</v>
      </c>
      <c r="E3094">
        <v>257</v>
      </c>
      <c r="F3094">
        <v>10.708333</v>
      </c>
      <c r="G3094">
        <v>12</v>
      </c>
      <c r="H3094">
        <v>1.45</v>
      </c>
      <c r="I3094">
        <v>1</v>
      </c>
      <c r="J3094">
        <v>1</v>
      </c>
      <c r="K3094">
        <v>1</v>
      </c>
      <c r="L3094">
        <v>3</v>
      </c>
      <c r="M3094">
        <v>11</v>
      </c>
      <c r="N3094">
        <v>18</v>
      </c>
      <c r="P3094">
        <v>0</v>
      </c>
      <c r="Q3094">
        <v>0</v>
      </c>
      <c r="R3094">
        <v>0</v>
      </c>
      <c r="S3094">
        <v>8</v>
      </c>
    </row>
    <row r="3095" spans="1:19" hidden="1" x14ac:dyDescent="0.35">
      <c r="A3095">
        <v>60086762900</v>
      </c>
      <c r="B3095" t="s">
        <v>3098</v>
      </c>
      <c r="C3095" t="str">
        <f>_xlfn.XLOOKUP(A3095,[1]Affiliations!$J$2:$J$5328,[1]Affiliations!$K$2:$K$5328,0)</f>
        <v>Universidade de São Paulo</v>
      </c>
      <c r="D3095">
        <v>0</v>
      </c>
      <c r="G3095">
        <v>0</v>
      </c>
    </row>
    <row r="3096" spans="1:19" x14ac:dyDescent="0.35">
      <c r="A3096">
        <v>56533297700</v>
      </c>
      <c r="B3096" t="s">
        <v>1769</v>
      </c>
      <c r="C3096" t="str">
        <f>_xlfn.XLOOKUP(A3096,[1]Affiliations!$J$2:$J$5328,[1]Affiliations!$K$2:$K$5328,0)</f>
        <v>Federal University of Rio de Janeiro</v>
      </c>
      <c r="D3096">
        <v>16</v>
      </c>
      <c r="E3096">
        <v>404</v>
      </c>
      <c r="F3096">
        <v>25.25</v>
      </c>
      <c r="G3096">
        <v>13</v>
      </c>
      <c r="H3096">
        <v>0.86</v>
      </c>
      <c r="I3096">
        <v>0</v>
      </c>
      <c r="J3096">
        <v>0</v>
      </c>
      <c r="K3096">
        <v>2</v>
      </c>
      <c r="L3096">
        <v>14</v>
      </c>
      <c r="M3096">
        <v>16</v>
      </c>
      <c r="N3096">
        <v>16</v>
      </c>
      <c r="P3096">
        <v>0</v>
      </c>
      <c r="Q3096">
        <v>0</v>
      </c>
      <c r="R3096">
        <v>1</v>
      </c>
      <c r="S3096">
        <v>8</v>
      </c>
    </row>
    <row r="3097" spans="1:19" hidden="1" x14ac:dyDescent="0.35">
      <c r="A3097">
        <v>55611581000</v>
      </c>
      <c r="B3097" t="s">
        <v>3100</v>
      </c>
      <c r="C3097" t="str">
        <f>_xlfn.XLOOKUP(A3097,[1]Affiliations!$J$2:$J$5328,[1]Affiliations!$K$2:$K$5328,0)</f>
        <v>Federal University of Rio de Janeiro</v>
      </c>
      <c r="D3097">
        <v>7</v>
      </c>
      <c r="E3097">
        <v>61</v>
      </c>
      <c r="F3097">
        <v>8.7142859999999995</v>
      </c>
      <c r="G3097">
        <v>5</v>
      </c>
      <c r="H3097">
        <v>0.36</v>
      </c>
      <c r="I3097">
        <v>0</v>
      </c>
      <c r="J3097">
        <v>0</v>
      </c>
      <c r="K3097">
        <v>3</v>
      </c>
      <c r="L3097">
        <v>3</v>
      </c>
      <c r="M3097">
        <v>5</v>
      </c>
      <c r="N3097">
        <v>6</v>
      </c>
      <c r="P3097">
        <v>0</v>
      </c>
      <c r="Q3097">
        <v>0</v>
      </c>
      <c r="R3097">
        <v>0</v>
      </c>
      <c r="S3097">
        <v>0</v>
      </c>
    </row>
    <row r="3098" spans="1:19" hidden="1" x14ac:dyDescent="0.35">
      <c r="A3098">
        <v>59873835200</v>
      </c>
      <c r="B3098" t="s">
        <v>3101</v>
      </c>
      <c r="C3098" t="str">
        <f>_xlfn.XLOOKUP(A3098,[1]Affiliations!$J$2:$J$5328,[1]Affiliations!$K$2:$K$5328,0)</f>
        <v>Halliburton</v>
      </c>
      <c r="D3098">
        <v>1</v>
      </c>
      <c r="E3098">
        <v>7</v>
      </c>
      <c r="F3098">
        <v>7</v>
      </c>
      <c r="G3098">
        <v>1</v>
      </c>
      <c r="H3098">
        <v>1.52</v>
      </c>
      <c r="P3098">
        <v>0</v>
      </c>
      <c r="Q3098">
        <v>0</v>
      </c>
      <c r="R3098">
        <v>0</v>
      </c>
      <c r="S3098">
        <v>0</v>
      </c>
    </row>
    <row r="3099" spans="1:19" x14ac:dyDescent="0.35">
      <c r="A3099">
        <v>22934796300</v>
      </c>
      <c r="B3099" t="s">
        <v>2964</v>
      </c>
      <c r="C3099" t="str">
        <f>_xlfn.XLOOKUP(A3099,[1]Affiliations!$J$2:$J$5328,[1]Affiliations!$K$2:$K$5328,0)</f>
        <v>Universidade de São Paulo</v>
      </c>
      <c r="D3099">
        <v>27</v>
      </c>
      <c r="E3099">
        <v>497</v>
      </c>
      <c r="F3099">
        <v>18.407408</v>
      </c>
      <c r="G3099">
        <v>16</v>
      </c>
      <c r="H3099">
        <v>0.86</v>
      </c>
      <c r="I3099">
        <v>0</v>
      </c>
      <c r="J3099">
        <v>3</v>
      </c>
      <c r="K3099">
        <v>11</v>
      </c>
      <c r="L3099">
        <v>15</v>
      </c>
      <c r="M3099">
        <v>23</v>
      </c>
      <c r="N3099">
        <v>27</v>
      </c>
      <c r="P3099">
        <v>0</v>
      </c>
      <c r="Q3099">
        <v>1</v>
      </c>
      <c r="R3099">
        <v>3</v>
      </c>
      <c r="S3099">
        <v>8</v>
      </c>
    </row>
    <row r="3100" spans="1:19" hidden="1" x14ac:dyDescent="0.35">
      <c r="A3100">
        <v>6504322433</v>
      </c>
      <c r="B3100" t="s">
        <v>3103</v>
      </c>
      <c r="C3100" t="str">
        <f>_xlfn.XLOOKUP(A3100,[1]Affiliations!$J$2:$J$5328,[1]Affiliations!$K$2:$K$5328,0)</f>
        <v>Pontifical Catholic University of Rio de Janeiro</v>
      </c>
      <c r="D3100">
        <v>7</v>
      </c>
      <c r="E3100">
        <v>28</v>
      </c>
      <c r="F3100">
        <v>4</v>
      </c>
      <c r="G3100">
        <v>3</v>
      </c>
      <c r="H3100">
        <v>1.47</v>
      </c>
      <c r="I3100">
        <v>0</v>
      </c>
      <c r="J3100">
        <v>0</v>
      </c>
      <c r="K3100">
        <v>0</v>
      </c>
      <c r="L3100">
        <v>1</v>
      </c>
      <c r="M3100">
        <v>1</v>
      </c>
      <c r="N3100">
        <v>4</v>
      </c>
      <c r="P3100">
        <v>0</v>
      </c>
      <c r="Q3100">
        <v>0</v>
      </c>
      <c r="R3100">
        <v>0</v>
      </c>
      <c r="S3100">
        <v>0</v>
      </c>
    </row>
    <row r="3101" spans="1:19" x14ac:dyDescent="0.35">
      <c r="A3101">
        <v>6601957697</v>
      </c>
      <c r="B3101" t="s">
        <v>3332</v>
      </c>
      <c r="C3101" t="str">
        <f>_xlfn.XLOOKUP(A3101,[1]Affiliations!$J$2:$J$5328,[1]Affiliations!$K$2:$K$5328,0)</f>
        <v>Universidade de São Paulo (+1 more)</v>
      </c>
      <c r="D3101">
        <v>62</v>
      </c>
      <c r="E3101">
        <v>803</v>
      </c>
      <c r="F3101">
        <v>12.951612000000001</v>
      </c>
      <c r="G3101">
        <v>29</v>
      </c>
      <c r="H3101">
        <v>0.86</v>
      </c>
      <c r="I3101">
        <v>2</v>
      </c>
      <c r="J3101">
        <v>6</v>
      </c>
      <c r="K3101">
        <v>15</v>
      </c>
      <c r="L3101">
        <v>27</v>
      </c>
      <c r="M3101">
        <v>34</v>
      </c>
      <c r="N3101">
        <v>40</v>
      </c>
      <c r="P3101">
        <v>0</v>
      </c>
      <c r="Q3101">
        <v>1</v>
      </c>
      <c r="R3101">
        <v>6</v>
      </c>
      <c r="S3101">
        <v>20</v>
      </c>
    </row>
    <row r="3102" spans="1:19" hidden="1" x14ac:dyDescent="0.35">
      <c r="A3102">
        <v>6505607198</v>
      </c>
      <c r="B3102" t="s">
        <v>3105</v>
      </c>
      <c r="C3102" t="str">
        <f>_xlfn.XLOOKUP(A3102,[1]Affiliations!$J$2:$J$5328,[1]Affiliations!$K$2:$K$5328,0)</f>
        <v>Federal University of Rio de Janeiro</v>
      </c>
      <c r="D3102">
        <v>5</v>
      </c>
      <c r="E3102">
        <v>92</v>
      </c>
      <c r="F3102">
        <v>18.399999999999999</v>
      </c>
      <c r="G3102">
        <v>9</v>
      </c>
      <c r="H3102">
        <v>0.57999999999999996</v>
      </c>
      <c r="I3102">
        <v>0</v>
      </c>
      <c r="J3102">
        <v>0</v>
      </c>
      <c r="K3102">
        <v>1</v>
      </c>
      <c r="L3102">
        <v>2</v>
      </c>
      <c r="M3102">
        <v>5</v>
      </c>
      <c r="N3102">
        <v>5</v>
      </c>
      <c r="P3102">
        <v>0</v>
      </c>
      <c r="Q3102">
        <v>0</v>
      </c>
      <c r="R3102">
        <v>0</v>
      </c>
      <c r="S3102">
        <v>2</v>
      </c>
    </row>
    <row r="3103" spans="1:19" hidden="1" x14ac:dyDescent="0.35">
      <c r="A3103">
        <v>57947345500</v>
      </c>
      <c r="B3103" t="s">
        <v>3106</v>
      </c>
      <c r="C3103" t="str">
        <f>_xlfn.XLOOKUP(A3103,[1]Affiliations!$J$2:$J$5328,[1]Affiliations!$K$2:$K$5328,0)</f>
        <v>Pontifical Catholic University of Rio de Janeiro</v>
      </c>
      <c r="D3103">
        <v>3</v>
      </c>
      <c r="E3103">
        <v>26</v>
      </c>
      <c r="F3103">
        <v>8.6666670000000003</v>
      </c>
      <c r="G3103">
        <v>2</v>
      </c>
      <c r="H3103">
        <v>1.0900000000000001</v>
      </c>
      <c r="I3103">
        <v>0</v>
      </c>
      <c r="J3103">
        <v>0</v>
      </c>
      <c r="K3103">
        <v>0</v>
      </c>
      <c r="L3103">
        <v>1</v>
      </c>
      <c r="M3103">
        <v>1</v>
      </c>
      <c r="N3103">
        <v>2</v>
      </c>
      <c r="P3103">
        <v>0</v>
      </c>
      <c r="Q3103">
        <v>0</v>
      </c>
      <c r="R3103">
        <v>0</v>
      </c>
      <c r="S3103">
        <v>1</v>
      </c>
    </row>
    <row r="3104" spans="1:19" hidden="1" x14ac:dyDescent="0.35">
      <c r="A3104">
        <v>23567946300</v>
      </c>
      <c r="B3104" t="s">
        <v>3107</v>
      </c>
      <c r="C3104" t="str">
        <f>_xlfn.XLOOKUP(A3104,[1]Affiliations!$J$2:$J$5328,[1]Affiliations!$K$2:$K$5328,0)</f>
        <v>Universidade Federal do Rio Grande do Sul</v>
      </c>
      <c r="D3104">
        <v>19</v>
      </c>
      <c r="E3104">
        <v>96</v>
      </c>
      <c r="F3104">
        <v>5.0526314000000001</v>
      </c>
      <c r="G3104">
        <v>7</v>
      </c>
      <c r="H3104">
        <v>0.28000000000000003</v>
      </c>
      <c r="I3104">
        <v>0</v>
      </c>
      <c r="J3104">
        <v>4</v>
      </c>
      <c r="K3104">
        <v>4</v>
      </c>
      <c r="L3104">
        <v>5</v>
      </c>
      <c r="M3104">
        <v>11</v>
      </c>
      <c r="N3104">
        <v>15</v>
      </c>
      <c r="P3104">
        <v>0</v>
      </c>
      <c r="Q3104">
        <v>0</v>
      </c>
      <c r="R3104">
        <v>0</v>
      </c>
      <c r="S3104">
        <v>0</v>
      </c>
    </row>
    <row r="3105" spans="1:19" x14ac:dyDescent="0.35">
      <c r="A3105">
        <v>55547016900</v>
      </c>
      <c r="B3105" t="s">
        <v>3457</v>
      </c>
      <c r="C3105" t="str">
        <f>_xlfn.XLOOKUP(A3105,[1]Affiliations!$J$2:$J$5328,[1]Affiliations!$K$2:$K$5328,0)</f>
        <v>Universidade Estadual Paulista “Júlio de Mesquita Filho”</v>
      </c>
      <c r="D3105">
        <v>14</v>
      </c>
      <c r="E3105">
        <v>219</v>
      </c>
      <c r="F3105">
        <v>15.642858</v>
      </c>
      <c r="G3105">
        <v>10</v>
      </c>
      <c r="H3105">
        <v>0.86</v>
      </c>
      <c r="I3105">
        <v>1</v>
      </c>
      <c r="J3105">
        <v>1</v>
      </c>
      <c r="K3105">
        <v>2</v>
      </c>
      <c r="L3105">
        <v>4</v>
      </c>
      <c r="M3105">
        <v>9</v>
      </c>
      <c r="N3105">
        <v>12</v>
      </c>
      <c r="P3105">
        <v>1</v>
      </c>
      <c r="Q3105">
        <v>1</v>
      </c>
      <c r="R3105">
        <v>1</v>
      </c>
      <c r="S3105">
        <v>4</v>
      </c>
    </row>
    <row r="3106" spans="1:19" hidden="1" x14ac:dyDescent="0.35">
      <c r="A3106">
        <v>59318266200</v>
      </c>
      <c r="B3106" t="s">
        <v>3109</v>
      </c>
      <c r="C3106" t="str">
        <f>_xlfn.XLOOKUP(A3106,[1]Affiliations!$J$2:$J$5328,[1]Affiliations!$K$2:$K$5328,0)</f>
        <v>Federal University of Rio de Janeiro</v>
      </c>
      <c r="D3106">
        <v>1</v>
      </c>
      <c r="E3106">
        <v>1</v>
      </c>
      <c r="F3106">
        <v>1</v>
      </c>
      <c r="G3106">
        <v>1</v>
      </c>
      <c r="H3106">
        <v>0.13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P3106">
        <v>0</v>
      </c>
      <c r="Q3106">
        <v>0</v>
      </c>
      <c r="R3106">
        <v>0</v>
      </c>
      <c r="S3106">
        <v>0</v>
      </c>
    </row>
    <row r="3107" spans="1:19" x14ac:dyDescent="0.35">
      <c r="A3107">
        <v>6504193131</v>
      </c>
      <c r="B3107" t="s">
        <v>3783</v>
      </c>
      <c r="C3107" t="str">
        <f>_xlfn.XLOOKUP(A3107,[1]Affiliations!$J$2:$J$5328,[1]Affiliations!$K$2:$K$5328,0)</f>
        <v>University of Genoa (+1 more)</v>
      </c>
      <c r="D3107">
        <v>48</v>
      </c>
      <c r="E3107">
        <v>788</v>
      </c>
      <c r="F3107">
        <v>16.416665999999999</v>
      </c>
      <c r="G3107">
        <v>22</v>
      </c>
      <c r="H3107">
        <v>0.86</v>
      </c>
      <c r="I3107">
        <v>0</v>
      </c>
      <c r="J3107">
        <v>6</v>
      </c>
      <c r="K3107">
        <v>10</v>
      </c>
      <c r="L3107">
        <v>28</v>
      </c>
      <c r="M3107">
        <v>36</v>
      </c>
      <c r="N3107">
        <v>41</v>
      </c>
      <c r="P3107">
        <v>0</v>
      </c>
      <c r="Q3107">
        <v>0</v>
      </c>
      <c r="R3107">
        <v>5</v>
      </c>
      <c r="S3107">
        <v>20</v>
      </c>
    </row>
    <row r="3108" spans="1:19" x14ac:dyDescent="0.35">
      <c r="A3108">
        <v>26654418900</v>
      </c>
      <c r="B3108" t="s">
        <v>4204</v>
      </c>
      <c r="C3108" t="str">
        <f>_xlfn.XLOOKUP(A3108,[1]Affiliations!$J$2:$J$5328,[1]Affiliations!$K$2:$K$5328,0)</f>
        <v>Fundação Oswaldo Cruz</v>
      </c>
      <c r="D3108">
        <v>115</v>
      </c>
      <c r="E3108">
        <v>1693</v>
      </c>
      <c r="F3108">
        <v>14.721738999999999</v>
      </c>
      <c r="G3108">
        <v>30</v>
      </c>
      <c r="H3108">
        <v>0.86</v>
      </c>
      <c r="I3108">
        <v>0</v>
      </c>
      <c r="J3108">
        <v>11</v>
      </c>
      <c r="K3108">
        <v>31</v>
      </c>
      <c r="L3108">
        <v>63</v>
      </c>
      <c r="M3108">
        <v>104</v>
      </c>
      <c r="N3108">
        <v>114</v>
      </c>
      <c r="P3108">
        <v>0</v>
      </c>
      <c r="Q3108">
        <v>3</v>
      </c>
      <c r="R3108">
        <v>12</v>
      </c>
      <c r="S3108">
        <v>41</v>
      </c>
    </row>
    <row r="3109" spans="1:19" x14ac:dyDescent="0.35">
      <c r="A3109">
        <v>7005341741</v>
      </c>
      <c r="B3109" t="s">
        <v>4297</v>
      </c>
      <c r="C3109" t="str">
        <f>_xlfn.XLOOKUP(A3109,[1]Affiliations!$J$2:$J$5328,[1]Affiliations!$K$2:$K$5328,0)</f>
        <v>Universidade Federal Fluminense</v>
      </c>
      <c r="D3109">
        <v>13</v>
      </c>
      <c r="E3109">
        <v>229</v>
      </c>
      <c r="F3109">
        <v>17.615385</v>
      </c>
      <c r="G3109">
        <v>15</v>
      </c>
      <c r="H3109">
        <v>0.86</v>
      </c>
      <c r="I3109">
        <v>0</v>
      </c>
      <c r="J3109">
        <v>1</v>
      </c>
      <c r="K3109">
        <v>2</v>
      </c>
      <c r="L3109">
        <v>8</v>
      </c>
      <c r="M3109">
        <v>10</v>
      </c>
      <c r="N3109">
        <v>13</v>
      </c>
      <c r="P3109">
        <v>0</v>
      </c>
      <c r="Q3109">
        <v>0</v>
      </c>
      <c r="R3109">
        <v>2</v>
      </c>
      <c r="S3109">
        <v>3</v>
      </c>
    </row>
    <row r="3110" spans="1:19" x14ac:dyDescent="0.35">
      <c r="A3110">
        <v>8911742100</v>
      </c>
      <c r="B3110" t="s">
        <v>4490</v>
      </c>
      <c r="C3110" t="str">
        <f>_xlfn.XLOOKUP(A3110,[1]Affiliations!$J$2:$J$5328,[1]Affiliations!$K$2:$K$5328,0)</f>
        <v>Universidade Federal de Alagoas</v>
      </c>
      <c r="D3110">
        <v>70</v>
      </c>
      <c r="E3110">
        <v>1225</v>
      </c>
      <c r="F3110">
        <v>17.5</v>
      </c>
      <c r="G3110">
        <v>22</v>
      </c>
      <c r="H3110">
        <v>0.86</v>
      </c>
      <c r="I3110">
        <v>1</v>
      </c>
      <c r="J3110">
        <v>11</v>
      </c>
      <c r="K3110">
        <v>19</v>
      </c>
      <c r="L3110">
        <v>42</v>
      </c>
      <c r="M3110">
        <v>59</v>
      </c>
      <c r="N3110">
        <v>65</v>
      </c>
      <c r="P3110">
        <v>0</v>
      </c>
      <c r="Q3110">
        <v>1</v>
      </c>
      <c r="R3110">
        <v>9</v>
      </c>
      <c r="S3110">
        <v>31</v>
      </c>
    </row>
    <row r="3111" spans="1:19" hidden="1" x14ac:dyDescent="0.35">
      <c r="A3111">
        <v>55144200300</v>
      </c>
      <c r="B3111" t="s">
        <v>3114</v>
      </c>
      <c r="C3111" t="str">
        <f>_xlfn.XLOOKUP(A3111,[1]Affiliations!$J$2:$J$5328,[1]Affiliations!$K$2:$K$5328,0)</f>
        <v>Federal University of Santa Catarina</v>
      </c>
      <c r="D3111">
        <v>14</v>
      </c>
      <c r="E3111">
        <v>95</v>
      </c>
      <c r="F3111">
        <v>6.7857139999999996</v>
      </c>
      <c r="G3111">
        <v>8</v>
      </c>
      <c r="H3111">
        <v>0.32</v>
      </c>
      <c r="I3111">
        <v>1</v>
      </c>
      <c r="J3111">
        <v>1</v>
      </c>
      <c r="K3111">
        <v>2</v>
      </c>
      <c r="L3111">
        <v>5</v>
      </c>
      <c r="M3111">
        <v>10</v>
      </c>
      <c r="N3111">
        <v>14</v>
      </c>
      <c r="P3111">
        <v>0</v>
      </c>
      <c r="Q3111">
        <v>0</v>
      </c>
      <c r="R3111">
        <v>0</v>
      </c>
      <c r="S3111">
        <v>1</v>
      </c>
    </row>
    <row r="3112" spans="1:19" x14ac:dyDescent="0.35">
      <c r="A3112">
        <v>55990700500</v>
      </c>
      <c r="B3112" t="s">
        <v>4518</v>
      </c>
      <c r="C3112" t="str">
        <f>_xlfn.XLOOKUP(A3112,[1]Affiliations!$J$2:$J$5328,[1]Affiliations!$K$2:$K$5328,0)</f>
        <v>Universidade Federal de Pernambuco</v>
      </c>
      <c r="D3112">
        <v>7</v>
      </c>
      <c r="E3112">
        <v>101</v>
      </c>
      <c r="F3112">
        <v>14.428572000000001</v>
      </c>
      <c r="G3112">
        <v>4</v>
      </c>
      <c r="H3112">
        <v>0.86</v>
      </c>
      <c r="I3112">
        <v>0</v>
      </c>
      <c r="J3112">
        <v>1</v>
      </c>
      <c r="K3112">
        <v>3</v>
      </c>
      <c r="L3112">
        <v>4</v>
      </c>
      <c r="M3112">
        <v>4</v>
      </c>
      <c r="N3112">
        <v>4</v>
      </c>
      <c r="P3112">
        <v>0</v>
      </c>
      <c r="Q3112">
        <v>0</v>
      </c>
      <c r="R3112">
        <v>1</v>
      </c>
      <c r="S3112">
        <v>2</v>
      </c>
    </row>
    <row r="3113" spans="1:19" x14ac:dyDescent="0.35">
      <c r="A3113">
        <v>16319849900</v>
      </c>
      <c r="B3113" t="s">
        <v>4613</v>
      </c>
      <c r="C3113" t="str">
        <f>_xlfn.XLOOKUP(A3113,[1]Affiliations!$J$2:$J$5328,[1]Affiliations!$K$2:$K$5328,0)</f>
        <v>Universidade Federal Fluminense</v>
      </c>
      <c r="D3113">
        <v>18</v>
      </c>
      <c r="E3113">
        <v>201</v>
      </c>
      <c r="F3113">
        <v>11.166667</v>
      </c>
      <c r="G3113">
        <v>21</v>
      </c>
      <c r="H3113">
        <v>0.86</v>
      </c>
      <c r="I3113">
        <v>1</v>
      </c>
      <c r="J3113">
        <v>5</v>
      </c>
      <c r="K3113">
        <v>5</v>
      </c>
      <c r="L3113">
        <v>6</v>
      </c>
      <c r="M3113">
        <v>10</v>
      </c>
      <c r="N3113">
        <v>12</v>
      </c>
      <c r="P3113">
        <v>0</v>
      </c>
      <c r="Q3113">
        <v>1</v>
      </c>
      <c r="R3113">
        <v>1</v>
      </c>
      <c r="S3113">
        <v>4</v>
      </c>
    </row>
    <row r="3114" spans="1:19" x14ac:dyDescent="0.35">
      <c r="A3114">
        <v>6508391972</v>
      </c>
      <c r="B3114" t="s">
        <v>4993</v>
      </c>
      <c r="C3114" t="str">
        <f>_xlfn.XLOOKUP(A3114,[1]Affiliations!$J$2:$J$5328,[1]Affiliations!$K$2:$K$5328,0)</f>
        <v>Universidade Federal do Rio Grande do Sul</v>
      </c>
      <c r="D3114">
        <v>34</v>
      </c>
      <c r="E3114">
        <v>525</v>
      </c>
      <c r="F3114">
        <v>15.441176</v>
      </c>
      <c r="G3114">
        <v>19</v>
      </c>
      <c r="H3114">
        <v>0.86</v>
      </c>
      <c r="I3114">
        <v>1</v>
      </c>
      <c r="J3114">
        <v>2</v>
      </c>
      <c r="K3114">
        <v>4</v>
      </c>
      <c r="L3114">
        <v>13</v>
      </c>
      <c r="M3114">
        <v>21</v>
      </c>
      <c r="N3114">
        <v>24</v>
      </c>
      <c r="P3114">
        <v>0</v>
      </c>
      <c r="Q3114">
        <v>0</v>
      </c>
      <c r="R3114">
        <v>2</v>
      </c>
      <c r="S3114">
        <v>10</v>
      </c>
    </row>
    <row r="3115" spans="1:19" hidden="1" x14ac:dyDescent="0.35">
      <c r="A3115">
        <v>57219297732</v>
      </c>
      <c r="B3115" t="s">
        <v>3118</v>
      </c>
      <c r="C3115" t="str">
        <f>_xlfn.XLOOKUP(A3115,[1]Affiliations!$J$2:$J$5328,[1]Affiliations!$K$2:$K$5328,0)</f>
        <v>DEMa</v>
      </c>
      <c r="D3115">
        <v>6</v>
      </c>
      <c r="E3115">
        <v>24</v>
      </c>
      <c r="F3115">
        <v>4</v>
      </c>
      <c r="G3115">
        <v>2</v>
      </c>
      <c r="H3115">
        <v>0.4</v>
      </c>
      <c r="I3115">
        <v>0</v>
      </c>
      <c r="J3115">
        <v>0</v>
      </c>
      <c r="K3115">
        <v>0</v>
      </c>
      <c r="L3115">
        <v>2</v>
      </c>
      <c r="M3115">
        <v>6</v>
      </c>
      <c r="N3115">
        <v>6</v>
      </c>
      <c r="P3115">
        <v>0</v>
      </c>
      <c r="Q3115">
        <v>0</v>
      </c>
      <c r="R3115">
        <v>0</v>
      </c>
      <c r="S3115">
        <v>0</v>
      </c>
    </row>
    <row r="3116" spans="1:19" x14ac:dyDescent="0.35">
      <c r="A3116">
        <v>56600736000</v>
      </c>
      <c r="B3116" t="s">
        <v>5089</v>
      </c>
      <c r="C3116" t="str">
        <f>_xlfn.XLOOKUP(A3116,[1]Affiliations!$J$2:$J$5328,[1]Affiliations!$K$2:$K$5328,0)</f>
        <v>University of Campinas</v>
      </c>
      <c r="D3116">
        <v>21</v>
      </c>
      <c r="E3116">
        <v>310</v>
      </c>
      <c r="F3116">
        <v>14.761905</v>
      </c>
      <c r="G3116">
        <v>11</v>
      </c>
      <c r="H3116">
        <v>0.86</v>
      </c>
      <c r="I3116">
        <v>1</v>
      </c>
      <c r="J3116">
        <v>5</v>
      </c>
      <c r="K3116">
        <v>7</v>
      </c>
      <c r="L3116">
        <v>15</v>
      </c>
      <c r="M3116">
        <v>17</v>
      </c>
      <c r="N3116">
        <v>18</v>
      </c>
      <c r="P3116">
        <v>0</v>
      </c>
      <c r="Q3116">
        <v>1</v>
      </c>
      <c r="R3116">
        <v>2</v>
      </c>
      <c r="S3116">
        <v>8</v>
      </c>
    </row>
    <row r="3117" spans="1:19" x14ac:dyDescent="0.35">
      <c r="A3117">
        <v>36008310900</v>
      </c>
      <c r="B3117" t="s">
        <v>42</v>
      </c>
      <c r="C3117" t="str">
        <f>_xlfn.XLOOKUP(A3117,[1]Affiliations!$J$2:$J$5328,[1]Affiliations!$K$2:$K$5328,0)</f>
        <v>Universidade Estadual Paulista “Júlio de Mesquita Filho” (+1 more)</v>
      </c>
      <c r="D3117">
        <v>28</v>
      </c>
      <c r="E3117">
        <v>353</v>
      </c>
      <c r="F3117">
        <v>12.607142</v>
      </c>
      <c r="G3117">
        <v>11</v>
      </c>
      <c r="H3117">
        <v>0.85</v>
      </c>
      <c r="I3117">
        <v>0</v>
      </c>
      <c r="J3117">
        <v>2</v>
      </c>
      <c r="K3117">
        <v>4</v>
      </c>
      <c r="L3117">
        <v>9</v>
      </c>
      <c r="M3117">
        <v>12</v>
      </c>
      <c r="N3117">
        <v>18</v>
      </c>
      <c r="P3117">
        <v>0</v>
      </c>
      <c r="Q3117">
        <v>1</v>
      </c>
      <c r="R3117">
        <v>2</v>
      </c>
      <c r="S3117">
        <v>4</v>
      </c>
    </row>
    <row r="3118" spans="1:19" x14ac:dyDescent="0.35">
      <c r="A3118">
        <v>12769728100</v>
      </c>
      <c r="B3118" t="s">
        <v>297</v>
      </c>
      <c r="C3118" t="str">
        <f>_xlfn.XLOOKUP(A3118,[1]Affiliations!$J$2:$J$5328,[1]Affiliations!$K$2:$K$5328,0)</f>
        <v>Federal University of Rio de Janeiro</v>
      </c>
      <c r="D3118">
        <v>29</v>
      </c>
      <c r="E3118">
        <v>572</v>
      </c>
      <c r="F3118">
        <v>19.724138</v>
      </c>
      <c r="G3118">
        <v>15</v>
      </c>
      <c r="H3118">
        <v>0.85</v>
      </c>
      <c r="I3118">
        <v>0</v>
      </c>
      <c r="J3118">
        <v>4</v>
      </c>
      <c r="K3118">
        <v>8</v>
      </c>
      <c r="L3118">
        <v>12</v>
      </c>
      <c r="M3118">
        <v>19</v>
      </c>
      <c r="N3118">
        <v>23</v>
      </c>
      <c r="P3118">
        <v>0</v>
      </c>
      <c r="Q3118">
        <v>2</v>
      </c>
      <c r="R3118">
        <v>3</v>
      </c>
      <c r="S3118">
        <v>9</v>
      </c>
    </row>
    <row r="3119" spans="1:19" x14ac:dyDescent="0.35">
      <c r="A3119">
        <v>7004573992</v>
      </c>
      <c r="B3119" t="s">
        <v>512</v>
      </c>
      <c r="C3119" t="str">
        <f>_xlfn.XLOOKUP(A3119,[1]Affiliations!$J$2:$J$5328,[1]Affiliations!$K$2:$K$5328,0)</f>
        <v>Universidade Federal de Sergipe</v>
      </c>
      <c r="D3119">
        <v>148</v>
      </c>
      <c r="E3119">
        <v>2408</v>
      </c>
      <c r="F3119">
        <v>16.27027</v>
      </c>
      <c r="G3119">
        <v>39</v>
      </c>
      <c r="H3119">
        <v>0.85</v>
      </c>
      <c r="I3119">
        <v>0</v>
      </c>
      <c r="J3119">
        <v>19</v>
      </c>
      <c r="K3119">
        <v>29</v>
      </c>
      <c r="L3119">
        <v>57</v>
      </c>
      <c r="M3119">
        <v>82</v>
      </c>
      <c r="N3119">
        <v>123</v>
      </c>
      <c r="P3119">
        <v>0</v>
      </c>
      <c r="Q3119">
        <v>1</v>
      </c>
      <c r="R3119">
        <v>11</v>
      </c>
      <c r="S3119">
        <v>41</v>
      </c>
    </row>
    <row r="3120" spans="1:19" hidden="1" x14ac:dyDescent="0.35">
      <c r="A3120">
        <v>8101035400</v>
      </c>
      <c r="B3120" t="s">
        <v>3123</v>
      </c>
      <c r="C3120" t="str">
        <f>_xlfn.XLOOKUP(A3120,[1]Affiliations!$J$2:$J$5328,[1]Affiliations!$K$2:$K$5328,0)</f>
        <v>Pontifícia Universidade Católica do Rio Grande do Sul</v>
      </c>
      <c r="D3120">
        <v>10</v>
      </c>
      <c r="E3120">
        <v>52</v>
      </c>
      <c r="F3120">
        <v>5.2</v>
      </c>
      <c r="G3120">
        <v>8</v>
      </c>
      <c r="H3120">
        <v>0.63</v>
      </c>
      <c r="I3120">
        <v>0</v>
      </c>
      <c r="J3120">
        <v>1</v>
      </c>
      <c r="K3120">
        <v>1</v>
      </c>
      <c r="L3120">
        <v>5</v>
      </c>
      <c r="M3120">
        <v>8</v>
      </c>
      <c r="N3120">
        <v>8</v>
      </c>
      <c r="P3120">
        <v>0</v>
      </c>
      <c r="Q3120">
        <v>0</v>
      </c>
      <c r="R3120">
        <v>0</v>
      </c>
      <c r="S3120">
        <v>1</v>
      </c>
    </row>
    <row r="3121" spans="1:19" hidden="1" x14ac:dyDescent="0.35">
      <c r="A3121">
        <v>57214189508</v>
      </c>
      <c r="B3121" t="s">
        <v>3124</v>
      </c>
      <c r="C3121" t="str">
        <f>_xlfn.XLOOKUP(A3121,[1]Affiliations!$J$2:$J$5328,[1]Affiliations!$K$2:$K$5328,0)</f>
        <v>Universidade de São Paulo</v>
      </c>
      <c r="D3121">
        <v>6</v>
      </c>
      <c r="E3121">
        <v>50</v>
      </c>
      <c r="F3121">
        <v>8.3333329999999997</v>
      </c>
      <c r="G3121">
        <v>3</v>
      </c>
      <c r="H3121">
        <v>0.52</v>
      </c>
      <c r="I3121">
        <v>0</v>
      </c>
      <c r="J3121">
        <v>1</v>
      </c>
      <c r="K3121">
        <v>1</v>
      </c>
      <c r="L3121">
        <v>1</v>
      </c>
      <c r="M3121">
        <v>3</v>
      </c>
      <c r="N3121">
        <v>4</v>
      </c>
      <c r="P3121">
        <v>0</v>
      </c>
      <c r="Q3121">
        <v>0</v>
      </c>
      <c r="R3121">
        <v>0</v>
      </c>
      <c r="S3121">
        <v>2</v>
      </c>
    </row>
    <row r="3122" spans="1:19" hidden="1" x14ac:dyDescent="0.35">
      <c r="A3122">
        <v>57204187264</v>
      </c>
      <c r="B3122" t="s">
        <v>3125</v>
      </c>
      <c r="C3122" t="str">
        <f>_xlfn.XLOOKUP(A3122,[1]Affiliations!$J$2:$J$5328,[1]Affiliations!$K$2:$K$5328,0)</f>
        <v>Federal University of Rio de Janeiro</v>
      </c>
      <c r="D3122">
        <v>4</v>
      </c>
      <c r="E3122">
        <v>18</v>
      </c>
      <c r="F3122">
        <v>4.5</v>
      </c>
      <c r="G3122">
        <v>3</v>
      </c>
      <c r="H3122">
        <v>0.3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3</v>
      </c>
      <c r="P3122">
        <v>0</v>
      </c>
      <c r="Q3122">
        <v>0</v>
      </c>
      <c r="R3122">
        <v>0</v>
      </c>
      <c r="S3122">
        <v>0</v>
      </c>
    </row>
    <row r="3123" spans="1:19" hidden="1" x14ac:dyDescent="0.35">
      <c r="A3123">
        <v>26665639600</v>
      </c>
      <c r="B3123" t="s">
        <v>3126</v>
      </c>
      <c r="C3123" t="str">
        <f>_xlfn.XLOOKUP(A3123,[1]Affiliations!$J$2:$J$5328,[1]Affiliations!$K$2:$K$5328,0)</f>
        <v>University of Campinas</v>
      </c>
      <c r="D3123">
        <v>2</v>
      </c>
      <c r="E3123">
        <v>45</v>
      </c>
      <c r="F3123">
        <v>22.5</v>
      </c>
      <c r="G3123">
        <v>6</v>
      </c>
      <c r="H3123">
        <v>0.82</v>
      </c>
      <c r="I3123">
        <v>0</v>
      </c>
      <c r="J3123">
        <v>1</v>
      </c>
      <c r="K3123">
        <v>2</v>
      </c>
      <c r="L3123">
        <v>2</v>
      </c>
      <c r="M3123">
        <v>2</v>
      </c>
      <c r="N3123">
        <v>2</v>
      </c>
      <c r="P3123">
        <v>0</v>
      </c>
      <c r="Q3123">
        <v>0</v>
      </c>
      <c r="R3123">
        <v>0</v>
      </c>
      <c r="S3123">
        <v>1</v>
      </c>
    </row>
    <row r="3124" spans="1:19" hidden="1" x14ac:dyDescent="0.35">
      <c r="A3124">
        <v>57243147100</v>
      </c>
      <c r="B3124" t="s">
        <v>3127</v>
      </c>
      <c r="C3124" t="str">
        <f>_xlfn.XLOOKUP(A3124,[1]Affiliations!$J$2:$J$5328,[1]Affiliations!$K$2:$K$5328,0)</f>
        <v>Universidade Federal de Viçosa</v>
      </c>
      <c r="D3124">
        <v>1</v>
      </c>
      <c r="E3124">
        <v>6</v>
      </c>
      <c r="F3124">
        <v>6</v>
      </c>
      <c r="G3124">
        <v>1</v>
      </c>
      <c r="H3124">
        <v>0.23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1</v>
      </c>
      <c r="P3124">
        <v>0</v>
      </c>
      <c r="Q3124">
        <v>0</v>
      </c>
      <c r="R3124">
        <v>0</v>
      </c>
      <c r="S3124">
        <v>0</v>
      </c>
    </row>
    <row r="3125" spans="1:19" hidden="1" x14ac:dyDescent="0.35">
      <c r="A3125">
        <v>57212448575</v>
      </c>
      <c r="B3125" t="s">
        <v>3128</v>
      </c>
      <c r="C3125" t="str">
        <f>_xlfn.XLOOKUP(A3125,[1]Affiliations!$J$2:$J$5328,[1]Affiliations!$K$2:$K$5328,0)</f>
        <v>Federal University of Santa Catarina</v>
      </c>
      <c r="D3125">
        <v>6</v>
      </c>
      <c r="E3125">
        <v>22</v>
      </c>
      <c r="F3125">
        <v>3.6666666999999999</v>
      </c>
      <c r="G3125">
        <v>3</v>
      </c>
      <c r="H3125">
        <v>0.67</v>
      </c>
      <c r="I3125">
        <v>0</v>
      </c>
      <c r="J3125">
        <v>0</v>
      </c>
      <c r="K3125">
        <v>0</v>
      </c>
      <c r="L3125">
        <v>1</v>
      </c>
      <c r="M3125">
        <v>4</v>
      </c>
      <c r="N3125">
        <v>5</v>
      </c>
      <c r="P3125">
        <v>0</v>
      </c>
      <c r="Q3125">
        <v>0</v>
      </c>
      <c r="R3125">
        <v>0</v>
      </c>
      <c r="S3125">
        <v>0</v>
      </c>
    </row>
    <row r="3126" spans="1:19" hidden="1" x14ac:dyDescent="0.35">
      <c r="A3126">
        <v>57191258571</v>
      </c>
      <c r="B3126" t="s">
        <v>3129</v>
      </c>
      <c r="C3126" t="str">
        <f>_xlfn.XLOOKUP(A3126,[1]Affiliations!$J$2:$J$5328,[1]Affiliations!$K$2:$K$5328,0)</f>
        <v>Universidade Federal Fluminense</v>
      </c>
      <c r="D3126">
        <v>4</v>
      </c>
      <c r="E3126">
        <v>15</v>
      </c>
      <c r="F3126">
        <v>3.75</v>
      </c>
      <c r="G3126">
        <v>3</v>
      </c>
      <c r="H3126">
        <v>0.64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4</v>
      </c>
      <c r="P3126">
        <v>0</v>
      </c>
      <c r="Q3126">
        <v>0</v>
      </c>
      <c r="R3126">
        <v>0</v>
      </c>
      <c r="S3126">
        <v>0</v>
      </c>
    </row>
    <row r="3127" spans="1:19" hidden="1" x14ac:dyDescent="0.35">
      <c r="A3127">
        <v>36925650700</v>
      </c>
      <c r="B3127" t="s">
        <v>3130</v>
      </c>
      <c r="C3127" t="str">
        <f>_xlfn.XLOOKUP(A3127,[1]Affiliations!$J$2:$J$5328,[1]Affiliations!$K$2:$K$5328,0)</f>
        <v>Pontifical Catholic University of Rio de Janeiro</v>
      </c>
      <c r="D3127">
        <v>8</v>
      </c>
      <c r="E3127">
        <v>0</v>
      </c>
      <c r="F3127">
        <v>0</v>
      </c>
      <c r="G3127">
        <v>1</v>
      </c>
      <c r="H3127">
        <v>0</v>
      </c>
      <c r="P3127">
        <v>0</v>
      </c>
      <c r="Q3127">
        <v>0</v>
      </c>
      <c r="R3127">
        <v>0</v>
      </c>
      <c r="S3127">
        <v>0</v>
      </c>
    </row>
    <row r="3128" spans="1:19" x14ac:dyDescent="0.35">
      <c r="A3128">
        <v>26321361200</v>
      </c>
      <c r="B3128" t="s">
        <v>726</v>
      </c>
      <c r="C3128" t="str">
        <f>_xlfn.XLOOKUP(A3128,[1]Affiliations!$J$2:$J$5328,[1]Affiliations!$K$2:$K$5328,0)</f>
        <v>Federal University of Santa Catarina</v>
      </c>
      <c r="D3128">
        <v>11</v>
      </c>
      <c r="E3128">
        <v>205</v>
      </c>
      <c r="F3128">
        <v>18.636364</v>
      </c>
      <c r="G3128">
        <v>10</v>
      </c>
      <c r="H3128">
        <v>0.85</v>
      </c>
      <c r="I3128">
        <v>0</v>
      </c>
      <c r="J3128">
        <v>3</v>
      </c>
      <c r="K3128">
        <v>6</v>
      </c>
      <c r="L3128">
        <v>7</v>
      </c>
      <c r="M3128">
        <v>10</v>
      </c>
      <c r="N3128">
        <v>10</v>
      </c>
      <c r="P3128">
        <v>0</v>
      </c>
      <c r="Q3128">
        <v>1</v>
      </c>
      <c r="R3128">
        <v>1</v>
      </c>
      <c r="S3128">
        <v>4</v>
      </c>
    </row>
    <row r="3129" spans="1:19" hidden="1" x14ac:dyDescent="0.35">
      <c r="A3129">
        <v>56095170300</v>
      </c>
      <c r="B3129" t="s">
        <v>3132</v>
      </c>
      <c r="C3129" t="str">
        <f>_xlfn.XLOOKUP(A3129,[1]Affiliations!$J$2:$J$5328,[1]Affiliations!$K$2:$K$5328,0)</f>
        <v>Federal University of Rio de Janeiro</v>
      </c>
      <c r="D3129">
        <v>2</v>
      </c>
      <c r="E3129">
        <v>13</v>
      </c>
      <c r="F3129">
        <v>6.5</v>
      </c>
      <c r="G3129">
        <v>3</v>
      </c>
      <c r="H3129">
        <v>1.28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2</v>
      </c>
      <c r="P3129">
        <v>0</v>
      </c>
      <c r="Q3129">
        <v>0</v>
      </c>
      <c r="R3129">
        <v>0</v>
      </c>
      <c r="S3129">
        <v>0</v>
      </c>
    </row>
    <row r="3130" spans="1:19" hidden="1" x14ac:dyDescent="0.35">
      <c r="A3130">
        <v>57212107021</v>
      </c>
      <c r="B3130" t="s">
        <v>3133</v>
      </c>
      <c r="C3130" t="str">
        <f>_xlfn.XLOOKUP(A3130,[1]Affiliations!$J$2:$J$5328,[1]Affiliations!$K$2:$K$5328,0)</f>
        <v>University of Campinas</v>
      </c>
      <c r="D3130">
        <v>1</v>
      </c>
      <c r="E3130">
        <v>7</v>
      </c>
      <c r="F3130">
        <v>7</v>
      </c>
      <c r="G3130">
        <v>1</v>
      </c>
      <c r="H3130">
        <v>3.14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</v>
      </c>
      <c r="P3130">
        <v>0</v>
      </c>
      <c r="Q3130">
        <v>0</v>
      </c>
      <c r="R3130">
        <v>0</v>
      </c>
      <c r="S3130">
        <v>0</v>
      </c>
    </row>
    <row r="3131" spans="1:19" hidden="1" x14ac:dyDescent="0.35">
      <c r="A3131">
        <v>57203408354</v>
      </c>
      <c r="B3131" t="s">
        <v>3134</v>
      </c>
      <c r="C3131" t="str">
        <f>_xlfn.XLOOKUP(A3131,[1]Affiliations!$J$2:$J$5328,[1]Affiliations!$K$2:$K$5328,0)</f>
        <v>Universidade de la República</v>
      </c>
      <c r="D3131">
        <v>1</v>
      </c>
      <c r="E3131">
        <v>4</v>
      </c>
      <c r="F3131">
        <v>4</v>
      </c>
      <c r="G3131">
        <v>1</v>
      </c>
      <c r="H3131">
        <v>2.0299999999999998</v>
      </c>
      <c r="P3131">
        <v>0</v>
      </c>
      <c r="Q3131">
        <v>0</v>
      </c>
      <c r="R3131">
        <v>0</v>
      </c>
      <c r="S3131">
        <v>0</v>
      </c>
    </row>
    <row r="3132" spans="1:19" x14ac:dyDescent="0.35">
      <c r="A3132">
        <v>15757180700</v>
      </c>
      <c r="B3132" t="s">
        <v>1434</v>
      </c>
      <c r="C3132" t="str">
        <f>_xlfn.XLOOKUP(A3132,[1]Affiliations!$J$2:$J$5328,[1]Affiliations!$K$2:$K$5328,0)</f>
        <v>Empresa Brasileira de Pesquisa Agropecuária</v>
      </c>
      <c r="D3132">
        <v>20</v>
      </c>
      <c r="E3132">
        <v>242</v>
      </c>
      <c r="F3132">
        <v>12.1</v>
      </c>
      <c r="G3132">
        <v>10</v>
      </c>
      <c r="H3132">
        <v>0.85</v>
      </c>
      <c r="I3132">
        <v>0</v>
      </c>
      <c r="J3132">
        <v>3</v>
      </c>
      <c r="K3132">
        <v>6</v>
      </c>
      <c r="L3132">
        <v>11</v>
      </c>
      <c r="M3132">
        <v>14</v>
      </c>
      <c r="N3132">
        <v>19</v>
      </c>
      <c r="P3132">
        <v>0</v>
      </c>
      <c r="Q3132">
        <v>1</v>
      </c>
      <c r="R3132">
        <v>1</v>
      </c>
      <c r="S3132">
        <v>4</v>
      </c>
    </row>
    <row r="3133" spans="1:19" hidden="1" x14ac:dyDescent="0.35">
      <c r="A3133">
        <v>60053152900</v>
      </c>
      <c r="B3133" t="s">
        <v>3136</v>
      </c>
      <c r="C3133" t="str">
        <f>_xlfn.XLOOKUP(A3133,[1]Affiliations!$J$2:$J$5328,[1]Affiliations!$K$2:$K$5328,0)</f>
        <v>Universidade de São Paulo</v>
      </c>
      <c r="D3133">
        <v>0</v>
      </c>
      <c r="G3133">
        <v>0</v>
      </c>
    </row>
    <row r="3134" spans="1:19" hidden="1" x14ac:dyDescent="0.35">
      <c r="A3134">
        <v>57680046900</v>
      </c>
      <c r="B3134" t="s">
        <v>3137</v>
      </c>
      <c r="C3134" t="str">
        <f>_xlfn.XLOOKUP(A3134,[1]Affiliations!$J$2:$J$5328,[1]Affiliations!$K$2:$K$5328,0)</f>
        <v>Vizlab - X-Reality and GeoInformatics Lab</v>
      </c>
      <c r="D3134">
        <v>1</v>
      </c>
      <c r="E3134">
        <v>3</v>
      </c>
      <c r="F3134">
        <v>3</v>
      </c>
      <c r="G3134">
        <v>1</v>
      </c>
      <c r="H3134">
        <v>0.76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1</v>
      </c>
      <c r="P3134">
        <v>0</v>
      </c>
      <c r="Q3134">
        <v>0</v>
      </c>
      <c r="R3134">
        <v>0</v>
      </c>
      <c r="S3134">
        <v>0</v>
      </c>
    </row>
    <row r="3135" spans="1:19" hidden="1" x14ac:dyDescent="0.35">
      <c r="A3135">
        <v>55602097300</v>
      </c>
      <c r="B3135" t="s">
        <v>3138</v>
      </c>
      <c r="C3135" t="str">
        <f>_xlfn.XLOOKUP(A3135,[1]Affiliations!$J$2:$J$5328,[1]Affiliations!$K$2:$K$5328,0)</f>
        <v>Federal University of Rio de Janeiro</v>
      </c>
      <c r="D3135">
        <v>3</v>
      </c>
      <c r="E3135">
        <v>17</v>
      </c>
      <c r="F3135">
        <v>5.6666664999999998</v>
      </c>
      <c r="G3135">
        <v>4</v>
      </c>
      <c r="H3135">
        <v>0.44</v>
      </c>
      <c r="I3135">
        <v>0</v>
      </c>
      <c r="J3135">
        <v>0</v>
      </c>
      <c r="K3135">
        <v>0</v>
      </c>
      <c r="L3135">
        <v>2</v>
      </c>
      <c r="M3135">
        <v>3</v>
      </c>
      <c r="N3135">
        <v>3</v>
      </c>
      <c r="P3135">
        <v>0</v>
      </c>
      <c r="Q3135">
        <v>0</v>
      </c>
      <c r="R3135">
        <v>0</v>
      </c>
      <c r="S3135">
        <v>1</v>
      </c>
    </row>
    <row r="3136" spans="1:19" hidden="1" x14ac:dyDescent="0.35">
      <c r="A3136">
        <v>36193056800</v>
      </c>
      <c r="B3136" t="s">
        <v>3139</v>
      </c>
      <c r="C3136" t="str">
        <f>_xlfn.XLOOKUP(A3136,[1]Affiliations!$J$2:$J$5328,[1]Affiliations!$K$2:$K$5328,0)</f>
        <v>Universidade Federal de Goiás</v>
      </c>
      <c r="D3136">
        <v>10</v>
      </c>
      <c r="E3136">
        <v>64</v>
      </c>
      <c r="F3136">
        <v>6.4</v>
      </c>
      <c r="G3136">
        <v>7</v>
      </c>
      <c r="H3136">
        <v>0.54</v>
      </c>
      <c r="I3136">
        <v>0</v>
      </c>
      <c r="J3136">
        <v>1</v>
      </c>
      <c r="K3136">
        <v>2</v>
      </c>
      <c r="L3136">
        <v>5</v>
      </c>
      <c r="M3136">
        <v>7</v>
      </c>
      <c r="N3136">
        <v>9</v>
      </c>
      <c r="P3136">
        <v>0</v>
      </c>
      <c r="Q3136">
        <v>0</v>
      </c>
      <c r="R3136">
        <v>0</v>
      </c>
      <c r="S3136">
        <v>1</v>
      </c>
    </row>
    <row r="3137" spans="1:19" x14ac:dyDescent="0.35">
      <c r="A3137">
        <v>55919799600</v>
      </c>
      <c r="B3137" t="s">
        <v>1443</v>
      </c>
      <c r="C3137" t="str">
        <f>_xlfn.XLOOKUP(A3137,[1]Affiliations!$J$2:$J$5328,[1]Affiliations!$K$2:$K$5328,0)</f>
        <v>Universidade de São Paulo</v>
      </c>
      <c r="D3137">
        <v>40</v>
      </c>
      <c r="E3137">
        <v>499</v>
      </c>
      <c r="F3137">
        <v>12.475</v>
      </c>
      <c r="G3137">
        <v>15</v>
      </c>
      <c r="H3137">
        <v>0.85</v>
      </c>
      <c r="I3137">
        <v>0</v>
      </c>
      <c r="J3137">
        <v>2</v>
      </c>
      <c r="K3137">
        <v>5</v>
      </c>
      <c r="L3137">
        <v>22</v>
      </c>
      <c r="M3137">
        <v>31</v>
      </c>
      <c r="N3137">
        <v>34</v>
      </c>
      <c r="P3137">
        <v>0</v>
      </c>
      <c r="Q3137">
        <v>2</v>
      </c>
      <c r="R3137">
        <v>6</v>
      </c>
      <c r="S3137">
        <v>10</v>
      </c>
    </row>
    <row r="3138" spans="1:19" x14ac:dyDescent="0.35">
      <c r="A3138">
        <v>26649399200</v>
      </c>
      <c r="B3138" t="s">
        <v>1585</v>
      </c>
      <c r="C3138" t="str">
        <f>_xlfn.XLOOKUP(A3138,[1]Affiliations!$J$2:$J$5328,[1]Affiliations!$K$2:$K$5328,0)</f>
        <v>Institute of Marine Studies Admiral Paulo Moreira (IEAPM)</v>
      </c>
      <c r="D3138">
        <v>6</v>
      </c>
      <c r="E3138">
        <v>87</v>
      </c>
      <c r="F3138">
        <v>14.5</v>
      </c>
      <c r="G3138">
        <v>6</v>
      </c>
      <c r="H3138">
        <v>0.85</v>
      </c>
      <c r="I3138">
        <v>0</v>
      </c>
      <c r="J3138">
        <v>0</v>
      </c>
      <c r="K3138">
        <v>1</v>
      </c>
      <c r="L3138">
        <v>3</v>
      </c>
      <c r="M3138">
        <v>5</v>
      </c>
      <c r="N3138">
        <v>6</v>
      </c>
      <c r="P3138">
        <v>0</v>
      </c>
      <c r="Q3138">
        <v>0</v>
      </c>
      <c r="R3138">
        <v>1</v>
      </c>
      <c r="S3138">
        <v>4</v>
      </c>
    </row>
    <row r="3139" spans="1:19" hidden="1" x14ac:dyDescent="0.35">
      <c r="A3139">
        <v>57213172268</v>
      </c>
      <c r="B3139" t="s">
        <v>3142</v>
      </c>
      <c r="C3139" t="str">
        <f>_xlfn.XLOOKUP(A3139,[1]Affiliations!$J$2:$J$5328,[1]Affiliations!$K$2:$K$5328,0)</f>
        <v>Federal University of Rio de Janeiro</v>
      </c>
      <c r="D3139">
        <v>12</v>
      </c>
      <c r="E3139">
        <v>185</v>
      </c>
      <c r="F3139">
        <v>15.416667</v>
      </c>
      <c r="G3139">
        <v>9</v>
      </c>
      <c r="H3139">
        <v>1.1000000000000001</v>
      </c>
      <c r="I3139">
        <v>2</v>
      </c>
      <c r="J3139">
        <v>4</v>
      </c>
      <c r="K3139">
        <v>5</v>
      </c>
      <c r="L3139">
        <v>7</v>
      </c>
      <c r="M3139">
        <v>12</v>
      </c>
      <c r="N3139">
        <v>12</v>
      </c>
      <c r="P3139">
        <v>0</v>
      </c>
      <c r="Q3139">
        <v>0</v>
      </c>
      <c r="R3139">
        <v>0</v>
      </c>
      <c r="S3139">
        <v>6</v>
      </c>
    </row>
    <row r="3140" spans="1:19" hidden="1" x14ac:dyDescent="0.35">
      <c r="A3140">
        <v>57194796543</v>
      </c>
      <c r="B3140" t="s">
        <v>3143</v>
      </c>
      <c r="C3140" t="str">
        <f>_xlfn.XLOOKUP(A3140,[1]Affiliations!$J$2:$J$5328,[1]Affiliations!$K$2:$K$5328,0)</f>
        <v>Marinha do Brasil</v>
      </c>
      <c r="D3140">
        <v>3</v>
      </c>
      <c r="E3140">
        <v>12</v>
      </c>
      <c r="F3140">
        <v>4</v>
      </c>
      <c r="G3140">
        <v>1</v>
      </c>
      <c r="H3140">
        <v>0.28000000000000003</v>
      </c>
      <c r="I3140">
        <v>0</v>
      </c>
      <c r="J3140">
        <v>0</v>
      </c>
      <c r="K3140">
        <v>1</v>
      </c>
      <c r="L3140">
        <v>1</v>
      </c>
      <c r="M3140">
        <v>1</v>
      </c>
      <c r="N3140">
        <v>2</v>
      </c>
      <c r="P3140">
        <v>0</v>
      </c>
      <c r="Q3140">
        <v>0</v>
      </c>
      <c r="R3140">
        <v>0</v>
      </c>
      <c r="S3140">
        <v>0</v>
      </c>
    </row>
    <row r="3141" spans="1:19" x14ac:dyDescent="0.35">
      <c r="A3141">
        <v>7004349366</v>
      </c>
      <c r="B3141" t="s">
        <v>2409</v>
      </c>
      <c r="C3141" t="str">
        <f>_xlfn.XLOOKUP(A3141,[1]Affiliations!$J$2:$J$5328,[1]Affiliations!$K$2:$K$5328,0)</f>
        <v>Universidade de São Paulo</v>
      </c>
      <c r="D3141">
        <v>51</v>
      </c>
      <c r="E3141">
        <v>837</v>
      </c>
      <c r="F3141">
        <v>16.411764000000002</v>
      </c>
      <c r="G3141">
        <v>29</v>
      </c>
      <c r="H3141">
        <v>0.85</v>
      </c>
      <c r="I3141">
        <v>7</v>
      </c>
      <c r="J3141">
        <v>15</v>
      </c>
      <c r="K3141">
        <v>26</v>
      </c>
      <c r="L3141">
        <v>37</v>
      </c>
      <c r="M3141">
        <v>45</v>
      </c>
      <c r="N3141">
        <v>49</v>
      </c>
      <c r="P3141">
        <v>0</v>
      </c>
      <c r="Q3141">
        <v>1</v>
      </c>
      <c r="R3141">
        <v>2</v>
      </c>
      <c r="S3141">
        <v>20</v>
      </c>
    </row>
    <row r="3142" spans="1:19" hidden="1" x14ac:dyDescent="0.35">
      <c r="A3142">
        <v>57210973270</v>
      </c>
      <c r="B3142" t="s">
        <v>3145</v>
      </c>
      <c r="C3142" t="str">
        <f>_xlfn.XLOOKUP(A3142,[1]Affiliations!$J$2:$J$5328,[1]Affiliations!$K$2:$K$5328,0)</f>
        <v>Federal University of Rio de Janeiro</v>
      </c>
      <c r="D3142">
        <v>1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P3142">
        <v>0</v>
      </c>
      <c r="Q3142">
        <v>0</v>
      </c>
      <c r="R3142">
        <v>0</v>
      </c>
      <c r="S3142">
        <v>0</v>
      </c>
    </row>
    <row r="3143" spans="1:19" x14ac:dyDescent="0.35">
      <c r="A3143">
        <v>57209422298</v>
      </c>
      <c r="B3143" t="s">
        <v>2576</v>
      </c>
      <c r="C3143" t="str">
        <f>_xlfn.XLOOKUP(A3143,[1]Affiliations!$J$2:$J$5328,[1]Affiliations!$K$2:$K$5328,0)</f>
        <v>Pontifícia Universidade Católica do Rio Grande do Sul</v>
      </c>
      <c r="D3143">
        <v>12</v>
      </c>
      <c r="E3143">
        <v>267</v>
      </c>
      <c r="F3143">
        <v>22.25</v>
      </c>
      <c r="G3143">
        <v>11</v>
      </c>
      <c r="H3143">
        <v>0.85</v>
      </c>
      <c r="I3143">
        <v>0</v>
      </c>
      <c r="J3143">
        <v>1</v>
      </c>
      <c r="K3143">
        <v>1</v>
      </c>
      <c r="L3143">
        <v>4</v>
      </c>
      <c r="M3143">
        <v>11</v>
      </c>
      <c r="N3143">
        <v>12</v>
      </c>
      <c r="P3143">
        <v>0</v>
      </c>
      <c r="Q3143">
        <v>0</v>
      </c>
      <c r="R3143">
        <v>1</v>
      </c>
      <c r="S3143">
        <v>5</v>
      </c>
    </row>
    <row r="3144" spans="1:19" hidden="1" x14ac:dyDescent="0.35">
      <c r="A3144">
        <v>56112547000</v>
      </c>
      <c r="B3144" t="s">
        <v>3147</v>
      </c>
      <c r="C3144" t="str">
        <f>_xlfn.XLOOKUP(A3144,[1]Affiliations!$J$2:$J$5328,[1]Affiliations!$K$2:$K$5328,0)</f>
        <v>Geological Survey of Brazil</v>
      </c>
      <c r="D3144">
        <v>8</v>
      </c>
      <c r="E3144">
        <v>45</v>
      </c>
      <c r="F3144">
        <v>5.625</v>
      </c>
      <c r="G3144">
        <v>4</v>
      </c>
      <c r="H3144">
        <v>0.63</v>
      </c>
      <c r="I3144">
        <v>0</v>
      </c>
      <c r="J3144">
        <v>0</v>
      </c>
      <c r="K3144">
        <v>0</v>
      </c>
      <c r="L3144">
        <v>3</v>
      </c>
      <c r="M3144">
        <v>5</v>
      </c>
      <c r="N3144">
        <v>6</v>
      </c>
      <c r="P3144">
        <v>0</v>
      </c>
      <c r="Q3144">
        <v>0</v>
      </c>
      <c r="R3144">
        <v>0</v>
      </c>
      <c r="S3144">
        <v>1</v>
      </c>
    </row>
    <row r="3145" spans="1:19" x14ac:dyDescent="0.35">
      <c r="A3145">
        <v>57436509500</v>
      </c>
      <c r="B3145" t="s">
        <v>3305</v>
      </c>
      <c r="C3145" t="str">
        <f>_xlfn.XLOOKUP(A3145,[1]Affiliations!$J$2:$J$5328,[1]Affiliations!$K$2:$K$5328,0)</f>
        <v>Federal University of Rio de Janeiro</v>
      </c>
      <c r="D3145">
        <v>6</v>
      </c>
      <c r="E3145">
        <v>106</v>
      </c>
      <c r="F3145">
        <v>17.666665999999999</v>
      </c>
      <c r="G3145">
        <v>5</v>
      </c>
      <c r="H3145">
        <v>0.85</v>
      </c>
      <c r="I3145">
        <v>0</v>
      </c>
      <c r="J3145">
        <v>0</v>
      </c>
      <c r="K3145">
        <v>1</v>
      </c>
      <c r="L3145">
        <v>3</v>
      </c>
      <c r="M3145">
        <v>4</v>
      </c>
      <c r="N3145">
        <v>6</v>
      </c>
      <c r="P3145">
        <v>0</v>
      </c>
      <c r="Q3145">
        <v>1</v>
      </c>
      <c r="R3145">
        <v>2</v>
      </c>
      <c r="S3145">
        <v>3</v>
      </c>
    </row>
    <row r="3146" spans="1:19" hidden="1" x14ac:dyDescent="0.35">
      <c r="A3146">
        <v>57188977754</v>
      </c>
      <c r="B3146" t="s">
        <v>3149</v>
      </c>
      <c r="C3146" t="str">
        <f>_xlfn.XLOOKUP(A3146,[1]Affiliations!$J$2:$J$5328,[1]Affiliations!$K$2:$K$5328,0)</f>
        <v>Petróleo Brasileiro S.A. (+1 more)</v>
      </c>
      <c r="D3146">
        <v>9</v>
      </c>
      <c r="E3146">
        <v>78</v>
      </c>
      <c r="F3146">
        <v>8.6666670000000003</v>
      </c>
      <c r="G3146">
        <v>6</v>
      </c>
      <c r="H3146">
        <v>0.36</v>
      </c>
      <c r="I3146">
        <v>0</v>
      </c>
      <c r="J3146">
        <v>0</v>
      </c>
      <c r="K3146">
        <v>1</v>
      </c>
      <c r="L3146">
        <v>4</v>
      </c>
      <c r="M3146">
        <v>5</v>
      </c>
      <c r="N3146">
        <v>6</v>
      </c>
      <c r="P3146">
        <v>0</v>
      </c>
      <c r="Q3146">
        <v>0</v>
      </c>
      <c r="R3146">
        <v>0</v>
      </c>
      <c r="S3146">
        <v>1</v>
      </c>
    </row>
    <row r="3147" spans="1:19" x14ac:dyDescent="0.35">
      <c r="A3147">
        <v>55385725000</v>
      </c>
      <c r="B3147" t="s">
        <v>3320</v>
      </c>
      <c r="C3147" t="str">
        <f>_xlfn.XLOOKUP(A3147,[1]Affiliations!$J$2:$J$5328,[1]Affiliations!$K$2:$K$5328,0)</f>
        <v>Universidade Federal do Rio Grande do Sul</v>
      </c>
      <c r="D3147">
        <v>45</v>
      </c>
      <c r="E3147">
        <v>845</v>
      </c>
      <c r="F3147">
        <v>18.777778999999999</v>
      </c>
      <c r="G3147">
        <v>19</v>
      </c>
      <c r="H3147">
        <v>0.85</v>
      </c>
      <c r="I3147">
        <v>2</v>
      </c>
      <c r="J3147">
        <v>20</v>
      </c>
      <c r="K3147">
        <v>25</v>
      </c>
      <c r="L3147">
        <v>33</v>
      </c>
      <c r="M3147">
        <v>43</v>
      </c>
      <c r="N3147">
        <v>43</v>
      </c>
      <c r="P3147">
        <v>1</v>
      </c>
      <c r="Q3147">
        <v>5</v>
      </c>
      <c r="R3147">
        <v>7</v>
      </c>
      <c r="S3147">
        <v>23</v>
      </c>
    </row>
    <row r="3148" spans="1:19" hidden="1" x14ac:dyDescent="0.35">
      <c r="A3148">
        <v>57223913168</v>
      </c>
      <c r="B3148" t="s">
        <v>3151</v>
      </c>
      <c r="C3148" t="str">
        <f>_xlfn.XLOOKUP(A3148,[1]Affiliations!$J$2:$J$5328,[1]Affiliations!$K$2:$K$5328,0)</f>
        <v>Federal University of Rio de Janeiro</v>
      </c>
      <c r="D3148">
        <v>5</v>
      </c>
      <c r="E3148">
        <v>9</v>
      </c>
      <c r="F3148">
        <v>1.8</v>
      </c>
      <c r="G3148">
        <v>2</v>
      </c>
      <c r="H3148">
        <v>0.28999999999999998</v>
      </c>
      <c r="I3148">
        <v>0</v>
      </c>
      <c r="J3148">
        <v>0</v>
      </c>
      <c r="K3148">
        <v>0</v>
      </c>
      <c r="L3148">
        <v>0</v>
      </c>
      <c r="M3148">
        <v>2</v>
      </c>
      <c r="N3148">
        <v>3</v>
      </c>
      <c r="P3148">
        <v>0</v>
      </c>
      <c r="Q3148">
        <v>0</v>
      </c>
      <c r="R3148">
        <v>0</v>
      </c>
      <c r="S3148">
        <v>0</v>
      </c>
    </row>
    <row r="3149" spans="1:19" x14ac:dyDescent="0.35">
      <c r="A3149">
        <v>36998782400</v>
      </c>
      <c r="B3149" t="s">
        <v>3329</v>
      </c>
      <c r="C3149" t="str">
        <f>_xlfn.XLOOKUP(A3149,[1]Affiliations!$J$2:$J$5328,[1]Affiliations!$K$2:$K$5328,0)</f>
        <v>Pontifical Catholic University of Rio de Janeiro</v>
      </c>
      <c r="D3149">
        <v>23</v>
      </c>
      <c r="E3149">
        <v>168</v>
      </c>
      <c r="F3149">
        <v>7.3043480000000001</v>
      </c>
      <c r="G3149">
        <v>8</v>
      </c>
      <c r="H3149">
        <v>0.85</v>
      </c>
      <c r="I3149">
        <v>0</v>
      </c>
      <c r="J3149">
        <v>1</v>
      </c>
      <c r="K3149">
        <v>1</v>
      </c>
      <c r="L3149">
        <v>6</v>
      </c>
      <c r="M3149">
        <v>10</v>
      </c>
      <c r="N3149">
        <v>13</v>
      </c>
      <c r="P3149">
        <v>0</v>
      </c>
      <c r="Q3149">
        <v>0</v>
      </c>
      <c r="R3149">
        <v>1</v>
      </c>
      <c r="S3149">
        <v>5</v>
      </c>
    </row>
    <row r="3150" spans="1:19" x14ac:dyDescent="0.35">
      <c r="A3150">
        <v>56708696600</v>
      </c>
      <c r="B3150" t="s">
        <v>3393</v>
      </c>
      <c r="C3150" t="str">
        <f>_xlfn.XLOOKUP(A3150,[1]Affiliations!$J$2:$J$5328,[1]Affiliations!$K$2:$K$5328,0)</f>
        <v>Instituto Tecnológico da Aeronáutica</v>
      </c>
      <c r="D3150">
        <v>53</v>
      </c>
      <c r="E3150">
        <v>1478</v>
      </c>
      <c r="F3150">
        <v>27.886793000000001</v>
      </c>
      <c r="G3150">
        <v>21</v>
      </c>
      <c r="H3150">
        <v>0.85</v>
      </c>
      <c r="I3150">
        <v>0</v>
      </c>
      <c r="J3150">
        <v>2</v>
      </c>
      <c r="K3150">
        <v>5</v>
      </c>
      <c r="L3150">
        <v>16</v>
      </c>
      <c r="M3150">
        <v>36</v>
      </c>
      <c r="N3150">
        <v>42</v>
      </c>
      <c r="P3150">
        <v>2</v>
      </c>
      <c r="Q3150">
        <v>5</v>
      </c>
      <c r="R3150">
        <v>7</v>
      </c>
      <c r="S3150">
        <v>26</v>
      </c>
    </row>
    <row r="3151" spans="1:19" hidden="1" x14ac:dyDescent="0.35">
      <c r="A3151">
        <v>56441164600</v>
      </c>
      <c r="B3151" t="s">
        <v>3154</v>
      </c>
      <c r="C3151" t="str">
        <f>_xlfn.XLOOKUP(A3151,[1]Affiliations!$J$2:$J$5328,[1]Affiliations!$K$2:$K$5328,0)</f>
        <v>Federal University of Rio de Janeiro</v>
      </c>
      <c r="D3151">
        <v>1</v>
      </c>
      <c r="E3151">
        <v>23</v>
      </c>
      <c r="F3151">
        <v>23</v>
      </c>
      <c r="G3151">
        <v>2</v>
      </c>
      <c r="H3151">
        <v>1.67</v>
      </c>
      <c r="I3151">
        <v>0</v>
      </c>
      <c r="J3151">
        <v>0</v>
      </c>
      <c r="K3151">
        <v>0</v>
      </c>
      <c r="L3151">
        <v>0</v>
      </c>
      <c r="M3151">
        <v>1</v>
      </c>
      <c r="N3151">
        <v>1</v>
      </c>
      <c r="P3151">
        <v>0</v>
      </c>
      <c r="Q3151">
        <v>0</v>
      </c>
      <c r="R3151">
        <v>0</v>
      </c>
      <c r="S3151">
        <v>1</v>
      </c>
    </row>
    <row r="3152" spans="1:19" x14ac:dyDescent="0.35">
      <c r="A3152">
        <v>7005870447</v>
      </c>
      <c r="B3152" t="s">
        <v>3415</v>
      </c>
      <c r="C3152" t="str">
        <f>_xlfn.XLOOKUP(A3152,[1]Affiliations!$J$2:$J$5328,[1]Affiliations!$K$2:$K$5328,0)</f>
        <v>DEMa</v>
      </c>
      <c r="D3152">
        <v>96</v>
      </c>
      <c r="E3152">
        <v>1780</v>
      </c>
      <c r="F3152">
        <v>18.541665999999999</v>
      </c>
      <c r="G3152">
        <v>40</v>
      </c>
      <c r="H3152">
        <v>0.85</v>
      </c>
      <c r="I3152">
        <v>3</v>
      </c>
      <c r="J3152">
        <v>33</v>
      </c>
      <c r="K3152">
        <v>42</v>
      </c>
      <c r="L3152">
        <v>63</v>
      </c>
      <c r="M3152">
        <v>72</v>
      </c>
      <c r="N3152">
        <v>91</v>
      </c>
      <c r="P3152">
        <v>0</v>
      </c>
      <c r="Q3152">
        <v>2</v>
      </c>
      <c r="R3152">
        <v>7</v>
      </c>
      <c r="S3152">
        <v>44</v>
      </c>
    </row>
    <row r="3153" spans="1:19" hidden="1" x14ac:dyDescent="0.35">
      <c r="A3153">
        <v>57217374030</v>
      </c>
      <c r="B3153" t="s">
        <v>3156</v>
      </c>
      <c r="C3153" t="str">
        <f>_xlfn.XLOOKUP(A3153,[1]Affiliations!$J$2:$J$5328,[1]Affiliations!$K$2:$K$5328,0)</f>
        <v>Vizlab - X-Reality and GeoInformatics Lab</v>
      </c>
      <c r="D3153">
        <v>4</v>
      </c>
      <c r="E3153">
        <v>17</v>
      </c>
      <c r="F3153">
        <v>4.25</v>
      </c>
      <c r="G3153">
        <v>3</v>
      </c>
      <c r="H3153">
        <v>0.3</v>
      </c>
      <c r="I3153">
        <v>0</v>
      </c>
      <c r="J3153">
        <v>0</v>
      </c>
      <c r="K3153">
        <v>2</v>
      </c>
      <c r="L3153">
        <v>3</v>
      </c>
      <c r="M3153">
        <v>4</v>
      </c>
      <c r="N3153">
        <v>4</v>
      </c>
      <c r="P3153">
        <v>0</v>
      </c>
      <c r="Q3153">
        <v>0</v>
      </c>
      <c r="R3153">
        <v>0</v>
      </c>
      <c r="S3153">
        <v>0</v>
      </c>
    </row>
    <row r="3154" spans="1:19" x14ac:dyDescent="0.35">
      <c r="A3154">
        <v>37561944900</v>
      </c>
      <c r="B3154" t="s">
        <v>3810</v>
      </c>
      <c r="C3154" t="str">
        <f>_xlfn.XLOOKUP(A3154,[1]Affiliations!$J$2:$J$5328,[1]Affiliations!$K$2:$K$5328,0)</f>
        <v>Federal University of Pará</v>
      </c>
      <c r="D3154">
        <v>24</v>
      </c>
      <c r="E3154">
        <v>457</v>
      </c>
      <c r="F3154">
        <v>19.041665999999999</v>
      </c>
      <c r="G3154">
        <v>14</v>
      </c>
      <c r="H3154">
        <v>0.85</v>
      </c>
      <c r="I3154">
        <v>0</v>
      </c>
      <c r="J3154">
        <v>0</v>
      </c>
      <c r="K3154">
        <v>4</v>
      </c>
      <c r="L3154">
        <v>15</v>
      </c>
      <c r="M3154">
        <v>21</v>
      </c>
      <c r="N3154">
        <v>23</v>
      </c>
      <c r="P3154">
        <v>0</v>
      </c>
      <c r="Q3154">
        <v>2</v>
      </c>
      <c r="R3154">
        <v>7</v>
      </c>
      <c r="S3154">
        <v>13</v>
      </c>
    </row>
    <row r="3155" spans="1:19" hidden="1" x14ac:dyDescent="0.35">
      <c r="A3155">
        <v>57943871300</v>
      </c>
      <c r="B3155" t="s">
        <v>3157</v>
      </c>
      <c r="C3155" t="str">
        <f>_xlfn.XLOOKUP(A3155,[1]Affiliations!$J$2:$J$5328,[1]Affiliations!$K$2:$K$5328,0)</f>
        <v>Federal University of Santa Catarina</v>
      </c>
      <c r="D3155">
        <v>1</v>
      </c>
      <c r="E3155">
        <v>8</v>
      </c>
      <c r="F3155">
        <v>8</v>
      </c>
      <c r="G3155">
        <v>1</v>
      </c>
      <c r="H3155">
        <v>0.48</v>
      </c>
      <c r="I3155">
        <v>0</v>
      </c>
      <c r="J3155">
        <v>0</v>
      </c>
      <c r="K3155">
        <v>0</v>
      </c>
      <c r="L3155">
        <v>1</v>
      </c>
      <c r="M3155">
        <v>1</v>
      </c>
      <c r="N3155">
        <v>1</v>
      </c>
      <c r="P3155">
        <v>0</v>
      </c>
      <c r="Q3155">
        <v>0</v>
      </c>
      <c r="R3155">
        <v>0</v>
      </c>
      <c r="S3155">
        <v>0</v>
      </c>
    </row>
    <row r="3156" spans="1:19" hidden="1" x14ac:dyDescent="0.35">
      <c r="A3156">
        <v>55508942100</v>
      </c>
      <c r="B3156" t="s">
        <v>3158</v>
      </c>
      <c r="C3156" t="str">
        <f>_xlfn.XLOOKUP(A3156,[1]Affiliations!$J$2:$J$5328,[1]Affiliations!$K$2:$K$5328,0)</f>
        <v>Federal University of Santa Catarina</v>
      </c>
      <c r="D3156">
        <v>20</v>
      </c>
      <c r="E3156">
        <v>221</v>
      </c>
      <c r="F3156">
        <v>11.05</v>
      </c>
      <c r="G3156">
        <v>10</v>
      </c>
      <c r="H3156">
        <v>0.6</v>
      </c>
      <c r="I3156">
        <v>0</v>
      </c>
      <c r="J3156">
        <v>0</v>
      </c>
      <c r="K3156">
        <v>0</v>
      </c>
      <c r="L3156">
        <v>4</v>
      </c>
      <c r="M3156">
        <v>13</v>
      </c>
      <c r="N3156">
        <v>18</v>
      </c>
      <c r="P3156">
        <v>0</v>
      </c>
      <c r="Q3156">
        <v>0</v>
      </c>
      <c r="R3156">
        <v>0</v>
      </c>
      <c r="S3156">
        <v>2</v>
      </c>
    </row>
    <row r="3157" spans="1:19" hidden="1" x14ac:dyDescent="0.35">
      <c r="A3157">
        <v>57535718100</v>
      </c>
      <c r="B3157" t="s">
        <v>3159</v>
      </c>
      <c r="C3157" t="str">
        <f>_xlfn.XLOOKUP(A3157,[1]Affiliations!$J$2:$J$5328,[1]Affiliations!$K$2:$K$5328,0)</f>
        <v>University of Campinas (+1 more)</v>
      </c>
      <c r="D3157">
        <v>4</v>
      </c>
      <c r="E3157">
        <v>19</v>
      </c>
      <c r="F3157">
        <v>4.75</v>
      </c>
      <c r="G3157">
        <v>2</v>
      </c>
      <c r="H3157">
        <v>1.02</v>
      </c>
      <c r="I3157">
        <v>0</v>
      </c>
      <c r="J3157">
        <v>0</v>
      </c>
      <c r="K3157">
        <v>0</v>
      </c>
      <c r="L3157">
        <v>1</v>
      </c>
      <c r="M3157">
        <v>1</v>
      </c>
      <c r="N3157">
        <v>1</v>
      </c>
      <c r="P3157">
        <v>0</v>
      </c>
      <c r="Q3157">
        <v>0</v>
      </c>
      <c r="R3157">
        <v>0</v>
      </c>
      <c r="S3157">
        <v>0</v>
      </c>
    </row>
    <row r="3158" spans="1:19" hidden="1" x14ac:dyDescent="0.35">
      <c r="A3158">
        <v>57200259719</v>
      </c>
      <c r="B3158" t="s">
        <v>3159</v>
      </c>
      <c r="C3158" t="str">
        <f>_xlfn.XLOOKUP(A3158,[1]Affiliations!$J$2:$J$5328,[1]Affiliations!$K$2:$K$5328,0)</f>
        <v>Universidade Tecnológica Federal do Paraná (+1 more)</v>
      </c>
      <c r="D3158">
        <v>5</v>
      </c>
      <c r="E3158">
        <v>54</v>
      </c>
      <c r="F3158">
        <v>10.8</v>
      </c>
      <c r="G3158">
        <v>3</v>
      </c>
      <c r="H3158">
        <v>0.79</v>
      </c>
      <c r="I3158">
        <v>0</v>
      </c>
      <c r="J3158">
        <v>1</v>
      </c>
      <c r="K3158">
        <v>1</v>
      </c>
      <c r="L3158">
        <v>3</v>
      </c>
      <c r="M3158">
        <v>3</v>
      </c>
      <c r="N3158">
        <v>4</v>
      </c>
      <c r="P3158">
        <v>0</v>
      </c>
      <c r="Q3158">
        <v>0</v>
      </c>
      <c r="R3158">
        <v>0</v>
      </c>
      <c r="S3158">
        <v>2</v>
      </c>
    </row>
    <row r="3159" spans="1:19" hidden="1" x14ac:dyDescent="0.35">
      <c r="A3159">
        <v>57201279367</v>
      </c>
      <c r="B3159" t="s">
        <v>3160</v>
      </c>
      <c r="C3159" t="str">
        <f>_xlfn.XLOOKUP(A3159,[1]Affiliations!$J$2:$J$5328,[1]Affiliations!$K$2:$K$5328,0)</f>
        <v>Universidade Federal de Juiz de Fora</v>
      </c>
      <c r="D3159">
        <v>11</v>
      </c>
      <c r="E3159">
        <v>122</v>
      </c>
      <c r="F3159">
        <v>11.090909</v>
      </c>
      <c r="G3159">
        <v>5</v>
      </c>
      <c r="H3159">
        <v>0.54</v>
      </c>
      <c r="I3159">
        <v>0</v>
      </c>
      <c r="J3159">
        <v>0</v>
      </c>
      <c r="K3159">
        <v>1</v>
      </c>
      <c r="L3159">
        <v>5</v>
      </c>
      <c r="M3159">
        <v>8</v>
      </c>
      <c r="N3159">
        <v>9</v>
      </c>
      <c r="P3159">
        <v>0</v>
      </c>
      <c r="Q3159">
        <v>0</v>
      </c>
      <c r="R3159">
        <v>0</v>
      </c>
      <c r="S3159">
        <v>4</v>
      </c>
    </row>
    <row r="3160" spans="1:19" hidden="1" x14ac:dyDescent="0.35">
      <c r="A3160">
        <v>57211054503</v>
      </c>
      <c r="B3160" t="s">
        <v>3161</v>
      </c>
      <c r="C3160" t="str">
        <f>_xlfn.XLOOKUP(A3160,[1]Affiliations!$J$2:$J$5328,[1]Affiliations!$K$2:$K$5328,0)</f>
        <v>Universidade Federal Fluminense</v>
      </c>
      <c r="D3160">
        <v>10</v>
      </c>
      <c r="E3160">
        <v>106</v>
      </c>
      <c r="F3160">
        <v>10.6</v>
      </c>
      <c r="G3160">
        <v>6</v>
      </c>
      <c r="H3160">
        <v>0.7</v>
      </c>
      <c r="I3160">
        <v>0</v>
      </c>
      <c r="J3160">
        <v>2</v>
      </c>
      <c r="K3160">
        <v>3</v>
      </c>
      <c r="L3160">
        <v>8</v>
      </c>
      <c r="M3160">
        <v>10</v>
      </c>
      <c r="N3160">
        <v>10</v>
      </c>
      <c r="P3160">
        <v>0</v>
      </c>
      <c r="Q3160">
        <v>0</v>
      </c>
      <c r="R3160">
        <v>0</v>
      </c>
      <c r="S3160">
        <v>5</v>
      </c>
    </row>
    <row r="3161" spans="1:19" hidden="1" x14ac:dyDescent="0.35">
      <c r="A3161">
        <v>55879438800</v>
      </c>
      <c r="B3161" t="s">
        <v>3162</v>
      </c>
      <c r="C3161" t="str">
        <f>_xlfn.XLOOKUP(A3161,[1]Affiliations!$J$2:$J$5328,[1]Affiliations!$K$2:$K$5328,0)</f>
        <v>Federal University of Pará</v>
      </c>
      <c r="D3161">
        <v>15</v>
      </c>
      <c r="E3161">
        <v>96</v>
      </c>
      <c r="F3161">
        <v>6.4</v>
      </c>
      <c r="G3161">
        <v>5</v>
      </c>
      <c r="H3161">
        <v>0.34</v>
      </c>
      <c r="I3161">
        <v>0</v>
      </c>
      <c r="J3161">
        <v>1</v>
      </c>
      <c r="K3161">
        <v>3</v>
      </c>
      <c r="L3161">
        <v>4</v>
      </c>
      <c r="M3161">
        <v>8</v>
      </c>
      <c r="N3161">
        <v>11</v>
      </c>
      <c r="P3161">
        <v>0</v>
      </c>
      <c r="Q3161">
        <v>0</v>
      </c>
      <c r="R3161">
        <v>0</v>
      </c>
      <c r="S3161">
        <v>2</v>
      </c>
    </row>
    <row r="3162" spans="1:19" x14ac:dyDescent="0.35">
      <c r="A3162">
        <v>57208786780</v>
      </c>
      <c r="B3162" t="s">
        <v>3964</v>
      </c>
      <c r="C3162" t="str">
        <f>_xlfn.XLOOKUP(A3162,[1]Affiliations!$J$2:$J$5328,[1]Affiliations!$K$2:$K$5328,0)</f>
        <v>Universidade Federal de Uberlândia</v>
      </c>
      <c r="D3162">
        <v>6</v>
      </c>
      <c r="E3162">
        <v>136</v>
      </c>
      <c r="F3162">
        <v>22.666665999999999</v>
      </c>
      <c r="G3162">
        <v>5</v>
      </c>
      <c r="H3162">
        <v>0.85</v>
      </c>
      <c r="I3162">
        <v>0</v>
      </c>
      <c r="J3162">
        <v>2</v>
      </c>
      <c r="K3162">
        <v>2</v>
      </c>
      <c r="L3162">
        <v>4</v>
      </c>
      <c r="M3162">
        <v>5</v>
      </c>
      <c r="N3162">
        <v>5</v>
      </c>
      <c r="P3162">
        <v>0</v>
      </c>
      <c r="Q3162">
        <v>0</v>
      </c>
      <c r="R3162">
        <v>1</v>
      </c>
      <c r="S3162">
        <v>3</v>
      </c>
    </row>
    <row r="3163" spans="1:19" hidden="1" x14ac:dyDescent="0.35">
      <c r="A3163">
        <v>7102307327</v>
      </c>
      <c r="B3163" t="s">
        <v>3164</v>
      </c>
      <c r="C3163" t="str">
        <f>_xlfn.XLOOKUP(A3163,[1]Affiliations!$J$2:$J$5328,[1]Affiliations!$K$2:$K$5328,0)</f>
        <v>Universidade de São Paulo</v>
      </c>
      <c r="D3163">
        <v>14</v>
      </c>
      <c r="E3163">
        <v>172</v>
      </c>
      <c r="F3163">
        <v>12.285714</v>
      </c>
      <c r="G3163">
        <v>18</v>
      </c>
      <c r="H3163">
        <v>0.5</v>
      </c>
      <c r="I3163">
        <v>0</v>
      </c>
      <c r="J3163">
        <v>0</v>
      </c>
      <c r="K3163">
        <v>3</v>
      </c>
      <c r="L3163">
        <v>7</v>
      </c>
      <c r="M3163">
        <v>10</v>
      </c>
      <c r="N3163">
        <v>13</v>
      </c>
      <c r="P3163">
        <v>0</v>
      </c>
      <c r="Q3163">
        <v>0</v>
      </c>
      <c r="R3163">
        <v>0</v>
      </c>
      <c r="S3163">
        <v>3</v>
      </c>
    </row>
    <row r="3164" spans="1:19" x14ac:dyDescent="0.35">
      <c r="A3164">
        <v>57191605344</v>
      </c>
      <c r="B3164" t="s">
        <v>4214</v>
      </c>
      <c r="C3164" t="str">
        <f>_xlfn.XLOOKUP(A3164,[1]Affiliations!$J$2:$J$5328,[1]Affiliations!$K$2:$K$5328,0)</f>
        <v>University of Campinas</v>
      </c>
      <c r="D3164">
        <v>91</v>
      </c>
      <c r="E3164">
        <v>1260</v>
      </c>
      <c r="F3164">
        <v>13.846154</v>
      </c>
      <c r="G3164">
        <v>18</v>
      </c>
      <c r="H3164">
        <v>0.85</v>
      </c>
      <c r="I3164">
        <v>0</v>
      </c>
      <c r="J3164">
        <v>3</v>
      </c>
      <c r="K3164">
        <v>10</v>
      </c>
      <c r="L3164">
        <v>19</v>
      </c>
      <c r="M3164">
        <v>36</v>
      </c>
      <c r="N3164">
        <v>54</v>
      </c>
      <c r="P3164">
        <v>2</v>
      </c>
      <c r="Q3164">
        <v>3</v>
      </c>
      <c r="R3164">
        <v>6</v>
      </c>
      <c r="S3164">
        <v>20</v>
      </c>
    </row>
    <row r="3165" spans="1:19" x14ac:dyDescent="0.35">
      <c r="A3165">
        <v>6506448921</v>
      </c>
      <c r="B3165" t="s">
        <v>4359</v>
      </c>
      <c r="C3165" t="str">
        <f>_xlfn.XLOOKUP(A3165,[1]Affiliations!$J$2:$J$5328,[1]Affiliations!$K$2:$K$5328,0)</f>
        <v>Pontifícia Universidade Católica do Rio Grande do Sul</v>
      </c>
      <c r="D3165">
        <v>19</v>
      </c>
      <c r="E3165">
        <v>253</v>
      </c>
      <c r="F3165">
        <v>13.315789000000001</v>
      </c>
      <c r="G3165">
        <v>12</v>
      </c>
      <c r="H3165">
        <v>0.85</v>
      </c>
      <c r="I3165">
        <v>0</v>
      </c>
      <c r="J3165">
        <v>0</v>
      </c>
      <c r="K3165">
        <v>4</v>
      </c>
      <c r="L3165">
        <v>11</v>
      </c>
      <c r="M3165">
        <v>16</v>
      </c>
      <c r="N3165">
        <v>19</v>
      </c>
      <c r="P3165">
        <v>0</v>
      </c>
      <c r="Q3165">
        <v>1</v>
      </c>
      <c r="R3165">
        <v>2</v>
      </c>
      <c r="S3165">
        <v>6</v>
      </c>
    </row>
    <row r="3166" spans="1:19" x14ac:dyDescent="0.35">
      <c r="A3166">
        <v>55670697500</v>
      </c>
      <c r="B3166" t="s">
        <v>4362</v>
      </c>
      <c r="C3166" t="str">
        <f>_xlfn.XLOOKUP(A3166,[1]Affiliations!$J$2:$J$5328,[1]Affiliations!$K$2:$K$5328,0)</f>
        <v>Universidade Federal de Ouro Preto</v>
      </c>
      <c r="D3166">
        <v>21</v>
      </c>
      <c r="E3166">
        <v>401</v>
      </c>
      <c r="F3166">
        <v>19.095237999999998</v>
      </c>
      <c r="G3166">
        <v>11</v>
      </c>
      <c r="H3166">
        <v>0.85</v>
      </c>
      <c r="I3166">
        <v>0</v>
      </c>
      <c r="J3166">
        <v>2</v>
      </c>
      <c r="K3166">
        <v>6</v>
      </c>
      <c r="L3166">
        <v>11</v>
      </c>
      <c r="M3166">
        <v>18</v>
      </c>
      <c r="N3166">
        <v>18</v>
      </c>
      <c r="P3166">
        <v>0</v>
      </c>
      <c r="Q3166">
        <v>0</v>
      </c>
      <c r="R3166">
        <v>3</v>
      </c>
      <c r="S3166">
        <v>8</v>
      </c>
    </row>
    <row r="3167" spans="1:19" hidden="1" x14ac:dyDescent="0.35">
      <c r="A3167">
        <v>57097727200</v>
      </c>
      <c r="B3167" t="s">
        <v>3168</v>
      </c>
      <c r="C3167" t="str">
        <f>_xlfn.XLOOKUP(A3167,[1]Affiliations!$J$2:$J$5328,[1]Affiliations!$K$2:$K$5328,0)</f>
        <v>Centro Federal de Educação Tecnológica Celso Suckow da Fonseca (CEFET-RJ)</v>
      </c>
      <c r="D3167">
        <v>2</v>
      </c>
      <c r="E3167">
        <v>6</v>
      </c>
      <c r="F3167">
        <v>3</v>
      </c>
      <c r="G3167">
        <v>6</v>
      </c>
      <c r="H3167">
        <v>0.08</v>
      </c>
      <c r="I3167">
        <v>0</v>
      </c>
      <c r="J3167">
        <v>0</v>
      </c>
      <c r="K3167">
        <v>1</v>
      </c>
      <c r="L3167">
        <v>1</v>
      </c>
      <c r="M3167">
        <v>1</v>
      </c>
      <c r="N3167">
        <v>2</v>
      </c>
      <c r="P3167">
        <v>0</v>
      </c>
      <c r="Q3167">
        <v>0</v>
      </c>
      <c r="R3167">
        <v>0</v>
      </c>
      <c r="S3167">
        <v>0</v>
      </c>
    </row>
    <row r="3168" spans="1:19" hidden="1" x14ac:dyDescent="0.35">
      <c r="A3168">
        <v>57000412100</v>
      </c>
      <c r="B3168" t="s">
        <v>3169</v>
      </c>
      <c r="C3168" t="str">
        <f>_xlfn.XLOOKUP(A3168,[1]Affiliations!$J$2:$J$5328,[1]Affiliations!$K$2:$K$5328,0)</f>
        <v>Federal University of Rio de Janeiro</v>
      </c>
      <c r="D3168">
        <v>1</v>
      </c>
      <c r="E3168">
        <v>134</v>
      </c>
      <c r="F3168">
        <v>134</v>
      </c>
      <c r="G3168">
        <v>1</v>
      </c>
      <c r="H3168">
        <v>3.28</v>
      </c>
      <c r="I3168">
        <v>0</v>
      </c>
      <c r="J3168">
        <v>0</v>
      </c>
      <c r="K3168">
        <v>1</v>
      </c>
      <c r="L3168">
        <v>1</v>
      </c>
      <c r="M3168">
        <v>1</v>
      </c>
      <c r="N3168">
        <v>1</v>
      </c>
      <c r="P3168">
        <v>0</v>
      </c>
      <c r="Q3168">
        <v>1</v>
      </c>
      <c r="R3168">
        <v>1</v>
      </c>
      <c r="S3168">
        <v>1</v>
      </c>
    </row>
    <row r="3169" spans="1:19" x14ac:dyDescent="0.35">
      <c r="A3169">
        <v>56262325500</v>
      </c>
      <c r="B3169" t="s">
        <v>4465</v>
      </c>
      <c r="C3169" t="str">
        <f>_xlfn.XLOOKUP(A3169,[1]Affiliations!$J$2:$J$5328,[1]Affiliations!$K$2:$K$5328,0)</f>
        <v>Universidade do Estado do Rio de Janeiro</v>
      </c>
      <c r="D3169">
        <v>41</v>
      </c>
      <c r="E3169">
        <v>369</v>
      </c>
      <c r="F3169">
        <v>9</v>
      </c>
      <c r="G3169">
        <v>10</v>
      </c>
      <c r="H3169">
        <v>0.85</v>
      </c>
      <c r="I3169">
        <v>1</v>
      </c>
      <c r="J3169">
        <v>1</v>
      </c>
      <c r="K3169">
        <v>1</v>
      </c>
      <c r="L3169">
        <v>10</v>
      </c>
      <c r="M3169">
        <v>20</v>
      </c>
      <c r="N3169">
        <v>22</v>
      </c>
      <c r="P3169">
        <v>0</v>
      </c>
      <c r="Q3169">
        <v>1</v>
      </c>
      <c r="R3169">
        <v>1</v>
      </c>
      <c r="S3169">
        <v>11</v>
      </c>
    </row>
    <row r="3170" spans="1:19" hidden="1" x14ac:dyDescent="0.35">
      <c r="A3170">
        <v>36163313000</v>
      </c>
      <c r="B3170" t="s">
        <v>3171</v>
      </c>
      <c r="C3170" t="str">
        <f>_xlfn.XLOOKUP(A3170,[1]Affiliations!$J$2:$J$5328,[1]Affiliations!$K$2:$K$5328,0)</f>
        <v>Vizlab - X-Reality and GeoInformatics Lab</v>
      </c>
      <c r="D3170">
        <v>13</v>
      </c>
      <c r="E3170">
        <v>79</v>
      </c>
      <c r="F3170">
        <v>6.0769229999999999</v>
      </c>
      <c r="G3170">
        <v>8</v>
      </c>
      <c r="H3170">
        <v>0.5</v>
      </c>
      <c r="I3170">
        <v>1</v>
      </c>
      <c r="J3170">
        <v>1</v>
      </c>
      <c r="K3170">
        <v>1</v>
      </c>
      <c r="L3170">
        <v>2</v>
      </c>
      <c r="M3170">
        <v>2</v>
      </c>
      <c r="N3170">
        <v>9</v>
      </c>
      <c r="P3170">
        <v>0</v>
      </c>
      <c r="Q3170">
        <v>0</v>
      </c>
      <c r="R3170">
        <v>0</v>
      </c>
      <c r="S3170">
        <v>1</v>
      </c>
    </row>
    <row r="3171" spans="1:19" hidden="1" x14ac:dyDescent="0.35">
      <c r="A3171">
        <v>57224517601</v>
      </c>
      <c r="B3171" t="s">
        <v>3172</v>
      </c>
      <c r="C3171" t="str">
        <f>_xlfn.XLOOKUP(A3171,[1]Affiliations!$J$2:$J$5328,[1]Affiliations!$K$2:$K$5328,0)</f>
        <v>Pontifícia Universidade Católica do Rio Grande do Sul</v>
      </c>
      <c r="D3171">
        <v>2</v>
      </c>
      <c r="E3171">
        <v>232</v>
      </c>
      <c r="F3171">
        <v>116</v>
      </c>
      <c r="G3171">
        <v>2</v>
      </c>
      <c r="H3171">
        <v>3.91</v>
      </c>
      <c r="I3171">
        <v>0</v>
      </c>
      <c r="J3171">
        <v>1</v>
      </c>
      <c r="K3171">
        <v>1</v>
      </c>
      <c r="L3171">
        <v>2</v>
      </c>
      <c r="M3171">
        <v>2</v>
      </c>
      <c r="N3171">
        <v>2</v>
      </c>
      <c r="P3171">
        <v>1</v>
      </c>
      <c r="Q3171">
        <v>1</v>
      </c>
      <c r="R3171">
        <v>1</v>
      </c>
      <c r="S3171">
        <v>2</v>
      </c>
    </row>
    <row r="3172" spans="1:19" x14ac:dyDescent="0.35">
      <c r="A3172">
        <v>7202435173</v>
      </c>
      <c r="B3172" t="s">
        <v>364</v>
      </c>
      <c r="C3172" t="str">
        <f>_xlfn.XLOOKUP(A3172,[1]Affiliations!$J$2:$J$5328,[1]Affiliations!$K$2:$K$5328,0)</f>
        <v>Federal University of Santa Catarina (+1 more)</v>
      </c>
      <c r="D3172">
        <v>116</v>
      </c>
      <c r="E3172">
        <v>1701</v>
      </c>
      <c r="F3172">
        <v>14.663793999999999</v>
      </c>
      <c r="G3172">
        <v>34</v>
      </c>
      <c r="H3172">
        <v>0.84</v>
      </c>
      <c r="I3172">
        <v>2</v>
      </c>
      <c r="J3172">
        <v>21</v>
      </c>
      <c r="K3172">
        <v>49</v>
      </c>
      <c r="L3172">
        <v>68</v>
      </c>
      <c r="M3172">
        <v>87</v>
      </c>
      <c r="N3172">
        <v>90</v>
      </c>
      <c r="P3172">
        <v>0</v>
      </c>
      <c r="Q3172">
        <v>4</v>
      </c>
      <c r="R3172">
        <v>13</v>
      </c>
      <c r="S3172">
        <v>41</v>
      </c>
    </row>
    <row r="3173" spans="1:19" hidden="1" x14ac:dyDescent="0.35">
      <c r="A3173">
        <v>6602763217</v>
      </c>
      <c r="B3173" t="s">
        <v>3174</v>
      </c>
      <c r="C3173" t="str">
        <f>_xlfn.XLOOKUP(A3173,[1]Affiliations!$J$2:$J$5328,[1]Affiliations!$K$2:$K$5328,0)</f>
        <v>Pontifical Catholic University of Rio de Janeiro</v>
      </c>
      <c r="D3173">
        <v>27</v>
      </c>
      <c r="E3173">
        <v>195</v>
      </c>
      <c r="F3173">
        <v>7.2222223000000003</v>
      </c>
      <c r="G3173">
        <v>18</v>
      </c>
      <c r="H3173">
        <v>0.38</v>
      </c>
      <c r="I3173">
        <v>0</v>
      </c>
      <c r="J3173">
        <v>2</v>
      </c>
      <c r="K3173">
        <v>7</v>
      </c>
      <c r="L3173">
        <v>16</v>
      </c>
      <c r="M3173">
        <v>22</v>
      </c>
      <c r="N3173">
        <v>23</v>
      </c>
      <c r="P3173">
        <v>0</v>
      </c>
      <c r="Q3173">
        <v>0</v>
      </c>
      <c r="R3173">
        <v>0</v>
      </c>
      <c r="S3173">
        <v>5</v>
      </c>
    </row>
    <row r="3174" spans="1:19" x14ac:dyDescent="0.35">
      <c r="A3174">
        <v>56328496200</v>
      </c>
      <c r="B3174" t="s">
        <v>820</v>
      </c>
      <c r="C3174" t="str">
        <f>_xlfn.XLOOKUP(A3174,[1]Affiliations!$J$2:$J$5328,[1]Affiliations!$K$2:$K$5328,0)</f>
        <v>Pontifical Catholic University of Rio de Janeiro</v>
      </c>
      <c r="D3174">
        <v>14</v>
      </c>
      <c r="E3174">
        <v>200</v>
      </c>
      <c r="F3174">
        <v>14.285714</v>
      </c>
      <c r="G3174">
        <v>10</v>
      </c>
      <c r="H3174">
        <v>0.84</v>
      </c>
      <c r="I3174">
        <v>0</v>
      </c>
      <c r="J3174">
        <v>1</v>
      </c>
      <c r="K3174">
        <v>4</v>
      </c>
      <c r="L3174">
        <v>10</v>
      </c>
      <c r="M3174">
        <v>14</v>
      </c>
      <c r="N3174">
        <v>14</v>
      </c>
      <c r="P3174">
        <v>0</v>
      </c>
      <c r="Q3174">
        <v>0</v>
      </c>
      <c r="R3174">
        <v>1</v>
      </c>
      <c r="S3174">
        <v>7</v>
      </c>
    </row>
    <row r="3175" spans="1:19" hidden="1" x14ac:dyDescent="0.35">
      <c r="A3175">
        <v>57188559746</v>
      </c>
      <c r="B3175" t="s">
        <v>3176</v>
      </c>
      <c r="C3175" t="str">
        <f>_xlfn.XLOOKUP(A3175,[1]Affiliations!$J$2:$J$5328,[1]Affiliations!$K$2:$K$5328,0)</f>
        <v>Instituto Mauá de Tecnologia</v>
      </c>
      <c r="D3175">
        <v>3</v>
      </c>
      <c r="E3175">
        <v>60</v>
      </c>
      <c r="F3175">
        <v>20</v>
      </c>
      <c r="G3175">
        <v>4</v>
      </c>
      <c r="H3175">
        <v>0.51</v>
      </c>
      <c r="I3175">
        <v>0</v>
      </c>
      <c r="J3175">
        <v>1</v>
      </c>
      <c r="K3175">
        <v>1</v>
      </c>
      <c r="L3175">
        <v>1</v>
      </c>
      <c r="M3175">
        <v>1</v>
      </c>
      <c r="N3175">
        <v>2</v>
      </c>
      <c r="P3175">
        <v>0</v>
      </c>
      <c r="Q3175">
        <v>0</v>
      </c>
      <c r="R3175">
        <v>0</v>
      </c>
      <c r="S3175">
        <v>1</v>
      </c>
    </row>
    <row r="3176" spans="1:19" x14ac:dyDescent="0.35">
      <c r="A3176">
        <v>24474332800</v>
      </c>
      <c r="B3176" t="s">
        <v>834</v>
      </c>
      <c r="C3176" t="str">
        <f>_xlfn.XLOOKUP(A3176,[1]Affiliations!$J$2:$J$5328,[1]Affiliations!$K$2:$K$5328,0)</f>
        <v>Universidade Federal do Ceará</v>
      </c>
      <c r="D3176">
        <v>23</v>
      </c>
      <c r="E3176">
        <v>541</v>
      </c>
      <c r="F3176">
        <v>23.521740000000001</v>
      </c>
      <c r="G3176">
        <v>18</v>
      </c>
      <c r="H3176">
        <v>0.84</v>
      </c>
      <c r="I3176">
        <v>0</v>
      </c>
      <c r="J3176">
        <v>5</v>
      </c>
      <c r="K3176">
        <v>7</v>
      </c>
      <c r="L3176">
        <v>16</v>
      </c>
      <c r="M3176">
        <v>18</v>
      </c>
      <c r="N3176">
        <v>21</v>
      </c>
      <c r="P3176">
        <v>0</v>
      </c>
      <c r="Q3176">
        <v>2</v>
      </c>
      <c r="R3176">
        <v>4</v>
      </c>
      <c r="S3176">
        <v>13</v>
      </c>
    </row>
    <row r="3177" spans="1:19" hidden="1" x14ac:dyDescent="0.35">
      <c r="A3177">
        <v>8962963700</v>
      </c>
      <c r="B3177" t="s">
        <v>3178</v>
      </c>
      <c r="C3177" t="str">
        <f>_xlfn.XLOOKUP(A3177,[1]Affiliations!$J$2:$J$5328,[1]Affiliations!$K$2:$K$5328,0)</f>
        <v>Universidade Federal de Uberlândia</v>
      </c>
      <c r="D3177">
        <v>12</v>
      </c>
      <c r="E3177">
        <v>82</v>
      </c>
      <c r="F3177">
        <v>6.8333335000000002</v>
      </c>
      <c r="G3177">
        <v>8</v>
      </c>
      <c r="H3177">
        <v>0.41</v>
      </c>
      <c r="I3177">
        <v>0</v>
      </c>
      <c r="J3177">
        <v>1</v>
      </c>
      <c r="K3177">
        <v>2</v>
      </c>
      <c r="L3177">
        <v>6</v>
      </c>
      <c r="M3177">
        <v>10</v>
      </c>
      <c r="N3177">
        <v>10</v>
      </c>
      <c r="P3177">
        <v>0</v>
      </c>
      <c r="Q3177">
        <v>0</v>
      </c>
      <c r="R3177">
        <v>0</v>
      </c>
      <c r="S3177">
        <v>0</v>
      </c>
    </row>
    <row r="3178" spans="1:19" hidden="1" x14ac:dyDescent="0.35">
      <c r="A3178">
        <v>56224060900</v>
      </c>
      <c r="B3178" t="s">
        <v>3179</v>
      </c>
      <c r="C3178" t="str">
        <f>_xlfn.XLOOKUP(A3178,[1]Affiliations!$J$2:$J$5328,[1]Affiliations!$K$2:$K$5328,0)</f>
        <v>Universidade de São Paulo</v>
      </c>
      <c r="D3178">
        <v>1</v>
      </c>
      <c r="E3178">
        <v>0</v>
      </c>
      <c r="F3178">
        <v>0</v>
      </c>
      <c r="G3178">
        <v>1</v>
      </c>
      <c r="H3178">
        <v>0</v>
      </c>
      <c r="P3178">
        <v>0</v>
      </c>
      <c r="Q3178">
        <v>0</v>
      </c>
      <c r="R3178">
        <v>0</v>
      </c>
      <c r="S3178">
        <v>0</v>
      </c>
    </row>
    <row r="3179" spans="1:19" hidden="1" x14ac:dyDescent="0.35">
      <c r="A3179">
        <v>57195518952</v>
      </c>
      <c r="B3179" t="s">
        <v>3180</v>
      </c>
      <c r="C3179" t="str">
        <f>_xlfn.XLOOKUP(A3179,[1]Affiliations!$J$2:$J$5328,[1]Affiliations!$K$2:$K$5328,0)</f>
        <v>Federal University of Rio de Janeiro</v>
      </c>
      <c r="D3179">
        <v>10</v>
      </c>
      <c r="E3179">
        <v>96</v>
      </c>
      <c r="F3179">
        <v>9.6</v>
      </c>
      <c r="G3179">
        <v>6</v>
      </c>
      <c r="H3179">
        <v>0.56999999999999995</v>
      </c>
      <c r="I3179">
        <v>0</v>
      </c>
      <c r="J3179">
        <v>0</v>
      </c>
      <c r="K3179">
        <v>3</v>
      </c>
      <c r="L3179">
        <v>4</v>
      </c>
      <c r="M3179">
        <v>8</v>
      </c>
      <c r="N3179">
        <v>8</v>
      </c>
      <c r="P3179">
        <v>0</v>
      </c>
      <c r="Q3179">
        <v>0</v>
      </c>
      <c r="R3179">
        <v>0</v>
      </c>
      <c r="S3179">
        <v>4</v>
      </c>
    </row>
    <row r="3180" spans="1:19" hidden="1" x14ac:dyDescent="0.35">
      <c r="A3180">
        <v>58565743400</v>
      </c>
      <c r="B3180" t="s">
        <v>3181</v>
      </c>
      <c r="C3180" t="str">
        <f>_xlfn.XLOOKUP(A3180,[1]Affiliations!$J$2:$J$5328,[1]Affiliations!$K$2:$K$5328,0)</f>
        <v>Pontifical Catholic University of Rio de Janeiro</v>
      </c>
      <c r="D3180">
        <v>2</v>
      </c>
      <c r="E3180">
        <v>11</v>
      </c>
      <c r="F3180">
        <v>5.5</v>
      </c>
      <c r="G3180">
        <v>2</v>
      </c>
      <c r="H3180">
        <v>0.73</v>
      </c>
      <c r="I3180">
        <v>0</v>
      </c>
      <c r="J3180">
        <v>1</v>
      </c>
      <c r="K3180">
        <v>1</v>
      </c>
      <c r="L3180">
        <v>2</v>
      </c>
      <c r="M3180">
        <v>2</v>
      </c>
      <c r="N3180">
        <v>2</v>
      </c>
      <c r="P3180">
        <v>0</v>
      </c>
      <c r="Q3180">
        <v>0</v>
      </c>
      <c r="R3180">
        <v>0</v>
      </c>
      <c r="S3180">
        <v>2</v>
      </c>
    </row>
    <row r="3181" spans="1:19" x14ac:dyDescent="0.35">
      <c r="A3181">
        <v>37058490100</v>
      </c>
      <c r="B3181" t="s">
        <v>874</v>
      </c>
      <c r="C3181" t="str">
        <f>_xlfn.XLOOKUP(A3181,[1]Affiliations!$J$2:$J$5328,[1]Affiliations!$K$2:$K$5328,0)</f>
        <v>Universidade Federal do Rio Grande do Sul</v>
      </c>
      <c r="D3181">
        <v>33</v>
      </c>
      <c r="E3181">
        <v>551</v>
      </c>
      <c r="F3181">
        <v>16.69697</v>
      </c>
      <c r="G3181">
        <v>16</v>
      </c>
      <c r="H3181">
        <v>0.84</v>
      </c>
      <c r="I3181">
        <v>3</v>
      </c>
      <c r="J3181">
        <v>9</v>
      </c>
      <c r="K3181">
        <v>11</v>
      </c>
      <c r="L3181">
        <v>18</v>
      </c>
      <c r="M3181">
        <v>27</v>
      </c>
      <c r="N3181">
        <v>31</v>
      </c>
      <c r="P3181">
        <v>0</v>
      </c>
      <c r="Q3181">
        <v>1</v>
      </c>
      <c r="R3181">
        <v>4</v>
      </c>
      <c r="S3181">
        <v>15</v>
      </c>
    </row>
    <row r="3182" spans="1:19" hidden="1" x14ac:dyDescent="0.35">
      <c r="A3182">
        <v>57209453868</v>
      </c>
      <c r="B3182" t="s">
        <v>3183</v>
      </c>
      <c r="C3182" t="str">
        <f>_xlfn.XLOOKUP(A3182,[1]Affiliations!$J$2:$J$5328,[1]Affiliations!$K$2:$K$5328,0)</f>
        <v>Universidade Federal do Paraná</v>
      </c>
      <c r="D3182">
        <v>1</v>
      </c>
      <c r="E3182">
        <v>9</v>
      </c>
      <c r="F3182">
        <v>9</v>
      </c>
      <c r="G3182">
        <v>1</v>
      </c>
      <c r="H3182">
        <v>0.42</v>
      </c>
      <c r="I3182">
        <v>0</v>
      </c>
      <c r="J3182">
        <v>0</v>
      </c>
      <c r="K3182">
        <v>0</v>
      </c>
      <c r="L3182">
        <v>0</v>
      </c>
      <c r="M3182">
        <v>1</v>
      </c>
      <c r="N3182">
        <v>1</v>
      </c>
      <c r="P3182">
        <v>0</v>
      </c>
      <c r="Q3182">
        <v>0</v>
      </c>
      <c r="R3182">
        <v>0</v>
      </c>
      <c r="S3182">
        <v>0</v>
      </c>
    </row>
    <row r="3183" spans="1:19" hidden="1" x14ac:dyDescent="0.35">
      <c r="A3183">
        <v>55217690100</v>
      </c>
      <c r="B3183" t="s">
        <v>3184</v>
      </c>
      <c r="C3183" t="str">
        <f>_xlfn.XLOOKUP(A3183,[1]Affiliations!$J$2:$J$5328,[1]Affiliations!$K$2:$K$5328,0)</f>
        <v>Universidade Estadual do Norte Fluminense</v>
      </c>
      <c r="D3183">
        <v>1</v>
      </c>
      <c r="E3183">
        <v>8</v>
      </c>
      <c r="F3183">
        <v>8</v>
      </c>
      <c r="G3183">
        <v>2</v>
      </c>
      <c r="H3183">
        <v>0.23</v>
      </c>
      <c r="I3183">
        <v>0</v>
      </c>
      <c r="J3183">
        <v>0</v>
      </c>
      <c r="K3183">
        <v>1</v>
      </c>
      <c r="L3183">
        <v>1</v>
      </c>
      <c r="M3183">
        <v>1</v>
      </c>
      <c r="N3183">
        <v>1</v>
      </c>
      <c r="P3183">
        <v>0</v>
      </c>
      <c r="Q3183">
        <v>0</v>
      </c>
      <c r="R3183">
        <v>0</v>
      </c>
      <c r="S3183">
        <v>0</v>
      </c>
    </row>
    <row r="3184" spans="1:19" hidden="1" x14ac:dyDescent="0.35">
      <c r="A3184">
        <v>60086403100</v>
      </c>
      <c r="B3184" t="s">
        <v>3185</v>
      </c>
      <c r="C3184" t="str">
        <f>_xlfn.XLOOKUP(A3184,[1]Affiliations!$J$2:$J$5328,[1]Affiliations!$K$2:$K$5328,0)</f>
        <v>Federal University of Rio de Janeiro</v>
      </c>
      <c r="D3184">
        <v>0</v>
      </c>
      <c r="G3184">
        <v>0</v>
      </c>
    </row>
    <row r="3185" spans="1:19" x14ac:dyDescent="0.35">
      <c r="A3185">
        <v>59713747300</v>
      </c>
      <c r="B3185" t="s">
        <v>1233</v>
      </c>
      <c r="C3185" t="str">
        <f>_xlfn.XLOOKUP(A3185,[1]Affiliations!$J$2:$J$5328,[1]Affiliations!$K$2:$K$5328,0)</f>
        <v>Federal University of Rio de Janeiro</v>
      </c>
      <c r="D3185">
        <v>9</v>
      </c>
      <c r="E3185">
        <v>146</v>
      </c>
      <c r="F3185">
        <v>16.222221000000001</v>
      </c>
      <c r="G3185">
        <v>7</v>
      </c>
      <c r="H3185">
        <v>0.84</v>
      </c>
      <c r="I3185">
        <v>0</v>
      </c>
      <c r="J3185">
        <v>1</v>
      </c>
      <c r="K3185">
        <v>5</v>
      </c>
      <c r="L3185">
        <v>6</v>
      </c>
      <c r="M3185">
        <v>8</v>
      </c>
      <c r="N3185">
        <v>8</v>
      </c>
      <c r="P3185">
        <v>0</v>
      </c>
      <c r="Q3185">
        <v>0</v>
      </c>
      <c r="R3185">
        <v>1</v>
      </c>
      <c r="S3185">
        <v>4</v>
      </c>
    </row>
    <row r="3186" spans="1:19" hidden="1" x14ac:dyDescent="0.35">
      <c r="A3186">
        <v>57095482900</v>
      </c>
      <c r="B3186" t="s">
        <v>3187</v>
      </c>
      <c r="C3186" t="str">
        <f>_xlfn.XLOOKUP(A3186,[1]Affiliations!$J$2:$J$5328,[1]Affiliations!$K$2:$K$5328,0)</f>
        <v>Universidade Federal de Uberlândia</v>
      </c>
      <c r="D3186">
        <v>3</v>
      </c>
      <c r="E3186">
        <v>207</v>
      </c>
      <c r="F3186">
        <v>69</v>
      </c>
      <c r="G3186">
        <v>5</v>
      </c>
      <c r="H3186">
        <v>3</v>
      </c>
      <c r="I3186">
        <v>0</v>
      </c>
      <c r="J3186">
        <v>0</v>
      </c>
      <c r="K3186">
        <v>3</v>
      </c>
      <c r="L3186">
        <v>3</v>
      </c>
      <c r="M3186">
        <v>3</v>
      </c>
      <c r="N3186">
        <v>3</v>
      </c>
      <c r="P3186">
        <v>0</v>
      </c>
      <c r="Q3186">
        <v>1</v>
      </c>
      <c r="R3186">
        <v>1</v>
      </c>
      <c r="S3186">
        <v>2</v>
      </c>
    </row>
    <row r="3187" spans="1:19" hidden="1" x14ac:dyDescent="0.35">
      <c r="A3187">
        <v>57211211174</v>
      </c>
      <c r="B3187" t="s">
        <v>3188</v>
      </c>
      <c r="C3187" t="str">
        <f>_xlfn.XLOOKUP(A3187,[1]Affiliations!$J$2:$J$5328,[1]Affiliations!$K$2:$K$5328,0)</f>
        <v>Federal University of Rio de Janeiro</v>
      </c>
      <c r="D3187">
        <v>4</v>
      </c>
      <c r="E3187">
        <v>59</v>
      </c>
      <c r="F3187">
        <v>14.75</v>
      </c>
      <c r="G3187">
        <v>4</v>
      </c>
      <c r="H3187">
        <v>0.94</v>
      </c>
      <c r="I3187">
        <v>0</v>
      </c>
      <c r="J3187">
        <v>1</v>
      </c>
      <c r="K3187">
        <v>1</v>
      </c>
      <c r="L3187">
        <v>2</v>
      </c>
      <c r="M3187">
        <v>4</v>
      </c>
      <c r="N3187">
        <v>4</v>
      </c>
      <c r="P3187">
        <v>0</v>
      </c>
      <c r="Q3187">
        <v>0</v>
      </c>
      <c r="R3187">
        <v>0</v>
      </c>
      <c r="S3187">
        <v>3</v>
      </c>
    </row>
    <row r="3188" spans="1:19" x14ac:dyDescent="0.35">
      <c r="A3188">
        <v>35848342600</v>
      </c>
      <c r="B3188" t="s">
        <v>1711</v>
      </c>
      <c r="C3188" t="str">
        <f>_xlfn.XLOOKUP(A3188,[1]Affiliations!$J$2:$J$5328,[1]Affiliations!$K$2:$K$5328,0)</f>
        <v>Federal University of Rio de Janeiro</v>
      </c>
      <c r="D3188">
        <v>30</v>
      </c>
      <c r="E3188">
        <v>417</v>
      </c>
      <c r="F3188">
        <v>13.9</v>
      </c>
      <c r="G3188">
        <v>15</v>
      </c>
      <c r="H3188">
        <v>0.84</v>
      </c>
      <c r="I3188">
        <v>0</v>
      </c>
      <c r="J3188">
        <v>0</v>
      </c>
      <c r="K3188">
        <v>2</v>
      </c>
      <c r="L3188">
        <v>8</v>
      </c>
      <c r="M3188">
        <v>23</v>
      </c>
      <c r="N3188">
        <v>23</v>
      </c>
      <c r="P3188">
        <v>0</v>
      </c>
      <c r="Q3188">
        <v>1</v>
      </c>
      <c r="R3188">
        <v>2</v>
      </c>
      <c r="S3188">
        <v>8</v>
      </c>
    </row>
    <row r="3189" spans="1:19" hidden="1" x14ac:dyDescent="0.35">
      <c r="A3189">
        <v>57226690351</v>
      </c>
      <c r="B3189" t="s">
        <v>3190</v>
      </c>
      <c r="C3189" t="str">
        <f>_xlfn.XLOOKUP(A3189,[1]Affiliations!$J$2:$J$5328,[1]Affiliations!$K$2:$K$5328,0)</f>
        <v>Federal University of Santa Catarina</v>
      </c>
      <c r="D3189">
        <v>3</v>
      </c>
      <c r="E3189">
        <v>26</v>
      </c>
      <c r="F3189">
        <v>8.6666670000000003</v>
      </c>
      <c r="G3189">
        <v>2</v>
      </c>
      <c r="H3189">
        <v>0.56000000000000005</v>
      </c>
      <c r="I3189">
        <v>0</v>
      </c>
      <c r="J3189">
        <v>0</v>
      </c>
      <c r="K3189">
        <v>2</v>
      </c>
      <c r="L3189">
        <v>2</v>
      </c>
      <c r="M3189">
        <v>2</v>
      </c>
      <c r="N3189">
        <v>2</v>
      </c>
      <c r="P3189">
        <v>0</v>
      </c>
      <c r="Q3189">
        <v>0</v>
      </c>
      <c r="R3189">
        <v>0</v>
      </c>
      <c r="S3189">
        <v>1</v>
      </c>
    </row>
    <row r="3190" spans="1:19" hidden="1" x14ac:dyDescent="0.35">
      <c r="A3190">
        <v>57216650039</v>
      </c>
      <c r="B3190" t="s">
        <v>3191</v>
      </c>
      <c r="C3190" t="str">
        <f>_xlfn.XLOOKUP(A3190,[1]Affiliations!$J$2:$J$5328,[1]Affiliations!$K$2:$K$5328,0)</f>
        <v>Universidade Federal do Espírito Santo</v>
      </c>
      <c r="D3190">
        <v>2</v>
      </c>
      <c r="E3190">
        <v>8</v>
      </c>
      <c r="F3190">
        <v>4</v>
      </c>
      <c r="G3190">
        <v>1</v>
      </c>
      <c r="H3190">
        <v>0.16</v>
      </c>
      <c r="I3190">
        <v>0</v>
      </c>
      <c r="J3190">
        <v>0</v>
      </c>
      <c r="K3190">
        <v>0</v>
      </c>
      <c r="L3190">
        <v>0</v>
      </c>
      <c r="M3190">
        <v>1</v>
      </c>
      <c r="N3190">
        <v>1</v>
      </c>
      <c r="P3190">
        <v>0</v>
      </c>
      <c r="Q3190">
        <v>0</v>
      </c>
      <c r="R3190">
        <v>0</v>
      </c>
      <c r="S3190">
        <v>0</v>
      </c>
    </row>
    <row r="3191" spans="1:19" hidden="1" x14ac:dyDescent="0.35">
      <c r="A3191">
        <v>57190174505</v>
      </c>
      <c r="B3191" t="s">
        <v>3192</v>
      </c>
      <c r="C3191" t="str">
        <f>_xlfn.XLOOKUP(A3191,[1]Affiliations!$J$2:$J$5328,[1]Affiliations!$K$2:$K$5328,0)</f>
        <v>Universidade de São Paulo</v>
      </c>
      <c r="D3191">
        <v>2</v>
      </c>
      <c r="E3191">
        <v>21</v>
      </c>
      <c r="F3191">
        <v>10.5</v>
      </c>
      <c r="G3191">
        <v>2</v>
      </c>
      <c r="H3191">
        <v>0.31</v>
      </c>
      <c r="I3191">
        <v>0</v>
      </c>
      <c r="J3191">
        <v>0</v>
      </c>
      <c r="K3191">
        <v>1</v>
      </c>
      <c r="L3191">
        <v>1</v>
      </c>
      <c r="M3191">
        <v>2</v>
      </c>
      <c r="N3191">
        <v>2</v>
      </c>
      <c r="P3191">
        <v>0</v>
      </c>
      <c r="Q3191">
        <v>0</v>
      </c>
      <c r="R3191">
        <v>0</v>
      </c>
      <c r="S3191">
        <v>0</v>
      </c>
    </row>
    <row r="3192" spans="1:19" hidden="1" x14ac:dyDescent="0.35">
      <c r="A3192">
        <v>55601106900</v>
      </c>
      <c r="B3192" t="s">
        <v>3193</v>
      </c>
      <c r="C3192" t="str">
        <f>_xlfn.XLOOKUP(A3192,[1]Affiliations!$J$2:$J$5328,[1]Affiliations!$K$2:$K$5328,0)</f>
        <v>Universidade Federal Rural do Rio de Janeiro</v>
      </c>
      <c r="D3192">
        <v>1</v>
      </c>
      <c r="E3192">
        <v>19</v>
      </c>
      <c r="F3192">
        <v>19</v>
      </c>
      <c r="G3192">
        <v>1</v>
      </c>
      <c r="H3192">
        <v>0.71</v>
      </c>
      <c r="I3192">
        <v>0</v>
      </c>
      <c r="J3192">
        <v>0</v>
      </c>
      <c r="K3192">
        <v>0</v>
      </c>
      <c r="L3192">
        <v>1</v>
      </c>
      <c r="M3192">
        <v>1</v>
      </c>
      <c r="N3192">
        <v>1</v>
      </c>
      <c r="P3192">
        <v>0</v>
      </c>
      <c r="Q3192">
        <v>0</v>
      </c>
      <c r="R3192">
        <v>0</v>
      </c>
      <c r="S3192">
        <v>0</v>
      </c>
    </row>
    <row r="3193" spans="1:19" hidden="1" x14ac:dyDescent="0.35">
      <c r="A3193">
        <v>58904169500</v>
      </c>
      <c r="B3193" t="s">
        <v>3194</v>
      </c>
      <c r="C3193" t="str">
        <f>_xlfn.XLOOKUP(A3193,[1]Affiliations!$J$2:$J$5328,[1]Affiliations!$K$2:$K$5328,0)</f>
        <v>SENAI Innovation Institute for Embedded Systems</v>
      </c>
      <c r="D3193">
        <v>2</v>
      </c>
      <c r="E3193">
        <v>0</v>
      </c>
      <c r="F3193">
        <v>0</v>
      </c>
      <c r="G3193">
        <v>0</v>
      </c>
      <c r="H3193">
        <v>0</v>
      </c>
      <c r="P3193">
        <v>0</v>
      </c>
      <c r="Q3193">
        <v>0</v>
      </c>
      <c r="R3193">
        <v>0</v>
      </c>
      <c r="S3193">
        <v>0</v>
      </c>
    </row>
    <row r="3194" spans="1:19" hidden="1" x14ac:dyDescent="0.35">
      <c r="A3194">
        <v>59234433700</v>
      </c>
      <c r="B3194" t="s">
        <v>3195</v>
      </c>
      <c r="C3194" t="str">
        <f>_xlfn.XLOOKUP(A3194,[1]Affiliations!$J$2:$J$5328,[1]Affiliations!$K$2:$K$5328,0)</f>
        <v>Federal University of Pará</v>
      </c>
      <c r="D3194">
        <v>1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1</v>
      </c>
      <c r="M3194">
        <v>1</v>
      </c>
      <c r="N3194">
        <v>1</v>
      </c>
      <c r="P3194">
        <v>0</v>
      </c>
      <c r="Q3194">
        <v>0</v>
      </c>
      <c r="R3194">
        <v>0</v>
      </c>
      <c r="S3194">
        <v>0</v>
      </c>
    </row>
    <row r="3195" spans="1:19" x14ac:dyDescent="0.35">
      <c r="A3195">
        <v>8150956100</v>
      </c>
      <c r="B3195" t="s">
        <v>1878</v>
      </c>
      <c r="C3195" t="str">
        <f>_xlfn.XLOOKUP(A3195,[1]Affiliations!$J$2:$J$5328,[1]Affiliations!$K$2:$K$5328,0)</f>
        <v>Federal University of Santa Catarina</v>
      </c>
      <c r="D3195">
        <v>37</v>
      </c>
      <c r="E3195">
        <v>864</v>
      </c>
      <c r="F3195">
        <v>23.35135</v>
      </c>
      <c r="G3195">
        <v>26</v>
      </c>
      <c r="H3195">
        <v>0.84</v>
      </c>
      <c r="I3195">
        <v>2</v>
      </c>
      <c r="J3195">
        <v>12</v>
      </c>
      <c r="K3195">
        <v>20</v>
      </c>
      <c r="L3195">
        <v>32</v>
      </c>
      <c r="M3195">
        <v>36</v>
      </c>
      <c r="N3195">
        <v>37</v>
      </c>
      <c r="P3195">
        <v>0</v>
      </c>
      <c r="Q3195">
        <v>2</v>
      </c>
      <c r="R3195">
        <v>6</v>
      </c>
      <c r="S3195">
        <v>19</v>
      </c>
    </row>
    <row r="3196" spans="1:19" x14ac:dyDescent="0.35">
      <c r="A3196">
        <v>22733874700</v>
      </c>
      <c r="B3196" t="s">
        <v>1966</v>
      </c>
      <c r="C3196" t="str">
        <f>_xlfn.XLOOKUP(A3196,[1]Affiliations!$J$2:$J$5328,[1]Affiliations!$K$2:$K$5328,0)</f>
        <v>Universidade Federal de Uberlândia (+1 more)</v>
      </c>
      <c r="D3196">
        <v>70</v>
      </c>
      <c r="E3196">
        <v>1398</v>
      </c>
      <c r="F3196">
        <v>19.971428</v>
      </c>
      <c r="G3196">
        <v>27</v>
      </c>
      <c r="H3196">
        <v>0.84</v>
      </c>
      <c r="I3196">
        <v>0</v>
      </c>
      <c r="J3196">
        <v>2</v>
      </c>
      <c r="K3196">
        <v>6</v>
      </c>
      <c r="L3196">
        <v>48</v>
      </c>
      <c r="M3196">
        <v>58</v>
      </c>
      <c r="N3196">
        <v>63</v>
      </c>
      <c r="P3196">
        <v>0</v>
      </c>
      <c r="Q3196">
        <v>1</v>
      </c>
      <c r="R3196">
        <v>8</v>
      </c>
      <c r="S3196">
        <v>36</v>
      </c>
    </row>
    <row r="3197" spans="1:19" x14ac:dyDescent="0.35">
      <c r="A3197">
        <v>14040107900</v>
      </c>
      <c r="B3197" t="s">
        <v>2365</v>
      </c>
      <c r="C3197" t="str">
        <f>_xlfn.XLOOKUP(A3197,[1]Affiliations!$J$2:$J$5328,[1]Affiliations!$K$2:$K$5328,0)</f>
        <v>Universidade Federal do Rio Grande do Sul</v>
      </c>
      <c r="D3197">
        <v>9</v>
      </c>
      <c r="E3197">
        <v>159</v>
      </c>
      <c r="F3197">
        <v>17.666665999999999</v>
      </c>
      <c r="G3197">
        <v>9</v>
      </c>
      <c r="H3197">
        <v>0.84</v>
      </c>
      <c r="I3197">
        <v>0</v>
      </c>
      <c r="J3197">
        <v>3</v>
      </c>
      <c r="K3197">
        <v>4</v>
      </c>
      <c r="L3197">
        <v>4</v>
      </c>
      <c r="M3197">
        <v>7</v>
      </c>
      <c r="N3197">
        <v>9</v>
      </c>
      <c r="P3197">
        <v>0</v>
      </c>
      <c r="Q3197">
        <v>0</v>
      </c>
      <c r="R3197">
        <v>1</v>
      </c>
      <c r="S3197">
        <v>4</v>
      </c>
    </row>
    <row r="3198" spans="1:19" x14ac:dyDescent="0.35">
      <c r="A3198">
        <v>35791950200</v>
      </c>
      <c r="B3198" t="s">
        <v>2596</v>
      </c>
      <c r="C3198" t="str">
        <f>_xlfn.XLOOKUP(A3198,[1]Affiliations!$J$2:$J$5328,[1]Affiliations!$K$2:$K$5328,0)</f>
        <v>Pontifícia Universidade Católica</v>
      </c>
      <c r="D3198">
        <v>20</v>
      </c>
      <c r="E3198">
        <v>334</v>
      </c>
      <c r="F3198">
        <v>16.7</v>
      </c>
      <c r="G3198">
        <v>10</v>
      </c>
      <c r="H3198">
        <v>0.84</v>
      </c>
      <c r="I3198">
        <v>0</v>
      </c>
      <c r="J3198">
        <v>2</v>
      </c>
      <c r="K3198">
        <v>5</v>
      </c>
      <c r="L3198">
        <v>6</v>
      </c>
      <c r="M3198">
        <v>8</v>
      </c>
      <c r="N3198">
        <v>13</v>
      </c>
      <c r="P3198">
        <v>0</v>
      </c>
      <c r="Q3198">
        <v>1</v>
      </c>
      <c r="R3198">
        <v>1</v>
      </c>
      <c r="S3198">
        <v>4</v>
      </c>
    </row>
    <row r="3199" spans="1:19" hidden="1" x14ac:dyDescent="0.35">
      <c r="A3199">
        <v>57212578576</v>
      </c>
      <c r="B3199" t="s">
        <v>3200</v>
      </c>
      <c r="C3199" t="str">
        <f>_xlfn.XLOOKUP(A3199,[1]Affiliations!$J$2:$J$5328,[1]Affiliations!$K$2:$K$5328,0)</f>
        <v>Federal University of Rio de Janeiro</v>
      </c>
      <c r="D3199">
        <v>2</v>
      </c>
      <c r="E3199">
        <v>0</v>
      </c>
      <c r="F3199">
        <v>0</v>
      </c>
      <c r="G3199">
        <v>1</v>
      </c>
      <c r="H3199">
        <v>0</v>
      </c>
      <c r="P3199">
        <v>0</v>
      </c>
      <c r="Q3199">
        <v>0</v>
      </c>
      <c r="R3199">
        <v>0</v>
      </c>
      <c r="S3199">
        <v>0</v>
      </c>
    </row>
    <row r="3200" spans="1:19" x14ac:dyDescent="0.35">
      <c r="A3200">
        <v>6506859039</v>
      </c>
      <c r="B3200" t="s">
        <v>2656</v>
      </c>
      <c r="C3200" t="str">
        <f>_xlfn.XLOOKUP(A3200,[1]Affiliations!$J$2:$J$5328,[1]Affiliations!$K$2:$K$5328,0)</f>
        <v>Universidade de São Paulo</v>
      </c>
      <c r="D3200">
        <v>49</v>
      </c>
      <c r="E3200">
        <v>725</v>
      </c>
      <c r="F3200">
        <v>14.795918</v>
      </c>
      <c r="G3200">
        <v>26</v>
      </c>
      <c r="H3200">
        <v>0.84</v>
      </c>
      <c r="I3200">
        <v>0</v>
      </c>
      <c r="J3200">
        <v>4</v>
      </c>
      <c r="K3200">
        <v>12</v>
      </c>
      <c r="L3200">
        <v>31</v>
      </c>
      <c r="M3200">
        <v>46</v>
      </c>
      <c r="N3200">
        <v>47</v>
      </c>
      <c r="P3200">
        <v>0</v>
      </c>
      <c r="Q3200">
        <v>2</v>
      </c>
      <c r="R3200">
        <v>5</v>
      </c>
      <c r="S3200">
        <v>12</v>
      </c>
    </row>
    <row r="3201" spans="1:19" hidden="1" x14ac:dyDescent="0.35">
      <c r="A3201">
        <v>57845667000</v>
      </c>
      <c r="B3201" t="s">
        <v>3202</v>
      </c>
      <c r="C3201" t="str">
        <f>_xlfn.XLOOKUP(A3201,[1]Affiliations!$J$2:$J$5328,[1]Affiliations!$K$2:$K$5328,0)</f>
        <v>SENAI Innovation Institute for Embedded Systems</v>
      </c>
      <c r="D3201">
        <v>4</v>
      </c>
      <c r="E3201">
        <v>11</v>
      </c>
      <c r="F3201">
        <v>2.75</v>
      </c>
      <c r="G3201">
        <v>2</v>
      </c>
      <c r="H3201">
        <v>0.27</v>
      </c>
      <c r="I3201">
        <v>0</v>
      </c>
      <c r="J3201">
        <v>1</v>
      </c>
      <c r="K3201">
        <v>1</v>
      </c>
      <c r="L3201">
        <v>2</v>
      </c>
      <c r="M3201">
        <v>2</v>
      </c>
      <c r="N3201">
        <v>2</v>
      </c>
      <c r="P3201">
        <v>0</v>
      </c>
      <c r="Q3201">
        <v>0</v>
      </c>
      <c r="R3201">
        <v>0</v>
      </c>
      <c r="S3201">
        <v>1</v>
      </c>
    </row>
    <row r="3202" spans="1:19" hidden="1" x14ac:dyDescent="0.35">
      <c r="A3202">
        <v>57193404458</v>
      </c>
      <c r="B3202" t="s">
        <v>3203</v>
      </c>
      <c r="C3202" t="str">
        <f>_xlfn.XLOOKUP(A3202,[1]Affiliations!$J$2:$J$5328,[1]Affiliations!$K$2:$K$5328,0)</f>
        <v>Universidade Federal do Espírito Santo</v>
      </c>
      <c r="D3202">
        <v>2</v>
      </c>
      <c r="E3202">
        <v>16</v>
      </c>
      <c r="F3202">
        <v>8</v>
      </c>
      <c r="G3202">
        <v>1</v>
      </c>
      <c r="H3202">
        <v>0.91</v>
      </c>
      <c r="I3202">
        <v>0</v>
      </c>
      <c r="J3202">
        <v>0</v>
      </c>
      <c r="K3202">
        <v>0</v>
      </c>
      <c r="L3202">
        <v>1</v>
      </c>
      <c r="M3202">
        <v>1</v>
      </c>
      <c r="N3202">
        <v>1</v>
      </c>
      <c r="P3202">
        <v>0</v>
      </c>
      <c r="Q3202">
        <v>0</v>
      </c>
      <c r="R3202">
        <v>0</v>
      </c>
      <c r="S3202">
        <v>0</v>
      </c>
    </row>
    <row r="3203" spans="1:19" hidden="1" x14ac:dyDescent="0.35">
      <c r="A3203">
        <v>57216404938</v>
      </c>
      <c r="B3203" t="s">
        <v>3204</v>
      </c>
      <c r="C3203" t="str">
        <f>_xlfn.XLOOKUP(A3203,[1]Affiliations!$J$2:$J$5328,[1]Affiliations!$K$2:$K$5328,0)</f>
        <v>University of Campinas</v>
      </c>
      <c r="D3203">
        <v>1</v>
      </c>
      <c r="E3203">
        <v>3</v>
      </c>
      <c r="F3203">
        <v>3</v>
      </c>
      <c r="G3203">
        <v>1</v>
      </c>
      <c r="H3203">
        <v>0.22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1</v>
      </c>
      <c r="P3203">
        <v>0</v>
      </c>
      <c r="Q3203">
        <v>0</v>
      </c>
      <c r="R3203">
        <v>0</v>
      </c>
      <c r="S3203">
        <v>0</v>
      </c>
    </row>
    <row r="3204" spans="1:19" hidden="1" x14ac:dyDescent="0.35">
      <c r="A3204">
        <v>59355630200</v>
      </c>
      <c r="B3204" t="s">
        <v>3205</v>
      </c>
      <c r="C3204" t="str">
        <f>_xlfn.XLOOKUP(A3204,[1]Affiliations!$J$2:$J$5328,[1]Affiliations!$K$2:$K$5328,0)</f>
        <v>Universidade Federal de São João del-Rei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P3204">
        <v>0</v>
      </c>
      <c r="Q3204">
        <v>0</v>
      </c>
      <c r="R3204">
        <v>0</v>
      </c>
      <c r="S3204">
        <v>0</v>
      </c>
    </row>
    <row r="3205" spans="1:19" x14ac:dyDescent="0.35">
      <c r="A3205">
        <v>55619738400</v>
      </c>
      <c r="B3205" t="s">
        <v>3023</v>
      </c>
      <c r="C3205" t="str">
        <f>_xlfn.XLOOKUP(A3205,[1]Affiliations!$J$2:$J$5328,[1]Affiliations!$K$2:$K$5328,0)</f>
        <v>Universidade Federal de São Paulo</v>
      </c>
      <c r="D3205">
        <v>22</v>
      </c>
      <c r="E3205">
        <v>401</v>
      </c>
      <c r="F3205">
        <v>18.227271999999999</v>
      </c>
      <c r="G3205">
        <v>12</v>
      </c>
      <c r="H3205">
        <v>0.84</v>
      </c>
      <c r="I3205">
        <v>1</v>
      </c>
      <c r="J3205">
        <v>2</v>
      </c>
      <c r="K3205">
        <v>4</v>
      </c>
      <c r="L3205">
        <v>12</v>
      </c>
      <c r="M3205">
        <v>18</v>
      </c>
      <c r="N3205">
        <v>18</v>
      </c>
      <c r="P3205">
        <v>0</v>
      </c>
      <c r="Q3205">
        <v>0</v>
      </c>
      <c r="R3205">
        <v>1</v>
      </c>
      <c r="S3205">
        <v>10</v>
      </c>
    </row>
    <row r="3206" spans="1:19" hidden="1" x14ac:dyDescent="0.35">
      <c r="A3206">
        <v>6604084939</v>
      </c>
      <c r="B3206" t="s">
        <v>3207</v>
      </c>
      <c r="C3206" t="str">
        <f>_xlfn.XLOOKUP(A3206,[1]Affiliations!$J$2:$J$5328,[1]Affiliations!$K$2:$K$5328,0)</f>
        <v>Universidade de São Paulo</v>
      </c>
      <c r="D3206">
        <v>2</v>
      </c>
      <c r="E3206">
        <v>1</v>
      </c>
      <c r="F3206">
        <v>0.5</v>
      </c>
      <c r="G3206">
        <v>2</v>
      </c>
      <c r="H3206">
        <v>0.13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1</v>
      </c>
      <c r="P3206">
        <v>0</v>
      </c>
      <c r="Q3206">
        <v>0</v>
      </c>
      <c r="R3206">
        <v>0</v>
      </c>
      <c r="S3206">
        <v>0</v>
      </c>
    </row>
    <row r="3207" spans="1:19" hidden="1" x14ac:dyDescent="0.35">
      <c r="A3207">
        <v>6603413940</v>
      </c>
      <c r="B3207" t="s">
        <v>3208</v>
      </c>
      <c r="C3207" t="str">
        <f>_xlfn.XLOOKUP(A3207,[1]Affiliations!$J$2:$J$5328,[1]Affiliations!$K$2:$K$5328,0)</f>
        <v>TRANSPETRO (+2 more)</v>
      </c>
      <c r="D3207">
        <v>1</v>
      </c>
      <c r="E3207">
        <v>0</v>
      </c>
      <c r="F3207">
        <v>0</v>
      </c>
      <c r="G3207">
        <v>12</v>
      </c>
      <c r="H3207">
        <v>0</v>
      </c>
      <c r="P3207">
        <v>0</v>
      </c>
      <c r="Q3207">
        <v>0</v>
      </c>
      <c r="R3207">
        <v>0</v>
      </c>
      <c r="S3207">
        <v>0</v>
      </c>
    </row>
    <row r="3208" spans="1:19" x14ac:dyDescent="0.35">
      <c r="A3208">
        <v>6603006173</v>
      </c>
      <c r="B3208" t="s">
        <v>3076</v>
      </c>
      <c r="C3208" t="str">
        <f>_xlfn.XLOOKUP(A3208,[1]Affiliations!$J$2:$J$5328,[1]Affiliations!$K$2:$K$5328,0)</f>
        <v>Federal University of Rio de Janeiro</v>
      </c>
      <c r="D3208">
        <v>19</v>
      </c>
      <c r="E3208">
        <v>305</v>
      </c>
      <c r="F3208">
        <v>16.052631000000002</v>
      </c>
      <c r="G3208">
        <v>17</v>
      </c>
      <c r="H3208">
        <v>0.84</v>
      </c>
      <c r="I3208">
        <v>3</v>
      </c>
      <c r="J3208">
        <v>6</v>
      </c>
      <c r="K3208">
        <v>7</v>
      </c>
      <c r="L3208">
        <v>9</v>
      </c>
      <c r="M3208">
        <v>15</v>
      </c>
      <c r="N3208">
        <v>19</v>
      </c>
      <c r="P3208">
        <v>0</v>
      </c>
      <c r="Q3208">
        <v>0</v>
      </c>
      <c r="R3208">
        <v>2</v>
      </c>
      <c r="S3208">
        <v>7</v>
      </c>
    </row>
    <row r="3209" spans="1:19" hidden="1" x14ac:dyDescent="0.35">
      <c r="A3209">
        <v>58494444900</v>
      </c>
      <c r="B3209" t="s">
        <v>3210</v>
      </c>
      <c r="C3209" t="str">
        <f>_xlfn.XLOOKUP(A3209,[1]Affiliations!$J$2:$J$5328,[1]Affiliations!$K$2:$K$5328,0)</f>
        <v>Universidade Federal de Minas Gerais</v>
      </c>
      <c r="D3209">
        <v>1</v>
      </c>
      <c r="E3209">
        <v>5</v>
      </c>
      <c r="F3209">
        <v>5</v>
      </c>
      <c r="G3209">
        <v>1</v>
      </c>
      <c r="H3209">
        <v>0.72</v>
      </c>
      <c r="I3209">
        <v>0</v>
      </c>
      <c r="J3209">
        <v>1</v>
      </c>
      <c r="K3209">
        <v>1</v>
      </c>
      <c r="L3209">
        <v>1</v>
      </c>
      <c r="M3209">
        <v>1</v>
      </c>
      <c r="N3209">
        <v>1</v>
      </c>
      <c r="P3209">
        <v>0</v>
      </c>
      <c r="Q3209">
        <v>0</v>
      </c>
      <c r="R3209">
        <v>0</v>
      </c>
      <c r="S3209">
        <v>0</v>
      </c>
    </row>
    <row r="3210" spans="1:19" hidden="1" x14ac:dyDescent="0.35">
      <c r="A3210">
        <v>55356525300</v>
      </c>
      <c r="B3210" t="s">
        <v>3211</v>
      </c>
      <c r="C3210" t="str">
        <f>_xlfn.XLOOKUP(A3210,[1]Affiliations!$J$2:$J$5328,[1]Affiliations!$K$2:$K$5328,0)</f>
        <v>Universidade de São Paulo</v>
      </c>
      <c r="D3210">
        <v>16</v>
      </c>
      <c r="E3210">
        <v>138</v>
      </c>
      <c r="F3210">
        <v>8.625</v>
      </c>
      <c r="G3210">
        <v>8</v>
      </c>
      <c r="H3210">
        <v>1.28</v>
      </c>
      <c r="I3210">
        <v>0</v>
      </c>
      <c r="J3210">
        <v>0</v>
      </c>
      <c r="K3210">
        <v>1</v>
      </c>
      <c r="L3210">
        <v>4</v>
      </c>
      <c r="M3210">
        <v>7</v>
      </c>
      <c r="N3210">
        <v>11</v>
      </c>
      <c r="P3210">
        <v>0</v>
      </c>
      <c r="Q3210">
        <v>0</v>
      </c>
      <c r="R3210">
        <v>0</v>
      </c>
      <c r="S3210">
        <v>3</v>
      </c>
    </row>
    <row r="3211" spans="1:19" hidden="1" x14ac:dyDescent="0.35">
      <c r="A3211">
        <v>7004567719</v>
      </c>
      <c r="B3211" t="s">
        <v>3212</v>
      </c>
      <c r="C3211" t="str">
        <f>_xlfn.XLOOKUP(A3211,[1]Affiliations!$J$2:$J$5328,[1]Affiliations!$K$2:$K$5328,0)</f>
        <v>Pontifical Catholic University of Rio de Janeiro (+2 more)</v>
      </c>
      <c r="D3211">
        <v>29</v>
      </c>
      <c r="E3211">
        <v>282</v>
      </c>
      <c r="F3211">
        <v>9.7241379999999999</v>
      </c>
      <c r="G3211">
        <v>10</v>
      </c>
      <c r="H3211">
        <v>0.53</v>
      </c>
      <c r="I3211">
        <v>0</v>
      </c>
      <c r="J3211">
        <v>7</v>
      </c>
      <c r="K3211">
        <v>10</v>
      </c>
      <c r="L3211">
        <v>17</v>
      </c>
      <c r="M3211">
        <v>22</v>
      </c>
      <c r="N3211">
        <v>24</v>
      </c>
      <c r="P3211">
        <v>0</v>
      </c>
      <c r="Q3211">
        <v>0</v>
      </c>
      <c r="R3211">
        <v>0</v>
      </c>
      <c r="S3211">
        <v>7</v>
      </c>
    </row>
    <row r="3212" spans="1:19" hidden="1" x14ac:dyDescent="0.35">
      <c r="A3212">
        <v>59161393300</v>
      </c>
      <c r="B3212" t="s">
        <v>3213</v>
      </c>
      <c r="C3212" t="str">
        <f>_xlfn.XLOOKUP(A3212,[1]Affiliations!$J$2:$J$5328,[1]Affiliations!$K$2:$K$5328,0)</f>
        <v>Federal University of Rio de Janeiro</v>
      </c>
      <c r="D3212">
        <v>1</v>
      </c>
      <c r="E3212">
        <v>1</v>
      </c>
      <c r="F3212">
        <v>1</v>
      </c>
      <c r="G3212">
        <v>1</v>
      </c>
      <c r="H3212">
        <v>0.13</v>
      </c>
      <c r="I3212">
        <v>0</v>
      </c>
      <c r="J3212">
        <v>0</v>
      </c>
      <c r="K3212">
        <v>1</v>
      </c>
      <c r="L3212">
        <v>1</v>
      </c>
      <c r="M3212">
        <v>1</v>
      </c>
      <c r="N3212">
        <v>1</v>
      </c>
      <c r="P3212">
        <v>0</v>
      </c>
      <c r="Q3212">
        <v>0</v>
      </c>
      <c r="R3212">
        <v>0</v>
      </c>
      <c r="S3212">
        <v>0</v>
      </c>
    </row>
    <row r="3213" spans="1:19" x14ac:dyDescent="0.35">
      <c r="A3213">
        <v>57192872180</v>
      </c>
      <c r="B3213" t="s">
        <v>3089</v>
      </c>
      <c r="C3213" t="str">
        <f>_xlfn.XLOOKUP(A3213,[1]Affiliations!$J$2:$J$5328,[1]Affiliations!$K$2:$K$5328,0)</f>
        <v>Universidade Federal de Pernambuco</v>
      </c>
      <c r="D3213">
        <v>40</v>
      </c>
      <c r="E3213">
        <v>476</v>
      </c>
      <c r="F3213">
        <v>11.9</v>
      </c>
      <c r="G3213">
        <v>10</v>
      </c>
      <c r="H3213">
        <v>0.84</v>
      </c>
      <c r="I3213">
        <v>0</v>
      </c>
      <c r="J3213">
        <v>5</v>
      </c>
      <c r="K3213">
        <v>8</v>
      </c>
      <c r="L3213">
        <v>13</v>
      </c>
      <c r="M3213">
        <v>19</v>
      </c>
      <c r="N3213">
        <v>20</v>
      </c>
      <c r="P3213">
        <v>0</v>
      </c>
      <c r="Q3213">
        <v>2</v>
      </c>
      <c r="R3213">
        <v>4</v>
      </c>
      <c r="S3213">
        <v>12</v>
      </c>
    </row>
    <row r="3214" spans="1:19" hidden="1" x14ac:dyDescent="0.35">
      <c r="A3214">
        <v>60122896100</v>
      </c>
      <c r="B3214" t="s">
        <v>3215</v>
      </c>
      <c r="C3214" t="str">
        <f>_xlfn.XLOOKUP(A3214,[1]Affiliations!$J$2:$J$5328,[1]Affiliations!$K$2:$K$5328,0)</f>
        <v>University of Campinas</v>
      </c>
      <c r="D3214">
        <v>0</v>
      </c>
      <c r="G3214">
        <v>0</v>
      </c>
    </row>
    <row r="3215" spans="1:19" hidden="1" x14ac:dyDescent="0.35">
      <c r="A3215">
        <v>57194206463</v>
      </c>
      <c r="B3215" t="s">
        <v>3216</v>
      </c>
      <c r="C3215" t="str">
        <f>_xlfn.XLOOKUP(A3215,[1]Affiliations!$J$2:$J$5328,[1]Affiliations!$K$2:$K$5328,0)</f>
        <v>Federal University of Rio de Janeiro</v>
      </c>
      <c r="D3215">
        <v>0</v>
      </c>
      <c r="G3215">
        <v>1</v>
      </c>
    </row>
    <row r="3216" spans="1:19" hidden="1" x14ac:dyDescent="0.35">
      <c r="A3216">
        <v>56996068900</v>
      </c>
      <c r="B3216" t="s">
        <v>3217</v>
      </c>
      <c r="C3216" t="str">
        <f>_xlfn.XLOOKUP(A3216,[1]Affiliations!$J$2:$J$5328,[1]Affiliations!$K$2:$K$5328,0)</f>
        <v>Pontifical Catholic University of Rio de Janeiro (+1 more)</v>
      </c>
      <c r="D3216">
        <v>10</v>
      </c>
      <c r="E3216">
        <v>57</v>
      </c>
      <c r="F3216">
        <v>5.7</v>
      </c>
      <c r="G3216">
        <v>5</v>
      </c>
      <c r="H3216">
        <v>0.4</v>
      </c>
      <c r="I3216">
        <v>0</v>
      </c>
      <c r="J3216">
        <v>0</v>
      </c>
      <c r="K3216">
        <v>2</v>
      </c>
      <c r="L3216">
        <v>2</v>
      </c>
      <c r="M3216">
        <v>3</v>
      </c>
      <c r="N3216">
        <v>4</v>
      </c>
      <c r="P3216">
        <v>0</v>
      </c>
      <c r="Q3216">
        <v>0</v>
      </c>
      <c r="R3216">
        <v>0</v>
      </c>
      <c r="S3216">
        <v>1</v>
      </c>
    </row>
    <row r="3217" spans="1:19" hidden="1" x14ac:dyDescent="0.35">
      <c r="A3217">
        <v>59761851900</v>
      </c>
      <c r="B3217" t="s">
        <v>3218</v>
      </c>
      <c r="C3217" t="str">
        <f>_xlfn.XLOOKUP(A3217,[1]Affiliations!$J$2:$J$5328,[1]Affiliations!$K$2:$K$5328,0)</f>
        <v>Pontifical Catholic University of Rio de Janeiro</v>
      </c>
      <c r="D3217">
        <v>0</v>
      </c>
      <c r="G3217">
        <v>0</v>
      </c>
    </row>
    <row r="3218" spans="1:19" hidden="1" x14ac:dyDescent="0.35">
      <c r="A3218">
        <v>57324188300</v>
      </c>
      <c r="B3218" t="s">
        <v>3219</v>
      </c>
      <c r="C3218" t="str">
        <f>_xlfn.XLOOKUP(A3218,[1]Affiliations!$J$2:$J$5328,[1]Affiliations!$K$2:$K$5328,0)</f>
        <v>Pontifical Catholic University of Rio de Janeiro</v>
      </c>
      <c r="D3218">
        <v>1</v>
      </c>
      <c r="E3218">
        <v>6</v>
      </c>
      <c r="F3218">
        <v>6</v>
      </c>
      <c r="G3218">
        <v>1</v>
      </c>
      <c r="H3218">
        <v>0.17</v>
      </c>
      <c r="I3218">
        <v>0</v>
      </c>
      <c r="J3218">
        <v>0</v>
      </c>
      <c r="K3218">
        <v>1</v>
      </c>
      <c r="L3218">
        <v>1</v>
      </c>
      <c r="M3218">
        <v>1</v>
      </c>
      <c r="N3218">
        <v>1</v>
      </c>
      <c r="P3218">
        <v>0</v>
      </c>
      <c r="Q3218">
        <v>0</v>
      </c>
      <c r="R3218">
        <v>0</v>
      </c>
      <c r="S3218">
        <v>0</v>
      </c>
    </row>
    <row r="3219" spans="1:19" hidden="1" x14ac:dyDescent="0.35">
      <c r="A3219">
        <v>7005129218</v>
      </c>
      <c r="B3219" t="s">
        <v>3220</v>
      </c>
      <c r="C3219" t="str">
        <f>_xlfn.XLOOKUP(A3219,[1]Affiliations!$J$2:$J$5328,[1]Affiliations!$K$2:$K$5328,0)</f>
        <v>University of Campinas</v>
      </c>
      <c r="D3219">
        <v>4</v>
      </c>
      <c r="E3219">
        <v>29</v>
      </c>
      <c r="F3219">
        <v>7.25</v>
      </c>
      <c r="G3219">
        <v>7</v>
      </c>
      <c r="H3219">
        <v>0.53</v>
      </c>
      <c r="I3219">
        <v>0</v>
      </c>
      <c r="J3219">
        <v>0</v>
      </c>
      <c r="K3219">
        <v>1</v>
      </c>
      <c r="L3219">
        <v>2</v>
      </c>
      <c r="M3219">
        <v>3</v>
      </c>
      <c r="N3219">
        <v>4</v>
      </c>
      <c r="P3219">
        <v>0</v>
      </c>
      <c r="Q3219">
        <v>0</v>
      </c>
      <c r="R3219">
        <v>0</v>
      </c>
      <c r="S3219">
        <v>0</v>
      </c>
    </row>
    <row r="3220" spans="1:19" hidden="1" x14ac:dyDescent="0.35">
      <c r="A3220">
        <v>60078134900</v>
      </c>
      <c r="B3220" t="s">
        <v>3221</v>
      </c>
      <c r="C3220" t="str">
        <f>_xlfn.XLOOKUP(A3220,[1]Affiliations!$J$2:$J$5328,[1]Affiliations!$K$2:$K$5328,0)</f>
        <v>Universidade Federal de Goiás</v>
      </c>
      <c r="D3220">
        <v>0</v>
      </c>
      <c r="G3220">
        <v>0</v>
      </c>
    </row>
    <row r="3221" spans="1:19" hidden="1" x14ac:dyDescent="0.35">
      <c r="A3221">
        <v>59025415100</v>
      </c>
      <c r="B3221" t="s">
        <v>3222</v>
      </c>
      <c r="C3221" t="str">
        <f>_xlfn.XLOOKUP(A3221,[1]Affiliations!$J$2:$J$5328,[1]Affiliations!$K$2:$K$5328,0)</f>
        <v>Universidade de Brasília</v>
      </c>
      <c r="D3221">
        <v>3</v>
      </c>
      <c r="E3221">
        <v>13</v>
      </c>
      <c r="F3221">
        <v>4.3333335000000002</v>
      </c>
      <c r="G3221">
        <v>1</v>
      </c>
      <c r="H3221">
        <v>0.45</v>
      </c>
      <c r="I3221">
        <v>0</v>
      </c>
      <c r="J3221">
        <v>0</v>
      </c>
      <c r="K3221">
        <v>0</v>
      </c>
      <c r="L3221">
        <v>1</v>
      </c>
      <c r="M3221">
        <v>1</v>
      </c>
      <c r="N3221">
        <v>3</v>
      </c>
      <c r="P3221">
        <v>0</v>
      </c>
      <c r="Q3221">
        <v>0</v>
      </c>
      <c r="R3221">
        <v>0</v>
      </c>
      <c r="S3221">
        <v>1</v>
      </c>
    </row>
    <row r="3222" spans="1:19" hidden="1" x14ac:dyDescent="0.35">
      <c r="A3222">
        <v>57526101200</v>
      </c>
      <c r="B3222" t="s">
        <v>3223</v>
      </c>
      <c r="C3222" t="str">
        <f>_xlfn.XLOOKUP(A3222,[1]Affiliations!$J$2:$J$5328,[1]Affiliations!$K$2:$K$5328,0)</f>
        <v>Universidade de Brasília</v>
      </c>
      <c r="D3222">
        <v>1</v>
      </c>
      <c r="E3222">
        <v>7</v>
      </c>
      <c r="F3222">
        <v>7</v>
      </c>
      <c r="G3222">
        <v>1</v>
      </c>
      <c r="H3222">
        <v>0.49</v>
      </c>
      <c r="I3222">
        <v>0</v>
      </c>
      <c r="J3222">
        <v>0</v>
      </c>
      <c r="K3222">
        <v>1</v>
      </c>
      <c r="L3222">
        <v>1</v>
      </c>
      <c r="M3222">
        <v>1</v>
      </c>
      <c r="N3222">
        <v>1</v>
      </c>
      <c r="P3222">
        <v>0</v>
      </c>
      <c r="Q3222">
        <v>0</v>
      </c>
      <c r="R3222">
        <v>0</v>
      </c>
      <c r="S3222">
        <v>0</v>
      </c>
    </row>
    <row r="3223" spans="1:19" hidden="1" x14ac:dyDescent="0.35">
      <c r="A3223">
        <v>58971210900</v>
      </c>
      <c r="B3223" t="s">
        <v>3224</v>
      </c>
      <c r="C3223" t="str">
        <f>_xlfn.XLOOKUP(A3223,[1]Affiliations!$J$2:$J$5328,[1]Affiliations!$K$2:$K$5328,0)</f>
        <v>Universidade Federal de Goiás</v>
      </c>
      <c r="D3223">
        <v>5</v>
      </c>
      <c r="E3223">
        <v>9</v>
      </c>
      <c r="F3223">
        <v>1.8</v>
      </c>
      <c r="G3223">
        <v>2</v>
      </c>
      <c r="H3223">
        <v>0.35</v>
      </c>
      <c r="I3223">
        <v>0</v>
      </c>
      <c r="J3223">
        <v>1</v>
      </c>
      <c r="K3223">
        <v>1</v>
      </c>
      <c r="L3223">
        <v>1</v>
      </c>
      <c r="M3223">
        <v>1</v>
      </c>
      <c r="N3223">
        <v>5</v>
      </c>
      <c r="P3223">
        <v>0</v>
      </c>
      <c r="Q3223">
        <v>0</v>
      </c>
      <c r="R3223">
        <v>0</v>
      </c>
      <c r="S3223">
        <v>1</v>
      </c>
    </row>
    <row r="3224" spans="1:19" hidden="1" x14ac:dyDescent="0.35">
      <c r="A3224">
        <v>37104517500</v>
      </c>
      <c r="B3224" t="s">
        <v>3225</v>
      </c>
      <c r="C3224" t="str">
        <f>_xlfn.XLOOKUP(A3224,[1]Affiliations!$J$2:$J$5328,[1]Affiliations!$K$2:$K$5328,0)</f>
        <v>Universidade Federal do Rio Grande do Sul (+2 more)</v>
      </c>
      <c r="D3224">
        <v>9</v>
      </c>
      <c r="E3224">
        <v>49</v>
      </c>
      <c r="F3224">
        <v>5.4444447</v>
      </c>
      <c r="G3224">
        <v>5</v>
      </c>
      <c r="H3224">
        <v>0.53</v>
      </c>
      <c r="I3224">
        <v>0</v>
      </c>
      <c r="J3224">
        <v>0</v>
      </c>
      <c r="K3224">
        <v>0</v>
      </c>
      <c r="L3224">
        <v>1</v>
      </c>
      <c r="M3224">
        <v>3</v>
      </c>
      <c r="N3224">
        <v>5</v>
      </c>
      <c r="P3224">
        <v>0</v>
      </c>
      <c r="Q3224">
        <v>0</v>
      </c>
      <c r="R3224">
        <v>0</v>
      </c>
      <c r="S3224">
        <v>1</v>
      </c>
    </row>
    <row r="3225" spans="1:19" hidden="1" x14ac:dyDescent="0.35">
      <c r="A3225">
        <v>57445402700</v>
      </c>
      <c r="B3225" t="s">
        <v>3226</v>
      </c>
      <c r="C3225" t="str">
        <f>_xlfn.XLOOKUP(A3225,[1]Affiliations!$J$2:$J$5328,[1]Affiliations!$K$2:$K$5328,0)</f>
        <v>Pontifical Catholic University of Rio de Janeiro</v>
      </c>
      <c r="D3225">
        <v>2</v>
      </c>
      <c r="E3225">
        <v>6</v>
      </c>
      <c r="F3225">
        <v>3</v>
      </c>
      <c r="G3225">
        <v>2</v>
      </c>
      <c r="H3225">
        <v>0.31</v>
      </c>
      <c r="I3225">
        <v>0</v>
      </c>
      <c r="J3225">
        <v>0</v>
      </c>
      <c r="K3225">
        <v>0</v>
      </c>
      <c r="L3225">
        <v>0</v>
      </c>
      <c r="M3225">
        <v>2</v>
      </c>
      <c r="N3225">
        <v>2</v>
      </c>
      <c r="P3225">
        <v>0</v>
      </c>
      <c r="Q3225">
        <v>0</v>
      </c>
      <c r="R3225">
        <v>0</v>
      </c>
      <c r="S3225">
        <v>0</v>
      </c>
    </row>
    <row r="3226" spans="1:19" x14ac:dyDescent="0.35">
      <c r="A3226">
        <v>57188808808</v>
      </c>
      <c r="B3226" t="s">
        <v>3141</v>
      </c>
      <c r="C3226" t="str">
        <f>_xlfn.XLOOKUP(A3226,[1]Affiliations!$J$2:$J$5328,[1]Affiliations!$K$2:$K$5328,0)</f>
        <v>Federal University of Santa Catarina</v>
      </c>
      <c r="D3226">
        <v>6</v>
      </c>
      <c r="E3226">
        <v>181</v>
      </c>
      <c r="F3226">
        <v>30.166665999999999</v>
      </c>
      <c r="G3226">
        <v>4</v>
      </c>
      <c r="H3226">
        <v>0.84</v>
      </c>
      <c r="I3226">
        <v>0</v>
      </c>
      <c r="J3226">
        <v>0</v>
      </c>
      <c r="K3226">
        <v>1</v>
      </c>
      <c r="L3226">
        <v>3</v>
      </c>
      <c r="M3226">
        <v>5</v>
      </c>
      <c r="N3226">
        <v>6</v>
      </c>
      <c r="P3226">
        <v>0</v>
      </c>
      <c r="Q3226">
        <v>1</v>
      </c>
      <c r="R3226">
        <v>2</v>
      </c>
      <c r="S3226">
        <v>3</v>
      </c>
    </row>
    <row r="3227" spans="1:19" x14ac:dyDescent="0.35">
      <c r="A3227">
        <v>35325262400</v>
      </c>
      <c r="B3227" t="s">
        <v>3431</v>
      </c>
      <c r="C3227" t="str">
        <f>_xlfn.XLOOKUP(A3227,[1]Affiliations!$J$2:$J$5328,[1]Affiliations!$K$2:$K$5328,0)</f>
        <v>Universidade Estadual Paulista “Júlio de Mesquita Filho” (+1 more)</v>
      </c>
      <c r="D3227">
        <v>73</v>
      </c>
      <c r="E3227">
        <v>727</v>
      </c>
      <c r="F3227">
        <v>9.9589040000000004</v>
      </c>
      <c r="G3227">
        <v>20</v>
      </c>
      <c r="H3227">
        <v>0.84</v>
      </c>
      <c r="I3227">
        <v>4</v>
      </c>
      <c r="J3227">
        <v>6</v>
      </c>
      <c r="K3227">
        <v>17</v>
      </c>
      <c r="L3227">
        <v>26</v>
      </c>
      <c r="M3227">
        <v>30</v>
      </c>
      <c r="N3227">
        <v>34</v>
      </c>
      <c r="P3227">
        <v>0</v>
      </c>
      <c r="Q3227">
        <v>1</v>
      </c>
      <c r="R3227">
        <v>5</v>
      </c>
      <c r="S3227">
        <v>15</v>
      </c>
    </row>
    <row r="3228" spans="1:19" x14ac:dyDescent="0.35">
      <c r="A3228">
        <v>7202298272</v>
      </c>
      <c r="B3228" t="s">
        <v>3668</v>
      </c>
      <c r="C3228" t="str">
        <f>_xlfn.XLOOKUP(A3228,[1]Affiliations!$J$2:$J$5328,[1]Affiliations!$K$2:$K$5328,0)</f>
        <v>Universidade Federal de Pelotas</v>
      </c>
      <c r="D3228">
        <v>109</v>
      </c>
      <c r="E3228">
        <v>2758</v>
      </c>
      <c r="F3228">
        <v>25.302752000000002</v>
      </c>
      <c r="G3228">
        <v>35</v>
      </c>
      <c r="H3228">
        <v>0.84</v>
      </c>
      <c r="I3228">
        <v>3</v>
      </c>
      <c r="J3228">
        <v>9</v>
      </c>
      <c r="K3228">
        <v>16</v>
      </c>
      <c r="L3228">
        <v>34</v>
      </c>
      <c r="M3228">
        <v>69</v>
      </c>
      <c r="N3228">
        <v>90</v>
      </c>
      <c r="P3228">
        <v>3</v>
      </c>
      <c r="Q3228">
        <v>8</v>
      </c>
      <c r="R3228">
        <v>13</v>
      </c>
      <c r="S3228">
        <v>32</v>
      </c>
    </row>
    <row r="3229" spans="1:19" x14ac:dyDescent="0.35">
      <c r="A3229">
        <v>59266968800</v>
      </c>
      <c r="B3229" t="s">
        <v>4239</v>
      </c>
      <c r="C3229" t="str">
        <f>_xlfn.XLOOKUP(A3229,[1]Affiliations!$J$2:$J$5328,[1]Affiliations!$K$2:$K$5328,0)</f>
        <v>Empresa Brasileira de Pesquisa Agropecuária</v>
      </c>
      <c r="D3229">
        <v>6</v>
      </c>
      <c r="E3229">
        <v>91</v>
      </c>
      <c r="F3229">
        <v>15.166667</v>
      </c>
      <c r="G3229">
        <v>5</v>
      </c>
      <c r="H3229">
        <v>0.84</v>
      </c>
      <c r="I3229">
        <v>0</v>
      </c>
      <c r="J3229">
        <v>0</v>
      </c>
      <c r="K3229">
        <v>1</v>
      </c>
      <c r="L3229">
        <v>2</v>
      </c>
      <c r="M3229">
        <v>3</v>
      </c>
      <c r="N3229">
        <v>5</v>
      </c>
      <c r="P3229">
        <v>0</v>
      </c>
      <c r="Q3229">
        <v>0</v>
      </c>
      <c r="R3229">
        <v>1</v>
      </c>
      <c r="S3229">
        <v>2</v>
      </c>
    </row>
    <row r="3230" spans="1:19" hidden="1" x14ac:dyDescent="0.35">
      <c r="A3230">
        <v>56904258800</v>
      </c>
      <c r="B3230" t="s">
        <v>3231</v>
      </c>
      <c r="C3230" t="str">
        <f>_xlfn.XLOOKUP(A3230,[1]Affiliations!$J$2:$J$5328,[1]Affiliations!$K$2:$K$5328,0)</f>
        <v>Universidade Federal do Rio Grande do Sul (+1 more)</v>
      </c>
      <c r="D3230">
        <v>4</v>
      </c>
      <c r="E3230">
        <v>70</v>
      </c>
      <c r="F3230">
        <v>17.5</v>
      </c>
      <c r="G3230">
        <v>2</v>
      </c>
      <c r="H3230">
        <v>0.51</v>
      </c>
      <c r="I3230">
        <v>0</v>
      </c>
      <c r="J3230">
        <v>1</v>
      </c>
      <c r="K3230">
        <v>1</v>
      </c>
      <c r="L3230">
        <v>2</v>
      </c>
      <c r="M3230">
        <v>2</v>
      </c>
      <c r="N3230">
        <v>2</v>
      </c>
      <c r="P3230">
        <v>0</v>
      </c>
      <c r="Q3230">
        <v>0</v>
      </c>
      <c r="R3230">
        <v>0</v>
      </c>
      <c r="S3230">
        <v>2</v>
      </c>
    </row>
    <row r="3231" spans="1:19" hidden="1" x14ac:dyDescent="0.35">
      <c r="A3231">
        <v>36956987000</v>
      </c>
      <c r="B3231" t="s">
        <v>3232</v>
      </c>
      <c r="C3231" t="str">
        <f>_xlfn.XLOOKUP(A3231,[1]Affiliations!$J$2:$J$5328,[1]Affiliations!$K$2:$K$5328,0)</f>
        <v>Universidade de São Paulo</v>
      </c>
      <c r="D3231">
        <v>9</v>
      </c>
      <c r="E3231">
        <v>71</v>
      </c>
      <c r="F3231">
        <v>7.8888889999999998</v>
      </c>
      <c r="G3231">
        <v>6</v>
      </c>
      <c r="H3231">
        <v>0.56999999999999995</v>
      </c>
      <c r="I3231">
        <v>0</v>
      </c>
      <c r="J3231">
        <v>0</v>
      </c>
      <c r="K3231">
        <v>1</v>
      </c>
      <c r="L3231">
        <v>4</v>
      </c>
      <c r="M3231">
        <v>4</v>
      </c>
      <c r="N3231">
        <v>5</v>
      </c>
      <c r="P3231">
        <v>0</v>
      </c>
      <c r="Q3231">
        <v>0</v>
      </c>
      <c r="R3231">
        <v>0</v>
      </c>
      <c r="S3231">
        <v>2</v>
      </c>
    </row>
    <row r="3232" spans="1:19" x14ac:dyDescent="0.35">
      <c r="A3232">
        <v>57044432000</v>
      </c>
      <c r="B3232" t="s">
        <v>4426</v>
      </c>
      <c r="C3232" t="str">
        <f>_xlfn.XLOOKUP(A3232,[1]Affiliations!$J$2:$J$5328,[1]Affiliations!$K$2:$K$5328,0)</f>
        <v>Wood Group Engineering and Production Facilities Brasil LTDA (+3 more)</v>
      </c>
      <c r="D3232">
        <v>8</v>
      </c>
      <c r="E3232">
        <v>171</v>
      </c>
      <c r="F3232">
        <v>21.375</v>
      </c>
      <c r="G3232">
        <v>7</v>
      </c>
      <c r="H3232">
        <v>0.84</v>
      </c>
      <c r="I3232">
        <v>0</v>
      </c>
      <c r="J3232">
        <v>1</v>
      </c>
      <c r="K3232">
        <v>2</v>
      </c>
      <c r="L3232">
        <v>6</v>
      </c>
      <c r="M3232">
        <v>7</v>
      </c>
      <c r="N3232">
        <v>7</v>
      </c>
      <c r="P3232">
        <v>0</v>
      </c>
      <c r="Q3232">
        <v>0</v>
      </c>
      <c r="R3232">
        <v>1</v>
      </c>
      <c r="S3232">
        <v>5</v>
      </c>
    </row>
    <row r="3233" spans="1:19" hidden="1" x14ac:dyDescent="0.35">
      <c r="A3233">
        <v>55946325100</v>
      </c>
      <c r="B3233" t="s">
        <v>3234</v>
      </c>
      <c r="C3233" t="str">
        <f>_xlfn.XLOOKUP(A3233,[1]Affiliations!$J$2:$J$5328,[1]Affiliations!$K$2:$K$5328,0)</f>
        <v>Pontifical Catholic University of Rio de Janeiro (+1 more)</v>
      </c>
      <c r="D3233">
        <v>7</v>
      </c>
      <c r="E3233">
        <v>44</v>
      </c>
      <c r="F3233">
        <v>6.2857139999999996</v>
      </c>
      <c r="G3233">
        <v>4</v>
      </c>
      <c r="H3233">
        <v>0.26</v>
      </c>
      <c r="I3233">
        <v>0</v>
      </c>
      <c r="J3233">
        <v>0</v>
      </c>
      <c r="K3233">
        <v>1</v>
      </c>
      <c r="L3233">
        <v>4</v>
      </c>
      <c r="M3233">
        <v>5</v>
      </c>
      <c r="N3233">
        <v>6</v>
      </c>
      <c r="P3233">
        <v>0</v>
      </c>
      <c r="Q3233">
        <v>0</v>
      </c>
      <c r="R3233">
        <v>0</v>
      </c>
      <c r="S3233">
        <v>0</v>
      </c>
    </row>
    <row r="3234" spans="1:19" x14ac:dyDescent="0.35">
      <c r="A3234">
        <v>57194526397</v>
      </c>
      <c r="B3234" t="s">
        <v>4802</v>
      </c>
      <c r="C3234" t="str">
        <f>_xlfn.XLOOKUP(A3234,[1]Affiliations!$J$2:$J$5328,[1]Affiliations!$K$2:$K$5328,0)</f>
        <v>Universidade de São Paulo</v>
      </c>
      <c r="D3234">
        <v>28</v>
      </c>
      <c r="E3234">
        <v>373</v>
      </c>
      <c r="F3234">
        <v>13.321427999999999</v>
      </c>
      <c r="G3234">
        <v>12</v>
      </c>
      <c r="H3234">
        <v>0.84</v>
      </c>
      <c r="I3234">
        <v>3</v>
      </c>
      <c r="J3234">
        <v>13</v>
      </c>
      <c r="K3234">
        <v>15</v>
      </c>
      <c r="L3234">
        <v>17</v>
      </c>
      <c r="M3234">
        <v>23</v>
      </c>
      <c r="N3234">
        <v>26</v>
      </c>
      <c r="P3234">
        <v>0</v>
      </c>
      <c r="Q3234">
        <v>0</v>
      </c>
      <c r="R3234">
        <v>2</v>
      </c>
      <c r="S3234">
        <v>15</v>
      </c>
    </row>
    <row r="3235" spans="1:19" hidden="1" x14ac:dyDescent="0.35">
      <c r="A3235">
        <v>56180444100</v>
      </c>
      <c r="B3235" t="s">
        <v>3236</v>
      </c>
      <c r="C3235" t="str">
        <f>_xlfn.XLOOKUP(A3235,[1]Affiliations!$J$2:$J$5328,[1]Affiliations!$K$2:$K$5328,0)</f>
        <v>Universidade de Caxias do Sul</v>
      </c>
      <c r="D3235">
        <v>1</v>
      </c>
      <c r="E3235">
        <v>4</v>
      </c>
      <c r="F3235">
        <v>4</v>
      </c>
      <c r="G3235">
        <v>4</v>
      </c>
      <c r="H3235">
        <v>0.22</v>
      </c>
      <c r="I3235">
        <v>0</v>
      </c>
      <c r="J3235">
        <v>0</v>
      </c>
      <c r="K3235">
        <v>0</v>
      </c>
      <c r="L3235">
        <v>0</v>
      </c>
      <c r="M3235">
        <v>1</v>
      </c>
      <c r="N3235">
        <v>1</v>
      </c>
      <c r="P3235">
        <v>0</v>
      </c>
      <c r="Q3235">
        <v>0</v>
      </c>
      <c r="R3235">
        <v>0</v>
      </c>
      <c r="S3235">
        <v>0</v>
      </c>
    </row>
    <row r="3236" spans="1:19" hidden="1" x14ac:dyDescent="0.35">
      <c r="A3236">
        <v>58608612000</v>
      </c>
      <c r="B3236" t="s">
        <v>3237</v>
      </c>
      <c r="C3236" t="str">
        <f>_xlfn.XLOOKUP(A3236,[1]Affiliations!$J$2:$J$5328,[1]Affiliations!$K$2:$K$5328,0)</f>
        <v>Instituto Militar de Engenharia</v>
      </c>
      <c r="D3236">
        <v>2</v>
      </c>
      <c r="E3236">
        <v>11</v>
      </c>
      <c r="F3236">
        <v>5.5</v>
      </c>
      <c r="G3236">
        <v>4</v>
      </c>
      <c r="H3236">
        <v>0.9</v>
      </c>
      <c r="I3236">
        <v>0</v>
      </c>
      <c r="J3236">
        <v>0</v>
      </c>
      <c r="K3236">
        <v>0</v>
      </c>
      <c r="L3236">
        <v>1</v>
      </c>
      <c r="M3236">
        <v>2</v>
      </c>
      <c r="N3236">
        <v>2</v>
      </c>
      <c r="P3236">
        <v>0</v>
      </c>
      <c r="Q3236">
        <v>0</v>
      </c>
      <c r="R3236">
        <v>0</v>
      </c>
      <c r="S3236">
        <v>1</v>
      </c>
    </row>
    <row r="3237" spans="1:19" hidden="1" x14ac:dyDescent="0.35">
      <c r="A3237">
        <v>57203022971</v>
      </c>
      <c r="B3237" t="s">
        <v>3238</v>
      </c>
      <c r="C3237" t="str">
        <f>_xlfn.XLOOKUP(A3237,[1]Affiliations!$J$2:$J$5328,[1]Affiliations!$K$2:$K$5328,0)</f>
        <v>SENAI Innovation Institute for Embedded Systems</v>
      </c>
      <c r="D3237">
        <v>2</v>
      </c>
      <c r="E3237">
        <v>9</v>
      </c>
      <c r="F3237">
        <v>4.5</v>
      </c>
      <c r="G3237">
        <v>1</v>
      </c>
      <c r="H3237">
        <v>0.53</v>
      </c>
      <c r="P3237">
        <v>0</v>
      </c>
      <c r="Q3237">
        <v>0</v>
      </c>
      <c r="R3237">
        <v>0</v>
      </c>
      <c r="S3237">
        <v>0</v>
      </c>
    </row>
    <row r="3238" spans="1:19" x14ac:dyDescent="0.35">
      <c r="A3238">
        <v>7102354540</v>
      </c>
      <c r="B3238" t="s">
        <v>4858</v>
      </c>
      <c r="C3238" t="str">
        <f>_xlfn.XLOOKUP(A3238,[1]Affiliations!$J$2:$J$5328,[1]Affiliations!$K$2:$K$5328,0)</f>
        <v>Federal University of Rio de Janeiro</v>
      </c>
      <c r="D3238">
        <v>46</v>
      </c>
      <c r="E3238">
        <v>1173</v>
      </c>
      <c r="F3238">
        <v>25.5</v>
      </c>
      <c r="G3238">
        <v>36</v>
      </c>
      <c r="H3238">
        <v>0.84</v>
      </c>
      <c r="I3238">
        <v>2</v>
      </c>
      <c r="J3238">
        <v>5</v>
      </c>
      <c r="K3238">
        <v>13</v>
      </c>
      <c r="L3238">
        <v>27</v>
      </c>
      <c r="M3238">
        <v>43</v>
      </c>
      <c r="N3238">
        <v>44</v>
      </c>
      <c r="P3238">
        <v>0</v>
      </c>
      <c r="Q3238">
        <v>3</v>
      </c>
      <c r="R3238">
        <v>11</v>
      </c>
      <c r="S3238">
        <v>23</v>
      </c>
    </row>
    <row r="3239" spans="1:19" x14ac:dyDescent="0.35">
      <c r="A3239">
        <v>57217434837</v>
      </c>
      <c r="B3239" t="s">
        <v>24</v>
      </c>
      <c r="C3239" t="str">
        <f>_xlfn.XLOOKUP(A3239,[1]Affiliations!$J$2:$J$5328,[1]Affiliations!$K$2:$K$5328,0)</f>
        <v>Universidade de São Paulo</v>
      </c>
      <c r="D3239">
        <v>20</v>
      </c>
      <c r="E3239">
        <v>89</v>
      </c>
      <c r="F3239">
        <v>4.45</v>
      </c>
      <c r="G3239">
        <v>5</v>
      </c>
      <c r="H3239">
        <v>0.83</v>
      </c>
      <c r="I3239">
        <v>0</v>
      </c>
      <c r="J3239">
        <v>1</v>
      </c>
      <c r="K3239">
        <v>1</v>
      </c>
      <c r="L3239">
        <v>2</v>
      </c>
      <c r="M3239">
        <v>4</v>
      </c>
      <c r="N3239">
        <v>10</v>
      </c>
      <c r="P3239">
        <v>0</v>
      </c>
      <c r="Q3239">
        <v>0</v>
      </c>
      <c r="R3239">
        <v>1</v>
      </c>
      <c r="S3239">
        <v>1</v>
      </c>
    </row>
    <row r="3240" spans="1:19" hidden="1" x14ac:dyDescent="0.35">
      <c r="A3240">
        <v>9335178600</v>
      </c>
      <c r="B3240" t="s">
        <v>3241</v>
      </c>
      <c r="C3240" t="str">
        <f>_xlfn.XLOOKUP(A3240,[1]Affiliations!$J$2:$J$5328,[1]Affiliations!$K$2:$K$5328,0)</f>
        <v>Universidade Federal Rural do Rio de Janeiro (+1 more)</v>
      </c>
      <c r="D3240">
        <v>3</v>
      </c>
      <c r="E3240">
        <v>13</v>
      </c>
      <c r="F3240">
        <v>4.3333335000000002</v>
      </c>
      <c r="G3240">
        <v>11</v>
      </c>
      <c r="H3240">
        <v>0.34</v>
      </c>
      <c r="I3240">
        <v>0</v>
      </c>
      <c r="J3240">
        <v>0</v>
      </c>
      <c r="K3240">
        <v>0</v>
      </c>
      <c r="L3240">
        <v>1</v>
      </c>
      <c r="M3240">
        <v>2</v>
      </c>
      <c r="N3240">
        <v>3</v>
      </c>
      <c r="P3240">
        <v>0</v>
      </c>
      <c r="Q3240">
        <v>0</v>
      </c>
      <c r="R3240">
        <v>0</v>
      </c>
      <c r="S3240">
        <v>0</v>
      </c>
    </row>
    <row r="3241" spans="1:19" hidden="1" x14ac:dyDescent="0.35">
      <c r="A3241">
        <v>57742856400</v>
      </c>
      <c r="B3241" t="s">
        <v>3242</v>
      </c>
      <c r="C3241" t="str">
        <f>_xlfn.XLOOKUP(A3241,[1]Affiliations!$J$2:$J$5328,[1]Affiliations!$K$2:$K$5328,0)</f>
        <v>Universidade Tecnológica Federal do Paraná</v>
      </c>
      <c r="D3241">
        <v>4</v>
      </c>
      <c r="E3241">
        <v>1</v>
      </c>
      <c r="F3241">
        <v>0.25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P3241">
        <v>0</v>
      </c>
      <c r="Q3241">
        <v>0</v>
      </c>
      <c r="R3241">
        <v>0</v>
      </c>
      <c r="S3241">
        <v>0</v>
      </c>
    </row>
    <row r="3242" spans="1:19" hidden="1" x14ac:dyDescent="0.35">
      <c r="A3242">
        <v>57196993326</v>
      </c>
      <c r="B3242" t="s">
        <v>3243</v>
      </c>
      <c r="C3242" t="str">
        <f>_xlfn.XLOOKUP(A3242,[1]Affiliations!$J$2:$J$5328,[1]Affiliations!$K$2:$K$5328,0)</f>
        <v>University of Campinas</v>
      </c>
      <c r="D3242">
        <v>7</v>
      </c>
      <c r="E3242">
        <v>71</v>
      </c>
      <c r="F3242">
        <v>10.142858</v>
      </c>
      <c r="G3242">
        <v>6</v>
      </c>
      <c r="H3242">
        <v>0.78</v>
      </c>
      <c r="I3242">
        <v>0</v>
      </c>
      <c r="J3242">
        <v>1</v>
      </c>
      <c r="K3242">
        <v>2</v>
      </c>
      <c r="L3242">
        <v>4</v>
      </c>
      <c r="M3242">
        <v>4</v>
      </c>
      <c r="N3242">
        <v>6</v>
      </c>
      <c r="P3242">
        <v>0</v>
      </c>
      <c r="Q3242">
        <v>0</v>
      </c>
      <c r="R3242">
        <v>0</v>
      </c>
      <c r="S3242">
        <v>2</v>
      </c>
    </row>
    <row r="3243" spans="1:19" hidden="1" x14ac:dyDescent="0.35">
      <c r="A3243">
        <v>57210218025</v>
      </c>
      <c r="B3243" t="s">
        <v>3244</v>
      </c>
      <c r="C3243" t="str">
        <f>_xlfn.XLOOKUP(A3243,[1]Affiliations!$J$2:$J$5328,[1]Affiliations!$K$2:$K$5328,0)</f>
        <v>Universidade de Caxias do Sul</v>
      </c>
      <c r="D3243">
        <v>3</v>
      </c>
      <c r="E3243">
        <v>30</v>
      </c>
      <c r="F3243">
        <v>10</v>
      </c>
      <c r="G3243">
        <v>3</v>
      </c>
      <c r="H3243">
        <v>0.95</v>
      </c>
      <c r="I3243">
        <v>0</v>
      </c>
      <c r="J3243">
        <v>0</v>
      </c>
      <c r="K3243">
        <v>1</v>
      </c>
      <c r="L3243">
        <v>1</v>
      </c>
      <c r="M3243">
        <v>1</v>
      </c>
      <c r="N3243">
        <v>1</v>
      </c>
      <c r="P3243">
        <v>0</v>
      </c>
      <c r="Q3243">
        <v>0</v>
      </c>
      <c r="R3243">
        <v>0</v>
      </c>
      <c r="S3243">
        <v>1</v>
      </c>
    </row>
    <row r="3244" spans="1:19" hidden="1" x14ac:dyDescent="0.35">
      <c r="A3244">
        <v>57214801756</v>
      </c>
      <c r="B3244" t="s">
        <v>3245</v>
      </c>
      <c r="C3244" t="str">
        <f>_xlfn.XLOOKUP(A3244,[1]Affiliations!$J$2:$J$5328,[1]Affiliations!$K$2:$K$5328,0)</f>
        <v>Intelie</v>
      </c>
      <c r="D3244">
        <v>3</v>
      </c>
      <c r="E3244">
        <v>2</v>
      </c>
      <c r="F3244">
        <v>0.66666669999999995</v>
      </c>
      <c r="G3244">
        <v>1</v>
      </c>
      <c r="H3244">
        <v>0.28000000000000003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2</v>
      </c>
      <c r="P3244">
        <v>0</v>
      </c>
      <c r="Q3244">
        <v>0</v>
      </c>
      <c r="R3244">
        <v>0</v>
      </c>
      <c r="S3244">
        <v>0</v>
      </c>
    </row>
    <row r="3245" spans="1:19" hidden="1" x14ac:dyDescent="0.35">
      <c r="A3245">
        <v>6603357612</v>
      </c>
      <c r="B3245" t="s">
        <v>3246</v>
      </c>
      <c r="C3245" t="str">
        <f>_xlfn.XLOOKUP(A3245,[1]Affiliations!$J$2:$J$5328,[1]Affiliations!$K$2:$K$5328,0)</f>
        <v>Universidade de São Paulo</v>
      </c>
      <c r="D3245">
        <v>22</v>
      </c>
      <c r="E3245">
        <v>229</v>
      </c>
      <c r="F3245">
        <v>10.409091</v>
      </c>
      <c r="G3245">
        <v>12</v>
      </c>
      <c r="H3245">
        <v>0.59</v>
      </c>
      <c r="I3245">
        <v>1</v>
      </c>
      <c r="J3245">
        <v>2</v>
      </c>
      <c r="K3245">
        <v>3</v>
      </c>
      <c r="L3245">
        <v>11</v>
      </c>
      <c r="M3245">
        <v>12</v>
      </c>
      <c r="N3245">
        <v>16</v>
      </c>
      <c r="P3245">
        <v>0</v>
      </c>
      <c r="Q3245">
        <v>0</v>
      </c>
      <c r="R3245">
        <v>0</v>
      </c>
      <c r="S3245">
        <v>4</v>
      </c>
    </row>
    <row r="3246" spans="1:19" hidden="1" x14ac:dyDescent="0.35">
      <c r="A3246">
        <v>57195230233</v>
      </c>
      <c r="B3246" t="s">
        <v>3247</v>
      </c>
      <c r="C3246" t="str">
        <f>_xlfn.XLOOKUP(A3246,[1]Affiliations!$J$2:$J$5328,[1]Affiliations!$K$2:$K$5328,0)</f>
        <v>Instituto Federal Catarinense (+2 more)</v>
      </c>
      <c r="D3246">
        <v>4</v>
      </c>
      <c r="E3246">
        <v>9</v>
      </c>
      <c r="F3246">
        <v>2.25</v>
      </c>
      <c r="G3246">
        <v>2</v>
      </c>
      <c r="H3246">
        <v>0.15</v>
      </c>
      <c r="I3246">
        <v>0</v>
      </c>
      <c r="J3246">
        <v>1</v>
      </c>
      <c r="K3246">
        <v>1</v>
      </c>
      <c r="L3246">
        <v>1</v>
      </c>
      <c r="M3246">
        <v>1</v>
      </c>
      <c r="N3246">
        <v>2</v>
      </c>
      <c r="P3246">
        <v>0</v>
      </c>
      <c r="Q3246">
        <v>0</v>
      </c>
      <c r="R3246">
        <v>0</v>
      </c>
      <c r="S3246">
        <v>0</v>
      </c>
    </row>
    <row r="3247" spans="1:19" hidden="1" x14ac:dyDescent="0.35">
      <c r="A3247">
        <v>59560892700</v>
      </c>
      <c r="B3247" t="s">
        <v>3248</v>
      </c>
      <c r="C3247" t="str">
        <f>_xlfn.XLOOKUP(A3247,[1]Affiliations!$J$2:$J$5328,[1]Affiliations!$K$2:$K$5328,0)</f>
        <v>Universidade Federal de Uberlândia</v>
      </c>
      <c r="D3247">
        <v>1</v>
      </c>
      <c r="E3247">
        <v>0</v>
      </c>
      <c r="F3247">
        <v>0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1</v>
      </c>
      <c r="P3247">
        <v>0</v>
      </c>
      <c r="Q3247">
        <v>0</v>
      </c>
      <c r="R3247">
        <v>0</v>
      </c>
      <c r="S3247">
        <v>0</v>
      </c>
    </row>
    <row r="3248" spans="1:19" hidden="1" x14ac:dyDescent="0.35">
      <c r="A3248">
        <v>57224857915</v>
      </c>
      <c r="B3248" t="s">
        <v>3249</v>
      </c>
      <c r="C3248" t="str">
        <f>_xlfn.XLOOKUP(A3248,[1]Affiliations!$J$2:$J$5328,[1]Affiliations!$K$2:$K$5328,0)</f>
        <v>Pontifical Catholic University of Rio de Janeiro (+1 more)</v>
      </c>
      <c r="D3248">
        <v>1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1</v>
      </c>
      <c r="P3248">
        <v>0</v>
      </c>
      <c r="Q3248">
        <v>0</v>
      </c>
      <c r="R3248">
        <v>0</v>
      </c>
      <c r="S3248">
        <v>0</v>
      </c>
    </row>
    <row r="3249" spans="1:19" hidden="1" x14ac:dyDescent="0.35">
      <c r="A3249">
        <v>59208486700</v>
      </c>
      <c r="B3249" t="s">
        <v>3250</v>
      </c>
      <c r="C3249" t="str">
        <f>_xlfn.XLOOKUP(A3249,[1]Affiliations!$J$2:$J$5328,[1]Affiliations!$K$2:$K$5328,0)</f>
        <v>Universidade Federal de Pernambuco</v>
      </c>
      <c r="D3249">
        <v>1</v>
      </c>
      <c r="E3249">
        <v>6</v>
      </c>
      <c r="F3249">
        <v>6</v>
      </c>
      <c r="G3249">
        <v>1</v>
      </c>
      <c r="H3249">
        <v>1.39</v>
      </c>
      <c r="I3249">
        <v>0</v>
      </c>
      <c r="J3249">
        <v>0</v>
      </c>
      <c r="K3249">
        <v>0</v>
      </c>
      <c r="L3249">
        <v>1</v>
      </c>
      <c r="M3249">
        <v>1</v>
      </c>
      <c r="N3249">
        <v>1</v>
      </c>
      <c r="P3249">
        <v>0</v>
      </c>
      <c r="Q3249">
        <v>0</v>
      </c>
      <c r="R3249">
        <v>0</v>
      </c>
      <c r="S3249">
        <v>1</v>
      </c>
    </row>
    <row r="3250" spans="1:19" x14ac:dyDescent="0.35">
      <c r="A3250">
        <v>37041364900</v>
      </c>
      <c r="B3250" t="s">
        <v>282</v>
      </c>
      <c r="C3250" t="str">
        <f>_xlfn.XLOOKUP(A3250,[1]Affiliations!$J$2:$J$5328,[1]Affiliations!$K$2:$K$5328,0)</f>
        <v>University of Campinas (+1 more)</v>
      </c>
      <c r="D3250">
        <v>32</v>
      </c>
      <c r="E3250">
        <v>275</v>
      </c>
      <c r="F3250">
        <v>8.59375</v>
      </c>
      <c r="G3250">
        <v>9</v>
      </c>
      <c r="H3250">
        <v>0.83</v>
      </c>
      <c r="I3250">
        <v>1</v>
      </c>
      <c r="J3250">
        <v>2</v>
      </c>
      <c r="K3250">
        <v>5</v>
      </c>
      <c r="L3250">
        <v>6</v>
      </c>
      <c r="M3250">
        <v>17</v>
      </c>
      <c r="N3250">
        <v>18</v>
      </c>
      <c r="P3250">
        <v>0</v>
      </c>
      <c r="Q3250">
        <v>0</v>
      </c>
      <c r="R3250">
        <v>3</v>
      </c>
      <c r="S3250">
        <v>3</v>
      </c>
    </row>
    <row r="3251" spans="1:19" hidden="1" x14ac:dyDescent="0.35">
      <c r="A3251">
        <v>7006360099</v>
      </c>
      <c r="B3251" t="s">
        <v>3252</v>
      </c>
      <c r="C3251" t="str">
        <f>_xlfn.XLOOKUP(A3251,[1]Affiliations!$J$2:$J$5328,[1]Affiliations!$K$2:$K$5328,0)</f>
        <v>Universidade Cidade de São Paulo</v>
      </c>
      <c r="D3251">
        <v>1</v>
      </c>
      <c r="E3251">
        <v>2</v>
      </c>
      <c r="F3251">
        <v>2</v>
      </c>
      <c r="G3251">
        <v>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P3251">
        <v>0</v>
      </c>
      <c r="Q3251">
        <v>0</v>
      </c>
      <c r="R3251">
        <v>0</v>
      </c>
      <c r="S3251">
        <v>0</v>
      </c>
    </row>
    <row r="3252" spans="1:19" x14ac:dyDescent="0.35">
      <c r="A3252">
        <v>7004906590</v>
      </c>
      <c r="B3252" t="s">
        <v>388</v>
      </c>
      <c r="C3252" t="str">
        <f>_xlfn.XLOOKUP(A3252,[1]Affiliations!$J$2:$J$5328,[1]Affiliations!$K$2:$K$5328,0)</f>
        <v>Universidade Federal do Rio Grande do Sul</v>
      </c>
      <c r="D3252">
        <v>42</v>
      </c>
      <c r="E3252">
        <v>497</v>
      </c>
      <c r="F3252">
        <v>11.833333</v>
      </c>
      <c r="G3252">
        <v>16</v>
      </c>
      <c r="H3252">
        <v>0.83</v>
      </c>
      <c r="I3252">
        <v>1</v>
      </c>
      <c r="J3252">
        <v>1</v>
      </c>
      <c r="K3252">
        <v>3</v>
      </c>
      <c r="L3252">
        <v>7</v>
      </c>
      <c r="M3252">
        <v>12</v>
      </c>
      <c r="N3252">
        <v>23</v>
      </c>
      <c r="P3252">
        <v>0</v>
      </c>
      <c r="Q3252">
        <v>2</v>
      </c>
      <c r="R3252">
        <v>2</v>
      </c>
      <c r="S3252">
        <v>7</v>
      </c>
    </row>
    <row r="3253" spans="1:19" x14ac:dyDescent="0.35">
      <c r="A3253">
        <v>55220668900</v>
      </c>
      <c r="B3253" t="s">
        <v>435</v>
      </c>
      <c r="C3253" t="str">
        <f>_xlfn.XLOOKUP(A3253,[1]Affiliations!$J$2:$J$5328,[1]Affiliations!$K$2:$K$5328,0)</f>
        <v>Federal University of Rio de Janeiro</v>
      </c>
      <c r="D3253">
        <v>35</v>
      </c>
      <c r="E3253">
        <v>822</v>
      </c>
      <c r="F3253">
        <v>23.485714000000002</v>
      </c>
      <c r="G3253">
        <v>17</v>
      </c>
      <c r="H3253">
        <v>0.83</v>
      </c>
      <c r="I3253">
        <v>5</v>
      </c>
      <c r="J3253">
        <v>11</v>
      </c>
      <c r="K3253">
        <v>18</v>
      </c>
      <c r="L3253">
        <v>29</v>
      </c>
      <c r="M3253">
        <v>31</v>
      </c>
      <c r="N3253">
        <v>32</v>
      </c>
      <c r="P3253">
        <v>1</v>
      </c>
      <c r="Q3253">
        <v>4</v>
      </c>
      <c r="R3253">
        <v>8</v>
      </c>
      <c r="S3253">
        <v>13</v>
      </c>
    </row>
    <row r="3254" spans="1:19" x14ac:dyDescent="0.35">
      <c r="A3254">
        <v>55348696600</v>
      </c>
      <c r="B3254" t="s">
        <v>487</v>
      </c>
      <c r="C3254" t="str">
        <f>_xlfn.XLOOKUP(A3254,[1]Affiliations!$J$2:$J$5328,[1]Affiliations!$K$2:$K$5328,0)</f>
        <v>Universidade de São Paulo</v>
      </c>
      <c r="D3254">
        <v>15</v>
      </c>
      <c r="E3254">
        <v>389</v>
      </c>
      <c r="F3254">
        <v>25.933332</v>
      </c>
      <c r="G3254">
        <v>11</v>
      </c>
      <c r="H3254">
        <v>0.83</v>
      </c>
      <c r="I3254">
        <v>0</v>
      </c>
      <c r="J3254">
        <v>2</v>
      </c>
      <c r="K3254">
        <v>2</v>
      </c>
      <c r="L3254">
        <v>9</v>
      </c>
      <c r="M3254">
        <v>12</v>
      </c>
      <c r="N3254">
        <v>14</v>
      </c>
      <c r="P3254">
        <v>0</v>
      </c>
      <c r="Q3254">
        <v>1</v>
      </c>
      <c r="R3254">
        <v>3</v>
      </c>
      <c r="S3254">
        <v>8</v>
      </c>
    </row>
    <row r="3255" spans="1:19" hidden="1" x14ac:dyDescent="0.35">
      <c r="A3255">
        <v>57221398443</v>
      </c>
      <c r="B3255" t="s">
        <v>3256</v>
      </c>
      <c r="C3255" t="str">
        <f>_xlfn.XLOOKUP(A3255,[1]Affiliations!$J$2:$J$5328,[1]Affiliations!$K$2:$K$5328,0)</f>
        <v>Serviço Geológico do Brasil – Brazilian Geological Survey (SGB)</v>
      </c>
      <c r="D3255">
        <v>3</v>
      </c>
      <c r="E3255">
        <v>82</v>
      </c>
      <c r="F3255">
        <v>27.333334000000001</v>
      </c>
      <c r="G3255">
        <v>2</v>
      </c>
      <c r="H3255">
        <v>2.75</v>
      </c>
      <c r="I3255">
        <v>0</v>
      </c>
      <c r="J3255">
        <v>2</v>
      </c>
      <c r="K3255">
        <v>2</v>
      </c>
      <c r="L3255">
        <v>2</v>
      </c>
      <c r="M3255">
        <v>2</v>
      </c>
      <c r="N3255">
        <v>2</v>
      </c>
      <c r="P3255">
        <v>0</v>
      </c>
      <c r="Q3255">
        <v>1</v>
      </c>
      <c r="R3255">
        <v>1</v>
      </c>
      <c r="S3255">
        <v>2</v>
      </c>
    </row>
    <row r="3256" spans="1:19" x14ac:dyDescent="0.35">
      <c r="A3256">
        <v>16246602500</v>
      </c>
      <c r="B3256" t="s">
        <v>544</v>
      </c>
      <c r="C3256" t="str">
        <f>_xlfn.XLOOKUP(A3256,[1]Affiliations!$J$2:$J$5328,[1]Affiliations!$K$2:$K$5328,0)</f>
        <v>Federal University of Santa Catarina</v>
      </c>
      <c r="D3256">
        <v>33</v>
      </c>
      <c r="E3256">
        <v>825</v>
      </c>
      <c r="F3256">
        <v>25</v>
      </c>
      <c r="G3256">
        <v>19</v>
      </c>
      <c r="H3256">
        <v>0.83</v>
      </c>
      <c r="I3256">
        <v>1</v>
      </c>
      <c r="J3256">
        <v>5</v>
      </c>
      <c r="K3256">
        <v>6</v>
      </c>
      <c r="L3256">
        <v>20</v>
      </c>
      <c r="M3256">
        <v>30</v>
      </c>
      <c r="N3256">
        <v>32</v>
      </c>
      <c r="P3256">
        <v>0</v>
      </c>
      <c r="Q3256">
        <v>4</v>
      </c>
      <c r="R3256">
        <v>6</v>
      </c>
      <c r="S3256">
        <v>18</v>
      </c>
    </row>
    <row r="3257" spans="1:19" hidden="1" x14ac:dyDescent="0.35">
      <c r="A3257">
        <v>59895354600</v>
      </c>
      <c r="B3257" t="s">
        <v>3258</v>
      </c>
      <c r="C3257" t="str">
        <f>_xlfn.XLOOKUP(A3257,[1]Affiliations!$J$2:$J$5328,[1]Affiliations!$K$2:$K$5328,0)</f>
        <v>Universidade Federal do Rio Grande do Sul</v>
      </c>
      <c r="D3257">
        <v>0</v>
      </c>
      <c r="G3257">
        <v>1</v>
      </c>
    </row>
    <row r="3258" spans="1:19" hidden="1" x14ac:dyDescent="0.35">
      <c r="A3258">
        <v>59255175100</v>
      </c>
      <c r="B3258" t="s">
        <v>3259</v>
      </c>
      <c r="C3258" t="str">
        <f>_xlfn.XLOOKUP(A3258,[1]Affiliations!$J$2:$J$5328,[1]Affiliations!$K$2:$K$5328,0)</f>
        <v>Universidade Federal de Viçosa</v>
      </c>
      <c r="D3258">
        <v>1</v>
      </c>
      <c r="E3258">
        <v>3</v>
      </c>
      <c r="F3258">
        <v>3</v>
      </c>
      <c r="G3258">
        <v>1</v>
      </c>
      <c r="H3258">
        <v>0.42</v>
      </c>
      <c r="I3258">
        <v>0</v>
      </c>
      <c r="J3258">
        <v>0</v>
      </c>
      <c r="K3258">
        <v>0</v>
      </c>
      <c r="L3258">
        <v>1</v>
      </c>
      <c r="M3258">
        <v>1</v>
      </c>
      <c r="N3258">
        <v>1</v>
      </c>
      <c r="P3258">
        <v>0</v>
      </c>
      <c r="Q3258">
        <v>0</v>
      </c>
      <c r="R3258">
        <v>0</v>
      </c>
      <c r="S3258">
        <v>0</v>
      </c>
    </row>
    <row r="3259" spans="1:19" x14ac:dyDescent="0.35">
      <c r="A3259">
        <v>56770199800</v>
      </c>
      <c r="B3259" t="s">
        <v>605</v>
      </c>
      <c r="C3259" t="str">
        <f>_xlfn.XLOOKUP(A3259,[1]Affiliations!$J$2:$J$5328,[1]Affiliations!$K$2:$K$5328,0)</f>
        <v>Federal University of Rio de Janeiro</v>
      </c>
      <c r="D3259">
        <v>50</v>
      </c>
      <c r="E3259">
        <v>815</v>
      </c>
      <c r="F3259">
        <v>16.3</v>
      </c>
      <c r="G3259">
        <v>14</v>
      </c>
      <c r="H3259">
        <v>0.83</v>
      </c>
      <c r="I3259">
        <v>1</v>
      </c>
      <c r="J3259">
        <v>8</v>
      </c>
      <c r="K3259">
        <v>12</v>
      </c>
      <c r="L3259">
        <v>24</v>
      </c>
      <c r="M3259">
        <v>42</v>
      </c>
      <c r="N3259">
        <v>45</v>
      </c>
      <c r="P3259">
        <v>0</v>
      </c>
      <c r="Q3259">
        <v>2</v>
      </c>
      <c r="R3259">
        <v>8</v>
      </c>
      <c r="S3259">
        <v>16</v>
      </c>
    </row>
    <row r="3260" spans="1:19" hidden="1" x14ac:dyDescent="0.35">
      <c r="A3260">
        <v>57329077700</v>
      </c>
      <c r="B3260" t="s">
        <v>3261</v>
      </c>
      <c r="C3260" t="str">
        <f>_xlfn.XLOOKUP(A3260,[1]Affiliations!$J$2:$J$5328,[1]Affiliations!$K$2:$K$5328,0)</f>
        <v>Federal University of Rio de Janeiro</v>
      </c>
      <c r="D3260">
        <v>16</v>
      </c>
      <c r="E3260">
        <v>204</v>
      </c>
      <c r="F3260">
        <v>12.75</v>
      </c>
      <c r="G3260">
        <v>16</v>
      </c>
      <c r="H3260">
        <v>0.55000000000000004</v>
      </c>
      <c r="I3260">
        <v>1</v>
      </c>
      <c r="J3260">
        <v>3</v>
      </c>
      <c r="K3260">
        <v>6</v>
      </c>
      <c r="L3260">
        <v>11</v>
      </c>
      <c r="M3260">
        <v>16</v>
      </c>
      <c r="N3260">
        <v>16</v>
      </c>
      <c r="P3260">
        <v>0</v>
      </c>
      <c r="Q3260">
        <v>0</v>
      </c>
      <c r="R3260">
        <v>0</v>
      </c>
      <c r="S3260">
        <v>4</v>
      </c>
    </row>
    <row r="3261" spans="1:19" x14ac:dyDescent="0.35">
      <c r="A3261">
        <v>23095256500</v>
      </c>
      <c r="B3261" t="s">
        <v>1171</v>
      </c>
      <c r="C3261" t="str">
        <f>_xlfn.XLOOKUP(A3261,[1]Affiliations!$J$2:$J$5328,[1]Affiliations!$K$2:$K$5328,0)</f>
        <v>University of Campinas (+2 more)</v>
      </c>
      <c r="D3261">
        <v>20</v>
      </c>
      <c r="E3261">
        <v>321</v>
      </c>
      <c r="F3261">
        <v>16.05</v>
      </c>
      <c r="G3261">
        <v>12</v>
      </c>
      <c r="H3261">
        <v>0.83</v>
      </c>
      <c r="I3261">
        <v>0</v>
      </c>
      <c r="J3261">
        <v>1</v>
      </c>
      <c r="K3261">
        <v>3</v>
      </c>
      <c r="L3261">
        <v>11</v>
      </c>
      <c r="M3261">
        <v>15</v>
      </c>
      <c r="N3261">
        <v>17</v>
      </c>
      <c r="P3261">
        <v>0</v>
      </c>
      <c r="Q3261">
        <v>0</v>
      </c>
      <c r="R3261">
        <v>2</v>
      </c>
      <c r="S3261">
        <v>6</v>
      </c>
    </row>
    <row r="3262" spans="1:19" x14ac:dyDescent="0.35">
      <c r="A3262">
        <v>24471469100</v>
      </c>
      <c r="B3262" t="s">
        <v>1311</v>
      </c>
      <c r="C3262" t="str">
        <f>_xlfn.XLOOKUP(A3262,[1]Affiliations!$J$2:$J$5328,[1]Affiliations!$K$2:$K$5328,0)</f>
        <v>Federal University of Rio de Janeiro</v>
      </c>
      <c r="D3262">
        <v>14</v>
      </c>
      <c r="E3262">
        <v>240</v>
      </c>
      <c r="F3262">
        <v>17.142856999999999</v>
      </c>
      <c r="G3262">
        <v>13</v>
      </c>
      <c r="H3262">
        <v>0.83</v>
      </c>
      <c r="I3262">
        <v>0</v>
      </c>
      <c r="J3262">
        <v>5</v>
      </c>
      <c r="K3262">
        <v>7</v>
      </c>
      <c r="L3262">
        <v>8</v>
      </c>
      <c r="M3262">
        <v>12</v>
      </c>
      <c r="N3262">
        <v>14</v>
      </c>
      <c r="P3262">
        <v>0</v>
      </c>
      <c r="Q3262">
        <v>0</v>
      </c>
      <c r="R3262">
        <v>1</v>
      </c>
      <c r="S3262">
        <v>5</v>
      </c>
    </row>
    <row r="3263" spans="1:19" hidden="1" x14ac:dyDescent="0.35">
      <c r="A3263">
        <v>59420893000</v>
      </c>
      <c r="B3263" t="s">
        <v>3264</v>
      </c>
      <c r="C3263" t="str">
        <f>_xlfn.XLOOKUP(A3263,[1]Affiliations!$J$2:$J$5328,[1]Affiliations!$K$2:$K$5328,0)</f>
        <v>Federal University of Rio de Janeiro</v>
      </c>
      <c r="D3263">
        <v>1</v>
      </c>
      <c r="E3263">
        <v>0</v>
      </c>
      <c r="F3263">
        <v>0</v>
      </c>
      <c r="G3263">
        <v>1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P3263">
        <v>0</v>
      </c>
      <c r="Q3263">
        <v>0</v>
      </c>
      <c r="R3263">
        <v>0</v>
      </c>
      <c r="S3263">
        <v>0</v>
      </c>
    </row>
    <row r="3264" spans="1:19" x14ac:dyDescent="0.35">
      <c r="A3264">
        <v>35619136800</v>
      </c>
      <c r="B3264" t="s">
        <v>1373</v>
      </c>
      <c r="C3264" t="str">
        <f>_xlfn.XLOOKUP(A3264,[1]Affiliations!$J$2:$J$5328,[1]Affiliations!$K$2:$K$5328,0)</f>
        <v>Federal University of Rio de Janeiro</v>
      </c>
      <c r="D3264">
        <v>54</v>
      </c>
      <c r="E3264">
        <v>922</v>
      </c>
      <c r="F3264">
        <v>17.074074</v>
      </c>
      <c r="G3264">
        <v>27</v>
      </c>
      <c r="H3264">
        <v>0.83</v>
      </c>
      <c r="I3264">
        <v>0</v>
      </c>
      <c r="J3264">
        <v>2</v>
      </c>
      <c r="K3264">
        <v>3</v>
      </c>
      <c r="L3264">
        <v>21</v>
      </c>
      <c r="M3264">
        <v>34</v>
      </c>
      <c r="N3264">
        <v>37</v>
      </c>
      <c r="P3264">
        <v>0</v>
      </c>
      <c r="Q3264">
        <v>2</v>
      </c>
      <c r="R3264">
        <v>5</v>
      </c>
      <c r="S3264">
        <v>17</v>
      </c>
    </row>
    <row r="3265" spans="1:19" hidden="1" x14ac:dyDescent="0.35">
      <c r="A3265">
        <v>6601952104</v>
      </c>
      <c r="B3265" t="s">
        <v>3266</v>
      </c>
      <c r="C3265" t="str">
        <f>_xlfn.XLOOKUP(A3265,[1]Affiliations!$J$2:$J$5328,[1]Affiliations!$K$2:$K$5328,0)</f>
        <v>Universidade Federal Rural do Rio de Janeiro</v>
      </c>
      <c r="D3265">
        <v>16</v>
      </c>
      <c r="E3265">
        <v>175</v>
      </c>
      <c r="F3265">
        <v>10.9375</v>
      </c>
      <c r="G3265">
        <v>14</v>
      </c>
      <c r="H3265">
        <v>0.6</v>
      </c>
      <c r="I3265">
        <v>0</v>
      </c>
      <c r="J3265">
        <v>0</v>
      </c>
      <c r="K3265">
        <v>5</v>
      </c>
      <c r="L3265">
        <v>10</v>
      </c>
      <c r="M3265">
        <v>12</v>
      </c>
      <c r="N3265">
        <v>13</v>
      </c>
      <c r="P3265">
        <v>0</v>
      </c>
      <c r="Q3265">
        <v>0</v>
      </c>
      <c r="R3265">
        <v>0</v>
      </c>
      <c r="S3265">
        <v>4</v>
      </c>
    </row>
    <row r="3266" spans="1:19" x14ac:dyDescent="0.35">
      <c r="A3266">
        <v>59454590400</v>
      </c>
      <c r="B3266" t="s">
        <v>1606</v>
      </c>
      <c r="C3266" t="str">
        <f>_xlfn.XLOOKUP(A3266,[1]Affiliations!$J$2:$J$5328,[1]Affiliations!$K$2:$K$5328,0)</f>
        <v>Universidade Tecnológica Federal do Paraná</v>
      </c>
      <c r="D3266">
        <v>17</v>
      </c>
      <c r="E3266">
        <v>204</v>
      </c>
      <c r="F3266">
        <v>12</v>
      </c>
      <c r="G3266">
        <v>8</v>
      </c>
      <c r="H3266">
        <v>0.83</v>
      </c>
      <c r="I3266">
        <v>0</v>
      </c>
      <c r="J3266">
        <v>0</v>
      </c>
      <c r="K3266">
        <v>6</v>
      </c>
      <c r="L3266">
        <v>12</v>
      </c>
      <c r="M3266">
        <v>12</v>
      </c>
      <c r="N3266">
        <v>15</v>
      </c>
      <c r="P3266">
        <v>0</v>
      </c>
      <c r="Q3266">
        <v>2</v>
      </c>
      <c r="R3266">
        <v>2</v>
      </c>
      <c r="S3266">
        <v>6</v>
      </c>
    </row>
    <row r="3267" spans="1:19" hidden="1" x14ac:dyDescent="0.35">
      <c r="A3267">
        <v>58723645800</v>
      </c>
      <c r="B3267" t="s">
        <v>3268</v>
      </c>
      <c r="C3267" t="str">
        <f>_xlfn.XLOOKUP(A3267,[1]Affiliations!$J$2:$J$5328,[1]Affiliations!$K$2:$K$5328,0)</f>
        <v>Universidade Federal do Espírito Santo</v>
      </c>
      <c r="D3267">
        <v>1</v>
      </c>
      <c r="E3267">
        <v>8</v>
      </c>
      <c r="F3267">
        <v>8</v>
      </c>
      <c r="G3267">
        <v>1</v>
      </c>
      <c r="H3267">
        <v>1.01</v>
      </c>
      <c r="I3267">
        <v>0</v>
      </c>
      <c r="J3267">
        <v>0</v>
      </c>
      <c r="K3267">
        <v>1</v>
      </c>
      <c r="L3267">
        <v>1</v>
      </c>
      <c r="M3267">
        <v>1</v>
      </c>
      <c r="N3267">
        <v>1</v>
      </c>
      <c r="P3267">
        <v>0</v>
      </c>
      <c r="Q3267">
        <v>0</v>
      </c>
      <c r="R3267">
        <v>0</v>
      </c>
      <c r="S3267">
        <v>1</v>
      </c>
    </row>
    <row r="3268" spans="1:19" hidden="1" x14ac:dyDescent="0.35">
      <c r="A3268">
        <v>56446998900</v>
      </c>
      <c r="B3268" t="s">
        <v>3269</v>
      </c>
      <c r="C3268" t="str">
        <f>_xlfn.XLOOKUP(A3268,[1]Affiliations!$J$2:$J$5328,[1]Affiliations!$K$2:$K$5328,0)</f>
        <v>Federal University of Rio de Janeiro</v>
      </c>
      <c r="D3268">
        <v>0</v>
      </c>
      <c r="G3268">
        <v>0</v>
      </c>
    </row>
    <row r="3269" spans="1:19" x14ac:dyDescent="0.35">
      <c r="A3269">
        <v>24766072500</v>
      </c>
      <c r="B3269" t="s">
        <v>2209</v>
      </c>
      <c r="C3269" t="str">
        <f>_xlfn.XLOOKUP(A3269,[1]Affiliations!$J$2:$J$5328,[1]Affiliations!$K$2:$K$5328,0)</f>
        <v>Laboratório de Palinofácies e Fácies Orgânica (LAFO) (+1 more)</v>
      </c>
      <c r="D3269">
        <v>27</v>
      </c>
      <c r="E3269">
        <v>311</v>
      </c>
      <c r="F3269">
        <v>11.518518</v>
      </c>
      <c r="G3269">
        <v>14</v>
      </c>
      <c r="H3269">
        <v>0.83</v>
      </c>
      <c r="I3269">
        <v>3</v>
      </c>
      <c r="J3269">
        <v>6</v>
      </c>
      <c r="K3269">
        <v>7</v>
      </c>
      <c r="L3269">
        <v>12</v>
      </c>
      <c r="M3269">
        <v>19</v>
      </c>
      <c r="N3269">
        <v>20</v>
      </c>
      <c r="P3269">
        <v>0</v>
      </c>
      <c r="Q3269">
        <v>0</v>
      </c>
      <c r="R3269">
        <v>2</v>
      </c>
      <c r="S3269">
        <v>9</v>
      </c>
    </row>
    <row r="3270" spans="1:19" hidden="1" x14ac:dyDescent="0.35">
      <c r="A3270">
        <v>7005061537</v>
      </c>
      <c r="B3270" t="s">
        <v>3271</v>
      </c>
      <c r="C3270" t="str">
        <f>_xlfn.XLOOKUP(A3270,[1]Affiliations!$J$2:$J$5328,[1]Affiliations!$K$2:$K$5328,0)</f>
        <v>Federal University of Rio de Janeiro</v>
      </c>
      <c r="D3270">
        <v>26</v>
      </c>
      <c r="E3270">
        <v>135</v>
      </c>
      <c r="F3270">
        <v>5.1923075000000001</v>
      </c>
      <c r="G3270">
        <v>9</v>
      </c>
      <c r="H3270">
        <v>0.39</v>
      </c>
      <c r="I3270">
        <v>0</v>
      </c>
      <c r="J3270">
        <v>1</v>
      </c>
      <c r="K3270">
        <v>1</v>
      </c>
      <c r="L3270">
        <v>4</v>
      </c>
      <c r="M3270">
        <v>9</v>
      </c>
      <c r="N3270">
        <v>16</v>
      </c>
      <c r="P3270">
        <v>0</v>
      </c>
      <c r="Q3270">
        <v>0</v>
      </c>
      <c r="R3270">
        <v>0</v>
      </c>
      <c r="S3270">
        <v>3</v>
      </c>
    </row>
    <row r="3271" spans="1:19" x14ac:dyDescent="0.35">
      <c r="A3271">
        <v>36016617500</v>
      </c>
      <c r="B3271" t="s">
        <v>2321</v>
      </c>
      <c r="C3271" t="str">
        <f>_xlfn.XLOOKUP(A3271,[1]Affiliations!$J$2:$J$5328,[1]Affiliations!$K$2:$K$5328,0)</f>
        <v>Universidade Federal do Rio Grande do Norte</v>
      </c>
      <c r="D3271">
        <v>40</v>
      </c>
      <c r="E3271">
        <v>917</v>
      </c>
      <c r="F3271">
        <v>22.925000000000001</v>
      </c>
      <c r="G3271">
        <v>22</v>
      </c>
      <c r="H3271">
        <v>0.83</v>
      </c>
      <c r="I3271">
        <v>0</v>
      </c>
      <c r="J3271">
        <v>8</v>
      </c>
      <c r="K3271">
        <v>21</v>
      </c>
      <c r="L3271">
        <v>31</v>
      </c>
      <c r="M3271">
        <v>34</v>
      </c>
      <c r="N3271">
        <v>37</v>
      </c>
      <c r="P3271">
        <v>0</v>
      </c>
      <c r="Q3271">
        <v>0</v>
      </c>
      <c r="R3271">
        <v>5</v>
      </c>
      <c r="S3271">
        <v>23</v>
      </c>
    </row>
    <row r="3272" spans="1:19" hidden="1" x14ac:dyDescent="0.35">
      <c r="A3272">
        <v>57220487722</v>
      </c>
      <c r="B3272" t="s">
        <v>3273</v>
      </c>
      <c r="C3272" t="str">
        <f>_xlfn.XLOOKUP(A3272,[1]Affiliations!$J$2:$J$5328,[1]Affiliations!$K$2:$K$5328,0)</f>
        <v>Federal University of Rio de Janeiro</v>
      </c>
      <c r="D3272">
        <v>1</v>
      </c>
      <c r="E3272">
        <v>17</v>
      </c>
      <c r="F3272">
        <v>17</v>
      </c>
      <c r="G3272">
        <v>1</v>
      </c>
      <c r="H3272">
        <v>0.33</v>
      </c>
      <c r="I3272">
        <v>0</v>
      </c>
      <c r="J3272">
        <v>0</v>
      </c>
      <c r="K3272">
        <v>0</v>
      </c>
      <c r="L3272">
        <v>0</v>
      </c>
      <c r="M3272">
        <v>1</v>
      </c>
      <c r="N3272">
        <v>1</v>
      </c>
      <c r="P3272">
        <v>0</v>
      </c>
      <c r="Q3272">
        <v>0</v>
      </c>
      <c r="R3272">
        <v>0</v>
      </c>
      <c r="S3272">
        <v>0</v>
      </c>
    </row>
    <row r="3273" spans="1:19" x14ac:dyDescent="0.35">
      <c r="A3273">
        <v>8899587100</v>
      </c>
      <c r="B3273" t="s">
        <v>2788</v>
      </c>
      <c r="C3273" t="str">
        <f>_xlfn.XLOOKUP(A3273,[1]Affiliations!$J$2:$J$5328,[1]Affiliations!$K$2:$K$5328,0)</f>
        <v>Universidade do Estado do Rio de Janeiro</v>
      </c>
      <c r="D3273">
        <v>71</v>
      </c>
      <c r="E3273">
        <v>1207</v>
      </c>
      <c r="F3273">
        <v>17</v>
      </c>
      <c r="G3273">
        <v>36</v>
      </c>
      <c r="H3273">
        <v>0.83</v>
      </c>
      <c r="I3273">
        <v>0</v>
      </c>
      <c r="J3273">
        <v>23</v>
      </c>
      <c r="K3273">
        <v>37</v>
      </c>
      <c r="L3273">
        <v>54</v>
      </c>
      <c r="M3273">
        <v>67</v>
      </c>
      <c r="N3273">
        <v>70</v>
      </c>
      <c r="P3273">
        <v>0</v>
      </c>
      <c r="Q3273">
        <v>1</v>
      </c>
      <c r="R3273">
        <v>7</v>
      </c>
      <c r="S3273">
        <v>26</v>
      </c>
    </row>
    <row r="3274" spans="1:19" hidden="1" x14ac:dyDescent="0.35">
      <c r="A3274">
        <v>57214730485</v>
      </c>
      <c r="B3274" t="s">
        <v>3275</v>
      </c>
      <c r="C3274" t="str">
        <f>_xlfn.XLOOKUP(A3274,[1]Affiliations!$J$2:$J$5328,[1]Affiliations!$K$2:$K$5328,0)</f>
        <v>Universidade do Estado do Rio de Janeiro</v>
      </c>
      <c r="D3274">
        <v>1</v>
      </c>
      <c r="E3274">
        <v>2</v>
      </c>
      <c r="F3274">
        <v>2</v>
      </c>
      <c r="G3274">
        <v>1</v>
      </c>
      <c r="H3274">
        <v>7.0000000000000007E-2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1</v>
      </c>
      <c r="P3274">
        <v>0</v>
      </c>
      <c r="Q3274">
        <v>0</v>
      </c>
      <c r="R3274">
        <v>0</v>
      </c>
      <c r="S3274">
        <v>0</v>
      </c>
    </row>
    <row r="3275" spans="1:19" hidden="1" x14ac:dyDescent="0.35">
      <c r="A3275">
        <v>57218657482</v>
      </c>
      <c r="B3275" t="s">
        <v>3276</v>
      </c>
      <c r="C3275" t="str">
        <f>_xlfn.XLOOKUP(A3275,[1]Affiliations!$J$2:$J$5328,[1]Affiliations!$K$2:$K$5328,0)</f>
        <v>Universidade Federal do Rio Grande do Sul</v>
      </c>
      <c r="D3275">
        <v>2</v>
      </c>
      <c r="E3275">
        <v>27</v>
      </c>
      <c r="F3275">
        <v>13.5</v>
      </c>
      <c r="G3275">
        <v>1</v>
      </c>
      <c r="H3275">
        <v>1.06</v>
      </c>
      <c r="I3275">
        <v>0</v>
      </c>
      <c r="J3275">
        <v>0</v>
      </c>
      <c r="K3275">
        <v>1</v>
      </c>
      <c r="L3275">
        <v>2</v>
      </c>
      <c r="M3275">
        <v>2</v>
      </c>
      <c r="N3275">
        <v>2</v>
      </c>
      <c r="P3275">
        <v>0</v>
      </c>
      <c r="Q3275">
        <v>0</v>
      </c>
      <c r="R3275">
        <v>0</v>
      </c>
      <c r="S3275">
        <v>1</v>
      </c>
    </row>
    <row r="3276" spans="1:19" hidden="1" x14ac:dyDescent="0.35">
      <c r="A3276">
        <v>57858374300</v>
      </c>
      <c r="B3276" t="s">
        <v>3277</v>
      </c>
      <c r="C3276" t="str">
        <f>_xlfn.XLOOKUP(A3276,[1]Affiliations!$J$2:$J$5328,[1]Affiliations!$K$2:$K$5328,0)</f>
        <v>Universidade Federal Rural do Rio de Janeiro (+1 more)</v>
      </c>
      <c r="D3276">
        <v>4</v>
      </c>
      <c r="E3276">
        <v>17</v>
      </c>
      <c r="F3276">
        <v>4.25</v>
      </c>
      <c r="G3276">
        <v>2</v>
      </c>
      <c r="H3276">
        <v>0.48</v>
      </c>
      <c r="I3276">
        <v>0</v>
      </c>
      <c r="J3276">
        <v>0</v>
      </c>
      <c r="K3276">
        <v>1</v>
      </c>
      <c r="L3276">
        <v>3</v>
      </c>
      <c r="M3276">
        <v>3</v>
      </c>
      <c r="N3276">
        <v>3</v>
      </c>
      <c r="P3276">
        <v>0</v>
      </c>
      <c r="Q3276">
        <v>0</v>
      </c>
      <c r="R3276">
        <v>0</v>
      </c>
      <c r="S3276">
        <v>0</v>
      </c>
    </row>
    <row r="3277" spans="1:19" hidden="1" x14ac:dyDescent="0.35">
      <c r="A3277">
        <v>57437688400</v>
      </c>
      <c r="B3277" t="s">
        <v>3278</v>
      </c>
      <c r="C3277" t="str">
        <f>_xlfn.XLOOKUP(A3277,[1]Affiliations!$J$2:$J$5328,[1]Affiliations!$K$2:$K$5328,0)</f>
        <v>Universidade Tiradentes (+2 more)</v>
      </c>
      <c r="D3277">
        <v>1</v>
      </c>
      <c r="E3277">
        <v>9</v>
      </c>
      <c r="F3277">
        <v>9</v>
      </c>
      <c r="G3277">
        <v>1</v>
      </c>
      <c r="H3277">
        <v>0.6</v>
      </c>
      <c r="I3277">
        <v>0</v>
      </c>
      <c r="J3277">
        <v>0</v>
      </c>
      <c r="K3277">
        <v>0</v>
      </c>
      <c r="L3277">
        <v>0</v>
      </c>
      <c r="M3277">
        <v>1</v>
      </c>
      <c r="N3277">
        <v>1</v>
      </c>
      <c r="P3277">
        <v>0</v>
      </c>
      <c r="Q3277">
        <v>0</v>
      </c>
      <c r="R3277">
        <v>0</v>
      </c>
      <c r="S3277">
        <v>0</v>
      </c>
    </row>
    <row r="3278" spans="1:19" hidden="1" x14ac:dyDescent="0.35">
      <c r="A3278">
        <v>57212393224</v>
      </c>
      <c r="B3278" t="s">
        <v>3279</v>
      </c>
      <c r="C3278" t="str">
        <f>_xlfn.XLOOKUP(A3278,[1]Affiliations!$J$2:$J$5328,[1]Affiliations!$K$2:$K$5328,0)</f>
        <v>Universidade Federal do Rio Grande do Norte (+1 more)</v>
      </c>
      <c r="D3278">
        <v>3</v>
      </c>
      <c r="E3278">
        <v>53</v>
      </c>
      <c r="F3278">
        <v>17.666665999999999</v>
      </c>
      <c r="G3278">
        <v>3</v>
      </c>
      <c r="H3278">
        <v>1.02</v>
      </c>
      <c r="I3278">
        <v>0</v>
      </c>
      <c r="J3278">
        <v>1</v>
      </c>
      <c r="K3278">
        <v>2</v>
      </c>
      <c r="L3278">
        <v>2</v>
      </c>
      <c r="M3278">
        <v>3</v>
      </c>
      <c r="N3278">
        <v>3</v>
      </c>
      <c r="P3278">
        <v>0</v>
      </c>
      <c r="Q3278">
        <v>0</v>
      </c>
      <c r="R3278">
        <v>0</v>
      </c>
      <c r="S3278">
        <v>2</v>
      </c>
    </row>
    <row r="3279" spans="1:19" hidden="1" x14ac:dyDescent="0.35">
      <c r="A3279">
        <v>35578339000</v>
      </c>
      <c r="B3279" t="s">
        <v>3280</v>
      </c>
      <c r="C3279" t="str">
        <f>_xlfn.XLOOKUP(A3279,[1]Affiliations!$J$2:$J$5328,[1]Affiliations!$K$2:$K$5328,0)</f>
        <v>Universidade Federal do Ceará</v>
      </c>
      <c r="D3279">
        <v>4</v>
      </c>
      <c r="E3279">
        <v>35</v>
      </c>
      <c r="F3279">
        <v>8.75</v>
      </c>
      <c r="G3279">
        <v>7</v>
      </c>
      <c r="H3279">
        <v>0.38</v>
      </c>
      <c r="I3279">
        <v>0</v>
      </c>
      <c r="J3279">
        <v>1</v>
      </c>
      <c r="K3279">
        <v>2</v>
      </c>
      <c r="L3279">
        <v>4</v>
      </c>
      <c r="M3279">
        <v>4</v>
      </c>
      <c r="N3279">
        <v>4</v>
      </c>
      <c r="P3279">
        <v>0</v>
      </c>
      <c r="Q3279">
        <v>0</v>
      </c>
      <c r="R3279">
        <v>0</v>
      </c>
      <c r="S3279">
        <v>1</v>
      </c>
    </row>
    <row r="3280" spans="1:19" hidden="1" x14ac:dyDescent="0.35">
      <c r="A3280">
        <v>57209856811</v>
      </c>
      <c r="B3280" t="s">
        <v>3281</v>
      </c>
      <c r="C3280" t="str">
        <f>_xlfn.XLOOKUP(A3280,[1]Affiliations!$J$2:$J$5328,[1]Affiliations!$K$2:$K$5328,0)</f>
        <v>Petróleo Brasileiro S.A. (+1 more)</v>
      </c>
      <c r="D3280">
        <v>10</v>
      </c>
      <c r="E3280">
        <v>179</v>
      </c>
      <c r="F3280">
        <v>17.899999999999999</v>
      </c>
      <c r="G3280">
        <v>6</v>
      </c>
      <c r="H3280">
        <v>1.07</v>
      </c>
      <c r="I3280">
        <v>0</v>
      </c>
      <c r="J3280">
        <v>0</v>
      </c>
      <c r="K3280">
        <v>0</v>
      </c>
      <c r="L3280">
        <v>6</v>
      </c>
      <c r="M3280">
        <v>8</v>
      </c>
      <c r="N3280">
        <v>10</v>
      </c>
      <c r="P3280">
        <v>1</v>
      </c>
      <c r="Q3280">
        <v>2</v>
      </c>
      <c r="R3280">
        <v>3</v>
      </c>
      <c r="S3280">
        <v>4</v>
      </c>
    </row>
    <row r="3281" spans="1:19" hidden="1" x14ac:dyDescent="0.35">
      <c r="A3281">
        <v>57203571777</v>
      </c>
      <c r="B3281" t="s">
        <v>3282</v>
      </c>
      <c r="C3281" t="str">
        <f>_xlfn.XLOOKUP(A3281,[1]Affiliations!$J$2:$J$5328,[1]Affiliations!$K$2:$K$5328,0)</f>
        <v>Universidade Federal do Rio Grande do Norte</v>
      </c>
      <c r="D3281">
        <v>5</v>
      </c>
      <c r="E3281">
        <v>116</v>
      </c>
      <c r="F3281">
        <v>23.2</v>
      </c>
      <c r="G3281">
        <v>5</v>
      </c>
      <c r="H3281">
        <v>1.19</v>
      </c>
      <c r="I3281">
        <v>0</v>
      </c>
      <c r="J3281">
        <v>1</v>
      </c>
      <c r="K3281">
        <v>1</v>
      </c>
      <c r="L3281">
        <v>2</v>
      </c>
      <c r="M3281">
        <v>5</v>
      </c>
      <c r="N3281">
        <v>5</v>
      </c>
      <c r="P3281">
        <v>0</v>
      </c>
      <c r="Q3281">
        <v>0</v>
      </c>
      <c r="R3281">
        <v>0</v>
      </c>
      <c r="S3281">
        <v>4</v>
      </c>
    </row>
    <row r="3282" spans="1:19" x14ac:dyDescent="0.35">
      <c r="A3282">
        <v>57205192947</v>
      </c>
      <c r="B3282" t="s">
        <v>3479</v>
      </c>
      <c r="C3282" t="str">
        <f>_xlfn.XLOOKUP(A3282,[1]Affiliations!$J$2:$J$5328,[1]Affiliations!$K$2:$K$5328,0)</f>
        <v>Federal University of Rio de Janeiro (+1 more)</v>
      </c>
      <c r="D3282">
        <v>46</v>
      </c>
      <c r="E3282">
        <v>1327</v>
      </c>
      <c r="F3282">
        <v>28.847826000000001</v>
      </c>
      <c r="G3282">
        <v>36</v>
      </c>
      <c r="H3282">
        <v>0.83</v>
      </c>
      <c r="I3282">
        <v>0</v>
      </c>
      <c r="J3282">
        <v>2</v>
      </c>
      <c r="K3282">
        <v>8</v>
      </c>
      <c r="L3282">
        <v>19</v>
      </c>
      <c r="M3282">
        <v>30</v>
      </c>
      <c r="N3282">
        <v>35</v>
      </c>
      <c r="P3282">
        <v>0</v>
      </c>
      <c r="Q3282">
        <v>4</v>
      </c>
      <c r="R3282">
        <v>12</v>
      </c>
      <c r="S3282">
        <v>21</v>
      </c>
    </row>
    <row r="3283" spans="1:19" hidden="1" x14ac:dyDescent="0.35">
      <c r="A3283">
        <v>6507141697</v>
      </c>
      <c r="B3283" t="s">
        <v>3284</v>
      </c>
      <c r="C3283" t="str">
        <f>_xlfn.XLOOKUP(A3283,[1]Affiliations!$J$2:$J$5328,[1]Affiliations!$K$2:$K$5328,0)</f>
        <v>Universidade Federal do Espírito Santo</v>
      </c>
      <c r="D3283">
        <v>4</v>
      </c>
      <c r="E3283">
        <v>39</v>
      </c>
      <c r="F3283">
        <v>9.75</v>
      </c>
      <c r="G3283">
        <v>7</v>
      </c>
      <c r="H3283">
        <v>0.38</v>
      </c>
      <c r="I3283">
        <v>0</v>
      </c>
      <c r="J3283">
        <v>0</v>
      </c>
      <c r="K3283">
        <v>1</v>
      </c>
      <c r="L3283">
        <v>2</v>
      </c>
      <c r="M3283">
        <v>4</v>
      </c>
      <c r="N3283">
        <v>4</v>
      </c>
      <c r="P3283">
        <v>0</v>
      </c>
      <c r="Q3283">
        <v>0</v>
      </c>
      <c r="R3283">
        <v>0</v>
      </c>
      <c r="S3283">
        <v>0</v>
      </c>
    </row>
    <row r="3284" spans="1:19" hidden="1" x14ac:dyDescent="0.35">
      <c r="A3284">
        <v>37108030100</v>
      </c>
      <c r="B3284" t="s">
        <v>3285</v>
      </c>
      <c r="C3284" t="str">
        <f>_xlfn.XLOOKUP(A3284,[1]Affiliations!$J$2:$J$5328,[1]Affiliations!$K$2:$K$5328,0)</f>
        <v>Universidade do Estado do Rio de Janeiro (+2 more)</v>
      </c>
      <c r="D3284">
        <v>10</v>
      </c>
      <c r="E3284">
        <v>65</v>
      </c>
      <c r="F3284">
        <v>6.5</v>
      </c>
      <c r="G3284">
        <v>8</v>
      </c>
      <c r="H3284">
        <v>0.21</v>
      </c>
      <c r="I3284">
        <v>0</v>
      </c>
      <c r="J3284">
        <v>0</v>
      </c>
      <c r="K3284">
        <v>0</v>
      </c>
      <c r="L3284">
        <v>3</v>
      </c>
      <c r="M3284">
        <v>8</v>
      </c>
      <c r="N3284">
        <v>8</v>
      </c>
      <c r="P3284">
        <v>0</v>
      </c>
      <c r="Q3284">
        <v>0</v>
      </c>
      <c r="R3284">
        <v>0</v>
      </c>
      <c r="S3284">
        <v>1</v>
      </c>
    </row>
    <row r="3285" spans="1:19" hidden="1" x14ac:dyDescent="0.35">
      <c r="A3285">
        <v>56587559400</v>
      </c>
      <c r="B3285" t="s">
        <v>3286</v>
      </c>
      <c r="C3285" t="str">
        <f>_xlfn.XLOOKUP(A3285,[1]Affiliations!$J$2:$J$5328,[1]Affiliations!$K$2:$K$5328,0)</f>
        <v>Pontifical Catholic University of Rio de Janeiro (+1 more)</v>
      </c>
      <c r="D3285">
        <v>7</v>
      </c>
      <c r="E3285">
        <v>10</v>
      </c>
      <c r="F3285">
        <v>1.4285715000000001</v>
      </c>
      <c r="G3285">
        <v>1</v>
      </c>
      <c r="H3285">
        <v>0.35</v>
      </c>
      <c r="P3285">
        <v>0</v>
      </c>
      <c r="Q3285">
        <v>0</v>
      </c>
      <c r="R3285">
        <v>0</v>
      </c>
      <c r="S3285">
        <v>0</v>
      </c>
    </row>
    <row r="3286" spans="1:19" x14ac:dyDescent="0.35">
      <c r="A3286">
        <v>56106028800</v>
      </c>
      <c r="B3286" t="s">
        <v>4722</v>
      </c>
      <c r="C3286" t="str">
        <f>_xlfn.XLOOKUP(A3286,[1]Affiliations!$J$2:$J$5328,[1]Affiliations!$K$2:$K$5328,0)</f>
        <v>Universidade Federal do Espírito Santo</v>
      </c>
      <c r="D3286">
        <v>19</v>
      </c>
      <c r="E3286">
        <v>502</v>
      </c>
      <c r="F3286">
        <v>26.421053000000001</v>
      </c>
      <c r="G3286">
        <v>13</v>
      </c>
      <c r="H3286">
        <v>0.83</v>
      </c>
      <c r="I3286">
        <v>0</v>
      </c>
      <c r="J3286">
        <v>7</v>
      </c>
      <c r="K3286">
        <v>11</v>
      </c>
      <c r="L3286">
        <v>15</v>
      </c>
      <c r="M3286">
        <v>17</v>
      </c>
      <c r="N3286">
        <v>17</v>
      </c>
      <c r="P3286">
        <v>0</v>
      </c>
      <c r="Q3286">
        <v>0</v>
      </c>
      <c r="R3286">
        <v>4</v>
      </c>
      <c r="S3286">
        <v>10</v>
      </c>
    </row>
    <row r="3287" spans="1:19" hidden="1" x14ac:dyDescent="0.35">
      <c r="A3287">
        <v>59396758900</v>
      </c>
      <c r="B3287" t="s">
        <v>3288</v>
      </c>
      <c r="C3287" t="str">
        <f>_xlfn.XLOOKUP(A3287,[1]Affiliations!$J$2:$J$5328,[1]Affiliations!$K$2:$K$5328,0)</f>
        <v>Federal University of Rio de Janeiro</v>
      </c>
      <c r="D3287">
        <v>1</v>
      </c>
      <c r="E3287">
        <v>0</v>
      </c>
      <c r="F3287">
        <v>0</v>
      </c>
      <c r="G3287">
        <v>0</v>
      </c>
      <c r="H3287">
        <v>0</v>
      </c>
      <c r="P3287">
        <v>0</v>
      </c>
      <c r="Q3287">
        <v>0</v>
      </c>
      <c r="R3287">
        <v>0</v>
      </c>
      <c r="S3287">
        <v>0</v>
      </c>
    </row>
    <row r="3288" spans="1:19" hidden="1" x14ac:dyDescent="0.35">
      <c r="A3288">
        <v>57214937785</v>
      </c>
      <c r="B3288" t="s">
        <v>3289</v>
      </c>
      <c r="C3288" t="str">
        <f>_xlfn.XLOOKUP(A3288,[1]Affiliations!$J$2:$J$5328,[1]Affiliations!$K$2:$K$5328,0)</f>
        <v>Universidade Federal de Uberlândia</v>
      </c>
      <c r="D3288">
        <v>1</v>
      </c>
      <c r="E3288">
        <v>0</v>
      </c>
      <c r="F3288">
        <v>0</v>
      </c>
      <c r="G3288">
        <v>0</v>
      </c>
      <c r="H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5">
      <c r="A3289">
        <v>55780666200</v>
      </c>
      <c r="B3289" t="s">
        <v>5018</v>
      </c>
      <c r="C3289" t="str">
        <f>_xlfn.XLOOKUP(A3289,[1]Affiliations!$J$2:$J$5328,[1]Affiliations!$K$2:$K$5328,0)</f>
        <v>Pontifical Catholic University of Rio de Janeiro</v>
      </c>
      <c r="D3289">
        <v>53</v>
      </c>
      <c r="E3289">
        <v>510</v>
      </c>
      <c r="F3289">
        <v>9.6226420000000008</v>
      </c>
      <c r="G3289">
        <v>17</v>
      </c>
      <c r="H3289">
        <v>0.83</v>
      </c>
      <c r="I3289">
        <v>1</v>
      </c>
      <c r="J3289">
        <v>1</v>
      </c>
      <c r="K3289">
        <v>6</v>
      </c>
      <c r="L3289">
        <v>10</v>
      </c>
      <c r="M3289">
        <v>19</v>
      </c>
      <c r="N3289">
        <v>26</v>
      </c>
      <c r="P3289">
        <v>0</v>
      </c>
      <c r="Q3289">
        <v>2</v>
      </c>
      <c r="R3289">
        <v>4</v>
      </c>
      <c r="S3289">
        <v>10</v>
      </c>
    </row>
    <row r="3290" spans="1:19" hidden="1" x14ac:dyDescent="0.35">
      <c r="A3290">
        <v>57189214083</v>
      </c>
      <c r="B3290" t="s">
        <v>3291</v>
      </c>
      <c r="C3290" t="str">
        <f>_xlfn.XLOOKUP(A3290,[1]Affiliations!$J$2:$J$5328,[1]Affiliations!$K$2:$K$5328,0)</f>
        <v>Federal University of Rio de Janeiro</v>
      </c>
      <c r="D3290">
        <v>1</v>
      </c>
      <c r="E3290">
        <v>60</v>
      </c>
      <c r="F3290">
        <v>60</v>
      </c>
      <c r="G3290">
        <v>1</v>
      </c>
      <c r="H3290">
        <v>1.1599999999999999</v>
      </c>
      <c r="I3290">
        <v>0</v>
      </c>
      <c r="J3290">
        <v>0</v>
      </c>
      <c r="K3290">
        <v>1</v>
      </c>
      <c r="L3290">
        <v>1</v>
      </c>
      <c r="M3290">
        <v>1</v>
      </c>
      <c r="N3290">
        <v>1</v>
      </c>
      <c r="P3290">
        <v>0</v>
      </c>
      <c r="Q3290">
        <v>0</v>
      </c>
      <c r="R3290">
        <v>1</v>
      </c>
      <c r="S3290">
        <v>1</v>
      </c>
    </row>
    <row r="3291" spans="1:19" x14ac:dyDescent="0.35">
      <c r="A3291">
        <v>57188580441</v>
      </c>
      <c r="B3291" t="s">
        <v>5267</v>
      </c>
      <c r="C3291" t="str">
        <f>_xlfn.XLOOKUP(A3291,[1]Affiliations!$J$2:$J$5328,[1]Affiliations!$K$2:$K$5328,0)</f>
        <v>Federal University of Rio de Janeiro</v>
      </c>
      <c r="D3291">
        <v>8</v>
      </c>
      <c r="E3291">
        <v>116</v>
      </c>
      <c r="F3291">
        <v>14.5</v>
      </c>
      <c r="G3291">
        <v>6</v>
      </c>
      <c r="H3291">
        <v>0.83</v>
      </c>
      <c r="I3291">
        <v>0</v>
      </c>
      <c r="J3291">
        <v>0</v>
      </c>
      <c r="K3291">
        <v>4</v>
      </c>
      <c r="L3291">
        <v>5</v>
      </c>
      <c r="M3291">
        <v>6</v>
      </c>
      <c r="N3291">
        <v>8</v>
      </c>
      <c r="P3291">
        <v>0</v>
      </c>
      <c r="Q3291">
        <v>0</v>
      </c>
      <c r="R3291">
        <v>1</v>
      </c>
      <c r="S3291">
        <v>3</v>
      </c>
    </row>
    <row r="3292" spans="1:19" hidden="1" x14ac:dyDescent="0.35">
      <c r="A3292">
        <v>59895002600</v>
      </c>
      <c r="B3292" t="s">
        <v>3293</v>
      </c>
      <c r="C3292" t="str">
        <f>_xlfn.XLOOKUP(A3292,[1]Affiliations!$J$2:$J$5328,[1]Affiliations!$K$2:$K$5328,0)</f>
        <v>Universidade Federal de Alagoas</v>
      </c>
      <c r="D3292">
        <v>0</v>
      </c>
      <c r="G3292">
        <v>0</v>
      </c>
    </row>
    <row r="3293" spans="1:19" x14ac:dyDescent="0.35">
      <c r="A3293">
        <v>25928330400</v>
      </c>
      <c r="B3293" t="s">
        <v>441</v>
      </c>
      <c r="C3293" t="str">
        <f>_xlfn.XLOOKUP(A3293,[1]Affiliations!$J$2:$J$5328,[1]Affiliations!$K$2:$K$5328,0)</f>
        <v>Instituto Federal de Educação, Ciência e Tecnologia de Santa Catarina (+1 more)</v>
      </c>
      <c r="D3293">
        <v>26</v>
      </c>
      <c r="E3293">
        <v>552</v>
      </c>
      <c r="F3293">
        <v>21.23077</v>
      </c>
      <c r="G3293">
        <v>14</v>
      </c>
      <c r="H3293">
        <v>0.82</v>
      </c>
      <c r="I3293">
        <v>1</v>
      </c>
      <c r="J3293">
        <v>4</v>
      </c>
      <c r="K3293">
        <v>5</v>
      </c>
      <c r="L3293">
        <v>14</v>
      </c>
      <c r="M3293">
        <v>19</v>
      </c>
      <c r="N3293">
        <v>25</v>
      </c>
      <c r="P3293">
        <v>0</v>
      </c>
      <c r="Q3293">
        <v>1</v>
      </c>
      <c r="R3293">
        <v>5</v>
      </c>
      <c r="S3293">
        <v>10</v>
      </c>
    </row>
    <row r="3294" spans="1:19" hidden="1" x14ac:dyDescent="0.35">
      <c r="A3294">
        <v>57045559600</v>
      </c>
      <c r="B3294" t="s">
        <v>3295</v>
      </c>
      <c r="C3294" t="str">
        <f>_xlfn.XLOOKUP(A3294,[1]Affiliations!$J$2:$J$5328,[1]Affiliations!$K$2:$K$5328,0)</f>
        <v>Federal University of Rio de Janeiro</v>
      </c>
      <c r="D3294">
        <v>9</v>
      </c>
      <c r="E3294">
        <v>12</v>
      </c>
      <c r="F3294">
        <v>1.3333333999999999</v>
      </c>
      <c r="G3294">
        <v>3</v>
      </c>
      <c r="H3294">
        <v>0.1</v>
      </c>
      <c r="I3294">
        <v>0</v>
      </c>
      <c r="J3294">
        <v>0</v>
      </c>
      <c r="K3294">
        <v>0</v>
      </c>
      <c r="L3294">
        <v>2</v>
      </c>
      <c r="M3294">
        <v>3</v>
      </c>
      <c r="N3294">
        <v>3</v>
      </c>
      <c r="P3294">
        <v>0</v>
      </c>
      <c r="Q3294">
        <v>0</v>
      </c>
      <c r="R3294">
        <v>0</v>
      </c>
      <c r="S3294">
        <v>0</v>
      </c>
    </row>
    <row r="3295" spans="1:19" x14ac:dyDescent="0.35">
      <c r="A3295">
        <v>7003536916</v>
      </c>
      <c r="B3295" t="s">
        <v>1070</v>
      </c>
      <c r="C3295" t="str">
        <f>_xlfn.XLOOKUP(A3295,[1]Affiliations!$J$2:$J$5328,[1]Affiliations!$K$2:$K$5328,0)</f>
        <v>Pontifical Catholic University of Rio de Janeiro</v>
      </c>
      <c r="D3295">
        <v>70</v>
      </c>
      <c r="E3295">
        <v>1135</v>
      </c>
      <c r="F3295">
        <v>16.214285</v>
      </c>
      <c r="G3295">
        <v>31</v>
      </c>
      <c r="H3295">
        <v>0.82</v>
      </c>
      <c r="I3295">
        <v>0</v>
      </c>
      <c r="J3295">
        <v>4</v>
      </c>
      <c r="K3295">
        <v>13</v>
      </c>
      <c r="L3295">
        <v>52</v>
      </c>
      <c r="M3295">
        <v>65</v>
      </c>
      <c r="N3295">
        <v>67</v>
      </c>
      <c r="P3295">
        <v>0</v>
      </c>
      <c r="Q3295">
        <v>1</v>
      </c>
      <c r="R3295">
        <v>4</v>
      </c>
      <c r="S3295">
        <v>29</v>
      </c>
    </row>
    <row r="3296" spans="1:19" hidden="1" x14ac:dyDescent="0.35">
      <c r="A3296">
        <v>57878981000</v>
      </c>
      <c r="B3296" t="s">
        <v>3297</v>
      </c>
      <c r="C3296" t="str">
        <f>_xlfn.XLOOKUP(A3296,[1]Affiliations!$J$2:$J$5328,[1]Affiliations!$K$2:$K$5328,0)</f>
        <v>Universidade Federal de Uberlândia</v>
      </c>
      <c r="D3296">
        <v>1</v>
      </c>
      <c r="E3296">
        <v>1</v>
      </c>
      <c r="F3296">
        <v>1</v>
      </c>
      <c r="G3296">
        <v>1</v>
      </c>
      <c r="H3296">
        <v>0</v>
      </c>
      <c r="P3296">
        <v>0</v>
      </c>
      <c r="Q3296">
        <v>0</v>
      </c>
      <c r="R3296">
        <v>0</v>
      </c>
      <c r="S3296">
        <v>0</v>
      </c>
    </row>
    <row r="3297" spans="1:19" hidden="1" x14ac:dyDescent="0.35">
      <c r="A3297">
        <v>57202337956</v>
      </c>
      <c r="B3297" t="s">
        <v>3298</v>
      </c>
      <c r="C3297" t="str">
        <f>_xlfn.XLOOKUP(A3297,[1]Affiliations!$J$2:$J$5328,[1]Affiliations!$K$2:$K$5328,0)</f>
        <v>Universidade Federal de Uberlândia</v>
      </c>
      <c r="D3297">
        <v>2</v>
      </c>
      <c r="E3297">
        <v>3</v>
      </c>
      <c r="F3297">
        <v>1.5</v>
      </c>
      <c r="G3297">
        <v>1</v>
      </c>
      <c r="H3297">
        <v>0.1</v>
      </c>
      <c r="I3297">
        <v>0</v>
      </c>
      <c r="J3297">
        <v>0</v>
      </c>
      <c r="K3297">
        <v>1</v>
      </c>
      <c r="L3297">
        <v>1</v>
      </c>
      <c r="M3297">
        <v>2</v>
      </c>
      <c r="N3297">
        <v>2</v>
      </c>
      <c r="P3297">
        <v>0</v>
      </c>
      <c r="Q3297">
        <v>0</v>
      </c>
      <c r="R3297">
        <v>0</v>
      </c>
      <c r="S3297">
        <v>0</v>
      </c>
    </row>
    <row r="3298" spans="1:19" hidden="1" x14ac:dyDescent="0.35">
      <c r="A3298">
        <v>59234074500</v>
      </c>
      <c r="B3298" t="s">
        <v>3299</v>
      </c>
      <c r="C3298" t="str">
        <f>_xlfn.XLOOKUP(A3298,[1]Affiliations!$J$2:$J$5328,[1]Affiliations!$K$2:$K$5328,0)</f>
        <v>Universidade Federal do Ceará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1</v>
      </c>
      <c r="N3298">
        <v>1</v>
      </c>
      <c r="P3298">
        <v>0</v>
      </c>
      <c r="Q3298">
        <v>0</v>
      </c>
      <c r="R3298">
        <v>0</v>
      </c>
      <c r="S3298">
        <v>0</v>
      </c>
    </row>
    <row r="3299" spans="1:19" x14ac:dyDescent="0.35">
      <c r="A3299">
        <v>57190169591</v>
      </c>
      <c r="B3299" t="s">
        <v>1076</v>
      </c>
      <c r="C3299" t="str">
        <f>_xlfn.XLOOKUP(A3299,[1]Affiliations!$J$2:$J$5328,[1]Affiliations!$K$2:$K$5328,0)</f>
        <v>University of Campinas (+1 more)</v>
      </c>
      <c r="D3299">
        <v>13</v>
      </c>
      <c r="E3299">
        <v>258</v>
      </c>
      <c r="F3299">
        <v>19.846153000000001</v>
      </c>
      <c r="G3299">
        <v>9</v>
      </c>
      <c r="H3299">
        <v>0.82</v>
      </c>
      <c r="I3299">
        <v>0</v>
      </c>
      <c r="J3299">
        <v>1</v>
      </c>
      <c r="K3299">
        <v>2</v>
      </c>
      <c r="L3299">
        <v>8</v>
      </c>
      <c r="M3299">
        <v>10</v>
      </c>
      <c r="N3299">
        <v>10</v>
      </c>
      <c r="P3299">
        <v>0</v>
      </c>
      <c r="Q3299">
        <v>1</v>
      </c>
      <c r="R3299">
        <v>1</v>
      </c>
      <c r="S3299">
        <v>7</v>
      </c>
    </row>
    <row r="3300" spans="1:19" x14ac:dyDescent="0.35">
      <c r="A3300">
        <v>35570766200</v>
      </c>
      <c r="B3300" t="s">
        <v>1205</v>
      </c>
      <c r="C3300" t="str">
        <f>_xlfn.XLOOKUP(A3300,[1]Affiliations!$J$2:$J$5328,[1]Affiliations!$K$2:$K$5328,0)</f>
        <v>Federal University of Rio de Janeiro</v>
      </c>
      <c r="D3300">
        <v>36</v>
      </c>
      <c r="E3300">
        <v>756</v>
      </c>
      <c r="F3300">
        <v>21</v>
      </c>
      <c r="G3300">
        <v>23</v>
      </c>
      <c r="H3300">
        <v>0.82</v>
      </c>
      <c r="I3300">
        <v>0</v>
      </c>
      <c r="J3300">
        <v>3</v>
      </c>
      <c r="K3300">
        <v>9</v>
      </c>
      <c r="L3300">
        <v>20</v>
      </c>
      <c r="M3300">
        <v>26</v>
      </c>
      <c r="N3300">
        <v>29</v>
      </c>
      <c r="P3300">
        <v>0</v>
      </c>
      <c r="Q3300">
        <v>2</v>
      </c>
      <c r="R3300">
        <v>5</v>
      </c>
      <c r="S3300">
        <v>12</v>
      </c>
    </row>
    <row r="3301" spans="1:19" x14ac:dyDescent="0.35">
      <c r="A3301">
        <v>6701416835</v>
      </c>
      <c r="B3301" t="s">
        <v>1330</v>
      </c>
      <c r="C3301" t="str">
        <f>_xlfn.XLOOKUP(A3301,[1]Affiliations!$J$2:$J$5328,[1]Affiliations!$K$2:$K$5328,0)</f>
        <v>Universidade Tiradentes (+4 more)</v>
      </c>
      <c r="D3301">
        <v>67</v>
      </c>
      <c r="E3301">
        <v>1356</v>
      </c>
      <c r="F3301">
        <v>20.238806</v>
      </c>
      <c r="G3301">
        <v>42</v>
      </c>
      <c r="H3301">
        <v>0.82</v>
      </c>
      <c r="I3301">
        <v>0</v>
      </c>
      <c r="J3301">
        <v>6</v>
      </c>
      <c r="K3301">
        <v>12</v>
      </c>
      <c r="L3301">
        <v>44</v>
      </c>
      <c r="M3301">
        <v>56</v>
      </c>
      <c r="N3301">
        <v>65</v>
      </c>
      <c r="P3301">
        <v>0</v>
      </c>
      <c r="Q3301">
        <v>5</v>
      </c>
      <c r="R3301">
        <v>6</v>
      </c>
      <c r="S3301">
        <v>29</v>
      </c>
    </row>
    <row r="3302" spans="1:19" hidden="1" x14ac:dyDescent="0.35">
      <c r="A3302">
        <v>57209851543</v>
      </c>
      <c r="B3302" t="s">
        <v>3303</v>
      </c>
      <c r="C3302" t="str">
        <f>_xlfn.XLOOKUP(A3302,[1]Affiliations!$J$2:$J$5328,[1]Affiliations!$K$2:$K$5328,0)</f>
        <v>Mendel Serviços de Engenharia</v>
      </c>
      <c r="D3302">
        <v>3</v>
      </c>
      <c r="E3302">
        <v>43</v>
      </c>
      <c r="F3302">
        <v>14.333333</v>
      </c>
      <c r="G3302">
        <v>2</v>
      </c>
      <c r="H3302">
        <v>1.4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2</v>
      </c>
      <c r="P3302">
        <v>0</v>
      </c>
      <c r="Q3302">
        <v>0</v>
      </c>
      <c r="R3302">
        <v>0</v>
      </c>
      <c r="S3302">
        <v>1</v>
      </c>
    </row>
    <row r="3303" spans="1:19" hidden="1" x14ac:dyDescent="0.35">
      <c r="A3303">
        <v>57208759235</v>
      </c>
      <c r="B3303" t="s">
        <v>3304</v>
      </c>
      <c r="C3303" t="str">
        <f>_xlfn.XLOOKUP(A3303,[1]Affiliations!$J$2:$J$5328,[1]Affiliations!$K$2:$K$5328,0)</f>
        <v>Universidade Federal de São João del-Rei</v>
      </c>
      <c r="D3303">
        <v>2</v>
      </c>
      <c r="E3303">
        <v>65</v>
      </c>
      <c r="F3303">
        <v>32.5</v>
      </c>
      <c r="G3303">
        <v>2</v>
      </c>
      <c r="H3303">
        <v>1.28</v>
      </c>
      <c r="I3303">
        <v>0</v>
      </c>
      <c r="J3303">
        <v>0</v>
      </c>
      <c r="K3303">
        <v>1</v>
      </c>
      <c r="L3303">
        <v>2</v>
      </c>
      <c r="M3303">
        <v>2</v>
      </c>
      <c r="N3303">
        <v>2</v>
      </c>
      <c r="P3303">
        <v>0</v>
      </c>
      <c r="Q3303">
        <v>0</v>
      </c>
      <c r="R3303">
        <v>0</v>
      </c>
      <c r="S3303">
        <v>2</v>
      </c>
    </row>
    <row r="3304" spans="1:19" x14ac:dyDescent="0.35">
      <c r="A3304">
        <v>7103335018</v>
      </c>
      <c r="B3304" t="s">
        <v>2123</v>
      </c>
      <c r="C3304" t="str">
        <f>_xlfn.XLOOKUP(A3304,[1]Affiliations!$J$2:$J$5328,[1]Affiliations!$K$2:$K$5328,0)</f>
        <v>Universidade Federal do Paraná</v>
      </c>
      <c r="D3304">
        <v>22</v>
      </c>
      <c r="E3304">
        <v>333</v>
      </c>
      <c r="F3304">
        <v>15.136364</v>
      </c>
      <c r="G3304">
        <v>14</v>
      </c>
      <c r="H3304">
        <v>0.82</v>
      </c>
      <c r="I3304">
        <v>0</v>
      </c>
      <c r="J3304">
        <v>1</v>
      </c>
      <c r="K3304">
        <v>2</v>
      </c>
      <c r="L3304">
        <v>9</v>
      </c>
      <c r="M3304">
        <v>14</v>
      </c>
      <c r="N3304">
        <v>18</v>
      </c>
      <c r="P3304">
        <v>0</v>
      </c>
      <c r="Q3304">
        <v>1</v>
      </c>
      <c r="R3304">
        <v>2</v>
      </c>
      <c r="S3304">
        <v>5</v>
      </c>
    </row>
    <row r="3305" spans="1:19" x14ac:dyDescent="0.35">
      <c r="A3305">
        <v>54793060200</v>
      </c>
      <c r="B3305" t="s">
        <v>2715</v>
      </c>
      <c r="C3305" t="str">
        <f>_xlfn.XLOOKUP(A3305,[1]Affiliations!$J$2:$J$5328,[1]Affiliations!$K$2:$K$5328,0)</f>
        <v>University of Campinas</v>
      </c>
      <c r="D3305">
        <v>18</v>
      </c>
      <c r="E3305">
        <v>328</v>
      </c>
      <c r="F3305">
        <v>18.222221000000001</v>
      </c>
      <c r="G3305">
        <v>13</v>
      </c>
      <c r="H3305">
        <v>0.82</v>
      </c>
      <c r="I3305">
        <v>1</v>
      </c>
      <c r="J3305">
        <v>5</v>
      </c>
      <c r="K3305">
        <v>7</v>
      </c>
      <c r="L3305">
        <v>14</v>
      </c>
      <c r="M3305">
        <v>17</v>
      </c>
      <c r="N3305">
        <v>17</v>
      </c>
      <c r="P3305">
        <v>0</v>
      </c>
      <c r="Q3305">
        <v>1</v>
      </c>
      <c r="R3305">
        <v>2</v>
      </c>
      <c r="S3305">
        <v>4</v>
      </c>
    </row>
    <row r="3306" spans="1:19" x14ac:dyDescent="0.35">
      <c r="A3306">
        <v>57205122227</v>
      </c>
      <c r="B3306" t="s">
        <v>2729</v>
      </c>
      <c r="C3306" t="str">
        <f>_xlfn.XLOOKUP(A3306,[1]Affiliations!$J$2:$J$5328,[1]Affiliations!$K$2:$K$5328,0)</f>
        <v>Universidade de São Paulo</v>
      </c>
      <c r="D3306">
        <v>12</v>
      </c>
      <c r="E3306">
        <v>165</v>
      </c>
      <c r="F3306">
        <v>13.75</v>
      </c>
      <c r="G3306">
        <v>6</v>
      </c>
      <c r="H3306">
        <v>0.82</v>
      </c>
      <c r="I3306">
        <v>0</v>
      </c>
      <c r="J3306">
        <v>0</v>
      </c>
      <c r="K3306">
        <v>5</v>
      </c>
      <c r="L3306">
        <v>10</v>
      </c>
      <c r="M3306">
        <v>11</v>
      </c>
      <c r="N3306">
        <v>11</v>
      </c>
      <c r="P3306">
        <v>0</v>
      </c>
      <c r="Q3306">
        <v>1</v>
      </c>
      <c r="R3306">
        <v>1</v>
      </c>
      <c r="S3306">
        <v>5</v>
      </c>
    </row>
    <row r="3307" spans="1:19" x14ac:dyDescent="0.35">
      <c r="A3307">
        <v>57202606222</v>
      </c>
      <c r="B3307" t="s">
        <v>2814</v>
      </c>
      <c r="C3307" t="str">
        <f>_xlfn.XLOOKUP(A3307,[1]Affiliations!$J$2:$J$5328,[1]Affiliations!$K$2:$K$5328,0)</f>
        <v>Universidade de São Paulo</v>
      </c>
      <c r="D3307">
        <v>44</v>
      </c>
      <c r="E3307">
        <v>456</v>
      </c>
      <c r="F3307">
        <v>10.363636</v>
      </c>
      <c r="G3307">
        <v>19</v>
      </c>
      <c r="H3307">
        <v>0.82</v>
      </c>
      <c r="I3307">
        <v>1</v>
      </c>
      <c r="J3307">
        <v>4</v>
      </c>
      <c r="K3307">
        <v>9</v>
      </c>
      <c r="L3307">
        <v>16</v>
      </c>
      <c r="M3307">
        <v>22</v>
      </c>
      <c r="N3307">
        <v>28</v>
      </c>
      <c r="P3307">
        <v>0</v>
      </c>
      <c r="Q3307">
        <v>0</v>
      </c>
      <c r="R3307">
        <v>4</v>
      </c>
      <c r="S3307">
        <v>12</v>
      </c>
    </row>
    <row r="3308" spans="1:19" hidden="1" x14ac:dyDescent="0.35">
      <c r="A3308">
        <v>59388355700</v>
      </c>
      <c r="B3308" t="s">
        <v>3309</v>
      </c>
      <c r="C3308" t="str">
        <f>_xlfn.XLOOKUP(A3308,[1]Affiliations!$J$2:$J$5328,[1]Affiliations!$K$2:$K$5328,0)</f>
        <v>ESSS</v>
      </c>
      <c r="D3308">
        <v>2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1</v>
      </c>
      <c r="P3308">
        <v>0</v>
      </c>
      <c r="Q3308">
        <v>0</v>
      </c>
      <c r="R3308">
        <v>0</v>
      </c>
      <c r="S3308">
        <v>0</v>
      </c>
    </row>
    <row r="3309" spans="1:19" hidden="1" x14ac:dyDescent="0.35">
      <c r="A3309">
        <v>59895025000</v>
      </c>
      <c r="B3309" t="s">
        <v>3310</v>
      </c>
      <c r="C3309" t="str">
        <f>_xlfn.XLOOKUP(A3309,[1]Affiliations!$J$2:$J$5328,[1]Affiliations!$K$2:$K$5328,0)</f>
        <v>ESSS</v>
      </c>
      <c r="D3309">
        <v>0</v>
      </c>
      <c r="G3309">
        <v>1</v>
      </c>
    </row>
    <row r="3310" spans="1:19" hidden="1" x14ac:dyDescent="0.35">
      <c r="A3310">
        <v>7006448661</v>
      </c>
      <c r="B3310" t="s">
        <v>3311</v>
      </c>
      <c r="C3310" t="str">
        <f>_xlfn.XLOOKUP(A3310,[1]Affiliations!$J$2:$J$5328,[1]Affiliations!$K$2:$K$5328,0)</f>
        <v>University of Campinas</v>
      </c>
      <c r="D3310">
        <v>23</v>
      </c>
      <c r="E3310">
        <v>115</v>
      </c>
      <c r="F3310">
        <v>5</v>
      </c>
      <c r="G3310">
        <v>13</v>
      </c>
      <c r="H3310">
        <v>0.61</v>
      </c>
      <c r="I3310">
        <v>0</v>
      </c>
      <c r="J3310">
        <v>4</v>
      </c>
      <c r="K3310">
        <v>7</v>
      </c>
      <c r="L3310">
        <v>8</v>
      </c>
      <c r="M3310">
        <v>10</v>
      </c>
      <c r="N3310">
        <v>16</v>
      </c>
      <c r="P3310">
        <v>0</v>
      </c>
      <c r="Q3310">
        <v>0</v>
      </c>
      <c r="R3310">
        <v>0</v>
      </c>
      <c r="S3310">
        <v>1</v>
      </c>
    </row>
    <row r="3311" spans="1:19" x14ac:dyDescent="0.35">
      <c r="A3311">
        <v>6603803084</v>
      </c>
      <c r="B3311" t="s">
        <v>2827</v>
      </c>
      <c r="C3311" t="str">
        <f>_xlfn.XLOOKUP(A3311,[1]Affiliations!$J$2:$J$5328,[1]Affiliations!$K$2:$K$5328,0)</f>
        <v>Federal University of Rio de Janeiro</v>
      </c>
      <c r="D3311">
        <v>65</v>
      </c>
      <c r="E3311">
        <v>862</v>
      </c>
      <c r="F3311">
        <v>13.2615385</v>
      </c>
      <c r="G3311">
        <v>29</v>
      </c>
      <c r="H3311">
        <v>0.82</v>
      </c>
      <c r="I3311">
        <v>0</v>
      </c>
      <c r="J3311">
        <v>9</v>
      </c>
      <c r="K3311">
        <v>17</v>
      </c>
      <c r="L3311">
        <v>42</v>
      </c>
      <c r="M3311">
        <v>57</v>
      </c>
      <c r="N3311">
        <v>62</v>
      </c>
      <c r="P3311">
        <v>0</v>
      </c>
      <c r="Q3311">
        <v>1</v>
      </c>
      <c r="R3311">
        <v>2</v>
      </c>
      <c r="S3311">
        <v>22</v>
      </c>
    </row>
    <row r="3312" spans="1:19" x14ac:dyDescent="0.35">
      <c r="A3312">
        <v>55327523900</v>
      </c>
      <c r="B3312" t="s">
        <v>3069</v>
      </c>
      <c r="C3312" t="str">
        <f>_xlfn.XLOOKUP(A3312,[1]Affiliations!$J$2:$J$5328,[1]Affiliations!$K$2:$K$5328,0)</f>
        <v>Universidade de São Paulo</v>
      </c>
      <c r="D3312">
        <v>8</v>
      </c>
      <c r="E3312">
        <v>180</v>
      </c>
      <c r="F3312">
        <v>22.5</v>
      </c>
      <c r="G3312">
        <v>6</v>
      </c>
      <c r="H3312">
        <v>0.82</v>
      </c>
      <c r="I3312">
        <v>0</v>
      </c>
      <c r="J3312">
        <v>1</v>
      </c>
      <c r="K3312">
        <v>2</v>
      </c>
      <c r="L3312">
        <v>3</v>
      </c>
      <c r="M3312">
        <v>4</v>
      </c>
      <c r="N3312">
        <v>6</v>
      </c>
      <c r="P3312">
        <v>0</v>
      </c>
      <c r="Q3312">
        <v>1</v>
      </c>
      <c r="R3312">
        <v>1</v>
      </c>
      <c r="S3312">
        <v>3</v>
      </c>
    </row>
    <row r="3313" spans="1:19" hidden="1" x14ac:dyDescent="0.35">
      <c r="A3313">
        <v>57204620398</v>
      </c>
      <c r="B3313" t="s">
        <v>3314</v>
      </c>
      <c r="C3313" t="str">
        <f>_xlfn.XLOOKUP(A3313,[1]Affiliations!$J$2:$J$5328,[1]Affiliations!$K$2:$K$5328,0)</f>
        <v>Pré-Sal Petróleo S.A.</v>
      </c>
      <c r="D3313">
        <v>9</v>
      </c>
      <c r="E3313">
        <v>86</v>
      </c>
      <c r="F3313">
        <v>9.555555</v>
      </c>
      <c r="G3313">
        <v>5</v>
      </c>
      <c r="H3313">
        <v>0.71</v>
      </c>
      <c r="I3313">
        <v>0</v>
      </c>
      <c r="J3313">
        <v>3</v>
      </c>
      <c r="K3313">
        <v>4</v>
      </c>
      <c r="L3313">
        <v>6</v>
      </c>
      <c r="M3313">
        <v>7</v>
      </c>
      <c r="N3313">
        <v>7</v>
      </c>
      <c r="P3313">
        <v>0</v>
      </c>
      <c r="Q3313">
        <v>0</v>
      </c>
      <c r="R3313">
        <v>0</v>
      </c>
      <c r="S3313">
        <v>2</v>
      </c>
    </row>
    <row r="3314" spans="1:19" hidden="1" x14ac:dyDescent="0.35">
      <c r="A3314">
        <v>57195724628</v>
      </c>
      <c r="B3314" t="s">
        <v>3315</v>
      </c>
      <c r="C3314" t="str">
        <f>_xlfn.XLOOKUP(A3314,[1]Affiliations!$J$2:$J$5328,[1]Affiliations!$K$2:$K$5328,0)</f>
        <v>Universidade Federal de Viçosa</v>
      </c>
      <c r="D3314">
        <v>1</v>
      </c>
      <c r="E3314">
        <v>7</v>
      </c>
      <c r="F3314">
        <v>7</v>
      </c>
      <c r="G3314">
        <v>1</v>
      </c>
      <c r="H3314">
        <v>0.18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1</v>
      </c>
      <c r="P3314">
        <v>0</v>
      </c>
      <c r="Q3314">
        <v>0</v>
      </c>
      <c r="R3314">
        <v>0</v>
      </c>
      <c r="S3314">
        <v>0</v>
      </c>
    </row>
    <row r="3315" spans="1:19" hidden="1" x14ac:dyDescent="0.35">
      <c r="A3315">
        <v>58370462200</v>
      </c>
      <c r="B3315" t="s">
        <v>3316</v>
      </c>
      <c r="C3315" t="str">
        <f>_xlfn.XLOOKUP(A3315,[1]Affiliations!$J$2:$J$5328,[1]Affiliations!$K$2:$K$5328,0)</f>
        <v>Federal University of Rio de Janeiro</v>
      </c>
      <c r="D3315">
        <v>1</v>
      </c>
      <c r="E3315">
        <v>17</v>
      </c>
      <c r="F3315">
        <v>17</v>
      </c>
      <c r="G3315">
        <v>1</v>
      </c>
      <c r="H3315">
        <v>0.51</v>
      </c>
      <c r="I3315">
        <v>0</v>
      </c>
      <c r="J3315">
        <v>0</v>
      </c>
      <c r="K3315">
        <v>1</v>
      </c>
      <c r="L3315">
        <v>1</v>
      </c>
      <c r="M3315">
        <v>1</v>
      </c>
      <c r="N3315">
        <v>1</v>
      </c>
      <c r="P3315">
        <v>0</v>
      </c>
      <c r="Q3315">
        <v>0</v>
      </c>
      <c r="R3315">
        <v>0</v>
      </c>
      <c r="S3315">
        <v>0</v>
      </c>
    </row>
    <row r="3316" spans="1:19" hidden="1" x14ac:dyDescent="0.35">
      <c r="A3316">
        <v>58779148800</v>
      </c>
      <c r="B3316" t="s">
        <v>3317</v>
      </c>
      <c r="C3316" t="str">
        <f>_xlfn.XLOOKUP(A3316,[1]Affiliations!$J$2:$J$5328,[1]Affiliations!$K$2:$K$5328,0)</f>
        <v>Senior Consultant in Risk and Reliability Engineering</v>
      </c>
      <c r="D3316">
        <v>3</v>
      </c>
      <c r="E3316">
        <v>2</v>
      </c>
      <c r="F3316">
        <v>0.66666669999999995</v>
      </c>
      <c r="G3316">
        <v>1</v>
      </c>
      <c r="H3316">
        <v>0.08</v>
      </c>
      <c r="I3316">
        <v>0</v>
      </c>
      <c r="J3316">
        <v>1</v>
      </c>
      <c r="K3316">
        <v>1</v>
      </c>
      <c r="L3316">
        <v>1</v>
      </c>
      <c r="M3316">
        <v>1</v>
      </c>
      <c r="N3316">
        <v>1</v>
      </c>
      <c r="P3316">
        <v>0</v>
      </c>
      <c r="Q3316">
        <v>0</v>
      </c>
      <c r="R3316">
        <v>0</v>
      </c>
      <c r="S3316">
        <v>0</v>
      </c>
    </row>
    <row r="3317" spans="1:19" x14ac:dyDescent="0.35">
      <c r="A3317">
        <v>55876741500</v>
      </c>
      <c r="B3317" t="s">
        <v>3270</v>
      </c>
      <c r="C3317" t="str">
        <f>_xlfn.XLOOKUP(A3317,[1]Affiliations!$J$2:$J$5328,[1]Affiliations!$K$2:$K$5328,0)</f>
        <v>Brazilian Center of Research in Physics (CBPF)</v>
      </c>
      <c r="D3317">
        <v>41</v>
      </c>
      <c r="E3317">
        <v>770</v>
      </c>
      <c r="F3317">
        <v>18.780487000000001</v>
      </c>
      <c r="G3317">
        <v>21</v>
      </c>
      <c r="H3317">
        <v>0.82</v>
      </c>
      <c r="I3317">
        <v>0</v>
      </c>
      <c r="J3317">
        <v>5</v>
      </c>
      <c r="K3317">
        <v>9</v>
      </c>
      <c r="L3317">
        <v>28</v>
      </c>
      <c r="M3317">
        <v>38</v>
      </c>
      <c r="N3317">
        <v>40</v>
      </c>
      <c r="P3317">
        <v>0</v>
      </c>
      <c r="Q3317">
        <v>2</v>
      </c>
      <c r="R3317">
        <v>5</v>
      </c>
      <c r="S3317">
        <v>13</v>
      </c>
    </row>
    <row r="3318" spans="1:19" hidden="1" x14ac:dyDescent="0.35">
      <c r="A3318">
        <v>57190047990</v>
      </c>
      <c r="B3318" t="s">
        <v>3319</v>
      </c>
      <c r="C3318" t="str">
        <f>_xlfn.XLOOKUP(A3318,[1]Affiliations!$J$2:$J$5328,[1]Affiliations!$K$2:$K$5328,0)</f>
        <v>Federal University of Rio de Janeiro</v>
      </c>
      <c r="D3318">
        <v>7</v>
      </c>
      <c r="E3318">
        <v>94</v>
      </c>
      <c r="F3318">
        <v>13.428572000000001</v>
      </c>
      <c r="G3318">
        <v>5</v>
      </c>
      <c r="H3318">
        <v>0.48</v>
      </c>
      <c r="I3318">
        <v>0</v>
      </c>
      <c r="J3318">
        <v>0</v>
      </c>
      <c r="K3318">
        <v>0</v>
      </c>
      <c r="L3318">
        <v>0</v>
      </c>
      <c r="M3318">
        <v>7</v>
      </c>
      <c r="N3318">
        <v>7</v>
      </c>
      <c r="P3318">
        <v>0</v>
      </c>
      <c r="Q3318">
        <v>0</v>
      </c>
      <c r="R3318">
        <v>0</v>
      </c>
      <c r="S3318">
        <v>3</v>
      </c>
    </row>
    <row r="3319" spans="1:19" x14ac:dyDescent="0.35">
      <c r="A3319">
        <v>56494480300</v>
      </c>
      <c r="B3319" t="s">
        <v>3272</v>
      </c>
      <c r="C3319" t="str">
        <f>_xlfn.XLOOKUP(A3319,[1]Affiliations!$J$2:$J$5328,[1]Affiliations!$K$2:$K$5328,0)</f>
        <v>Universidade Federal do Espírito Santo</v>
      </c>
      <c r="D3319">
        <v>9</v>
      </c>
      <c r="E3319">
        <v>69</v>
      </c>
      <c r="F3319">
        <v>7.6666664999999998</v>
      </c>
      <c r="G3319">
        <v>6</v>
      </c>
      <c r="H3319">
        <v>0.82</v>
      </c>
      <c r="I3319">
        <v>0</v>
      </c>
      <c r="J3319">
        <v>3</v>
      </c>
      <c r="K3319">
        <v>4</v>
      </c>
      <c r="L3319">
        <v>5</v>
      </c>
      <c r="M3319">
        <v>5</v>
      </c>
      <c r="N3319">
        <v>6</v>
      </c>
      <c r="P3319">
        <v>0</v>
      </c>
      <c r="Q3319">
        <v>0</v>
      </c>
      <c r="R3319">
        <v>2</v>
      </c>
      <c r="S3319">
        <v>3</v>
      </c>
    </row>
    <row r="3320" spans="1:19" x14ac:dyDescent="0.35">
      <c r="A3320">
        <v>6603250236</v>
      </c>
      <c r="B3320" t="s">
        <v>3510</v>
      </c>
      <c r="C3320" t="str">
        <f>_xlfn.XLOOKUP(A3320,[1]Affiliations!$J$2:$J$5328,[1]Affiliations!$K$2:$K$5328,0)</f>
        <v>Universidade Federal do Espírito Santo</v>
      </c>
      <c r="D3320">
        <v>23</v>
      </c>
      <c r="E3320">
        <v>213</v>
      </c>
      <c r="F3320">
        <v>9.2608700000000006</v>
      </c>
      <c r="G3320">
        <v>11</v>
      </c>
      <c r="H3320">
        <v>0.82</v>
      </c>
      <c r="I3320">
        <v>0</v>
      </c>
      <c r="J3320">
        <v>3</v>
      </c>
      <c r="K3320">
        <v>5</v>
      </c>
      <c r="L3320">
        <v>9</v>
      </c>
      <c r="M3320">
        <v>10</v>
      </c>
      <c r="N3320">
        <v>12</v>
      </c>
      <c r="P3320">
        <v>0</v>
      </c>
      <c r="Q3320">
        <v>1</v>
      </c>
      <c r="R3320">
        <v>2</v>
      </c>
      <c r="S3320">
        <v>4</v>
      </c>
    </row>
    <row r="3321" spans="1:19" hidden="1" x14ac:dyDescent="0.35">
      <c r="A3321">
        <v>57218579933</v>
      </c>
      <c r="B3321" t="s">
        <v>3322</v>
      </c>
      <c r="C3321" t="str">
        <f>_xlfn.XLOOKUP(A3321,[1]Affiliations!$J$2:$J$5328,[1]Affiliations!$K$2:$K$5328,0)</f>
        <v>Universidade Federal do Espírito Santo</v>
      </c>
      <c r="D3321">
        <v>1</v>
      </c>
      <c r="E3321">
        <v>19</v>
      </c>
      <c r="F3321">
        <v>19</v>
      </c>
      <c r="G3321">
        <v>1</v>
      </c>
      <c r="H3321">
        <v>0.9</v>
      </c>
      <c r="I3321">
        <v>0</v>
      </c>
      <c r="J3321">
        <v>0</v>
      </c>
      <c r="K3321">
        <v>0</v>
      </c>
      <c r="L3321">
        <v>1</v>
      </c>
      <c r="M3321">
        <v>1</v>
      </c>
      <c r="N3321">
        <v>1</v>
      </c>
      <c r="P3321">
        <v>0</v>
      </c>
      <c r="Q3321">
        <v>0</v>
      </c>
      <c r="R3321">
        <v>0</v>
      </c>
      <c r="S3321">
        <v>1</v>
      </c>
    </row>
    <row r="3322" spans="1:19" hidden="1" x14ac:dyDescent="0.35">
      <c r="A3322">
        <v>60088998900</v>
      </c>
      <c r="B3322" t="s">
        <v>3323</v>
      </c>
      <c r="C3322" t="str">
        <f>_xlfn.XLOOKUP(A3322,[1]Affiliations!$J$2:$J$5328,[1]Affiliations!$K$2:$K$5328,0)</f>
        <v>Pontifical Catholic University of Rio de Janeiro</v>
      </c>
      <c r="D3322">
        <v>0</v>
      </c>
      <c r="G3322">
        <v>0</v>
      </c>
    </row>
    <row r="3323" spans="1:19" x14ac:dyDescent="0.35">
      <c r="A3323">
        <v>36634648700</v>
      </c>
      <c r="B3323" t="s">
        <v>4054</v>
      </c>
      <c r="C3323" t="str">
        <f>_xlfn.XLOOKUP(A3323,[1]Affiliations!$J$2:$J$5328,[1]Affiliations!$K$2:$K$5328,0)</f>
        <v>Universidade Federal do Rio Grande do Sul</v>
      </c>
      <c r="D3323">
        <v>19</v>
      </c>
      <c r="E3323">
        <v>176</v>
      </c>
      <c r="F3323">
        <v>9.2631580000000007</v>
      </c>
      <c r="G3323">
        <v>7</v>
      </c>
      <c r="H3323">
        <v>0.82</v>
      </c>
      <c r="I3323">
        <v>0</v>
      </c>
      <c r="J3323">
        <v>1</v>
      </c>
      <c r="K3323">
        <v>3</v>
      </c>
      <c r="L3323">
        <v>7</v>
      </c>
      <c r="M3323">
        <v>12</v>
      </c>
      <c r="N3323">
        <v>15</v>
      </c>
      <c r="P3323">
        <v>0</v>
      </c>
      <c r="Q3323">
        <v>0</v>
      </c>
      <c r="R3323">
        <v>1</v>
      </c>
      <c r="S3323">
        <v>3</v>
      </c>
    </row>
    <row r="3324" spans="1:19" hidden="1" x14ac:dyDescent="0.35">
      <c r="A3324">
        <v>56549652100</v>
      </c>
      <c r="B3324" t="s">
        <v>3325</v>
      </c>
      <c r="C3324" t="str">
        <f>_xlfn.XLOOKUP(A3324,[1]Affiliations!$J$2:$J$5328,[1]Affiliations!$K$2:$K$5328,0)</f>
        <v>Universidade Federal de Minas Gerais</v>
      </c>
      <c r="D3324">
        <v>1</v>
      </c>
      <c r="E3324">
        <v>23</v>
      </c>
      <c r="F3324">
        <v>23</v>
      </c>
      <c r="G3324">
        <v>1</v>
      </c>
      <c r="H3324">
        <v>0.72</v>
      </c>
      <c r="I3324">
        <v>0</v>
      </c>
      <c r="J3324">
        <v>0</v>
      </c>
      <c r="K3324">
        <v>0</v>
      </c>
      <c r="L3324">
        <v>0</v>
      </c>
      <c r="M3324">
        <v>1</v>
      </c>
      <c r="N3324">
        <v>1</v>
      </c>
      <c r="P3324">
        <v>0</v>
      </c>
      <c r="Q3324">
        <v>0</v>
      </c>
      <c r="R3324">
        <v>0</v>
      </c>
      <c r="S3324">
        <v>1</v>
      </c>
    </row>
    <row r="3325" spans="1:19" hidden="1" x14ac:dyDescent="0.35">
      <c r="A3325">
        <v>57193669340</v>
      </c>
      <c r="B3325" t="s">
        <v>3326</v>
      </c>
      <c r="C3325" t="str">
        <f>_xlfn.XLOOKUP(A3325,[1]Affiliations!$J$2:$J$5328,[1]Affiliations!$K$2:$K$5328,0)</f>
        <v>Universidade Federal Rural do Rio de Janeiro</v>
      </c>
      <c r="D3325">
        <v>10</v>
      </c>
      <c r="E3325">
        <v>29</v>
      </c>
      <c r="F3325">
        <v>2.9</v>
      </c>
      <c r="G3325">
        <v>3</v>
      </c>
      <c r="H3325">
        <v>0.1</v>
      </c>
      <c r="I3325">
        <v>0</v>
      </c>
      <c r="J3325">
        <v>0</v>
      </c>
      <c r="K3325">
        <v>0</v>
      </c>
      <c r="L3325">
        <v>0</v>
      </c>
      <c r="M3325">
        <v>2</v>
      </c>
      <c r="N3325">
        <v>8</v>
      </c>
      <c r="P3325">
        <v>0</v>
      </c>
      <c r="Q3325">
        <v>0</v>
      </c>
      <c r="R3325">
        <v>0</v>
      </c>
      <c r="S3325">
        <v>0</v>
      </c>
    </row>
    <row r="3326" spans="1:19" hidden="1" x14ac:dyDescent="0.35">
      <c r="A3326">
        <v>57203410241</v>
      </c>
      <c r="B3326" t="s">
        <v>3327</v>
      </c>
      <c r="C3326" t="str">
        <f>_xlfn.XLOOKUP(A3326,[1]Affiliations!$J$2:$J$5328,[1]Affiliations!$K$2:$K$5328,0)</f>
        <v>Universidade do Estado do Rio de Janeiro</v>
      </c>
      <c r="D3326">
        <v>1</v>
      </c>
      <c r="E3326">
        <v>0</v>
      </c>
      <c r="F3326">
        <v>0</v>
      </c>
      <c r="G3326">
        <v>0</v>
      </c>
      <c r="H3326">
        <v>0</v>
      </c>
      <c r="P3326">
        <v>0</v>
      </c>
      <c r="Q3326">
        <v>0</v>
      </c>
      <c r="R3326">
        <v>0</v>
      </c>
      <c r="S3326">
        <v>0</v>
      </c>
    </row>
    <row r="3327" spans="1:19" x14ac:dyDescent="0.35">
      <c r="A3327">
        <v>12801388300</v>
      </c>
      <c r="B3327" t="s">
        <v>4152</v>
      </c>
      <c r="C3327" t="str">
        <f>_xlfn.XLOOKUP(A3327,[1]Affiliations!$J$2:$J$5328,[1]Affiliations!$K$2:$K$5328,0)</f>
        <v>Universidade de Brasília</v>
      </c>
      <c r="D3327">
        <v>13</v>
      </c>
      <c r="E3327">
        <v>377</v>
      </c>
      <c r="F3327">
        <v>29</v>
      </c>
      <c r="G3327">
        <v>11</v>
      </c>
      <c r="H3327">
        <v>0.82</v>
      </c>
      <c r="I3327">
        <v>0</v>
      </c>
      <c r="J3327">
        <v>1</v>
      </c>
      <c r="K3327">
        <v>3</v>
      </c>
      <c r="L3327">
        <v>7</v>
      </c>
      <c r="M3327">
        <v>10</v>
      </c>
      <c r="N3327">
        <v>12</v>
      </c>
      <c r="P3327">
        <v>1</v>
      </c>
      <c r="Q3327">
        <v>1</v>
      </c>
      <c r="R3327">
        <v>1</v>
      </c>
      <c r="S3327">
        <v>4</v>
      </c>
    </row>
    <row r="3328" spans="1:19" x14ac:dyDescent="0.35">
      <c r="A3328">
        <v>56996893900</v>
      </c>
      <c r="B3328" t="s">
        <v>4355</v>
      </c>
      <c r="C3328" t="str">
        <f>_xlfn.XLOOKUP(A3328,[1]Affiliations!$J$2:$J$5328,[1]Affiliations!$K$2:$K$5328,0)</f>
        <v>Federal University of Rio de Janeiro</v>
      </c>
      <c r="D3328">
        <v>6</v>
      </c>
      <c r="E3328">
        <v>93</v>
      </c>
      <c r="F3328">
        <v>15.5</v>
      </c>
      <c r="G3328">
        <v>4</v>
      </c>
      <c r="H3328">
        <v>0.82</v>
      </c>
      <c r="I3328">
        <v>0</v>
      </c>
      <c r="J3328">
        <v>2</v>
      </c>
      <c r="K3328">
        <v>2</v>
      </c>
      <c r="L3328">
        <v>3</v>
      </c>
      <c r="M3328">
        <v>6</v>
      </c>
      <c r="N3328">
        <v>6</v>
      </c>
      <c r="P3328">
        <v>0</v>
      </c>
      <c r="Q3328">
        <v>0</v>
      </c>
      <c r="R3328">
        <v>2</v>
      </c>
      <c r="S3328">
        <v>3</v>
      </c>
    </row>
    <row r="3329" spans="1:19" hidden="1" x14ac:dyDescent="0.35">
      <c r="A3329">
        <v>55959131200</v>
      </c>
      <c r="B3329" t="s">
        <v>3330</v>
      </c>
      <c r="C3329" t="str">
        <f>_xlfn.XLOOKUP(A3329,[1]Affiliations!$J$2:$J$5328,[1]Affiliations!$K$2:$K$5328,0)</f>
        <v>Universidade Federal Fluminense (+1 more)</v>
      </c>
      <c r="D3329">
        <v>6</v>
      </c>
      <c r="E3329">
        <v>83</v>
      </c>
      <c r="F3329">
        <v>13.833333</v>
      </c>
      <c r="G3329">
        <v>9</v>
      </c>
      <c r="H3329">
        <v>0.76</v>
      </c>
      <c r="I3329">
        <v>0</v>
      </c>
      <c r="J3329">
        <v>1</v>
      </c>
      <c r="K3329">
        <v>3</v>
      </c>
      <c r="L3329">
        <v>5</v>
      </c>
      <c r="M3329">
        <v>5</v>
      </c>
      <c r="N3329">
        <v>5</v>
      </c>
      <c r="P3329">
        <v>0</v>
      </c>
      <c r="Q3329">
        <v>0</v>
      </c>
      <c r="R3329">
        <v>0</v>
      </c>
      <c r="S3329">
        <v>2</v>
      </c>
    </row>
    <row r="3330" spans="1:19" x14ac:dyDescent="0.35">
      <c r="A3330">
        <v>54911117000</v>
      </c>
      <c r="B3330" t="s">
        <v>4869</v>
      </c>
      <c r="C3330" t="str">
        <f>_xlfn.XLOOKUP(A3330,[1]Affiliations!$J$2:$J$5328,[1]Affiliations!$K$2:$K$5328,0)</f>
        <v>DEMa</v>
      </c>
      <c r="D3330">
        <v>26</v>
      </c>
      <c r="E3330">
        <v>335</v>
      </c>
      <c r="F3330">
        <v>12.884615</v>
      </c>
      <c r="G3330">
        <v>14</v>
      </c>
      <c r="H3330">
        <v>0.82</v>
      </c>
      <c r="I3330">
        <v>0</v>
      </c>
      <c r="J3330">
        <v>1</v>
      </c>
      <c r="K3330">
        <v>4</v>
      </c>
      <c r="L3330">
        <v>11</v>
      </c>
      <c r="M3330">
        <v>22</v>
      </c>
      <c r="N3330">
        <v>26</v>
      </c>
      <c r="P3330">
        <v>0</v>
      </c>
      <c r="Q3330">
        <v>0</v>
      </c>
      <c r="R3330">
        <v>3</v>
      </c>
      <c r="S3330">
        <v>11</v>
      </c>
    </row>
    <row r="3331" spans="1:19" x14ac:dyDescent="0.35">
      <c r="A3331">
        <v>55991121700</v>
      </c>
      <c r="B3331" t="s">
        <v>5166</v>
      </c>
      <c r="C3331" t="str">
        <f>_xlfn.XLOOKUP(A3331,[1]Affiliations!$J$2:$J$5328,[1]Affiliations!$K$2:$K$5328,0)</f>
        <v>Universidade de São Paulo</v>
      </c>
      <c r="D3331">
        <v>10</v>
      </c>
      <c r="E3331">
        <v>92</v>
      </c>
      <c r="F3331">
        <v>9.1999999999999993</v>
      </c>
      <c r="G3331">
        <v>7</v>
      </c>
      <c r="H3331">
        <v>0.82</v>
      </c>
      <c r="I3331">
        <v>0</v>
      </c>
      <c r="J3331">
        <v>0</v>
      </c>
      <c r="K3331">
        <v>1</v>
      </c>
      <c r="L3331">
        <v>1</v>
      </c>
      <c r="M3331">
        <v>5</v>
      </c>
      <c r="N3331">
        <v>10</v>
      </c>
      <c r="P3331">
        <v>0</v>
      </c>
      <c r="Q3331">
        <v>0</v>
      </c>
      <c r="R3331">
        <v>1</v>
      </c>
      <c r="S3331">
        <v>1</v>
      </c>
    </row>
    <row r="3332" spans="1:19" x14ac:dyDescent="0.35">
      <c r="A3332">
        <v>7003608389</v>
      </c>
      <c r="B3332" t="s">
        <v>5277</v>
      </c>
      <c r="C3332" t="str">
        <f>_xlfn.XLOOKUP(A3332,[1]Affiliations!$J$2:$J$5328,[1]Affiliations!$K$2:$K$5328,0)</f>
        <v>Universidade de São Paulo</v>
      </c>
      <c r="D3332">
        <v>48</v>
      </c>
      <c r="E3332">
        <v>646</v>
      </c>
      <c r="F3332">
        <v>13.458333</v>
      </c>
      <c r="G3332">
        <v>21</v>
      </c>
      <c r="H3332">
        <v>0.82</v>
      </c>
      <c r="I3332">
        <v>1</v>
      </c>
      <c r="J3332">
        <v>7</v>
      </c>
      <c r="K3332">
        <v>15</v>
      </c>
      <c r="L3332">
        <v>24</v>
      </c>
      <c r="M3332">
        <v>28</v>
      </c>
      <c r="N3332">
        <v>31</v>
      </c>
      <c r="P3332">
        <v>0</v>
      </c>
      <c r="Q3332">
        <v>2</v>
      </c>
      <c r="R3332">
        <v>3</v>
      </c>
      <c r="S3332">
        <v>19</v>
      </c>
    </row>
    <row r="3333" spans="1:19" hidden="1" x14ac:dyDescent="0.35">
      <c r="A3333">
        <v>57388899200</v>
      </c>
      <c r="B3333" t="s">
        <v>3334</v>
      </c>
      <c r="C3333" t="str">
        <f>_xlfn.XLOOKUP(A3333,[1]Affiliations!$J$2:$J$5328,[1]Affiliations!$K$2:$K$5328,0)</f>
        <v>Universidade Federal do Ceará</v>
      </c>
      <c r="D3333">
        <v>2</v>
      </c>
      <c r="E3333">
        <v>5</v>
      </c>
      <c r="F3333">
        <v>2.5</v>
      </c>
      <c r="G3333">
        <v>1</v>
      </c>
      <c r="H3333">
        <v>0.19</v>
      </c>
      <c r="I3333">
        <v>0</v>
      </c>
      <c r="J3333">
        <v>0</v>
      </c>
      <c r="K3333">
        <v>0</v>
      </c>
      <c r="L3333">
        <v>2</v>
      </c>
      <c r="M3333">
        <v>2</v>
      </c>
      <c r="N3333">
        <v>2</v>
      </c>
      <c r="P3333">
        <v>0</v>
      </c>
      <c r="Q3333">
        <v>0</v>
      </c>
      <c r="R3333">
        <v>0</v>
      </c>
      <c r="S3333">
        <v>0</v>
      </c>
    </row>
    <row r="3334" spans="1:19" x14ac:dyDescent="0.35">
      <c r="A3334">
        <v>7006641501</v>
      </c>
      <c r="B3334" t="s">
        <v>160</v>
      </c>
      <c r="C3334" t="str">
        <f>_xlfn.XLOOKUP(A3334,[1]Affiliations!$J$2:$J$5328,[1]Affiliations!$K$2:$K$5328,0)</f>
        <v>Universidade do Estado do Rio de Janeiro</v>
      </c>
      <c r="D3334">
        <v>37</v>
      </c>
      <c r="E3334">
        <v>397</v>
      </c>
      <c r="F3334">
        <v>10.72973</v>
      </c>
      <c r="G3334">
        <v>13</v>
      </c>
      <c r="H3334">
        <v>0.81</v>
      </c>
      <c r="I3334">
        <v>0</v>
      </c>
      <c r="J3334">
        <v>0</v>
      </c>
      <c r="K3334">
        <v>3</v>
      </c>
      <c r="L3334">
        <v>12</v>
      </c>
      <c r="M3334">
        <v>19</v>
      </c>
      <c r="N3334">
        <v>23</v>
      </c>
      <c r="P3334">
        <v>0</v>
      </c>
      <c r="Q3334">
        <v>0</v>
      </c>
      <c r="R3334">
        <v>4</v>
      </c>
      <c r="S3334">
        <v>7</v>
      </c>
    </row>
    <row r="3335" spans="1:19" hidden="1" x14ac:dyDescent="0.35">
      <c r="A3335">
        <v>59226748600</v>
      </c>
      <c r="B3335" t="s">
        <v>3336</v>
      </c>
      <c r="C3335" t="str">
        <f>_xlfn.XLOOKUP(A3335,[1]Affiliations!$J$2:$J$5328,[1]Affiliations!$K$2:$K$5328,0)</f>
        <v>Federal University of Rio de Janeiro</v>
      </c>
      <c r="D3335">
        <v>1</v>
      </c>
      <c r="E3335">
        <v>4</v>
      </c>
      <c r="F3335">
        <v>4</v>
      </c>
      <c r="G3335">
        <v>1</v>
      </c>
      <c r="H3335">
        <v>0.56000000000000005</v>
      </c>
      <c r="I3335">
        <v>0</v>
      </c>
      <c r="J3335">
        <v>0</v>
      </c>
      <c r="K3335">
        <v>0</v>
      </c>
      <c r="L3335">
        <v>1</v>
      </c>
      <c r="M3335">
        <v>1</v>
      </c>
      <c r="N3335">
        <v>1</v>
      </c>
      <c r="P3335">
        <v>0</v>
      </c>
      <c r="Q3335">
        <v>0</v>
      </c>
      <c r="R3335">
        <v>0</v>
      </c>
      <c r="S3335">
        <v>0</v>
      </c>
    </row>
    <row r="3336" spans="1:19" hidden="1" x14ac:dyDescent="0.35">
      <c r="A3336">
        <v>59503913900</v>
      </c>
      <c r="B3336" t="s">
        <v>3337</v>
      </c>
      <c r="C3336" t="str">
        <f>_xlfn.XLOOKUP(A3336,[1]Affiliations!$J$2:$J$5328,[1]Affiliations!$K$2:$K$5328,0)</f>
        <v>Universidade Tiradentes (+1 more)</v>
      </c>
      <c r="D3336">
        <v>0</v>
      </c>
      <c r="G3336">
        <v>0</v>
      </c>
    </row>
    <row r="3337" spans="1:19" hidden="1" x14ac:dyDescent="0.35">
      <c r="A3337">
        <v>35572230600</v>
      </c>
      <c r="B3337" t="s">
        <v>3338</v>
      </c>
      <c r="C3337" t="str">
        <f>_xlfn.XLOOKUP(A3337,[1]Affiliations!$J$2:$J$5328,[1]Affiliations!$K$2:$K$5328,0)</f>
        <v>Universidade Federal de Minas Gerais</v>
      </c>
      <c r="D3337">
        <v>1</v>
      </c>
      <c r="E3337">
        <v>12</v>
      </c>
      <c r="F3337">
        <v>12</v>
      </c>
      <c r="G3337">
        <v>13</v>
      </c>
      <c r="H3337">
        <v>0.61</v>
      </c>
      <c r="I3337">
        <v>0</v>
      </c>
      <c r="J3337">
        <v>0</v>
      </c>
      <c r="K3337">
        <v>1</v>
      </c>
      <c r="L3337">
        <v>1</v>
      </c>
      <c r="M3337">
        <v>1</v>
      </c>
      <c r="N3337">
        <v>1</v>
      </c>
      <c r="P3337">
        <v>0</v>
      </c>
      <c r="Q3337">
        <v>0</v>
      </c>
      <c r="R3337">
        <v>0</v>
      </c>
      <c r="S3337">
        <v>0</v>
      </c>
    </row>
    <row r="3338" spans="1:19" hidden="1" x14ac:dyDescent="0.35">
      <c r="A3338">
        <v>57211549682</v>
      </c>
      <c r="B3338" t="s">
        <v>3339</v>
      </c>
      <c r="C3338" t="str">
        <f>_xlfn.XLOOKUP(A3338,[1]Affiliations!$J$2:$J$5328,[1]Affiliations!$K$2:$K$5328,0)</f>
        <v>Universidade Federal do Rio Grande do Norte (+1 more)</v>
      </c>
      <c r="D3338">
        <v>1</v>
      </c>
      <c r="E3338">
        <v>27</v>
      </c>
      <c r="F3338">
        <v>27</v>
      </c>
      <c r="G3338">
        <v>1</v>
      </c>
      <c r="H3338">
        <v>1.94</v>
      </c>
      <c r="I3338">
        <v>0</v>
      </c>
      <c r="J3338">
        <v>1</v>
      </c>
      <c r="K3338">
        <v>1</v>
      </c>
      <c r="L3338">
        <v>1</v>
      </c>
      <c r="M3338">
        <v>1</v>
      </c>
      <c r="N3338">
        <v>1</v>
      </c>
      <c r="P3338">
        <v>0</v>
      </c>
      <c r="Q3338">
        <v>0</v>
      </c>
      <c r="R3338">
        <v>0</v>
      </c>
      <c r="S3338">
        <v>1</v>
      </c>
    </row>
    <row r="3339" spans="1:19" hidden="1" x14ac:dyDescent="0.35">
      <c r="A3339">
        <v>57191860495</v>
      </c>
      <c r="B3339" t="s">
        <v>3340</v>
      </c>
      <c r="C3339" t="str">
        <f>_xlfn.XLOOKUP(A3339,[1]Affiliations!$J$2:$J$5328,[1]Affiliations!$K$2:$K$5328,0)</f>
        <v>Universidade de São Paulo</v>
      </c>
      <c r="D3339">
        <v>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P3339">
        <v>0</v>
      </c>
      <c r="Q3339">
        <v>0</v>
      </c>
      <c r="R3339">
        <v>0</v>
      </c>
      <c r="S3339">
        <v>0</v>
      </c>
    </row>
    <row r="3340" spans="1:19" hidden="1" x14ac:dyDescent="0.35">
      <c r="A3340">
        <v>59425565400</v>
      </c>
      <c r="B3340" t="s">
        <v>3341</v>
      </c>
      <c r="C3340" t="str">
        <f>_xlfn.XLOOKUP(A3340,[1]Affiliations!$J$2:$J$5328,[1]Affiliations!$K$2:$K$5328,0)</f>
        <v>Federal University of Rio de Janeiro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>
        <v>1</v>
      </c>
      <c r="P3340">
        <v>0</v>
      </c>
      <c r="Q3340">
        <v>0</v>
      </c>
      <c r="R3340">
        <v>0</v>
      </c>
      <c r="S3340">
        <v>0</v>
      </c>
    </row>
    <row r="3341" spans="1:19" x14ac:dyDescent="0.35">
      <c r="A3341">
        <v>11439250900</v>
      </c>
      <c r="B3341" t="s">
        <v>286</v>
      </c>
      <c r="C3341" t="str">
        <f>_xlfn.XLOOKUP(A3341,[1]Affiliations!$J$2:$J$5328,[1]Affiliations!$K$2:$K$5328,0)</f>
        <v>University of Campinas (+1 more)</v>
      </c>
      <c r="D3341">
        <v>21</v>
      </c>
      <c r="E3341">
        <v>437</v>
      </c>
      <c r="F3341">
        <v>20.809525000000001</v>
      </c>
      <c r="G3341">
        <v>18</v>
      </c>
      <c r="H3341">
        <v>0.81</v>
      </c>
      <c r="I3341">
        <v>0</v>
      </c>
      <c r="J3341">
        <v>2</v>
      </c>
      <c r="K3341">
        <v>4</v>
      </c>
      <c r="L3341">
        <v>9</v>
      </c>
      <c r="M3341">
        <v>16</v>
      </c>
      <c r="N3341">
        <v>21</v>
      </c>
      <c r="P3341">
        <v>0</v>
      </c>
      <c r="Q3341">
        <v>1</v>
      </c>
      <c r="R3341">
        <v>3</v>
      </c>
      <c r="S3341">
        <v>9</v>
      </c>
    </row>
    <row r="3342" spans="1:19" hidden="1" x14ac:dyDescent="0.35">
      <c r="A3342">
        <v>11440650000</v>
      </c>
      <c r="B3342" t="s">
        <v>3343</v>
      </c>
      <c r="C3342" t="str">
        <f>_xlfn.XLOOKUP(A3342,[1]Affiliations!$J$2:$J$5328,[1]Affiliations!$K$2:$K$5328,0)</f>
        <v>Federal University of Rio de Janeiro</v>
      </c>
      <c r="D3342">
        <v>1</v>
      </c>
      <c r="E3342">
        <v>5</v>
      </c>
      <c r="F3342">
        <v>5</v>
      </c>
      <c r="G3342">
        <v>1</v>
      </c>
      <c r="H3342">
        <v>0.18</v>
      </c>
      <c r="I3342">
        <v>0</v>
      </c>
      <c r="J3342">
        <v>0</v>
      </c>
      <c r="K3342">
        <v>0</v>
      </c>
      <c r="L3342">
        <v>1</v>
      </c>
      <c r="M3342">
        <v>1</v>
      </c>
      <c r="N3342">
        <v>1</v>
      </c>
      <c r="P3342">
        <v>0</v>
      </c>
      <c r="Q3342">
        <v>0</v>
      </c>
      <c r="R3342">
        <v>0</v>
      </c>
      <c r="S3342">
        <v>0</v>
      </c>
    </row>
    <row r="3343" spans="1:19" x14ac:dyDescent="0.35">
      <c r="A3343">
        <v>56104812200</v>
      </c>
      <c r="B3343" t="s">
        <v>423</v>
      </c>
      <c r="C3343" t="str">
        <f>_xlfn.XLOOKUP(A3343,[1]Affiliations!$J$2:$J$5328,[1]Affiliations!$K$2:$K$5328,0)</f>
        <v>Universidade Federal do Espírito Santo</v>
      </c>
      <c r="D3343">
        <v>11</v>
      </c>
      <c r="E3343">
        <v>246</v>
      </c>
      <c r="F3343">
        <v>22.363636</v>
      </c>
      <c r="G3343">
        <v>8</v>
      </c>
      <c r="H3343">
        <v>0.81</v>
      </c>
      <c r="I3343">
        <v>0</v>
      </c>
      <c r="J3343">
        <v>2</v>
      </c>
      <c r="K3343">
        <v>2</v>
      </c>
      <c r="L3343">
        <v>9</v>
      </c>
      <c r="M3343">
        <v>9</v>
      </c>
      <c r="N3343">
        <v>10</v>
      </c>
      <c r="P3343">
        <v>0</v>
      </c>
      <c r="Q3343">
        <v>0</v>
      </c>
      <c r="R3343">
        <v>1</v>
      </c>
      <c r="S3343">
        <v>5</v>
      </c>
    </row>
    <row r="3344" spans="1:19" x14ac:dyDescent="0.35">
      <c r="A3344">
        <v>57191892427</v>
      </c>
      <c r="B3344" t="s">
        <v>734</v>
      </c>
      <c r="C3344" t="str">
        <f>_xlfn.XLOOKUP(A3344,[1]Affiliations!$J$2:$J$5328,[1]Affiliations!$K$2:$K$5328,0)</f>
        <v>Instituto Nacional de Tecnologia</v>
      </c>
      <c r="D3344">
        <v>5</v>
      </c>
      <c r="E3344">
        <v>114</v>
      </c>
      <c r="F3344">
        <v>22.8</v>
      </c>
      <c r="G3344">
        <v>4</v>
      </c>
      <c r="H3344">
        <v>0.81</v>
      </c>
      <c r="I3344">
        <v>1</v>
      </c>
      <c r="J3344">
        <v>1</v>
      </c>
      <c r="K3344">
        <v>3</v>
      </c>
      <c r="L3344">
        <v>4</v>
      </c>
      <c r="M3344">
        <v>5</v>
      </c>
      <c r="N3344">
        <v>5</v>
      </c>
      <c r="P3344">
        <v>0</v>
      </c>
      <c r="Q3344">
        <v>0</v>
      </c>
      <c r="R3344">
        <v>1</v>
      </c>
      <c r="S3344">
        <v>3</v>
      </c>
    </row>
    <row r="3345" spans="1:19" x14ac:dyDescent="0.35">
      <c r="A3345">
        <v>7005054860</v>
      </c>
      <c r="B3345" t="s">
        <v>779</v>
      </c>
      <c r="C3345" t="str">
        <f>_xlfn.XLOOKUP(A3345,[1]Affiliations!$J$2:$J$5328,[1]Affiliations!$K$2:$K$5328,0)</f>
        <v>Centro de Tecnologia Mineral</v>
      </c>
      <c r="D3345">
        <v>11</v>
      </c>
      <c r="E3345">
        <v>158</v>
      </c>
      <c r="F3345">
        <v>14.363636</v>
      </c>
      <c r="G3345">
        <v>14</v>
      </c>
      <c r="H3345">
        <v>0.81</v>
      </c>
      <c r="I3345">
        <v>0</v>
      </c>
      <c r="J3345">
        <v>0</v>
      </c>
      <c r="K3345">
        <v>1</v>
      </c>
      <c r="L3345">
        <v>3</v>
      </c>
      <c r="M3345">
        <v>9</v>
      </c>
      <c r="N3345">
        <v>10</v>
      </c>
      <c r="P3345">
        <v>0</v>
      </c>
      <c r="Q3345">
        <v>0</v>
      </c>
      <c r="R3345">
        <v>1</v>
      </c>
      <c r="S3345">
        <v>4</v>
      </c>
    </row>
    <row r="3346" spans="1:19" hidden="1" x14ac:dyDescent="0.35">
      <c r="A3346">
        <v>57211644785</v>
      </c>
      <c r="B3346" t="s">
        <v>3347</v>
      </c>
      <c r="C3346" t="str">
        <f>_xlfn.XLOOKUP(A3346,[1]Affiliations!$J$2:$J$5328,[1]Affiliations!$K$2:$K$5328,0)</f>
        <v>Universidade de São Paulo</v>
      </c>
      <c r="D3346">
        <v>13</v>
      </c>
      <c r="E3346">
        <v>78</v>
      </c>
      <c r="F3346">
        <v>6</v>
      </c>
      <c r="G3346">
        <v>6</v>
      </c>
      <c r="H3346">
        <v>0.64</v>
      </c>
      <c r="I3346">
        <v>0</v>
      </c>
      <c r="J3346">
        <v>0</v>
      </c>
      <c r="K3346">
        <v>0</v>
      </c>
      <c r="L3346">
        <v>3</v>
      </c>
      <c r="M3346">
        <v>5</v>
      </c>
      <c r="N3346">
        <v>7</v>
      </c>
      <c r="P3346">
        <v>0</v>
      </c>
      <c r="Q3346">
        <v>1</v>
      </c>
      <c r="R3346">
        <v>1</v>
      </c>
      <c r="S3346">
        <v>2</v>
      </c>
    </row>
    <row r="3347" spans="1:19" hidden="1" x14ac:dyDescent="0.35">
      <c r="A3347">
        <v>57221493428</v>
      </c>
      <c r="B3347" t="s">
        <v>3348</v>
      </c>
      <c r="C3347" t="str">
        <f>_xlfn.XLOOKUP(A3347,[1]Affiliations!$J$2:$J$5328,[1]Affiliations!$K$2:$K$5328,0)</f>
        <v>Universidade de São Paulo</v>
      </c>
      <c r="D3347">
        <v>1</v>
      </c>
      <c r="E3347">
        <v>1</v>
      </c>
      <c r="F3347">
        <v>1</v>
      </c>
      <c r="G3347">
        <v>1</v>
      </c>
      <c r="H3347">
        <v>0.59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1</v>
      </c>
      <c r="P3347">
        <v>0</v>
      </c>
      <c r="Q3347">
        <v>0</v>
      </c>
      <c r="R3347">
        <v>0</v>
      </c>
      <c r="S3347">
        <v>0</v>
      </c>
    </row>
    <row r="3348" spans="1:19" hidden="1" x14ac:dyDescent="0.35">
      <c r="A3348">
        <v>57212272574</v>
      </c>
      <c r="B3348" t="s">
        <v>3349</v>
      </c>
      <c r="C3348" t="str">
        <f>_xlfn.XLOOKUP(A3348,[1]Affiliations!$J$2:$J$5328,[1]Affiliations!$K$2:$K$5328,0)</f>
        <v>Universidade Federal de Mato Grosso do Sul</v>
      </c>
      <c r="D3348">
        <v>7</v>
      </c>
      <c r="E3348">
        <v>91</v>
      </c>
      <c r="F3348">
        <v>13</v>
      </c>
      <c r="G3348">
        <v>5</v>
      </c>
      <c r="H3348">
        <v>1.1599999999999999</v>
      </c>
      <c r="I3348">
        <v>1</v>
      </c>
      <c r="J3348">
        <v>2</v>
      </c>
      <c r="K3348">
        <v>3</v>
      </c>
      <c r="L3348">
        <v>3</v>
      </c>
      <c r="M3348">
        <v>6</v>
      </c>
      <c r="N3348">
        <v>7</v>
      </c>
      <c r="P3348">
        <v>0</v>
      </c>
      <c r="Q3348">
        <v>0</v>
      </c>
      <c r="R3348">
        <v>0</v>
      </c>
      <c r="S3348">
        <v>3</v>
      </c>
    </row>
    <row r="3349" spans="1:19" hidden="1" x14ac:dyDescent="0.35">
      <c r="A3349">
        <v>59023455300</v>
      </c>
      <c r="B3349" t="s">
        <v>3350</v>
      </c>
      <c r="C3349" t="str">
        <f>_xlfn.XLOOKUP(A3349,[1]Affiliations!$J$2:$J$5328,[1]Affiliations!$K$2:$K$5328,0)</f>
        <v>Federal University of Rio de Janeiro</v>
      </c>
      <c r="D3349">
        <v>1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P3349">
        <v>0</v>
      </c>
      <c r="Q3349">
        <v>0</v>
      </c>
      <c r="R3349">
        <v>0</v>
      </c>
      <c r="S3349">
        <v>0</v>
      </c>
    </row>
    <row r="3350" spans="1:19" x14ac:dyDescent="0.35">
      <c r="A3350">
        <v>55839669400</v>
      </c>
      <c r="B3350" t="s">
        <v>881</v>
      </c>
      <c r="C3350" t="str">
        <f>_xlfn.XLOOKUP(A3350,[1]Affiliations!$J$2:$J$5328,[1]Affiliations!$K$2:$K$5328,0)</f>
        <v>Universidade Federal Fluminense (+3 more)</v>
      </c>
      <c r="D3350">
        <v>40</v>
      </c>
      <c r="E3350">
        <v>158</v>
      </c>
      <c r="F3350">
        <v>3.95</v>
      </c>
      <c r="G3350">
        <v>9</v>
      </c>
      <c r="H3350">
        <v>0.81</v>
      </c>
      <c r="I3350">
        <v>0</v>
      </c>
      <c r="J3350">
        <v>2</v>
      </c>
      <c r="K3350">
        <v>2</v>
      </c>
      <c r="L3350">
        <v>6</v>
      </c>
      <c r="M3350">
        <v>13</v>
      </c>
      <c r="N3350">
        <v>18</v>
      </c>
      <c r="P3350">
        <v>0</v>
      </c>
      <c r="Q3350">
        <v>0</v>
      </c>
      <c r="R3350">
        <v>1</v>
      </c>
      <c r="S3350">
        <v>3</v>
      </c>
    </row>
    <row r="3351" spans="1:19" hidden="1" x14ac:dyDescent="0.35">
      <c r="A3351">
        <v>57203488263</v>
      </c>
      <c r="B3351" t="s">
        <v>3352</v>
      </c>
      <c r="C3351" t="str">
        <f>_xlfn.XLOOKUP(A3351,[1]Affiliations!$J$2:$J$5328,[1]Affiliations!$K$2:$K$5328,0)</f>
        <v>Institute of Marine Studies Admiral Paulo Moreira (IEAPM)</v>
      </c>
      <c r="D3351">
        <v>4</v>
      </c>
      <c r="E3351">
        <v>66</v>
      </c>
      <c r="F3351">
        <v>16.5</v>
      </c>
      <c r="G3351">
        <v>3</v>
      </c>
      <c r="H3351">
        <v>0.81</v>
      </c>
      <c r="I3351">
        <v>0</v>
      </c>
      <c r="J3351">
        <v>0</v>
      </c>
      <c r="K3351">
        <v>0</v>
      </c>
      <c r="L3351">
        <v>2</v>
      </c>
      <c r="M3351">
        <v>3</v>
      </c>
      <c r="N3351">
        <v>4</v>
      </c>
      <c r="P3351">
        <v>0</v>
      </c>
      <c r="Q3351">
        <v>0</v>
      </c>
      <c r="R3351">
        <v>0</v>
      </c>
      <c r="S3351">
        <v>3</v>
      </c>
    </row>
    <row r="3352" spans="1:19" hidden="1" x14ac:dyDescent="0.35">
      <c r="A3352">
        <v>11739855600</v>
      </c>
      <c r="B3352" t="s">
        <v>3353</v>
      </c>
      <c r="C3352" t="str">
        <f>_xlfn.XLOOKUP(A3352,[1]Affiliations!$J$2:$J$5328,[1]Affiliations!$K$2:$K$5328,0)</f>
        <v>Universidade Federal do Rio Grande do Sul</v>
      </c>
      <c r="D3352">
        <v>15</v>
      </c>
      <c r="E3352">
        <v>201</v>
      </c>
      <c r="F3352">
        <v>13.4</v>
      </c>
      <c r="G3352">
        <v>15</v>
      </c>
      <c r="H3352">
        <v>0.78</v>
      </c>
      <c r="I3352">
        <v>0</v>
      </c>
      <c r="J3352">
        <v>3</v>
      </c>
      <c r="K3352">
        <v>6</v>
      </c>
      <c r="L3352">
        <v>10</v>
      </c>
      <c r="M3352">
        <v>15</v>
      </c>
      <c r="N3352">
        <v>15</v>
      </c>
      <c r="P3352">
        <v>0</v>
      </c>
      <c r="Q3352">
        <v>0</v>
      </c>
      <c r="R3352">
        <v>0</v>
      </c>
      <c r="S3352">
        <v>5</v>
      </c>
    </row>
    <row r="3353" spans="1:19" x14ac:dyDescent="0.35">
      <c r="A3353">
        <v>6602559230</v>
      </c>
      <c r="B3353" t="s">
        <v>2085</v>
      </c>
      <c r="C3353" t="str">
        <f>_xlfn.XLOOKUP(A3353,[1]Affiliations!$J$2:$J$5328,[1]Affiliations!$K$2:$K$5328,0)</f>
        <v>Vizlab - X-Reality and GeoInformatics Lab (+2 more)</v>
      </c>
      <c r="D3353">
        <v>71</v>
      </c>
      <c r="E3353">
        <v>755</v>
      </c>
      <c r="F3353">
        <v>10.633801999999999</v>
      </c>
      <c r="G3353">
        <v>20</v>
      </c>
      <c r="H3353">
        <v>0.81</v>
      </c>
      <c r="I3353">
        <v>1</v>
      </c>
      <c r="J3353">
        <v>14</v>
      </c>
      <c r="K3353">
        <v>22</v>
      </c>
      <c r="L3353">
        <v>42</v>
      </c>
      <c r="M3353">
        <v>59</v>
      </c>
      <c r="N3353">
        <v>70</v>
      </c>
      <c r="P3353">
        <v>0</v>
      </c>
      <c r="Q3353">
        <v>2</v>
      </c>
      <c r="R3353">
        <v>7</v>
      </c>
      <c r="S3353">
        <v>15</v>
      </c>
    </row>
    <row r="3354" spans="1:19" x14ac:dyDescent="0.35">
      <c r="A3354">
        <v>57200937513</v>
      </c>
      <c r="B3354" t="s">
        <v>2581</v>
      </c>
      <c r="C3354" t="str">
        <f>_xlfn.XLOOKUP(A3354,[1]Affiliations!$J$2:$J$5328,[1]Affiliations!$K$2:$K$5328,0)</f>
        <v>Universidade Federal de Juiz de Fora</v>
      </c>
      <c r="D3354">
        <v>6</v>
      </c>
      <c r="E3354">
        <v>118</v>
      </c>
      <c r="F3354">
        <v>19.666665999999999</v>
      </c>
      <c r="G3354">
        <v>6</v>
      </c>
      <c r="H3354">
        <v>0.81</v>
      </c>
      <c r="I3354">
        <v>0</v>
      </c>
      <c r="J3354">
        <v>0</v>
      </c>
      <c r="K3354">
        <v>3</v>
      </c>
      <c r="L3354">
        <v>5</v>
      </c>
      <c r="M3354">
        <v>6</v>
      </c>
      <c r="N3354">
        <v>6</v>
      </c>
      <c r="P3354">
        <v>0</v>
      </c>
      <c r="Q3354">
        <v>1</v>
      </c>
      <c r="R3354">
        <v>1</v>
      </c>
      <c r="S3354">
        <v>2</v>
      </c>
    </row>
    <row r="3355" spans="1:19" hidden="1" x14ac:dyDescent="0.35">
      <c r="A3355">
        <v>56002539100</v>
      </c>
      <c r="B3355" t="s">
        <v>3356</v>
      </c>
      <c r="C3355" t="str">
        <f>_xlfn.XLOOKUP(A3355,[1]Affiliations!$J$2:$J$5328,[1]Affiliations!$K$2:$K$5328,0)</f>
        <v>Pontifical Catholic University of Rio de Janeiro</v>
      </c>
      <c r="D3355">
        <v>2</v>
      </c>
      <c r="E3355">
        <v>12</v>
      </c>
      <c r="F3355">
        <v>6</v>
      </c>
      <c r="G3355">
        <v>19</v>
      </c>
      <c r="H3355">
        <v>0.13</v>
      </c>
      <c r="I3355">
        <v>0</v>
      </c>
      <c r="J3355">
        <v>1</v>
      </c>
      <c r="K3355">
        <v>1</v>
      </c>
      <c r="L3355">
        <v>2</v>
      </c>
      <c r="M3355">
        <v>2</v>
      </c>
      <c r="N3355">
        <v>2</v>
      </c>
      <c r="P3355">
        <v>0</v>
      </c>
      <c r="Q3355">
        <v>0</v>
      </c>
      <c r="R3355">
        <v>0</v>
      </c>
      <c r="S3355">
        <v>0</v>
      </c>
    </row>
    <row r="3356" spans="1:19" x14ac:dyDescent="0.35">
      <c r="A3356">
        <v>7005174217</v>
      </c>
      <c r="B3356" t="s">
        <v>2599</v>
      </c>
      <c r="C3356" t="str">
        <f>_xlfn.XLOOKUP(A3356,[1]Affiliations!$J$2:$J$5328,[1]Affiliations!$K$2:$K$5328,0)</f>
        <v>Universidade do Estado do Rio de Janeiro (+4 more)</v>
      </c>
      <c r="D3356">
        <v>29</v>
      </c>
      <c r="E3356">
        <v>667</v>
      </c>
      <c r="F3356">
        <v>23</v>
      </c>
      <c r="G3356">
        <v>29</v>
      </c>
      <c r="H3356">
        <v>0.81</v>
      </c>
      <c r="I3356">
        <v>0</v>
      </c>
      <c r="J3356">
        <v>1</v>
      </c>
      <c r="K3356">
        <v>11</v>
      </c>
      <c r="L3356">
        <v>17</v>
      </c>
      <c r="M3356">
        <v>24</v>
      </c>
      <c r="N3356">
        <v>29</v>
      </c>
      <c r="P3356">
        <v>0</v>
      </c>
      <c r="Q3356">
        <v>1</v>
      </c>
      <c r="R3356">
        <v>4</v>
      </c>
      <c r="S3356">
        <v>13</v>
      </c>
    </row>
    <row r="3357" spans="1:19" hidden="1" x14ac:dyDescent="0.35">
      <c r="A3357">
        <v>57965660300</v>
      </c>
      <c r="B3357" t="s">
        <v>3358</v>
      </c>
      <c r="C3357" t="str">
        <f>_xlfn.XLOOKUP(A3357,[1]Affiliations!$J$2:$J$5328,[1]Affiliations!$K$2:$K$5328,0)</f>
        <v>Universidade de São Paulo</v>
      </c>
      <c r="D3357">
        <v>3</v>
      </c>
      <c r="E3357">
        <v>3</v>
      </c>
      <c r="F3357">
        <v>1</v>
      </c>
      <c r="G3357">
        <v>1</v>
      </c>
      <c r="H3357">
        <v>0.47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P3357">
        <v>0</v>
      </c>
      <c r="Q3357">
        <v>0</v>
      </c>
      <c r="R3357">
        <v>0</v>
      </c>
      <c r="S3357">
        <v>0</v>
      </c>
    </row>
    <row r="3358" spans="1:19" hidden="1" x14ac:dyDescent="0.35">
      <c r="A3358">
        <v>57189694726</v>
      </c>
      <c r="B3358" t="s">
        <v>3359</v>
      </c>
      <c r="C3358" t="str">
        <f>_xlfn.XLOOKUP(A3358,[1]Affiliations!$J$2:$J$5328,[1]Affiliations!$K$2:$K$5328,0)</f>
        <v>Universidade Federal do Rio Grande do Sul</v>
      </c>
      <c r="D3358">
        <v>2</v>
      </c>
      <c r="E3358">
        <v>23</v>
      </c>
      <c r="F3358">
        <v>11.5</v>
      </c>
      <c r="G3358">
        <v>1</v>
      </c>
      <c r="H3358">
        <v>0.17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1</v>
      </c>
      <c r="P3358">
        <v>0</v>
      </c>
      <c r="Q3358">
        <v>0</v>
      </c>
      <c r="R3358">
        <v>0</v>
      </c>
      <c r="S3358">
        <v>1</v>
      </c>
    </row>
    <row r="3359" spans="1:19" hidden="1" x14ac:dyDescent="0.35">
      <c r="A3359">
        <v>57204804900</v>
      </c>
      <c r="B3359" t="s">
        <v>3360</v>
      </c>
      <c r="C3359" t="str">
        <f>_xlfn.XLOOKUP(A3359,[1]Affiliations!$J$2:$J$5328,[1]Affiliations!$K$2:$K$5328,0)</f>
        <v>Federal University of Santa Catarina</v>
      </c>
      <c r="D3359">
        <v>4</v>
      </c>
      <c r="E3359">
        <v>54</v>
      </c>
      <c r="F3359">
        <v>13.5</v>
      </c>
      <c r="G3359">
        <v>4</v>
      </c>
      <c r="H3359">
        <v>0.7</v>
      </c>
      <c r="I3359">
        <v>0</v>
      </c>
      <c r="J3359">
        <v>0</v>
      </c>
      <c r="K3359">
        <v>0</v>
      </c>
      <c r="L3359">
        <v>1</v>
      </c>
      <c r="M3359">
        <v>4</v>
      </c>
      <c r="N3359">
        <v>4</v>
      </c>
      <c r="P3359">
        <v>0</v>
      </c>
      <c r="Q3359">
        <v>0</v>
      </c>
      <c r="R3359">
        <v>0</v>
      </c>
      <c r="S3359">
        <v>0</v>
      </c>
    </row>
    <row r="3360" spans="1:19" hidden="1" x14ac:dyDescent="0.35">
      <c r="A3360">
        <v>56421810900</v>
      </c>
      <c r="B3360" t="s">
        <v>3361</v>
      </c>
      <c r="C3360" t="str">
        <f>_xlfn.XLOOKUP(A3360,[1]Affiliations!$J$2:$J$5328,[1]Affiliations!$K$2:$K$5328,0)</f>
        <v>Universidade de São Paulo (+2 more)</v>
      </c>
      <c r="D3360">
        <v>11</v>
      </c>
      <c r="E3360">
        <v>69</v>
      </c>
      <c r="F3360">
        <v>6.2727275000000002</v>
      </c>
      <c r="G3360">
        <v>5</v>
      </c>
      <c r="H3360">
        <v>0.34</v>
      </c>
      <c r="I3360">
        <v>0</v>
      </c>
      <c r="J3360">
        <v>1</v>
      </c>
      <c r="K3360">
        <v>2</v>
      </c>
      <c r="L3360">
        <v>5</v>
      </c>
      <c r="M3360">
        <v>7</v>
      </c>
      <c r="N3360">
        <v>10</v>
      </c>
      <c r="P3360">
        <v>0</v>
      </c>
      <c r="Q3360">
        <v>0</v>
      </c>
      <c r="R3360">
        <v>0</v>
      </c>
      <c r="S3360">
        <v>0</v>
      </c>
    </row>
    <row r="3361" spans="1:19" hidden="1" x14ac:dyDescent="0.35">
      <c r="A3361">
        <v>57203415117</v>
      </c>
      <c r="B3361" t="s">
        <v>3362</v>
      </c>
      <c r="C3361" t="str">
        <f>_xlfn.XLOOKUP(A3361,[1]Affiliations!$J$2:$J$5328,[1]Affiliations!$K$2:$K$5328,0)</f>
        <v>Halliburton</v>
      </c>
      <c r="D3361">
        <v>1</v>
      </c>
      <c r="E3361">
        <v>7</v>
      </c>
      <c r="F3361">
        <v>7</v>
      </c>
      <c r="G3361">
        <v>1</v>
      </c>
      <c r="H3361">
        <v>1.52</v>
      </c>
      <c r="P3361">
        <v>0</v>
      </c>
      <c r="Q3361">
        <v>0</v>
      </c>
      <c r="R3361">
        <v>0</v>
      </c>
      <c r="S3361">
        <v>0</v>
      </c>
    </row>
    <row r="3362" spans="1:19" hidden="1" x14ac:dyDescent="0.35">
      <c r="A3362">
        <v>57742483500</v>
      </c>
      <c r="B3362" t="s">
        <v>3363</v>
      </c>
      <c r="C3362" t="str">
        <f>_xlfn.XLOOKUP(A3362,[1]Affiliations!$J$2:$J$5328,[1]Affiliations!$K$2:$K$5328,0)</f>
        <v>Instituto de Pesquisas Tecnologicas</v>
      </c>
      <c r="D3362">
        <v>1</v>
      </c>
      <c r="E3362">
        <v>5</v>
      </c>
      <c r="F3362">
        <v>5</v>
      </c>
      <c r="G3362">
        <v>1</v>
      </c>
      <c r="H3362">
        <v>3.21</v>
      </c>
      <c r="P3362">
        <v>0</v>
      </c>
      <c r="Q3362">
        <v>0</v>
      </c>
      <c r="R3362">
        <v>0</v>
      </c>
      <c r="S3362">
        <v>0</v>
      </c>
    </row>
    <row r="3363" spans="1:19" x14ac:dyDescent="0.35">
      <c r="A3363">
        <v>8583588600</v>
      </c>
      <c r="B3363" t="s">
        <v>3564</v>
      </c>
      <c r="C3363" t="str">
        <f>_xlfn.XLOOKUP(A3363,[1]Affiliations!$J$2:$J$5328,[1]Affiliations!$K$2:$K$5328,0)</f>
        <v>Universidade Federal do Espírito Santo</v>
      </c>
      <c r="D3363">
        <v>48</v>
      </c>
      <c r="E3363">
        <v>919</v>
      </c>
      <c r="F3363">
        <v>19.145834000000001</v>
      </c>
      <c r="G3363">
        <v>22</v>
      </c>
      <c r="H3363">
        <v>0.81</v>
      </c>
      <c r="I3363">
        <v>0</v>
      </c>
      <c r="J3363">
        <v>6</v>
      </c>
      <c r="K3363">
        <v>15</v>
      </c>
      <c r="L3363">
        <v>30</v>
      </c>
      <c r="M3363">
        <v>42</v>
      </c>
      <c r="N3363">
        <v>47</v>
      </c>
      <c r="P3363">
        <v>0</v>
      </c>
      <c r="Q3363">
        <v>0</v>
      </c>
      <c r="R3363">
        <v>4</v>
      </c>
      <c r="S3363">
        <v>21</v>
      </c>
    </row>
    <row r="3364" spans="1:19" x14ac:dyDescent="0.35">
      <c r="A3364">
        <v>57207107497</v>
      </c>
      <c r="B3364" t="s">
        <v>3694</v>
      </c>
      <c r="C3364" t="str">
        <f>_xlfn.XLOOKUP(A3364,[1]Affiliations!$J$2:$J$5328,[1]Affiliations!$K$2:$K$5328,0)</f>
        <v>Universidade Federal de Viçosa (+1 more)</v>
      </c>
      <c r="D3364">
        <v>30</v>
      </c>
      <c r="E3364">
        <v>267</v>
      </c>
      <c r="F3364">
        <v>8.9</v>
      </c>
      <c r="G3364">
        <v>10</v>
      </c>
      <c r="H3364">
        <v>0.81</v>
      </c>
      <c r="I3364">
        <v>0</v>
      </c>
      <c r="J3364">
        <v>2</v>
      </c>
      <c r="K3364">
        <v>3</v>
      </c>
      <c r="L3364">
        <v>14</v>
      </c>
      <c r="M3364">
        <v>16</v>
      </c>
      <c r="N3364">
        <v>16</v>
      </c>
      <c r="P3364">
        <v>0</v>
      </c>
      <c r="Q3364">
        <v>0</v>
      </c>
      <c r="R3364">
        <v>3</v>
      </c>
      <c r="S3364">
        <v>9</v>
      </c>
    </row>
    <row r="3365" spans="1:19" hidden="1" x14ac:dyDescent="0.35">
      <c r="A3365">
        <v>57191473636</v>
      </c>
      <c r="B3365" t="s">
        <v>3366</v>
      </c>
      <c r="C3365" t="str">
        <f>_xlfn.XLOOKUP(A3365,[1]Affiliations!$J$2:$J$5328,[1]Affiliations!$K$2:$K$5328,0)</f>
        <v>Universidade Federal do Ceará</v>
      </c>
      <c r="D3365">
        <v>11</v>
      </c>
      <c r="E3365">
        <v>138</v>
      </c>
      <c r="F3365">
        <v>12.545455</v>
      </c>
      <c r="G3365">
        <v>5</v>
      </c>
      <c r="H3365">
        <v>0.6</v>
      </c>
      <c r="I3365">
        <v>0</v>
      </c>
      <c r="J3365">
        <v>0</v>
      </c>
      <c r="K3365">
        <v>0</v>
      </c>
      <c r="L3365">
        <v>5</v>
      </c>
      <c r="M3365">
        <v>7</v>
      </c>
      <c r="N3365">
        <v>8</v>
      </c>
      <c r="P3365">
        <v>0</v>
      </c>
      <c r="Q3365">
        <v>0</v>
      </c>
      <c r="R3365">
        <v>1</v>
      </c>
      <c r="S3365">
        <v>3</v>
      </c>
    </row>
    <row r="3366" spans="1:19" x14ac:dyDescent="0.35">
      <c r="A3366">
        <v>6603385976</v>
      </c>
      <c r="B3366" t="s">
        <v>3942</v>
      </c>
      <c r="C3366" t="str">
        <f>_xlfn.XLOOKUP(A3366,[1]Affiliations!$J$2:$J$5328,[1]Affiliations!$K$2:$K$5328,0)</f>
        <v>Universidade Federal do Rio Grande do Sul</v>
      </c>
      <c r="D3366">
        <v>55</v>
      </c>
      <c r="E3366">
        <v>789</v>
      </c>
      <c r="F3366">
        <v>14.345454</v>
      </c>
      <c r="G3366">
        <v>29</v>
      </c>
      <c r="H3366">
        <v>0.81</v>
      </c>
      <c r="I3366">
        <v>1</v>
      </c>
      <c r="J3366">
        <v>8</v>
      </c>
      <c r="K3366">
        <v>19</v>
      </c>
      <c r="L3366">
        <v>34</v>
      </c>
      <c r="M3366">
        <v>47</v>
      </c>
      <c r="N3366">
        <v>52</v>
      </c>
      <c r="P3366">
        <v>0</v>
      </c>
      <c r="Q3366">
        <v>1</v>
      </c>
      <c r="R3366">
        <v>4</v>
      </c>
      <c r="S3366">
        <v>20</v>
      </c>
    </row>
    <row r="3367" spans="1:19" hidden="1" x14ac:dyDescent="0.35">
      <c r="A3367">
        <v>57987975400</v>
      </c>
      <c r="B3367" t="s">
        <v>3368</v>
      </c>
      <c r="C3367" t="str">
        <f>_xlfn.XLOOKUP(A3367,[1]Affiliations!$J$2:$J$5328,[1]Affiliations!$K$2:$K$5328,0)</f>
        <v>Leopoldo Américo Miguez de Mello (+1 more)</v>
      </c>
      <c r="D3367">
        <v>3</v>
      </c>
      <c r="E3367">
        <v>1</v>
      </c>
      <c r="F3367">
        <v>0.33333333999999998</v>
      </c>
      <c r="G3367">
        <v>1</v>
      </c>
      <c r="H3367">
        <v>0.15</v>
      </c>
      <c r="I3367">
        <v>0</v>
      </c>
      <c r="J3367">
        <v>0</v>
      </c>
      <c r="K3367">
        <v>0</v>
      </c>
      <c r="L3367">
        <v>1</v>
      </c>
      <c r="M3367">
        <v>1</v>
      </c>
      <c r="N3367">
        <v>1</v>
      </c>
      <c r="P3367">
        <v>0</v>
      </c>
      <c r="Q3367">
        <v>0</v>
      </c>
      <c r="R3367">
        <v>0</v>
      </c>
      <c r="S3367">
        <v>0</v>
      </c>
    </row>
    <row r="3368" spans="1:19" x14ac:dyDescent="0.35">
      <c r="A3368">
        <v>6701675304</v>
      </c>
      <c r="B3368" t="s">
        <v>4032</v>
      </c>
      <c r="C3368" t="str">
        <f>_xlfn.XLOOKUP(A3368,[1]Affiliations!$J$2:$J$5328,[1]Affiliations!$K$2:$K$5328,0)</f>
        <v>Universidade Federal do Rio Grande do Sul</v>
      </c>
      <c r="D3368">
        <v>33</v>
      </c>
      <c r="E3368">
        <v>404</v>
      </c>
      <c r="F3368">
        <v>12.242424</v>
      </c>
      <c r="G3368">
        <v>18</v>
      </c>
      <c r="H3368">
        <v>0.81</v>
      </c>
      <c r="I3368">
        <v>1</v>
      </c>
      <c r="J3368">
        <v>4</v>
      </c>
      <c r="K3368">
        <v>7</v>
      </c>
      <c r="L3368">
        <v>12</v>
      </c>
      <c r="M3368">
        <v>27</v>
      </c>
      <c r="N3368">
        <v>31</v>
      </c>
      <c r="P3368">
        <v>0</v>
      </c>
      <c r="Q3368">
        <v>0</v>
      </c>
      <c r="R3368">
        <v>1</v>
      </c>
      <c r="S3368">
        <v>10</v>
      </c>
    </row>
    <row r="3369" spans="1:19" x14ac:dyDescent="0.35">
      <c r="A3369">
        <v>6701832597</v>
      </c>
      <c r="B3369" t="s">
        <v>4312</v>
      </c>
      <c r="C3369" t="str">
        <f>_xlfn.XLOOKUP(A3369,[1]Affiliations!$J$2:$J$5328,[1]Affiliations!$K$2:$K$5328,0)</f>
        <v>Federal University of Rio de Janeiro</v>
      </c>
      <c r="D3369">
        <v>20</v>
      </c>
      <c r="E3369">
        <v>315</v>
      </c>
      <c r="F3369">
        <v>15.75</v>
      </c>
      <c r="G3369">
        <v>17</v>
      </c>
      <c r="H3369">
        <v>0.81</v>
      </c>
      <c r="I3369">
        <v>3</v>
      </c>
      <c r="J3369">
        <v>6</v>
      </c>
      <c r="K3369">
        <v>7</v>
      </c>
      <c r="L3369">
        <v>9</v>
      </c>
      <c r="M3369">
        <v>16</v>
      </c>
      <c r="N3369">
        <v>20</v>
      </c>
      <c r="P3369">
        <v>0</v>
      </c>
      <c r="Q3369">
        <v>0</v>
      </c>
      <c r="R3369">
        <v>2</v>
      </c>
      <c r="S3369">
        <v>7</v>
      </c>
    </row>
    <row r="3370" spans="1:19" hidden="1" x14ac:dyDescent="0.35">
      <c r="A3370">
        <v>57219237180</v>
      </c>
      <c r="B3370" t="s">
        <v>3371</v>
      </c>
      <c r="C3370" t="str">
        <f>_xlfn.XLOOKUP(A3370,[1]Affiliations!$J$2:$J$5328,[1]Affiliations!$K$2:$K$5328,0)</f>
        <v>University of Campinas</v>
      </c>
      <c r="D3370">
        <v>1</v>
      </c>
      <c r="E3370">
        <v>10</v>
      </c>
      <c r="F3370">
        <v>10</v>
      </c>
      <c r="G3370">
        <v>1</v>
      </c>
      <c r="H3370">
        <v>0.19</v>
      </c>
      <c r="I3370">
        <v>0</v>
      </c>
      <c r="J3370">
        <v>0</v>
      </c>
      <c r="K3370">
        <v>0</v>
      </c>
      <c r="L3370">
        <v>1</v>
      </c>
      <c r="M3370">
        <v>1</v>
      </c>
      <c r="N3370">
        <v>1</v>
      </c>
      <c r="P3370">
        <v>0</v>
      </c>
      <c r="Q3370">
        <v>0</v>
      </c>
      <c r="R3370">
        <v>0</v>
      </c>
      <c r="S3370">
        <v>0</v>
      </c>
    </row>
    <row r="3371" spans="1:19" hidden="1" x14ac:dyDescent="0.35">
      <c r="A3371">
        <v>57191409581</v>
      </c>
      <c r="B3371" t="s">
        <v>3372</v>
      </c>
      <c r="C3371" t="str">
        <f>_xlfn.XLOOKUP(A3371,[1]Affiliations!$J$2:$J$5328,[1]Affiliations!$K$2:$K$5328,0)</f>
        <v>Universidade Tecnológica Federal do Paraná</v>
      </c>
      <c r="D3371">
        <v>1</v>
      </c>
      <c r="E3371">
        <v>2</v>
      </c>
      <c r="F3371">
        <v>2</v>
      </c>
      <c r="G3371">
        <v>1</v>
      </c>
      <c r="H3371">
        <v>0.81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P3371">
        <v>0</v>
      </c>
      <c r="Q3371">
        <v>0</v>
      </c>
      <c r="R3371">
        <v>0</v>
      </c>
      <c r="S3371">
        <v>0</v>
      </c>
    </row>
    <row r="3372" spans="1:19" x14ac:dyDescent="0.35">
      <c r="A3372">
        <v>7006383631</v>
      </c>
      <c r="B3372" t="s">
        <v>4751</v>
      </c>
      <c r="C3372" t="str">
        <f>_xlfn.XLOOKUP(A3372,[1]Affiliations!$J$2:$J$5328,[1]Affiliations!$K$2:$K$5328,0)</f>
        <v>Universidade Federal de Itajubá</v>
      </c>
      <c r="D3372">
        <v>36</v>
      </c>
      <c r="E3372">
        <v>326</v>
      </c>
      <c r="F3372">
        <v>9.055555</v>
      </c>
      <c r="G3372">
        <v>16</v>
      </c>
      <c r="H3372">
        <v>0.81</v>
      </c>
      <c r="I3372">
        <v>0</v>
      </c>
      <c r="J3372">
        <v>1</v>
      </c>
      <c r="K3372">
        <v>4</v>
      </c>
      <c r="L3372">
        <v>8</v>
      </c>
      <c r="M3372">
        <v>10</v>
      </c>
      <c r="N3372">
        <v>12</v>
      </c>
      <c r="P3372">
        <v>0</v>
      </c>
      <c r="Q3372">
        <v>0</v>
      </c>
      <c r="R3372">
        <v>1</v>
      </c>
      <c r="S3372">
        <v>5</v>
      </c>
    </row>
    <row r="3373" spans="1:19" hidden="1" x14ac:dyDescent="0.35">
      <c r="A3373">
        <v>57219132701</v>
      </c>
      <c r="B3373" t="s">
        <v>3374</v>
      </c>
      <c r="C3373" t="str">
        <f>_xlfn.XLOOKUP(A3373,[1]Affiliations!$J$2:$J$5328,[1]Affiliations!$K$2:$K$5328,0)</f>
        <v>Pontifical Catholic University of Rio de Janeiro</v>
      </c>
      <c r="D3373">
        <v>3</v>
      </c>
      <c r="E3373">
        <v>19</v>
      </c>
      <c r="F3373">
        <v>6.3333335000000002</v>
      </c>
      <c r="G3373">
        <v>2</v>
      </c>
      <c r="H3373">
        <v>0.98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P3373">
        <v>0</v>
      </c>
      <c r="Q3373">
        <v>0</v>
      </c>
      <c r="R3373">
        <v>0</v>
      </c>
      <c r="S3373">
        <v>0</v>
      </c>
    </row>
    <row r="3374" spans="1:19" hidden="1" x14ac:dyDescent="0.35">
      <c r="A3374">
        <v>57188994455</v>
      </c>
      <c r="B3374" t="s">
        <v>3375</v>
      </c>
      <c r="C3374" t="str">
        <f>_xlfn.XLOOKUP(A3374,[1]Affiliations!$J$2:$J$5328,[1]Affiliations!$K$2:$K$5328,0)</f>
        <v>Pontifical Catholic University of Rio de Janeiro</v>
      </c>
      <c r="D3374">
        <v>12</v>
      </c>
      <c r="E3374">
        <v>110</v>
      </c>
      <c r="F3374">
        <v>9.1666670000000003</v>
      </c>
      <c r="G3374">
        <v>6</v>
      </c>
      <c r="H3374">
        <v>0.47</v>
      </c>
      <c r="I3374">
        <v>0</v>
      </c>
      <c r="J3374">
        <v>2</v>
      </c>
      <c r="K3374">
        <v>5</v>
      </c>
      <c r="L3374">
        <v>8</v>
      </c>
      <c r="M3374">
        <v>11</v>
      </c>
      <c r="N3374">
        <v>12</v>
      </c>
      <c r="P3374">
        <v>0</v>
      </c>
      <c r="Q3374">
        <v>0</v>
      </c>
      <c r="R3374">
        <v>0</v>
      </c>
      <c r="S3374">
        <v>2</v>
      </c>
    </row>
    <row r="3375" spans="1:19" hidden="1" x14ac:dyDescent="0.35">
      <c r="A3375">
        <v>56018161900</v>
      </c>
      <c r="B3375" t="s">
        <v>3376</v>
      </c>
      <c r="C3375" t="str">
        <f>_xlfn.XLOOKUP(A3375,[1]Affiliations!$J$2:$J$5328,[1]Affiliations!$K$2:$K$5328,0)</f>
        <v>University of Campinas (+1 more)</v>
      </c>
      <c r="D3375">
        <v>11</v>
      </c>
      <c r="E3375">
        <v>50</v>
      </c>
      <c r="F3375">
        <v>4.5454545</v>
      </c>
      <c r="G3375">
        <v>7</v>
      </c>
      <c r="H3375">
        <v>0.92</v>
      </c>
      <c r="I3375">
        <v>0</v>
      </c>
      <c r="J3375">
        <v>0</v>
      </c>
      <c r="K3375">
        <v>0</v>
      </c>
      <c r="L3375">
        <v>1</v>
      </c>
      <c r="M3375">
        <v>2</v>
      </c>
      <c r="N3375">
        <v>7</v>
      </c>
      <c r="P3375">
        <v>0</v>
      </c>
      <c r="Q3375">
        <v>0</v>
      </c>
      <c r="R3375">
        <v>0</v>
      </c>
      <c r="S3375">
        <v>0</v>
      </c>
    </row>
    <row r="3376" spans="1:19" hidden="1" x14ac:dyDescent="0.35">
      <c r="A3376">
        <v>16481305800</v>
      </c>
      <c r="B3376" t="s">
        <v>3377</v>
      </c>
      <c r="C3376" t="str">
        <f>_xlfn.XLOOKUP(A3376,[1]Affiliations!$J$2:$J$5328,[1]Affiliations!$K$2:$K$5328,0)</f>
        <v>DEMa</v>
      </c>
      <c r="D3376">
        <v>2</v>
      </c>
      <c r="E3376">
        <v>50</v>
      </c>
      <c r="F3376">
        <v>25</v>
      </c>
      <c r="G3376">
        <v>6</v>
      </c>
      <c r="H3376">
        <v>1.5</v>
      </c>
      <c r="I3376">
        <v>0</v>
      </c>
      <c r="J3376">
        <v>0</v>
      </c>
      <c r="K3376">
        <v>0</v>
      </c>
      <c r="L3376">
        <v>1</v>
      </c>
      <c r="M3376">
        <v>2</v>
      </c>
      <c r="N3376">
        <v>2</v>
      </c>
      <c r="P3376">
        <v>0</v>
      </c>
      <c r="Q3376">
        <v>0</v>
      </c>
      <c r="R3376">
        <v>1</v>
      </c>
      <c r="S3376">
        <v>1</v>
      </c>
    </row>
    <row r="3377" spans="1:19" hidden="1" x14ac:dyDescent="0.35">
      <c r="A3377">
        <v>57204071954</v>
      </c>
      <c r="B3377" t="s">
        <v>3378</v>
      </c>
      <c r="C3377" t="str">
        <f>_xlfn.XLOOKUP(A3377,[1]Affiliations!$J$2:$J$5328,[1]Affiliations!$K$2:$K$5328,0)</f>
        <v>Universidade Federal do Rio Grande do Sul (+1 more)</v>
      </c>
      <c r="D3377">
        <v>2</v>
      </c>
      <c r="E3377">
        <v>35</v>
      </c>
      <c r="F3377">
        <v>17.5</v>
      </c>
      <c r="G3377">
        <v>1</v>
      </c>
      <c r="H3377">
        <v>0.74</v>
      </c>
      <c r="I3377">
        <v>0</v>
      </c>
      <c r="J3377">
        <v>0</v>
      </c>
      <c r="K3377">
        <v>0</v>
      </c>
      <c r="L3377">
        <v>0</v>
      </c>
      <c r="M3377">
        <v>1</v>
      </c>
      <c r="N3377">
        <v>1</v>
      </c>
      <c r="P3377">
        <v>0</v>
      </c>
      <c r="Q3377">
        <v>0</v>
      </c>
      <c r="R3377">
        <v>0</v>
      </c>
      <c r="S3377">
        <v>1</v>
      </c>
    </row>
    <row r="3378" spans="1:19" hidden="1" x14ac:dyDescent="0.35">
      <c r="A3378">
        <v>6602942837</v>
      </c>
      <c r="B3378" t="s">
        <v>3379</v>
      </c>
      <c r="C3378" t="str">
        <f>_xlfn.XLOOKUP(A3378,[1]Affiliations!$J$2:$J$5328,[1]Affiliations!$K$2:$K$5328,0)</f>
        <v>Universidade Federal do Rio Grande do Sul</v>
      </c>
      <c r="D3378">
        <v>38</v>
      </c>
      <c r="E3378">
        <v>295</v>
      </c>
      <c r="F3378">
        <v>7.7631579999999998</v>
      </c>
      <c r="G3378">
        <v>18</v>
      </c>
      <c r="H3378">
        <v>0.5</v>
      </c>
      <c r="I3378">
        <v>1</v>
      </c>
      <c r="J3378">
        <v>5</v>
      </c>
      <c r="K3378">
        <v>5</v>
      </c>
      <c r="L3378">
        <v>12</v>
      </c>
      <c r="M3378">
        <v>28</v>
      </c>
      <c r="N3378">
        <v>29</v>
      </c>
      <c r="P3378">
        <v>0</v>
      </c>
      <c r="Q3378">
        <v>0</v>
      </c>
      <c r="R3378">
        <v>0</v>
      </c>
      <c r="S3378">
        <v>5</v>
      </c>
    </row>
    <row r="3379" spans="1:19" hidden="1" x14ac:dyDescent="0.35">
      <c r="A3379">
        <v>57194727279</v>
      </c>
      <c r="B3379" t="s">
        <v>3380</v>
      </c>
      <c r="C3379" t="str">
        <f>_xlfn.XLOOKUP(A3379,[1]Affiliations!$J$2:$J$5328,[1]Affiliations!$K$2:$K$5328,0)</f>
        <v>Universidade Federal do Rio Grande do Norte</v>
      </c>
      <c r="D3379">
        <v>2</v>
      </c>
      <c r="E3379">
        <v>26</v>
      </c>
      <c r="F3379">
        <v>13</v>
      </c>
      <c r="G3379">
        <v>2</v>
      </c>
      <c r="H3379">
        <v>0.78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2</v>
      </c>
      <c r="P3379">
        <v>0</v>
      </c>
      <c r="Q3379">
        <v>0</v>
      </c>
      <c r="R3379">
        <v>0</v>
      </c>
      <c r="S3379">
        <v>0</v>
      </c>
    </row>
    <row r="3380" spans="1:19" hidden="1" x14ac:dyDescent="0.35">
      <c r="A3380">
        <v>57190044524</v>
      </c>
      <c r="B3380" t="s">
        <v>3381</v>
      </c>
      <c r="C3380" t="str">
        <f>_xlfn.XLOOKUP(A3380,[1]Affiliations!$J$2:$J$5328,[1]Affiliations!$K$2:$K$5328,0)</f>
        <v>Federal University of Rio de Janeiro</v>
      </c>
      <c r="D3380">
        <v>5</v>
      </c>
      <c r="E3380">
        <v>153</v>
      </c>
      <c r="F3380">
        <v>30.6</v>
      </c>
      <c r="G3380">
        <v>4</v>
      </c>
      <c r="H3380">
        <v>0.97</v>
      </c>
      <c r="I3380">
        <v>0</v>
      </c>
      <c r="J3380">
        <v>0</v>
      </c>
      <c r="K3380">
        <v>0</v>
      </c>
      <c r="L3380">
        <v>0</v>
      </c>
      <c r="M3380">
        <v>5</v>
      </c>
      <c r="N3380">
        <v>5</v>
      </c>
      <c r="P3380">
        <v>0</v>
      </c>
      <c r="Q3380">
        <v>1</v>
      </c>
      <c r="R3380">
        <v>1</v>
      </c>
      <c r="S3380">
        <v>4</v>
      </c>
    </row>
    <row r="3381" spans="1:19" x14ac:dyDescent="0.35">
      <c r="A3381">
        <v>10439076900</v>
      </c>
      <c r="B3381" t="s">
        <v>4862</v>
      </c>
      <c r="C3381" t="str">
        <f>_xlfn.XLOOKUP(A3381,[1]Affiliations!$J$2:$J$5328,[1]Affiliations!$K$2:$K$5328,0)</f>
        <v>Universidade Federal do Rio Grande do Sul</v>
      </c>
      <c r="D3381">
        <v>50</v>
      </c>
      <c r="E3381">
        <v>789</v>
      </c>
      <c r="F3381">
        <v>15.78</v>
      </c>
      <c r="G3381">
        <v>25</v>
      </c>
      <c r="H3381">
        <v>0.81</v>
      </c>
      <c r="I3381">
        <v>0</v>
      </c>
      <c r="J3381">
        <v>2</v>
      </c>
      <c r="K3381">
        <v>10</v>
      </c>
      <c r="L3381">
        <v>21</v>
      </c>
      <c r="M3381">
        <v>40</v>
      </c>
      <c r="N3381">
        <v>43</v>
      </c>
      <c r="P3381">
        <v>0</v>
      </c>
      <c r="Q3381">
        <v>0</v>
      </c>
      <c r="R3381">
        <v>5</v>
      </c>
      <c r="S3381">
        <v>14</v>
      </c>
    </row>
    <row r="3382" spans="1:19" hidden="1" x14ac:dyDescent="0.35">
      <c r="A3382">
        <v>59420582200</v>
      </c>
      <c r="B3382" t="s">
        <v>3383</v>
      </c>
      <c r="C3382" t="str">
        <f>_xlfn.XLOOKUP(A3382,[1]Affiliations!$J$2:$J$5328,[1]Affiliations!$K$2:$K$5328,0)</f>
        <v>Federal University of Rio de Janeiro</v>
      </c>
      <c r="D3382">
        <v>1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P3382">
        <v>0</v>
      </c>
      <c r="Q3382">
        <v>0</v>
      </c>
      <c r="R3382">
        <v>0</v>
      </c>
      <c r="S3382">
        <v>0</v>
      </c>
    </row>
    <row r="3383" spans="1:19" hidden="1" x14ac:dyDescent="0.35">
      <c r="A3383">
        <v>57981328000</v>
      </c>
      <c r="B3383" t="s">
        <v>3384</v>
      </c>
      <c r="C3383" t="str">
        <f>_xlfn.XLOOKUP(A3383,[1]Affiliations!$J$2:$J$5328,[1]Affiliations!$K$2:$K$5328,0)</f>
        <v>Serviço Nacional de Aprendizagem Industrial (+1 more)</v>
      </c>
      <c r="D3383">
        <v>1</v>
      </c>
      <c r="E3383">
        <v>0</v>
      </c>
      <c r="F3383">
        <v>0</v>
      </c>
      <c r="G3383">
        <v>0</v>
      </c>
      <c r="H3383">
        <v>0</v>
      </c>
      <c r="P3383">
        <v>0</v>
      </c>
      <c r="Q3383">
        <v>0</v>
      </c>
      <c r="R3383">
        <v>0</v>
      </c>
      <c r="S3383">
        <v>0</v>
      </c>
    </row>
    <row r="3384" spans="1:19" hidden="1" x14ac:dyDescent="0.35">
      <c r="A3384">
        <v>55957599000</v>
      </c>
      <c r="B3384" t="s">
        <v>3385</v>
      </c>
      <c r="C3384" t="str">
        <f>_xlfn.XLOOKUP(A3384,[1]Affiliations!$J$2:$J$5328,[1]Affiliations!$K$2:$K$5328,0)</f>
        <v>Universidade Federal da Bahia (+1 more)</v>
      </c>
      <c r="D3384">
        <v>15</v>
      </c>
      <c r="E3384">
        <v>43</v>
      </c>
      <c r="F3384">
        <v>2.8666665999999998</v>
      </c>
      <c r="G3384">
        <v>3</v>
      </c>
      <c r="H3384">
        <v>0.52</v>
      </c>
      <c r="I3384">
        <v>0</v>
      </c>
      <c r="J3384">
        <v>0</v>
      </c>
      <c r="K3384">
        <v>0</v>
      </c>
      <c r="L3384">
        <v>2</v>
      </c>
      <c r="M3384">
        <v>5</v>
      </c>
      <c r="N3384">
        <v>5</v>
      </c>
      <c r="P3384">
        <v>0</v>
      </c>
      <c r="Q3384">
        <v>0</v>
      </c>
      <c r="R3384">
        <v>0</v>
      </c>
      <c r="S3384">
        <v>1</v>
      </c>
    </row>
    <row r="3385" spans="1:19" hidden="1" x14ac:dyDescent="0.35">
      <c r="A3385">
        <v>57203163026</v>
      </c>
      <c r="B3385" t="s">
        <v>3386</v>
      </c>
      <c r="C3385" t="str">
        <f>_xlfn.XLOOKUP(A3385,[1]Affiliations!$J$2:$J$5328,[1]Affiliations!$K$2:$K$5328,0)</f>
        <v>Federal University of Rio de Janeiro</v>
      </c>
      <c r="D3385">
        <v>8</v>
      </c>
      <c r="E3385">
        <v>54</v>
      </c>
      <c r="F3385">
        <v>6.75</v>
      </c>
      <c r="G3385">
        <v>5</v>
      </c>
      <c r="H3385">
        <v>1.1499999999999999</v>
      </c>
      <c r="I3385">
        <v>0</v>
      </c>
      <c r="J3385">
        <v>0</v>
      </c>
      <c r="K3385">
        <v>0</v>
      </c>
      <c r="L3385">
        <v>1</v>
      </c>
      <c r="M3385">
        <v>1</v>
      </c>
      <c r="N3385">
        <v>1</v>
      </c>
      <c r="P3385">
        <v>0</v>
      </c>
      <c r="Q3385">
        <v>0</v>
      </c>
      <c r="R3385">
        <v>0</v>
      </c>
      <c r="S3385">
        <v>0</v>
      </c>
    </row>
    <row r="3386" spans="1:19" hidden="1" x14ac:dyDescent="0.35">
      <c r="A3386">
        <v>23019142600</v>
      </c>
      <c r="B3386" t="s">
        <v>3387</v>
      </c>
      <c r="C3386" t="str">
        <f>_xlfn.XLOOKUP(A3386,[1]Affiliations!$J$2:$J$5328,[1]Affiliations!$K$2:$K$5328,0)</f>
        <v>Pontifical Catholic University of Rio de Janeiro</v>
      </c>
      <c r="D3386">
        <v>1</v>
      </c>
      <c r="E3386">
        <v>10</v>
      </c>
      <c r="F3386">
        <v>10</v>
      </c>
      <c r="G3386">
        <v>3</v>
      </c>
      <c r="H3386">
        <v>0.45</v>
      </c>
      <c r="I3386">
        <v>0</v>
      </c>
      <c r="J3386">
        <v>0</v>
      </c>
      <c r="K3386">
        <v>0</v>
      </c>
      <c r="L3386">
        <v>1</v>
      </c>
      <c r="M3386">
        <v>1</v>
      </c>
      <c r="N3386">
        <v>1</v>
      </c>
      <c r="P3386">
        <v>0</v>
      </c>
      <c r="Q3386">
        <v>0</v>
      </c>
      <c r="R3386">
        <v>0</v>
      </c>
      <c r="S3386">
        <v>0</v>
      </c>
    </row>
    <row r="3387" spans="1:19" x14ac:dyDescent="0.35">
      <c r="A3387">
        <v>36563125900</v>
      </c>
      <c r="B3387" t="s">
        <v>5128</v>
      </c>
      <c r="C3387" t="str">
        <f>_xlfn.XLOOKUP(A3387,[1]Affiliations!$J$2:$J$5328,[1]Affiliations!$K$2:$K$5328,0)</f>
        <v>Universidade Federal de Minas Gerais</v>
      </c>
      <c r="D3387">
        <v>54</v>
      </c>
      <c r="E3387">
        <v>445</v>
      </c>
      <c r="F3387">
        <v>8.2407409999999999</v>
      </c>
      <c r="G3387">
        <v>17</v>
      </c>
      <c r="H3387">
        <v>0.81</v>
      </c>
      <c r="I3387">
        <v>4</v>
      </c>
      <c r="J3387">
        <v>6</v>
      </c>
      <c r="K3387">
        <v>12</v>
      </c>
      <c r="L3387">
        <v>21</v>
      </c>
      <c r="M3387">
        <v>25</v>
      </c>
      <c r="N3387">
        <v>26</v>
      </c>
      <c r="P3387">
        <v>0</v>
      </c>
      <c r="Q3387">
        <v>0</v>
      </c>
      <c r="R3387">
        <v>1</v>
      </c>
      <c r="S3387">
        <v>8</v>
      </c>
    </row>
    <row r="3388" spans="1:19" hidden="1" x14ac:dyDescent="0.35">
      <c r="A3388">
        <v>55695134200</v>
      </c>
      <c r="B3388" t="s">
        <v>3389</v>
      </c>
      <c r="C3388" t="str">
        <f>_xlfn.XLOOKUP(A3388,[1]Affiliations!$J$2:$J$5328,[1]Affiliations!$K$2:$K$5328,0)</f>
        <v>Universidade Federal do Espírito Santo</v>
      </c>
      <c r="D3388">
        <v>29</v>
      </c>
      <c r="E3388">
        <v>91</v>
      </c>
      <c r="F3388">
        <v>3.137931</v>
      </c>
      <c r="G3388">
        <v>7</v>
      </c>
      <c r="H3388">
        <v>0.36</v>
      </c>
      <c r="I3388">
        <v>0</v>
      </c>
      <c r="J3388">
        <v>0</v>
      </c>
      <c r="K3388">
        <v>0</v>
      </c>
      <c r="L3388">
        <v>7</v>
      </c>
      <c r="M3388">
        <v>9</v>
      </c>
      <c r="N3388">
        <v>26</v>
      </c>
      <c r="P3388">
        <v>0</v>
      </c>
      <c r="Q3388">
        <v>0</v>
      </c>
      <c r="R3388">
        <v>0</v>
      </c>
      <c r="S3388">
        <v>1</v>
      </c>
    </row>
    <row r="3389" spans="1:19" x14ac:dyDescent="0.35">
      <c r="A3389">
        <v>56200580000</v>
      </c>
      <c r="B3389" t="s">
        <v>5134</v>
      </c>
      <c r="C3389" t="str">
        <f>_xlfn.XLOOKUP(A3389,[1]Affiliations!$J$2:$J$5328,[1]Affiliations!$K$2:$K$5328,0)</f>
        <v>Pontifical Catholic University of Rio de Janeiro (+1 more)</v>
      </c>
      <c r="D3389">
        <v>117</v>
      </c>
      <c r="E3389">
        <v>1128</v>
      </c>
      <c r="F3389">
        <v>9.6410260000000001</v>
      </c>
      <c r="G3389">
        <v>27</v>
      </c>
      <c r="H3389">
        <v>0.81</v>
      </c>
      <c r="I3389">
        <v>1</v>
      </c>
      <c r="J3389">
        <v>12</v>
      </c>
      <c r="K3389">
        <v>24</v>
      </c>
      <c r="L3389">
        <v>41</v>
      </c>
      <c r="M3389">
        <v>47</v>
      </c>
      <c r="N3389">
        <v>78</v>
      </c>
      <c r="P3389">
        <v>0</v>
      </c>
      <c r="Q3389">
        <v>1</v>
      </c>
      <c r="R3389">
        <v>8</v>
      </c>
      <c r="S3389">
        <v>20</v>
      </c>
    </row>
    <row r="3390" spans="1:19" hidden="1" x14ac:dyDescent="0.35">
      <c r="A3390">
        <v>57204417889</v>
      </c>
      <c r="B3390" t="s">
        <v>3391</v>
      </c>
      <c r="C3390" t="str">
        <f>_xlfn.XLOOKUP(A3390,[1]Affiliations!$J$2:$J$5328,[1]Affiliations!$K$2:$K$5328,0)</f>
        <v>Universidade Federal do Espírito Santo</v>
      </c>
      <c r="D3390">
        <v>1</v>
      </c>
      <c r="E3390">
        <v>4</v>
      </c>
      <c r="F3390">
        <v>4</v>
      </c>
      <c r="G3390">
        <v>1</v>
      </c>
      <c r="H3390">
        <v>0.86</v>
      </c>
      <c r="P3390">
        <v>0</v>
      </c>
      <c r="Q3390">
        <v>0</v>
      </c>
      <c r="R3390">
        <v>0</v>
      </c>
      <c r="S3390">
        <v>0</v>
      </c>
    </row>
    <row r="3391" spans="1:19" hidden="1" x14ac:dyDescent="0.35">
      <c r="A3391">
        <v>57563504600</v>
      </c>
      <c r="B3391" t="s">
        <v>3392</v>
      </c>
      <c r="C3391" t="str">
        <f>_xlfn.XLOOKUP(A3391,[1]Affiliations!$J$2:$J$5328,[1]Affiliations!$K$2:$K$5328,0)</f>
        <v>Stratura Asfaltos (+1 more)</v>
      </c>
      <c r="D3391">
        <v>4</v>
      </c>
      <c r="E3391">
        <v>32</v>
      </c>
      <c r="F3391">
        <v>8</v>
      </c>
      <c r="G3391">
        <v>3</v>
      </c>
      <c r="H3391">
        <v>0.49</v>
      </c>
      <c r="I3391">
        <v>0</v>
      </c>
      <c r="J3391">
        <v>2</v>
      </c>
      <c r="K3391">
        <v>2</v>
      </c>
      <c r="L3391">
        <v>4</v>
      </c>
      <c r="M3391">
        <v>4</v>
      </c>
      <c r="N3391">
        <v>4</v>
      </c>
      <c r="P3391">
        <v>0</v>
      </c>
      <c r="Q3391">
        <v>0</v>
      </c>
      <c r="R3391">
        <v>0</v>
      </c>
      <c r="S3391">
        <v>1</v>
      </c>
    </row>
    <row r="3392" spans="1:19" x14ac:dyDescent="0.35">
      <c r="A3392">
        <v>35796751600</v>
      </c>
      <c r="B3392" t="s">
        <v>5307</v>
      </c>
      <c r="C3392" t="str">
        <f>_xlfn.XLOOKUP(A3392,[1]Affiliations!$J$2:$J$5328,[1]Affiliations!$K$2:$K$5328,0)</f>
        <v>National Institute of Technology (INT) (+2 more)</v>
      </c>
      <c r="D3392">
        <v>17</v>
      </c>
      <c r="E3392">
        <v>440</v>
      </c>
      <c r="F3392">
        <v>25.882352999999998</v>
      </c>
      <c r="G3392">
        <v>16</v>
      </c>
      <c r="H3392">
        <v>0.81</v>
      </c>
      <c r="I3392">
        <v>0</v>
      </c>
      <c r="J3392">
        <v>1</v>
      </c>
      <c r="K3392">
        <v>10</v>
      </c>
      <c r="L3392">
        <v>13</v>
      </c>
      <c r="M3392">
        <v>17</v>
      </c>
      <c r="N3392">
        <v>17</v>
      </c>
      <c r="P3392">
        <v>0</v>
      </c>
      <c r="Q3392">
        <v>0</v>
      </c>
      <c r="R3392">
        <v>3</v>
      </c>
      <c r="S3392">
        <v>13</v>
      </c>
    </row>
    <row r="3393" spans="1:19" x14ac:dyDescent="0.35">
      <c r="A3393">
        <v>6603491747</v>
      </c>
      <c r="B3393" t="s">
        <v>154</v>
      </c>
      <c r="C3393" t="str">
        <f>_xlfn.XLOOKUP(A3393,[1]Affiliations!$J$2:$J$5328,[1]Affiliations!$K$2:$K$5328,0)</f>
        <v>Federal University of Rio de Janeiro</v>
      </c>
      <c r="D3393">
        <v>45</v>
      </c>
      <c r="E3393">
        <v>800</v>
      </c>
      <c r="F3393">
        <v>17.777778999999999</v>
      </c>
      <c r="G3393">
        <v>29</v>
      </c>
      <c r="H3393">
        <v>0.8</v>
      </c>
      <c r="I3393">
        <v>1</v>
      </c>
      <c r="J3393">
        <v>10</v>
      </c>
      <c r="K3393">
        <v>23</v>
      </c>
      <c r="L3393">
        <v>36</v>
      </c>
      <c r="M3393">
        <v>43</v>
      </c>
      <c r="N3393">
        <v>45</v>
      </c>
      <c r="P3393">
        <v>0</v>
      </c>
      <c r="Q3393">
        <v>1</v>
      </c>
      <c r="R3393">
        <v>4</v>
      </c>
      <c r="S3393">
        <v>15</v>
      </c>
    </row>
    <row r="3394" spans="1:19" x14ac:dyDescent="0.35">
      <c r="A3394">
        <v>13105574500</v>
      </c>
      <c r="B3394" t="s">
        <v>191</v>
      </c>
      <c r="C3394" t="str">
        <f>_xlfn.XLOOKUP(A3394,[1]Affiliations!$J$2:$J$5328,[1]Affiliations!$K$2:$K$5328,0)</f>
        <v>Universidade de São Paulo</v>
      </c>
      <c r="D3394">
        <v>13</v>
      </c>
      <c r="E3394">
        <v>180</v>
      </c>
      <c r="F3394">
        <v>13.846154</v>
      </c>
      <c r="G3394">
        <v>14</v>
      </c>
      <c r="H3394">
        <v>0.8</v>
      </c>
      <c r="I3394">
        <v>0</v>
      </c>
      <c r="J3394">
        <v>0</v>
      </c>
      <c r="K3394">
        <v>1</v>
      </c>
      <c r="L3394">
        <v>4</v>
      </c>
      <c r="M3394">
        <v>10</v>
      </c>
      <c r="N3394">
        <v>13</v>
      </c>
      <c r="P3394">
        <v>0</v>
      </c>
      <c r="Q3394">
        <v>0</v>
      </c>
      <c r="R3394">
        <v>1</v>
      </c>
      <c r="S3394">
        <v>3</v>
      </c>
    </row>
    <row r="3395" spans="1:19" hidden="1" x14ac:dyDescent="0.35">
      <c r="A3395">
        <v>57205455442</v>
      </c>
      <c r="B3395" t="s">
        <v>3396</v>
      </c>
      <c r="C3395" t="str">
        <f>_xlfn.XLOOKUP(A3395,[1]Affiliations!$J$2:$J$5328,[1]Affiliations!$K$2:$K$5328,0)</f>
        <v>Universidade Federal Fluminense</v>
      </c>
      <c r="D3395">
        <v>5</v>
      </c>
      <c r="E3395">
        <v>21</v>
      </c>
      <c r="F3395">
        <v>4.2</v>
      </c>
      <c r="G3395">
        <v>3</v>
      </c>
      <c r="H3395">
        <v>0.3</v>
      </c>
      <c r="I3395">
        <v>0</v>
      </c>
      <c r="J3395">
        <v>1</v>
      </c>
      <c r="K3395">
        <v>1</v>
      </c>
      <c r="L3395">
        <v>2</v>
      </c>
      <c r="M3395">
        <v>4</v>
      </c>
      <c r="N3395">
        <v>5</v>
      </c>
      <c r="P3395">
        <v>0</v>
      </c>
      <c r="Q3395">
        <v>0</v>
      </c>
      <c r="R3395">
        <v>0</v>
      </c>
      <c r="S3395">
        <v>1</v>
      </c>
    </row>
    <row r="3396" spans="1:19" hidden="1" x14ac:dyDescent="0.35">
      <c r="A3396">
        <v>36911441700</v>
      </c>
      <c r="B3396" t="s">
        <v>3397</v>
      </c>
      <c r="C3396" t="str">
        <f>_xlfn.XLOOKUP(A3396,[1]Affiliations!$J$2:$J$5328,[1]Affiliations!$K$2:$K$5328,0)</f>
        <v>Universidade Federal Fluminense (+1 more)</v>
      </c>
      <c r="D3396">
        <v>6</v>
      </c>
      <c r="E3396">
        <v>73</v>
      </c>
      <c r="F3396">
        <v>12.166667</v>
      </c>
      <c r="G3396">
        <v>9</v>
      </c>
      <c r="H3396">
        <v>0.4</v>
      </c>
      <c r="I3396">
        <v>0</v>
      </c>
      <c r="J3396">
        <v>0</v>
      </c>
      <c r="K3396">
        <v>2</v>
      </c>
      <c r="L3396">
        <v>4</v>
      </c>
      <c r="M3396">
        <v>6</v>
      </c>
      <c r="N3396">
        <v>6</v>
      </c>
      <c r="P3396">
        <v>0</v>
      </c>
      <c r="Q3396">
        <v>0</v>
      </c>
      <c r="R3396">
        <v>0</v>
      </c>
      <c r="S3396">
        <v>1</v>
      </c>
    </row>
    <row r="3397" spans="1:19" hidden="1" x14ac:dyDescent="0.35">
      <c r="A3397">
        <v>57838578200</v>
      </c>
      <c r="B3397" t="s">
        <v>3398</v>
      </c>
      <c r="C3397" t="str">
        <f>_xlfn.XLOOKUP(A3397,[1]Affiliations!$J$2:$J$5328,[1]Affiliations!$K$2:$K$5328,0)</f>
        <v>Universidade Federal de Minas Gerais</v>
      </c>
      <c r="D3397">
        <v>2</v>
      </c>
      <c r="E3397">
        <v>27</v>
      </c>
      <c r="F3397">
        <v>13.5</v>
      </c>
      <c r="G3397">
        <v>4</v>
      </c>
      <c r="H3397">
        <v>0.89</v>
      </c>
      <c r="I3397">
        <v>0</v>
      </c>
      <c r="J3397">
        <v>1</v>
      </c>
      <c r="K3397">
        <v>1</v>
      </c>
      <c r="L3397">
        <v>2</v>
      </c>
      <c r="M3397">
        <v>2</v>
      </c>
      <c r="N3397">
        <v>2</v>
      </c>
      <c r="P3397">
        <v>0</v>
      </c>
      <c r="Q3397">
        <v>0</v>
      </c>
      <c r="R3397">
        <v>0</v>
      </c>
      <c r="S3397">
        <v>2</v>
      </c>
    </row>
    <row r="3398" spans="1:19" hidden="1" x14ac:dyDescent="0.35">
      <c r="A3398">
        <v>57194854356</v>
      </c>
      <c r="B3398" t="s">
        <v>3399</v>
      </c>
      <c r="C3398" t="str">
        <f>_xlfn.XLOOKUP(A3398,[1]Affiliations!$J$2:$J$5328,[1]Affiliations!$K$2:$K$5328,0)</f>
        <v>Federal University of Rio de Janeiro</v>
      </c>
      <c r="D3398">
        <v>9</v>
      </c>
      <c r="E3398">
        <v>27</v>
      </c>
      <c r="F3398">
        <v>3</v>
      </c>
      <c r="G3398">
        <v>3</v>
      </c>
      <c r="H3398">
        <v>0.42</v>
      </c>
      <c r="I3398">
        <v>0</v>
      </c>
      <c r="J3398">
        <v>0</v>
      </c>
      <c r="K3398">
        <v>0</v>
      </c>
      <c r="L3398">
        <v>1</v>
      </c>
      <c r="M3398">
        <v>2</v>
      </c>
      <c r="N3398">
        <v>4</v>
      </c>
      <c r="P3398">
        <v>0</v>
      </c>
      <c r="Q3398">
        <v>0</v>
      </c>
      <c r="R3398">
        <v>0</v>
      </c>
      <c r="S3398">
        <v>0</v>
      </c>
    </row>
    <row r="3399" spans="1:19" hidden="1" x14ac:dyDescent="0.35">
      <c r="A3399">
        <v>57217059507</v>
      </c>
      <c r="B3399" t="s">
        <v>3400</v>
      </c>
      <c r="C3399" t="str">
        <f>_xlfn.XLOOKUP(A3399,[1]Affiliations!$J$2:$J$5328,[1]Affiliations!$K$2:$K$5328,0)</f>
        <v>Federal University of Rio de Janeiro</v>
      </c>
      <c r="D3399">
        <v>5</v>
      </c>
      <c r="E3399">
        <v>20</v>
      </c>
      <c r="F3399">
        <v>4</v>
      </c>
      <c r="G3399">
        <v>3</v>
      </c>
      <c r="H3399">
        <v>0.39</v>
      </c>
      <c r="I3399">
        <v>0</v>
      </c>
      <c r="J3399">
        <v>0</v>
      </c>
      <c r="K3399">
        <v>2</v>
      </c>
      <c r="L3399">
        <v>3</v>
      </c>
      <c r="M3399">
        <v>3</v>
      </c>
      <c r="N3399">
        <v>5</v>
      </c>
      <c r="P3399">
        <v>0</v>
      </c>
      <c r="Q3399">
        <v>0</v>
      </c>
      <c r="R3399">
        <v>0</v>
      </c>
      <c r="S3399">
        <v>1</v>
      </c>
    </row>
    <row r="3400" spans="1:19" hidden="1" x14ac:dyDescent="0.35">
      <c r="A3400">
        <v>6506547093</v>
      </c>
      <c r="B3400" t="s">
        <v>3401</v>
      </c>
      <c r="C3400" t="str">
        <f>_xlfn.XLOOKUP(A3400,[1]Affiliations!$J$2:$J$5328,[1]Affiliations!$K$2:$K$5328,0)</f>
        <v>Pontifical Catholic University of Rio de Janeiro</v>
      </c>
      <c r="D3400">
        <v>38</v>
      </c>
      <c r="E3400">
        <v>134</v>
      </c>
      <c r="F3400">
        <v>3.5263157000000001</v>
      </c>
      <c r="G3400">
        <v>10</v>
      </c>
      <c r="H3400">
        <v>0.76</v>
      </c>
      <c r="I3400">
        <v>0</v>
      </c>
      <c r="J3400">
        <v>1</v>
      </c>
      <c r="K3400">
        <v>1</v>
      </c>
      <c r="L3400">
        <v>6</v>
      </c>
      <c r="M3400">
        <v>8</v>
      </c>
      <c r="N3400">
        <v>14</v>
      </c>
      <c r="P3400">
        <v>0</v>
      </c>
      <c r="Q3400">
        <v>0</v>
      </c>
      <c r="R3400">
        <v>0</v>
      </c>
      <c r="S3400">
        <v>1</v>
      </c>
    </row>
    <row r="3401" spans="1:19" hidden="1" x14ac:dyDescent="0.35">
      <c r="A3401">
        <v>36684036700</v>
      </c>
      <c r="B3401" t="s">
        <v>3402</v>
      </c>
      <c r="C3401" t="str">
        <f>_xlfn.XLOOKUP(A3401,[1]Affiliations!$J$2:$J$5328,[1]Affiliations!$K$2:$K$5328,0)</f>
        <v>Universidade Federal Fluminense (+1 more)</v>
      </c>
      <c r="D3401">
        <v>2</v>
      </c>
      <c r="E3401">
        <v>56</v>
      </c>
      <c r="F3401">
        <v>28</v>
      </c>
      <c r="G3401">
        <v>4</v>
      </c>
      <c r="H3401">
        <v>0.82</v>
      </c>
      <c r="I3401">
        <v>0</v>
      </c>
      <c r="J3401">
        <v>1</v>
      </c>
      <c r="K3401">
        <v>1</v>
      </c>
      <c r="L3401">
        <v>2</v>
      </c>
      <c r="M3401">
        <v>2</v>
      </c>
      <c r="N3401">
        <v>2</v>
      </c>
      <c r="P3401">
        <v>0</v>
      </c>
      <c r="Q3401">
        <v>0</v>
      </c>
      <c r="R3401">
        <v>0</v>
      </c>
      <c r="S3401">
        <v>1</v>
      </c>
    </row>
    <row r="3402" spans="1:19" x14ac:dyDescent="0.35">
      <c r="A3402">
        <v>8408554300</v>
      </c>
      <c r="B3402" t="s">
        <v>336</v>
      </c>
      <c r="C3402" t="str">
        <f>_xlfn.XLOOKUP(A3402,[1]Affiliations!$J$2:$J$5328,[1]Affiliations!$K$2:$K$5328,0)</f>
        <v>Pontifícia Universidade Católica do Rio Grande do Sul</v>
      </c>
      <c r="D3402">
        <v>16</v>
      </c>
      <c r="E3402">
        <v>345</v>
      </c>
      <c r="F3402">
        <v>21.5625</v>
      </c>
      <c r="G3402">
        <v>15</v>
      </c>
      <c r="H3402">
        <v>0.8</v>
      </c>
      <c r="I3402">
        <v>0</v>
      </c>
      <c r="J3402">
        <v>0</v>
      </c>
      <c r="K3402">
        <v>1</v>
      </c>
      <c r="L3402">
        <v>3</v>
      </c>
      <c r="M3402">
        <v>16</v>
      </c>
      <c r="N3402">
        <v>16</v>
      </c>
      <c r="P3402">
        <v>0</v>
      </c>
      <c r="Q3402">
        <v>1</v>
      </c>
      <c r="R3402">
        <v>1</v>
      </c>
      <c r="S3402">
        <v>7</v>
      </c>
    </row>
    <row r="3403" spans="1:19" hidden="1" x14ac:dyDescent="0.35">
      <c r="A3403">
        <v>57200654368</v>
      </c>
      <c r="B3403" t="s">
        <v>3404</v>
      </c>
      <c r="C3403" t="str">
        <f>_xlfn.XLOOKUP(A3403,[1]Affiliations!$J$2:$J$5328,[1]Affiliations!$K$2:$K$5328,0)</f>
        <v>Universidade Federal Fluminense</v>
      </c>
      <c r="D3403">
        <v>8</v>
      </c>
      <c r="E3403">
        <v>79</v>
      </c>
      <c r="F3403">
        <v>9.875</v>
      </c>
      <c r="G3403">
        <v>4</v>
      </c>
      <c r="H3403">
        <v>0.45</v>
      </c>
      <c r="I3403">
        <v>0</v>
      </c>
      <c r="J3403">
        <v>2</v>
      </c>
      <c r="K3403">
        <v>2</v>
      </c>
      <c r="L3403">
        <v>2</v>
      </c>
      <c r="M3403">
        <v>3</v>
      </c>
      <c r="N3403">
        <v>5</v>
      </c>
      <c r="P3403">
        <v>0</v>
      </c>
      <c r="Q3403">
        <v>0</v>
      </c>
      <c r="R3403">
        <v>0</v>
      </c>
      <c r="S3403">
        <v>3</v>
      </c>
    </row>
    <row r="3404" spans="1:19" x14ac:dyDescent="0.35">
      <c r="A3404">
        <v>7004984975</v>
      </c>
      <c r="B3404" t="s">
        <v>1529</v>
      </c>
      <c r="C3404" t="str">
        <f>_xlfn.XLOOKUP(A3404,[1]Affiliations!$J$2:$J$5328,[1]Affiliations!$K$2:$K$5328,0)</f>
        <v>Instituto Tecnológico da Aeronáutica</v>
      </c>
      <c r="D3404">
        <v>66</v>
      </c>
      <c r="E3404">
        <v>628</v>
      </c>
      <c r="F3404">
        <v>9.5151520000000005</v>
      </c>
      <c r="G3404">
        <v>36</v>
      </c>
      <c r="H3404">
        <v>0.8</v>
      </c>
      <c r="I3404">
        <v>1</v>
      </c>
      <c r="J3404">
        <v>13</v>
      </c>
      <c r="K3404">
        <v>29</v>
      </c>
      <c r="L3404">
        <v>37</v>
      </c>
      <c r="M3404">
        <v>46</v>
      </c>
      <c r="N3404">
        <v>47</v>
      </c>
      <c r="P3404">
        <v>0</v>
      </c>
      <c r="Q3404">
        <v>0</v>
      </c>
      <c r="R3404">
        <v>9</v>
      </c>
      <c r="S3404">
        <v>22</v>
      </c>
    </row>
    <row r="3405" spans="1:19" hidden="1" x14ac:dyDescent="0.35">
      <c r="A3405">
        <v>7102699474</v>
      </c>
      <c r="B3405" t="s">
        <v>3406</v>
      </c>
      <c r="C3405" t="str">
        <f>_xlfn.XLOOKUP(A3405,[1]Affiliations!$J$2:$J$5328,[1]Affiliations!$K$2:$K$5328,0)</f>
        <v>Centro de Tecnologia Mineral</v>
      </c>
      <c r="D3405">
        <v>6</v>
      </c>
      <c r="E3405">
        <v>130</v>
      </c>
      <c r="F3405">
        <v>21.666665999999999</v>
      </c>
      <c r="G3405">
        <v>14</v>
      </c>
      <c r="H3405">
        <v>0.83</v>
      </c>
      <c r="I3405">
        <v>0</v>
      </c>
      <c r="J3405">
        <v>0</v>
      </c>
      <c r="K3405">
        <v>2</v>
      </c>
      <c r="L3405">
        <v>3</v>
      </c>
      <c r="M3405">
        <v>5</v>
      </c>
      <c r="N3405">
        <v>5</v>
      </c>
      <c r="P3405">
        <v>0</v>
      </c>
      <c r="Q3405">
        <v>0</v>
      </c>
      <c r="R3405">
        <v>0</v>
      </c>
      <c r="S3405">
        <v>2</v>
      </c>
    </row>
    <row r="3406" spans="1:19" hidden="1" x14ac:dyDescent="0.35">
      <c r="A3406">
        <v>57211368035</v>
      </c>
      <c r="B3406" t="s">
        <v>3407</v>
      </c>
      <c r="C3406" t="str">
        <f>_xlfn.XLOOKUP(A3406,[1]Affiliations!$J$2:$J$5328,[1]Affiliations!$K$2:$K$5328,0)</f>
        <v>Universidade Federal do Rio Grande do Norte (+1 more)</v>
      </c>
      <c r="D3406">
        <v>8</v>
      </c>
      <c r="E3406">
        <v>63</v>
      </c>
      <c r="F3406">
        <v>7.875</v>
      </c>
      <c r="G3406">
        <v>6</v>
      </c>
      <c r="H3406">
        <v>0.32</v>
      </c>
      <c r="I3406">
        <v>0</v>
      </c>
      <c r="J3406">
        <v>0</v>
      </c>
      <c r="K3406">
        <v>1</v>
      </c>
      <c r="L3406">
        <v>5</v>
      </c>
      <c r="M3406">
        <v>8</v>
      </c>
      <c r="N3406">
        <v>8</v>
      </c>
      <c r="P3406">
        <v>0</v>
      </c>
      <c r="Q3406">
        <v>0</v>
      </c>
      <c r="R3406">
        <v>0</v>
      </c>
      <c r="S3406">
        <v>0</v>
      </c>
    </row>
    <row r="3407" spans="1:19" hidden="1" x14ac:dyDescent="0.35">
      <c r="A3407">
        <v>60105697900</v>
      </c>
      <c r="B3407" t="s">
        <v>3408</v>
      </c>
      <c r="C3407" t="str">
        <f>_xlfn.XLOOKUP(A3407,[1]Affiliations!$J$2:$J$5328,[1]Affiliations!$K$2:$K$5328,0)</f>
        <v>Science and Technology of Espírito Santo</v>
      </c>
      <c r="D3407">
        <v>0</v>
      </c>
      <c r="G3407">
        <v>1</v>
      </c>
    </row>
    <row r="3408" spans="1:19" hidden="1" x14ac:dyDescent="0.35">
      <c r="A3408">
        <v>59344097100</v>
      </c>
      <c r="B3408" t="s">
        <v>3409</v>
      </c>
      <c r="C3408" t="str">
        <f>_xlfn.XLOOKUP(A3408,[1]Affiliations!$J$2:$J$5328,[1]Affiliations!$K$2:$K$5328,0)</f>
        <v>Universidade Federal do Espírito Santo</v>
      </c>
      <c r="D3408">
        <v>1</v>
      </c>
      <c r="E3408">
        <v>1</v>
      </c>
      <c r="F3408">
        <v>1</v>
      </c>
      <c r="G3408">
        <v>1</v>
      </c>
      <c r="H3408">
        <v>0.33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1</v>
      </c>
      <c r="P3408">
        <v>0</v>
      </c>
      <c r="Q3408">
        <v>0</v>
      </c>
      <c r="R3408">
        <v>0</v>
      </c>
      <c r="S3408">
        <v>0</v>
      </c>
    </row>
    <row r="3409" spans="1:19" hidden="1" x14ac:dyDescent="0.35">
      <c r="A3409">
        <v>8896320800</v>
      </c>
      <c r="B3409" t="s">
        <v>3410</v>
      </c>
      <c r="C3409" t="str">
        <f>_xlfn.XLOOKUP(A3409,[1]Affiliations!$J$2:$J$5328,[1]Affiliations!$K$2:$K$5328,0)</f>
        <v>Universidade Federal Fluminense</v>
      </c>
      <c r="D3409">
        <v>5</v>
      </c>
      <c r="E3409">
        <v>25</v>
      </c>
      <c r="F3409">
        <v>5</v>
      </c>
      <c r="G3409">
        <v>4</v>
      </c>
      <c r="H3409">
        <v>0.54</v>
      </c>
      <c r="I3409">
        <v>0</v>
      </c>
      <c r="J3409">
        <v>0</v>
      </c>
      <c r="K3409">
        <v>0</v>
      </c>
      <c r="L3409">
        <v>1</v>
      </c>
      <c r="M3409">
        <v>1</v>
      </c>
      <c r="N3409">
        <v>1</v>
      </c>
      <c r="P3409">
        <v>0</v>
      </c>
      <c r="Q3409">
        <v>0</v>
      </c>
      <c r="R3409">
        <v>1</v>
      </c>
      <c r="S3409">
        <v>1</v>
      </c>
    </row>
    <row r="3410" spans="1:19" x14ac:dyDescent="0.35">
      <c r="A3410">
        <v>53986174700</v>
      </c>
      <c r="B3410" t="s">
        <v>1599</v>
      </c>
      <c r="C3410" t="str">
        <f>_xlfn.XLOOKUP(A3410,[1]Affiliations!$J$2:$J$5328,[1]Affiliations!$K$2:$K$5328,0)</f>
        <v>Universidade Federal do Rio Grande do Norte</v>
      </c>
      <c r="D3410">
        <v>6</v>
      </c>
      <c r="E3410">
        <v>111</v>
      </c>
      <c r="F3410">
        <v>18.5</v>
      </c>
      <c r="G3410">
        <v>6</v>
      </c>
      <c r="H3410">
        <v>0.8</v>
      </c>
      <c r="I3410">
        <v>0</v>
      </c>
      <c r="J3410">
        <v>1</v>
      </c>
      <c r="K3410">
        <v>5</v>
      </c>
      <c r="L3410">
        <v>5</v>
      </c>
      <c r="M3410">
        <v>5</v>
      </c>
      <c r="N3410">
        <v>6</v>
      </c>
      <c r="P3410">
        <v>0</v>
      </c>
      <c r="Q3410">
        <v>0</v>
      </c>
      <c r="R3410">
        <v>1</v>
      </c>
      <c r="S3410">
        <v>1</v>
      </c>
    </row>
    <row r="3411" spans="1:19" x14ac:dyDescent="0.35">
      <c r="A3411">
        <v>57191541692</v>
      </c>
      <c r="B3411" t="s">
        <v>2025</v>
      </c>
      <c r="C3411" t="str">
        <f>_xlfn.XLOOKUP(A3411,[1]Affiliations!$J$2:$J$5328,[1]Affiliations!$K$2:$K$5328,0)</f>
        <v>Universidade Federal do Rio Grande do Sul</v>
      </c>
      <c r="D3411">
        <v>11</v>
      </c>
      <c r="E3411">
        <v>265</v>
      </c>
      <c r="F3411">
        <v>24.090910000000001</v>
      </c>
      <c r="G3411">
        <v>7</v>
      </c>
      <c r="H3411">
        <v>0.8</v>
      </c>
      <c r="I3411">
        <v>0</v>
      </c>
      <c r="J3411">
        <v>2</v>
      </c>
      <c r="K3411">
        <v>5</v>
      </c>
      <c r="L3411">
        <v>7</v>
      </c>
      <c r="M3411">
        <v>7</v>
      </c>
      <c r="N3411">
        <v>8</v>
      </c>
      <c r="P3411">
        <v>0</v>
      </c>
      <c r="Q3411">
        <v>1</v>
      </c>
      <c r="R3411">
        <v>1</v>
      </c>
      <c r="S3411">
        <v>3</v>
      </c>
    </row>
    <row r="3412" spans="1:19" x14ac:dyDescent="0.35">
      <c r="A3412">
        <v>55946417900</v>
      </c>
      <c r="B3412" t="s">
        <v>3267</v>
      </c>
      <c r="C3412" t="str">
        <f>_xlfn.XLOOKUP(A3412,[1]Affiliations!$J$2:$J$5328,[1]Affiliations!$K$2:$K$5328,0)</f>
        <v>University of Campinas</v>
      </c>
      <c r="D3412">
        <v>9</v>
      </c>
      <c r="E3412">
        <v>241</v>
      </c>
      <c r="F3412">
        <v>26.777778999999999</v>
      </c>
      <c r="G3412">
        <v>10</v>
      </c>
      <c r="H3412">
        <v>0.8</v>
      </c>
      <c r="I3412">
        <v>0</v>
      </c>
      <c r="J3412">
        <v>1</v>
      </c>
      <c r="K3412">
        <v>2</v>
      </c>
      <c r="L3412">
        <v>8</v>
      </c>
      <c r="M3412">
        <v>9</v>
      </c>
      <c r="N3412">
        <v>9</v>
      </c>
      <c r="P3412">
        <v>0</v>
      </c>
      <c r="Q3412">
        <v>0</v>
      </c>
      <c r="R3412">
        <v>1</v>
      </c>
      <c r="S3412">
        <v>5</v>
      </c>
    </row>
    <row r="3413" spans="1:19" hidden="1" x14ac:dyDescent="0.35">
      <c r="A3413">
        <v>56950230700</v>
      </c>
      <c r="B3413" t="s">
        <v>3414</v>
      </c>
      <c r="C3413" t="str">
        <f>_xlfn.XLOOKUP(A3413,[1]Affiliations!$J$2:$J$5328,[1]Affiliations!$K$2:$K$5328,0)</f>
        <v>Universidade Federal do Espírito Santo</v>
      </c>
      <c r="D3413">
        <v>4</v>
      </c>
      <c r="E3413">
        <v>67</v>
      </c>
      <c r="F3413">
        <v>16.75</v>
      </c>
      <c r="G3413">
        <v>3</v>
      </c>
      <c r="H3413">
        <v>0.71</v>
      </c>
      <c r="I3413">
        <v>0</v>
      </c>
      <c r="J3413">
        <v>2</v>
      </c>
      <c r="K3413">
        <v>3</v>
      </c>
      <c r="L3413">
        <v>3</v>
      </c>
      <c r="M3413">
        <v>4</v>
      </c>
      <c r="N3413">
        <v>4</v>
      </c>
      <c r="P3413">
        <v>0</v>
      </c>
      <c r="Q3413">
        <v>0</v>
      </c>
      <c r="R3413">
        <v>0</v>
      </c>
      <c r="S3413">
        <v>2</v>
      </c>
    </row>
    <row r="3414" spans="1:19" x14ac:dyDescent="0.35">
      <c r="A3414">
        <v>57219931473</v>
      </c>
      <c r="B3414" t="s">
        <v>3324</v>
      </c>
      <c r="C3414" t="str">
        <f>_xlfn.XLOOKUP(A3414,[1]Affiliations!$J$2:$J$5328,[1]Affiliations!$K$2:$K$5328,0)</f>
        <v>Universidade Federal da Bahia</v>
      </c>
      <c r="D3414">
        <v>20</v>
      </c>
      <c r="E3414">
        <v>254</v>
      </c>
      <c r="F3414">
        <v>12.7</v>
      </c>
      <c r="G3414">
        <v>7</v>
      </c>
      <c r="H3414">
        <v>0.8</v>
      </c>
      <c r="I3414">
        <v>0</v>
      </c>
      <c r="J3414">
        <v>1</v>
      </c>
      <c r="K3414">
        <v>5</v>
      </c>
      <c r="L3414">
        <v>10</v>
      </c>
      <c r="M3414">
        <v>15</v>
      </c>
      <c r="N3414">
        <v>18</v>
      </c>
      <c r="P3414">
        <v>0</v>
      </c>
      <c r="Q3414">
        <v>2</v>
      </c>
      <c r="R3414">
        <v>3</v>
      </c>
      <c r="S3414">
        <v>7</v>
      </c>
    </row>
    <row r="3415" spans="1:19" x14ac:dyDescent="0.35">
      <c r="A3415">
        <v>6603651062</v>
      </c>
      <c r="B3415" t="s">
        <v>3556</v>
      </c>
      <c r="C3415" t="str">
        <f>_xlfn.XLOOKUP(A3415,[1]Affiliations!$J$2:$J$5328,[1]Affiliations!$K$2:$K$5328,0)</f>
        <v>Universidade Federal do Rio Grande do Sul</v>
      </c>
      <c r="D3415">
        <v>181</v>
      </c>
      <c r="E3415">
        <v>1389</v>
      </c>
      <c r="F3415">
        <v>7.6740329999999997</v>
      </c>
      <c r="G3415">
        <v>24</v>
      </c>
      <c r="H3415">
        <v>0.8</v>
      </c>
      <c r="I3415">
        <v>1</v>
      </c>
      <c r="J3415">
        <v>4</v>
      </c>
      <c r="K3415">
        <v>9</v>
      </c>
      <c r="L3415">
        <v>23</v>
      </c>
      <c r="M3415">
        <v>56</v>
      </c>
      <c r="N3415">
        <v>83</v>
      </c>
      <c r="P3415">
        <v>0</v>
      </c>
      <c r="Q3415">
        <v>2</v>
      </c>
      <c r="R3415">
        <v>4</v>
      </c>
      <c r="S3415">
        <v>15</v>
      </c>
    </row>
    <row r="3416" spans="1:19" hidden="1" x14ac:dyDescent="0.35">
      <c r="A3416">
        <v>56428644200</v>
      </c>
      <c r="B3416" t="s">
        <v>3417</v>
      </c>
      <c r="C3416" t="str">
        <f>_xlfn.XLOOKUP(A3416,[1]Affiliations!$J$2:$J$5328,[1]Affiliations!$K$2:$K$5328,0)</f>
        <v>WIKKI Brasil LTDA (+1 more)</v>
      </c>
      <c r="D3416">
        <v>5</v>
      </c>
      <c r="E3416">
        <v>44</v>
      </c>
      <c r="F3416">
        <v>8.8000000000000007</v>
      </c>
      <c r="G3416">
        <v>3</v>
      </c>
      <c r="H3416">
        <v>0.57999999999999996</v>
      </c>
      <c r="I3416">
        <v>0</v>
      </c>
      <c r="J3416">
        <v>0</v>
      </c>
      <c r="K3416">
        <v>2</v>
      </c>
      <c r="L3416">
        <v>4</v>
      </c>
      <c r="M3416">
        <v>5</v>
      </c>
      <c r="N3416">
        <v>5</v>
      </c>
      <c r="P3416">
        <v>0</v>
      </c>
      <c r="Q3416">
        <v>0</v>
      </c>
      <c r="R3416">
        <v>0</v>
      </c>
      <c r="S3416">
        <v>1</v>
      </c>
    </row>
    <row r="3417" spans="1:19" x14ac:dyDescent="0.35">
      <c r="A3417">
        <v>16317478700</v>
      </c>
      <c r="B3417" t="s">
        <v>3925</v>
      </c>
      <c r="C3417" t="str">
        <f>_xlfn.XLOOKUP(A3417,[1]Affiliations!$J$2:$J$5328,[1]Affiliations!$K$2:$K$5328,0)</f>
        <v>Pontifical Catholic University of Rio de Janeiro</v>
      </c>
      <c r="D3417">
        <v>33</v>
      </c>
      <c r="E3417">
        <v>446</v>
      </c>
      <c r="F3417">
        <v>13.515152</v>
      </c>
      <c r="G3417">
        <v>19</v>
      </c>
      <c r="H3417">
        <v>0.8</v>
      </c>
      <c r="I3417">
        <v>0</v>
      </c>
      <c r="J3417">
        <v>3</v>
      </c>
      <c r="K3417">
        <v>9</v>
      </c>
      <c r="L3417">
        <v>16</v>
      </c>
      <c r="M3417">
        <v>23</v>
      </c>
      <c r="N3417">
        <v>25</v>
      </c>
      <c r="P3417">
        <v>0</v>
      </c>
      <c r="Q3417">
        <v>0</v>
      </c>
      <c r="R3417">
        <v>2</v>
      </c>
      <c r="S3417">
        <v>13</v>
      </c>
    </row>
    <row r="3418" spans="1:19" hidden="1" x14ac:dyDescent="0.35">
      <c r="A3418">
        <v>7006434990</v>
      </c>
      <c r="B3418" t="s">
        <v>3419</v>
      </c>
      <c r="C3418" t="str">
        <f>_xlfn.XLOOKUP(A3418,[1]Affiliations!$J$2:$J$5328,[1]Affiliations!$K$2:$K$5328,0)</f>
        <v>Universidade de São Paulo (+1 more)</v>
      </c>
      <c r="D3418">
        <v>15</v>
      </c>
      <c r="E3418">
        <v>223</v>
      </c>
      <c r="F3418">
        <v>14.866667</v>
      </c>
      <c r="G3418">
        <v>14</v>
      </c>
      <c r="H3418">
        <v>0.63</v>
      </c>
      <c r="I3418">
        <v>0</v>
      </c>
      <c r="J3418">
        <v>1</v>
      </c>
      <c r="K3418">
        <v>4</v>
      </c>
      <c r="L3418">
        <v>12</v>
      </c>
      <c r="M3418">
        <v>14</v>
      </c>
      <c r="N3418">
        <v>15</v>
      </c>
      <c r="P3418">
        <v>0</v>
      </c>
      <c r="Q3418">
        <v>0</v>
      </c>
      <c r="R3418">
        <v>0</v>
      </c>
      <c r="S3418">
        <v>5</v>
      </c>
    </row>
    <row r="3419" spans="1:19" hidden="1" x14ac:dyDescent="0.35">
      <c r="A3419">
        <v>58677545300</v>
      </c>
      <c r="B3419" t="s">
        <v>3420</v>
      </c>
      <c r="C3419" t="str">
        <f>_xlfn.XLOOKUP(A3419,[1]Affiliations!$J$2:$J$5328,[1]Affiliations!$K$2:$K$5328,0)</f>
        <v>Universidade Federal de Uberlândia</v>
      </c>
      <c r="D3419">
        <v>1</v>
      </c>
      <c r="E3419">
        <v>1</v>
      </c>
      <c r="F3419">
        <v>1</v>
      </c>
      <c r="G3419">
        <v>1</v>
      </c>
      <c r="H3419">
        <v>0.7</v>
      </c>
      <c r="P3419">
        <v>0</v>
      </c>
      <c r="Q3419">
        <v>0</v>
      </c>
      <c r="R3419">
        <v>0</v>
      </c>
      <c r="S3419">
        <v>0</v>
      </c>
    </row>
    <row r="3420" spans="1:19" hidden="1" x14ac:dyDescent="0.35">
      <c r="A3420">
        <v>59655782700</v>
      </c>
      <c r="B3420" t="s">
        <v>3421</v>
      </c>
      <c r="C3420" t="str">
        <f>_xlfn.XLOOKUP(A3420,[1]Affiliations!$J$2:$J$5328,[1]Affiliations!$K$2:$K$5328,0)</f>
        <v>Universidade Federal de Juiz de Fora</v>
      </c>
      <c r="D3420">
        <v>0</v>
      </c>
      <c r="G3420">
        <v>1</v>
      </c>
    </row>
    <row r="3421" spans="1:19" hidden="1" x14ac:dyDescent="0.35">
      <c r="A3421">
        <v>57189457329</v>
      </c>
      <c r="B3421" t="s">
        <v>3422</v>
      </c>
      <c r="C3421" t="str">
        <f>_xlfn.XLOOKUP(A3421,[1]Affiliations!$J$2:$J$5328,[1]Affiliations!$K$2:$K$5328,0)</f>
        <v>Universidade Federal de Juiz de Fora</v>
      </c>
      <c r="D3421">
        <v>15</v>
      </c>
      <c r="E3421">
        <v>167</v>
      </c>
      <c r="F3421">
        <v>11.133333</v>
      </c>
      <c r="G3421">
        <v>8</v>
      </c>
      <c r="H3421">
        <v>0.59</v>
      </c>
      <c r="I3421">
        <v>0</v>
      </c>
      <c r="J3421">
        <v>3</v>
      </c>
      <c r="K3421">
        <v>8</v>
      </c>
      <c r="L3421">
        <v>14</v>
      </c>
      <c r="M3421">
        <v>14</v>
      </c>
      <c r="N3421">
        <v>14</v>
      </c>
      <c r="P3421">
        <v>0</v>
      </c>
      <c r="Q3421">
        <v>0</v>
      </c>
      <c r="R3421">
        <v>0</v>
      </c>
      <c r="S3421">
        <v>5</v>
      </c>
    </row>
    <row r="3422" spans="1:19" hidden="1" x14ac:dyDescent="0.35">
      <c r="A3422">
        <v>56971014600</v>
      </c>
      <c r="B3422" t="s">
        <v>3423</v>
      </c>
      <c r="C3422" t="str">
        <f>_xlfn.XLOOKUP(A3422,[1]Affiliations!$J$2:$J$5328,[1]Affiliations!$K$2:$K$5328,0)</f>
        <v>Universidade Federal do Rio Grande do Sul (+1 more)</v>
      </c>
      <c r="D3422">
        <v>3</v>
      </c>
      <c r="E3422">
        <v>9</v>
      </c>
      <c r="F3422">
        <v>3</v>
      </c>
      <c r="G3422">
        <v>2</v>
      </c>
      <c r="H3422">
        <v>1.02</v>
      </c>
      <c r="I3422">
        <v>0</v>
      </c>
      <c r="J3422">
        <v>0</v>
      </c>
      <c r="K3422">
        <v>0</v>
      </c>
      <c r="L3422">
        <v>1</v>
      </c>
      <c r="M3422">
        <v>2</v>
      </c>
      <c r="N3422">
        <v>2</v>
      </c>
      <c r="P3422">
        <v>0</v>
      </c>
      <c r="Q3422">
        <v>0</v>
      </c>
      <c r="R3422">
        <v>0</v>
      </c>
      <c r="S3422">
        <v>0</v>
      </c>
    </row>
    <row r="3423" spans="1:19" hidden="1" x14ac:dyDescent="0.35">
      <c r="A3423">
        <v>56406233700</v>
      </c>
      <c r="B3423" t="s">
        <v>3424</v>
      </c>
      <c r="C3423" t="str">
        <f>_xlfn.XLOOKUP(A3423,[1]Affiliations!$J$2:$J$5328,[1]Affiliations!$K$2:$K$5328,0)</f>
        <v>Pontifícia Universidade Católica do Rio Grande do Sul</v>
      </c>
      <c r="D3423">
        <v>4</v>
      </c>
      <c r="E3423">
        <v>35</v>
      </c>
      <c r="F3423">
        <v>8.75</v>
      </c>
      <c r="G3423">
        <v>3</v>
      </c>
      <c r="H3423">
        <v>0.62</v>
      </c>
      <c r="I3423">
        <v>1</v>
      </c>
      <c r="J3423">
        <v>1</v>
      </c>
      <c r="K3423">
        <v>1</v>
      </c>
      <c r="L3423">
        <v>1</v>
      </c>
      <c r="M3423">
        <v>2</v>
      </c>
      <c r="N3423">
        <v>3</v>
      </c>
      <c r="P3423">
        <v>0</v>
      </c>
      <c r="Q3423">
        <v>0</v>
      </c>
      <c r="R3423">
        <v>0</v>
      </c>
      <c r="S3423">
        <v>1</v>
      </c>
    </row>
    <row r="3424" spans="1:19" hidden="1" x14ac:dyDescent="0.35">
      <c r="A3424">
        <v>57215506595</v>
      </c>
      <c r="B3424" t="s">
        <v>3425</v>
      </c>
      <c r="C3424" t="str">
        <f>_xlfn.XLOOKUP(A3424,[1]Affiliations!$J$2:$J$5328,[1]Affiliations!$K$2:$K$5328,0)</f>
        <v>Federal University of Rio de Janeiro</v>
      </c>
      <c r="D3424">
        <v>1</v>
      </c>
      <c r="E3424">
        <v>9</v>
      </c>
      <c r="F3424">
        <v>9</v>
      </c>
      <c r="G3424">
        <v>1</v>
      </c>
      <c r="H3424">
        <v>0.53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1</v>
      </c>
      <c r="P3424">
        <v>0</v>
      </c>
      <c r="Q3424">
        <v>0</v>
      </c>
      <c r="R3424">
        <v>0</v>
      </c>
      <c r="S3424">
        <v>0</v>
      </c>
    </row>
    <row r="3425" spans="1:19" x14ac:dyDescent="0.35">
      <c r="A3425">
        <v>57213698377</v>
      </c>
      <c r="B3425" t="s">
        <v>4045</v>
      </c>
      <c r="C3425" t="str">
        <f>_xlfn.XLOOKUP(A3425,[1]Affiliations!$J$2:$J$5328,[1]Affiliations!$K$2:$K$5328,0)</f>
        <v>Universidade de São Paulo</v>
      </c>
      <c r="D3425">
        <v>14</v>
      </c>
      <c r="E3425">
        <v>232</v>
      </c>
      <c r="F3425">
        <v>16.571428000000001</v>
      </c>
      <c r="G3425">
        <v>10</v>
      </c>
      <c r="H3425">
        <v>0.8</v>
      </c>
      <c r="I3425">
        <v>1</v>
      </c>
      <c r="J3425">
        <v>3</v>
      </c>
      <c r="K3425">
        <v>8</v>
      </c>
      <c r="L3425">
        <v>10</v>
      </c>
      <c r="M3425">
        <v>14</v>
      </c>
      <c r="N3425">
        <v>14</v>
      </c>
      <c r="P3425">
        <v>0</v>
      </c>
      <c r="Q3425">
        <v>0</v>
      </c>
      <c r="R3425">
        <v>1</v>
      </c>
      <c r="S3425">
        <v>7</v>
      </c>
    </row>
    <row r="3426" spans="1:19" hidden="1" x14ac:dyDescent="0.35">
      <c r="A3426">
        <v>57210864197</v>
      </c>
      <c r="B3426" t="s">
        <v>3427</v>
      </c>
      <c r="C3426" t="str">
        <f>_xlfn.XLOOKUP(A3426,[1]Affiliations!$J$2:$J$5328,[1]Affiliations!$K$2:$K$5328,0)</f>
        <v>Universidade Federal do Rio Grande</v>
      </c>
      <c r="D3426">
        <v>1</v>
      </c>
      <c r="E3426">
        <v>9</v>
      </c>
      <c r="F3426">
        <v>9</v>
      </c>
      <c r="G3426">
        <v>1</v>
      </c>
      <c r="H3426">
        <v>0.08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P3426">
        <v>0</v>
      </c>
      <c r="Q3426">
        <v>0</v>
      </c>
      <c r="R3426">
        <v>0</v>
      </c>
      <c r="S3426">
        <v>0</v>
      </c>
    </row>
    <row r="3427" spans="1:19" hidden="1" x14ac:dyDescent="0.35">
      <c r="A3427">
        <v>56943128900</v>
      </c>
      <c r="B3427" t="s">
        <v>3428</v>
      </c>
      <c r="C3427" t="str">
        <f>_xlfn.XLOOKUP(A3427,[1]Affiliations!$J$2:$J$5328,[1]Affiliations!$K$2:$K$5328,0)</f>
        <v>Universidade de São Paulo (+1 more)</v>
      </c>
      <c r="D3427">
        <v>21</v>
      </c>
      <c r="E3427">
        <v>65</v>
      </c>
      <c r="F3427">
        <v>3.0952381999999998</v>
      </c>
      <c r="G3427">
        <v>4</v>
      </c>
      <c r="H3427">
        <v>0.63</v>
      </c>
      <c r="I3427">
        <v>0</v>
      </c>
      <c r="J3427">
        <v>0</v>
      </c>
      <c r="K3427">
        <v>0</v>
      </c>
      <c r="L3427">
        <v>0</v>
      </c>
      <c r="M3427">
        <v>1</v>
      </c>
      <c r="N3427">
        <v>7</v>
      </c>
      <c r="P3427">
        <v>0</v>
      </c>
      <c r="Q3427">
        <v>0</v>
      </c>
      <c r="R3427">
        <v>1</v>
      </c>
      <c r="S3427">
        <v>1</v>
      </c>
    </row>
    <row r="3428" spans="1:19" hidden="1" x14ac:dyDescent="0.35">
      <c r="A3428">
        <v>57215146624</v>
      </c>
      <c r="B3428" t="s">
        <v>3429</v>
      </c>
      <c r="C3428" t="str">
        <f>_xlfn.XLOOKUP(A3428,[1]Affiliations!$J$2:$J$5328,[1]Affiliations!$K$2:$K$5328,0)</f>
        <v>Universidade de São Paulo</v>
      </c>
      <c r="D3428">
        <v>9</v>
      </c>
      <c r="E3428">
        <v>276</v>
      </c>
      <c r="F3428">
        <v>30.666665999999999</v>
      </c>
      <c r="G3428">
        <v>5</v>
      </c>
      <c r="H3428">
        <v>1.41</v>
      </c>
      <c r="I3428">
        <v>0</v>
      </c>
      <c r="J3428">
        <v>0</v>
      </c>
      <c r="K3428">
        <v>0</v>
      </c>
      <c r="L3428">
        <v>3</v>
      </c>
      <c r="M3428">
        <v>7</v>
      </c>
      <c r="N3428">
        <v>7</v>
      </c>
      <c r="P3428">
        <v>1</v>
      </c>
      <c r="Q3428">
        <v>1</v>
      </c>
      <c r="R3428">
        <v>1</v>
      </c>
      <c r="S3428">
        <v>3</v>
      </c>
    </row>
    <row r="3429" spans="1:19" hidden="1" x14ac:dyDescent="0.35">
      <c r="A3429">
        <v>58562510900</v>
      </c>
      <c r="B3429" t="s">
        <v>3430</v>
      </c>
      <c r="C3429" t="str">
        <f>_xlfn.XLOOKUP(A3429,[1]Affiliations!$J$2:$J$5328,[1]Affiliations!$K$2:$K$5328,0)</f>
        <v>Universidade Federal do Rio Grande do Norte</v>
      </c>
      <c r="D3429">
        <v>1</v>
      </c>
      <c r="E3429">
        <v>12</v>
      </c>
      <c r="F3429">
        <v>12</v>
      </c>
      <c r="G3429">
        <v>1</v>
      </c>
      <c r="H3429">
        <v>1.01</v>
      </c>
      <c r="I3429">
        <v>0</v>
      </c>
      <c r="J3429">
        <v>1</v>
      </c>
      <c r="K3429">
        <v>1</v>
      </c>
      <c r="L3429">
        <v>1</v>
      </c>
      <c r="M3429">
        <v>1</v>
      </c>
      <c r="N3429">
        <v>1</v>
      </c>
      <c r="P3429">
        <v>0</v>
      </c>
      <c r="Q3429">
        <v>0</v>
      </c>
      <c r="R3429">
        <v>0</v>
      </c>
      <c r="S3429">
        <v>1</v>
      </c>
    </row>
    <row r="3430" spans="1:19" x14ac:dyDescent="0.35">
      <c r="A3430">
        <v>15833226000</v>
      </c>
      <c r="B3430" t="s">
        <v>4051</v>
      </c>
      <c r="C3430" t="str">
        <f>_xlfn.XLOOKUP(A3430,[1]Affiliations!$J$2:$J$5328,[1]Affiliations!$K$2:$K$5328,0)</f>
        <v>Universidade Federal Fluminense</v>
      </c>
      <c r="D3430">
        <v>32</v>
      </c>
      <c r="E3430">
        <v>708</v>
      </c>
      <c r="F3430">
        <v>22.125</v>
      </c>
      <c r="G3430">
        <v>19</v>
      </c>
      <c r="H3430">
        <v>0.8</v>
      </c>
      <c r="I3430">
        <v>0</v>
      </c>
      <c r="J3430">
        <v>4</v>
      </c>
      <c r="K3430">
        <v>6</v>
      </c>
      <c r="L3430">
        <v>20</v>
      </c>
      <c r="M3430">
        <v>23</v>
      </c>
      <c r="N3430">
        <v>29</v>
      </c>
      <c r="P3430">
        <v>0</v>
      </c>
      <c r="Q3430">
        <v>2</v>
      </c>
      <c r="R3430">
        <v>3</v>
      </c>
      <c r="S3430">
        <v>16</v>
      </c>
    </row>
    <row r="3431" spans="1:19" hidden="1" x14ac:dyDescent="0.35">
      <c r="A3431">
        <v>56841144900</v>
      </c>
      <c r="B3431" t="s">
        <v>3432</v>
      </c>
      <c r="C3431" t="str">
        <f>_xlfn.XLOOKUP(A3431,[1]Affiliations!$J$2:$J$5328,[1]Affiliations!$K$2:$K$5328,0)</f>
        <v>Pontifical Catholic University of Rio de Janeiro</v>
      </c>
      <c r="D3431">
        <v>2</v>
      </c>
      <c r="E3431">
        <v>2</v>
      </c>
      <c r="F3431">
        <v>1</v>
      </c>
      <c r="G3431">
        <v>1</v>
      </c>
      <c r="H3431">
        <v>0.3</v>
      </c>
      <c r="P3431">
        <v>0</v>
      </c>
      <c r="Q3431">
        <v>0</v>
      </c>
      <c r="R3431">
        <v>0</v>
      </c>
      <c r="S3431">
        <v>0</v>
      </c>
    </row>
    <row r="3432" spans="1:19" x14ac:dyDescent="0.35">
      <c r="A3432">
        <v>56462389700</v>
      </c>
      <c r="B3432" t="s">
        <v>4097</v>
      </c>
      <c r="C3432" t="str">
        <f>_xlfn.XLOOKUP(A3432,[1]Affiliations!$J$2:$J$5328,[1]Affiliations!$K$2:$K$5328,0)</f>
        <v>Universidade Federal de Goiás</v>
      </c>
      <c r="D3432">
        <v>9</v>
      </c>
      <c r="E3432">
        <v>143</v>
      </c>
      <c r="F3432">
        <v>15.888889000000001</v>
      </c>
      <c r="G3432">
        <v>8</v>
      </c>
      <c r="H3432">
        <v>0.8</v>
      </c>
      <c r="I3432">
        <v>0</v>
      </c>
      <c r="J3432">
        <v>1</v>
      </c>
      <c r="K3432">
        <v>3</v>
      </c>
      <c r="L3432">
        <v>6</v>
      </c>
      <c r="M3432">
        <v>9</v>
      </c>
      <c r="N3432">
        <v>9</v>
      </c>
      <c r="P3432">
        <v>0</v>
      </c>
      <c r="Q3432">
        <v>0</v>
      </c>
      <c r="R3432">
        <v>1</v>
      </c>
      <c r="S3432">
        <v>3</v>
      </c>
    </row>
    <row r="3433" spans="1:19" hidden="1" x14ac:dyDescent="0.35">
      <c r="A3433">
        <v>57201667163</v>
      </c>
      <c r="B3433" t="s">
        <v>3434</v>
      </c>
      <c r="C3433" t="str">
        <f>_xlfn.XLOOKUP(A3433,[1]Affiliations!$J$2:$J$5328,[1]Affiliations!$K$2:$K$5328,0)</f>
        <v>Pontifical Catholic University of Rio de Janeiro</v>
      </c>
      <c r="D3433">
        <v>9</v>
      </c>
      <c r="E3433">
        <v>21</v>
      </c>
      <c r="F3433">
        <v>2.3333333000000001</v>
      </c>
      <c r="G3433">
        <v>3</v>
      </c>
      <c r="H3433">
        <v>0.28999999999999998</v>
      </c>
      <c r="I3433">
        <v>0</v>
      </c>
      <c r="J3433">
        <v>0</v>
      </c>
      <c r="K3433">
        <v>0</v>
      </c>
      <c r="L3433">
        <v>3</v>
      </c>
      <c r="M3433">
        <v>3</v>
      </c>
      <c r="N3433">
        <v>3</v>
      </c>
      <c r="P3433">
        <v>0</v>
      </c>
      <c r="Q3433">
        <v>0</v>
      </c>
      <c r="R3433">
        <v>0</v>
      </c>
      <c r="S3433">
        <v>0</v>
      </c>
    </row>
    <row r="3434" spans="1:19" x14ac:dyDescent="0.35">
      <c r="A3434">
        <v>6506279924</v>
      </c>
      <c r="B3434" t="s">
        <v>4311</v>
      </c>
      <c r="C3434" t="str">
        <f>_xlfn.XLOOKUP(A3434,[1]Affiliations!$J$2:$J$5328,[1]Affiliations!$K$2:$K$5328,0)</f>
        <v>Universidade de Lisboa (+2 more)</v>
      </c>
      <c r="D3434">
        <v>42</v>
      </c>
      <c r="E3434">
        <v>568</v>
      </c>
      <c r="F3434">
        <v>13.523809</v>
      </c>
      <c r="G3434">
        <v>14</v>
      </c>
      <c r="H3434">
        <v>0.8</v>
      </c>
      <c r="I3434">
        <v>1</v>
      </c>
      <c r="J3434">
        <v>5</v>
      </c>
      <c r="K3434">
        <v>6</v>
      </c>
      <c r="L3434">
        <v>12</v>
      </c>
      <c r="M3434">
        <v>16</v>
      </c>
      <c r="N3434">
        <v>26</v>
      </c>
      <c r="P3434">
        <v>0</v>
      </c>
      <c r="Q3434">
        <v>3</v>
      </c>
      <c r="R3434">
        <v>5</v>
      </c>
      <c r="S3434">
        <v>7</v>
      </c>
    </row>
    <row r="3435" spans="1:19" hidden="1" x14ac:dyDescent="0.35">
      <c r="A3435">
        <v>56092547500</v>
      </c>
      <c r="B3435" t="s">
        <v>3436</v>
      </c>
      <c r="C3435" t="str">
        <f>_xlfn.XLOOKUP(A3435,[1]Affiliations!$J$2:$J$5328,[1]Affiliations!$K$2:$K$5328,0)</f>
        <v>Universidad Industrial de Santander (+1 more)</v>
      </c>
      <c r="D3435">
        <v>4</v>
      </c>
      <c r="E3435">
        <v>55</v>
      </c>
      <c r="F3435">
        <v>13.75</v>
      </c>
      <c r="G3435">
        <v>4</v>
      </c>
      <c r="H3435">
        <v>0.77</v>
      </c>
      <c r="I3435">
        <v>0</v>
      </c>
      <c r="J3435">
        <v>1</v>
      </c>
      <c r="K3435">
        <v>2</v>
      </c>
      <c r="L3435">
        <v>3</v>
      </c>
      <c r="M3435">
        <v>3</v>
      </c>
      <c r="N3435">
        <v>4</v>
      </c>
      <c r="P3435">
        <v>0</v>
      </c>
      <c r="Q3435">
        <v>0</v>
      </c>
      <c r="R3435">
        <v>0</v>
      </c>
      <c r="S3435">
        <v>3</v>
      </c>
    </row>
    <row r="3436" spans="1:19" hidden="1" x14ac:dyDescent="0.35">
      <c r="A3436">
        <v>8668011100</v>
      </c>
      <c r="B3436" t="s">
        <v>3437</v>
      </c>
      <c r="C3436" t="str">
        <f>_xlfn.XLOOKUP(A3436,[1]Affiliations!$J$2:$J$5328,[1]Affiliations!$K$2:$K$5328,0)</f>
        <v>Universidade Federal Fluminense</v>
      </c>
      <c r="D3436">
        <v>3</v>
      </c>
      <c r="E3436">
        <v>63</v>
      </c>
      <c r="F3436">
        <v>21</v>
      </c>
      <c r="G3436">
        <v>5</v>
      </c>
      <c r="H3436">
        <v>1.05</v>
      </c>
      <c r="I3436">
        <v>0</v>
      </c>
      <c r="J3436">
        <v>1</v>
      </c>
      <c r="K3436">
        <v>1</v>
      </c>
      <c r="L3436">
        <v>1</v>
      </c>
      <c r="M3436">
        <v>1</v>
      </c>
      <c r="N3436">
        <v>1</v>
      </c>
      <c r="P3436">
        <v>0</v>
      </c>
      <c r="Q3436">
        <v>0</v>
      </c>
      <c r="R3436">
        <v>1</v>
      </c>
      <c r="S3436">
        <v>1</v>
      </c>
    </row>
    <row r="3437" spans="1:19" hidden="1" x14ac:dyDescent="0.35">
      <c r="A3437">
        <v>57209454852</v>
      </c>
      <c r="B3437" t="s">
        <v>3438</v>
      </c>
      <c r="C3437" t="str">
        <f>_xlfn.XLOOKUP(A3437,[1]Affiliations!$J$2:$J$5328,[1]Affiliations!$K$2:$K$5328,0)</f>
        <v>Universidade Federal do Paraná</v>
      </c>
      <c r="D3437">
        <v>1</v>
      </c>
      <c r="E3437">
        <v>9</v>
      </c>
      <c r="F3437">
        <v>9</v>
      </c>
      <c r="G3437">
        <v>1</v>
      </c>
      <c r="H3437">
        <v>0.42</v>
      </c>
      <c r="I3437">
        <v>0</v>
      </c>
      <c r="J3437">
        <v>0</v>
      </c>
      <c r="K3437">
        <v>0</v>
      </c>
      <c r="L3437">
        <v>0</v>
      </c>
      <c r="M3437">
        <v>1</v>
      </c>
      <c r="N3437">
        <v>1</v>
      </c>
      <c r="P3437">
        <v>0</v>
      </c>
      <c r="Q3437">
        <v>0</v>
      </c>
      <c r="R3437">
        <v>0</v>
      </c>
      <c r="S3437">
        <v>0</v>
      </c>
    </row>
    <row r="3438" spans="1:19" hidden="1" x14ac:dyDescent="0.35">
      <c r="A3438">
        <v>57343120900</v>
      </c>
      <c r="B3438" t="s">
        <v>3439</v>
      </c>
      <c r="C3438" t="str">
        <f>_xlfn.XLOOKUP(A3438,[1]Affiliations!$J$2:$J$5328,[1]Affiliations!$K$2:$K$5328,0)</f>
        <v>University of Campinas (+2 more)</v>
      </c>
      <c r="D3438">
        <v>3</v>
      </c>
      <c r="E3438">
        <v>19</v>
      </c>
      <c r="F3438">
        <v>6.3333335000000002</v>
      </c>
      <c r="G3438">
        <v>3</v>
      </c>
      <c r="H3438">
        <v>0.43</v>
      </c>
      <c r="I3438">
        <v>0</v>
      </c>
      <c r="J3438">
        <v>0</v>
      </c>
      <c r="K3438">
        <v>0</v>
      </c>
      <c r="L3438">
        <v>2</v>
      </c>
      <c r="M3438">
        <v>2</v>
      </c>
      <c r="N3438">
        <v>2</v>
      </c>
      <c r="P3438">
        <v>0</v>
      </c>
      <c r="Q3438">
        <v>0</v>
      </c>
      <c r="R3438">
        <v>0</v>
      </c>
      <c r="S3438">
        <v>0</v>
      </c>
    </row>
    <row r="3439" spans="1:19" hidden="1" x14ac:dyDescent="0.35">
      <c r="A3439">
        <v>58982316500</v>
      </c>
      <c r="B3439" t="s">
        <v>3440</v>
      </c>
      <c r="C3439" t="str">
        <f>_xlfn.XLOOKUP(A3439,[1]Affiliations!$J$2:$J$5328,[1]Affiliations!$K$2:$K$5328,0)</f>
        <v>Universidade Federal Fluminense</v>
      </c>
      <c r="D3439">
        <v>1</v>
      </c>
      <c r="E3439">
        <v>4</v>
      </c>
      <c r="F3439">
        <v>4</v>
      </c>
      <c r="G3439">
        <v>1</v>
      </c>
      <c r="H3439">
        <v>0.87</v>
      </c>
      <c r="I3439">
        <v>0</v>
      </c>
      <c r="J3439">
        <v>0</v>
      </c>
      <c r="K3439">
        <v>0</v>
      </c>
      <c r="L3439">
        <v>1</v>
      </c>
      <c r="M3439">
        <v>1</v>
      </c>
      <c r="N3439">
        <v>1</v>
      </c>
      <c r="P3439">
        <v>0</v>
      </c>
      <c r="Q3439">
        <v>0</v>
      </c>
      <c r="R3439">
        <v>0</v>
      </c>
      <c r="S3439">
        <v>0</v>
      </c>
    </row>
    <row r="3440" spans="1:19" hidden="1" x14ac:dyDescent="0.35">
      <c r="A3440">
        <v>7201368871</v>
      </c>
      <c r="B3440" t="s">
        <v>3441</v>
      </c>
      <c r="C3440" t="str">
        <f>_xlfn.XLOOKUP(A3440,[1]Affiliations!$J$2:$J$5328,[1]Affiliations!$K$2:$K$5328,0)</f>
        <v>Universidade do Estado do Rio de Janeiro (+1 more)</v>
      </c>
      <c r="D3440">
        <v>1</v>
      </c>
      <c r="E3440">
        <v>0</v>
      </c>
      <c r="F3440">
        <v>0</v>
      </c>
      <c r="G3440">
        <v>4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P3440">
        <v>0</v>
      </c>
      <c r="Q3440">
        <v>0</v>
      </c>
      <c r="R3440">
        <v>0</v>
      </c>
      <c r="S3440">
        <v>0</v>
      </c>
    </row>
    <row r="3441" spans="1:19" x14ac:dyDescent="0.35">
      <c r="A3441">
        <v>6603462472</v>
      </c>
      <c r="B3441" t="s">
        <v>4385</v>
      </c>
      <c r="C3441" t="str">
        <f>_xlfn.XLOOKUP(A3441,[1]Affiliations!$J$2:$J$5328,[1]Affiliations!$K$2:$K$5328,0)</f>
        <v>Federal University of Rio de Janeiro</v>
      </c>
      <c r="D3441">
        <v>17</v>
      </c>
      <c r="E3441">
        <v>413</v>
      </c>
      <c r="F3441">
        <v>24.294117</v>
      </c>
      <c r="G3441">
        <v>20</v>
      </c>
      <c r="H3441">
        <v>0.8</v>
      </c>
      <c r="I3441">
        <v>1</v>
      </c>
      <c r="J3441">
        <v>1</v>
      </c>
      <c r="K3441">
        <v>3</v>
      </c>
      <c r="L3441">
        <v>9</v>
      </c>
      <c r="M3441">
        <v>15</v>
      </c>
      <c r="N3441">
        <v>16</v>
      </c>
      <c r="P3441">
        <v>0</v>
      </c>
      <c r="Q3441">
        <v>1</v>
      </c>
      <c r="R3441">
        <v>1</v>
      </c>
      <c r="S3441">
        <v>9</v>
      </c>
    </row>
    <row r="3442" spans="1:19" hidden="1" x14ac:dyDescent="0.35">
      <c r="A3442">
        <v>37048754900</v>
      </c>
      <c r="B3442" t="s">
        <v>3443</v>
      </c>
      <c r="C3442" t="str">
        <f>_xlfn.XLOOKUP(A3442,[1]Affiliations!$J$2:$J$5328,[1]Affiliations!$K$2:$K$5328,0)</f>
        <v>Instituto de Pesquisas Tecnologicas</v>
      </c>
      <c r="D3442">
        <v>4</v>
      </c>
      <c r="E3442">
        <v>5</v>
      </c>
      <c r="F3442">
        <v>1.25</v>
      </c>
      <c r="G3442">
        <v>2</v>
      </c>
      <c r="H3442">
        <v>0.56000000000000005</v>
      </c>
      <c r="I3442">
        <v>0</v>
      </c>
      <c r="J3442">
        <v>0</v>
      </c>
      <c r="K3442">
        <v>0</v>
      </c>
      <c r="L3442">
        <v>1</v>
      </c>
      <c r="M3442">
        <v>1</v>
      </c>
      <c r="N3442">
        <v>2</v>
      </c>
      <c r="P3442">
        <v>0</v>
      </c>
      <c r="Q3442">
        <v>0</v>
      </c>
      <c r="R3442">
        <v>0</v>
      </c>
      <c r="S3442">
        <v>0</v>
      </c>
    </row>
    <row r="3443" spans="1:19" x14ac:dyDescent="0.35">
      <c r="A3443">
        <v>56001470700</v>
      </c>
      <c r="B3443" t="s">
        <v>4571</v>
      </c>
      <c r="C3443" t="str">
        <f>_xlfn.XLOOKUP(A3443,[1]Affiliations!$J$2:$J$5328,[1]Affiliations!$K$2:$K$5328,0)</f>
        <v>Universidade Federal da Bahia</v>
      </c>
      <c r="D3443">
        <v>35</v>
      </c>
      <c r="E3443">
        <v>253</v>
      </c>
      <c r="F3443">
        <v>7.2285713999999999</v>
      </c>
      <c r="G3443">
        <v>13</v>
      </c>
      <c r="H3443">
        <v>0.8</v>
      </c>
      <c r="I3443">
        <v>0</v>
      </c>
      <c r="J3443">
        <v>3</v>
      </c>
      <c r="K3443">
        <v>7</v>
      </c>
      <c r="L3443">
        <v>14</v>
      </c>
      <c r="M3443">
        <v>19</v>
      </c>
      <c r="N3443">
        <v>24</v>
      </c>
      <c r="P3443">
        <v>0</v>
      </c>
      <c r="Q3443">
        <v>1</v>
      </c>
      <c r="R3443">
        <v>2</v>
      </c>
      <c r="S3443">
        <v>6</v>
      </c>
    </row>
    <row r="3444" spans="1:19" hidden="1" x14ac:dyDescent="0.35">
      <c r="A3444">
        <v>57931485900</v>
      </c>
      <c r="B3444" t="s">
        <v>3445</v>
      </c>
      <c r="C3444" t="str">
        <f>_xlfn.XLOOKUP(A3444,[1]Affiliations!$J$2:$J$5328,[1]Affiliations!$K$2:$K$5328,0)</f>
        <v>Universidade Federal de São João del-Rei</v>
      </c>
      <c r="D3444">
        <v>5</v>
      </c>
      <c r="E3444">
        <v>29</v>
      </c>
      <c r="F3444">
        <v>5.8</v>
      </c>
      <c r="G3444">
        <v>2</v>
      </c>
      <c r="H3444">
        <v>0.23</v>
      </c>
      <c r="I3444">
        <v>0</v>
      </c>
      <c r="J3444">
        <v>0</v>
      </c>
      <c r="K3444">
        <v>0</v>
      </c>
      <c r="L3444">
        <v>0</v>
      </c>
      <c r="M3444">
        <v>1</v>
      </c>
      <c r="N3444">
        <v>5</v>
      </c>
      <c r="P3444">
        <v>0</v>
      </c>
      <c r="Q3444">
        <v>0</v>
      </c>
      <c r="R3444">
        <v>0</v>
      </c>
      <c r="S3444">
        <v>1</v>
      </c>
    </row>
    <row r="3445" spans="1:19" x14ac:dyDescent="0.35">
      <c r="A3445">
        <v>55960762000</v>
      </c>
      <c r="B3445" t="s">
        <v>754</v>
      </c>
      <c r="C3445" t="str">
        <f>_xlfn.XLOOKUP(A3445,[1]Affiliations!$J$2:$J$5328,[1]Affiliations!$K$2:$K$5328,0)</f>
        <v>Pontifical Catholic University of Rio de Janeiro</v>
      </c>
      <c r="D3445">
        <v>78</v>
      </c>
      <c r="E3445">
        <v>884</v>
      </c>
      <c r="F3445">
        <v>11.333333</v>
      </c>
      <c r="G3445">
        <v>19</v>
      </c>
      <c r="H3445">
        <v>0.79</v>
      </c>
      <c r="I3445">
        <v>2</v>
      </c>
      <c r="J3445">
        <v>22</v>
      </c>
      <c r="K3445">
        <v>41</v>
      </c>
      <c r="L3445">
        <v>52</v>
      </c>
      <c r="M3445">
        <v>57</v>
      </c>
      <c r="N3445">
        <v>57</v>
      </c>
      <c r="P3445">
        <v>0</v>
      </c>
      <c r="Q3445">
        <v>3</v>
      </c>
      <c r="R3445">
        <v>8</v>
      </c>
      <c r="S3445">
        <v>29</v>
      </c>
    </row>
    <row r="3446" spans="1:19" hidden="1" x14ac:dyDescent="0.35">
      <c r="A3446">
        <v>35173428500</v>
      </c>
      <c r="B3446" t="s">
        <v>3447</v>
      </c>
      <c r="C3446" t="str">
        <f>_xlfn.XLOOKUP(A3446,[1]Affiliations!$J$2:$J$5328,[1]Affiliations!$K$2:$K$5328,0)</f>
        <v>Universidade Federal Fluminense</v>
      </c>
      <c r="D3446">
        <v>21</v>
      </c>
      <c r="E3446">
        <v>227</v>
      </c>
      <c r="F3446">
        <v>10.809524</v>
      </c>
      <c r="G3446">
        <v>12</v>
      </c>
      <c r="H3446">
        <v>0.65</v>
      </c>
      <c r="I3446">
        <v>1</v>
      </c>
      <c r="J3446">
        <v>5</v>
      </c>
      <c r="K3446">
        <v>9</v>
      </c>
      <c r="L3446">
        <v>16</v>
      </c>
      <c r="M3446">
        <v>21</v>
      </c>
      <c r="N3446">
        <v>21</v>
      </c>
      <c r="P3446">
        <v>0</v>
      </c>
      <c r="Q3446">
        <v>0</v>
      </c>
      <c r="R3446">
        <v>0</v>
      </c>
      <c r="S3446">
        <v>5</v>
      </c>
    </row>
    <row r="3447" spans="1:19" hidden="1" x14ac:dyDescent="0.35">
      <c r="A3447">
        <v>57185057400</v>
      </c>
      <c r="B3447" t="s">
        <v>3448</v>
      </c>
      <c r="C3447" t="str">
        <f>_xlfn.XLOOKUP(A3447,[1]Affiliations!$J$2:$J$5328,[1]Affiliations!$K$2:$K$5328,0)</f>
        <v>Universidade Federal do Rio Grande do Norte</v>
      </c>
      <c r="D3447">
        <v>6</v>
      </c>
      <c r="E3447">
        <v>38</v>
      </c>
      <c r="F3447">
        <v>6.3333335000000002</v>
      </c>
      <c r="G3447">
        <v>4</v>
      </c>
      <c r="H3447">
        <v>0.27</v>
      </c>
      <c r="I3447">
        <v>0</v>
      </c>
      <c r="J3447">
        <v>0</v>
      </c>
      <c r="K3447">
        <v>0</v>
      </c>
      <c r="L3447">
        <v>4</v>
      </c>
      <c r="M3447">
        <v>4</v>
      </c>
      <c r="N3447">
        <v>4</v>
      </c>
      <c r="P3447">
        <v>0</v>
      </c>
      <c r="Q3447">
        <v>0</v>
      </c>
      <c r="R3447">
        <v>0</v>
      </c>
      <c r="S3447">
        <v>1</v>
      </c>
    </row>
    <row r="3448" spans="1:19" hidden="1" x14ac:dyDescent="0.35">
      <c r="A3448">
        <v>58588981100</v>
      </c>
      <c r="B3448" t="s">
        <v>3449</v>
      </c>
      <c r="C3448" t="str">
        <f>_xlfn.XLOOKUP(A3448,[1]Affiliations!$J$2:$J$5328,[1]Affiliations!$K$2:$K$5328,0)</f>
        <v>Universidade Federal Fluminense</v>
      </c>
      <c r="D3448">
        <v>12</v>
      </c>
      <c r="E3448">
        <v>91</v>
      </c>
      <c r="F3448">
        <v>7.5833335000000002</v>
      </c>
      <c r="G3448">
        <v>6</v>
      </c>
      <c r="H3448">
        <v>0.57999999999999996</v>
      </c>
      <c r="I3448">
        <v>0</v>
      </c>
      <c r="J3448">
        <v>4</v>
      </c>
      <c r="K3448">
        <v>6</v>
      </c>
      <c r="L3448">
        <v>10</v>
      </c>
      <c r="M3448">
        <v>11</v>
      </c>
      <c r="N3448">
        <v>11</v>
      </c>
      <c r="P3448">
        <v>0</v>
      </c>
      <c r="Q3448">
        <v>0</v>
      </c>
      <c r="R3448">
        <v>0</v>
      </c>
      <c r="S3448">
        <v>1</v>
      </c>
    </row>
    <row r="3449" spans="1:19" x14ac:dyDescent="0.35">
      <c r="A3449">
        <v>16027859600</v>
      </c>
      <c r="B3449" t="s">
        <v>886</v>
      </c>
      <c r="C3449" t="str">
        <f>_xlfn.XLOOKUP(A3449,[1]Affiliations!$J$2:$J$5328,[1]Affiliations!$K$2:$K$5328,0)</f>
        <v>Universidade Federal de Juiz de Fora (+2 more)</v>
      </c>
      <c r="D3449">
        <v>9</v>
      </c>
      <c r="E3449">
        <v>217</v>
      </c>
      <c r="F3449">
        <v>24.11111</v>
      </c>
      <c r="G3449">
        <v>9</v>
      </c>
      <c r="H3449">
        <v>0.79</v>
      </c>
      <c r="I3449">
        <v>0</v>
      </c>
      <c r="J3449">
        <v>2</v>
      </c>
      <c r="K3449">
        <v>5</v>
      </c>
      <c r="L3449">
        <v>8</v>
      </c>
      <c r="M3449">
        <v>9</v>
      </c>
      <c r="N3449">
        <v>9</v>
      </c>
      <c r="P3449">
        <v>0</v>
      </c>
      <c r="Q3449">
        <v>0</v>
      </c>
      <c r="R3449">
        <v>1</v>
      </c>
      <c r="S3449">
        <v>6</v>
      </c>
    </row>
    <row r="3450" spans="1:19" hidden="1" x14ac:dyDescent="0.35">
      <c r="A3450">
        <v>59951204600</v>
      </c>
      <c r="B3450" t="s">
        <v>3451</v>
      </c>
      <c r="C3450" t="str">
        <f>_xlfn.XLOOKUP(A3450,[1]Affiliations!$J$2:$J$5328,[1]Affiliations!$K$2:$K$5328,0)</f>
        <v>Federal University of Santa Catarina</v>
      </c>
      <c r="D3450">
        <v>0</v>
      </c>
      <c r="G3450">
        <v>1</v>
      </c>
    </row>
    <row r="3451" spans="1:19" x14ac:dyDescent="0.35">
      <c r="A3451">
        <v>56071072900</v>
      </c>
      <c r="B3451" t="s">
        <v>1246</v>
      </c>
      <c r="C3451" t="str">
        <f>_xlfn.XLOOKUP(A3451,[1]Affiliations!$J$2:$J$5328,[1]Affiliations!$K$2:$K$5328,0)</f>
        <v>Universidade Federal da Bahia</v>
      </c>
      <c r="D3451">
        <v>46</v>
      </c>
      <c r="E3451">
        <v>668</v>
      </c>
      <c r="F3451">
        <v>14.521739</v>
      </c>
      <c r="G3451">
        <v>17</v>
      </c>
      <c r="H3451">
        <v>0.79</v>
      </c>
      <c r="I3451">
        <v>0</v>
      </c>
      <c r="J3451">
        <v>14</v>
      </c>
      <c r="K3451">
        <v>15</v>
      </c>
      <c r="L3451">
        <v>21</v>
      </c>
      <c r="M3451">
        <v>32</v>
      </c>
      <c r="N3451">
        <v>33</v>
      </c>
      <c r="P3451">
        <v>0</v>
      </c>
      <c r="Q3451">
        <v>1</v>
      </c>
      <c r="R3451">
        <v>2</v>
      </c>
      <c r="S3451">
        <v>14</v>
      </c>
    </row>
    <row r="3452" spans="1:19" x14ac:dyDescent="0.35">
      <c r="A3452">
        <v>26538688900</v>
      </c>
      <c r="B3452" t="s">
        <v>1682</v>
      </c>
      <c r="C3452" t="str">
        <f>_xlfn.XLOOKUP(A3452,[1]Affiliations!$J$2:$J$5328,[1]Affiliations!$K$2:$K$5328,0)</f>
        <v>Universidade Federal do ABC</v>
      </c>
      <c r="D3452">
        <v>20</v>
      </c>
      <c r="E3452">
        <v>333</v>
      </c>
      <c r="F3452">
        <v>16.649999999999999</v>
      </c>
      <c r="G3452">
        <v>14</v>
      </c>
      <c r="H3452">
        <v>0.79</v>
      </c>
      <c r="I3452">
        <v>2</v>
      </c>
      <c r="J3452">
        <v>5</v>
      </c>
      <c r="K3452">
        <v>6</v>
      </c>
      <c r="L3452">
        <v>19</v>
      </c>
      <c r="M3452">
        <v>20</v>
      </c>
      <c r="N3452">
        <v>20</v>
      </c>
      <c r="P3452">
        <v>0</v>
      </c>
      <c r="Q3452">
        <v>0</v>
      </c>
      <c r="R3452">
        <v>1</v>
      </c>
      <c r="S3452">
        <v>8</v>
      </c>
    </row>
    <row r="3453" spans="1:19" x14ac:dyDescent="0.35">
      <c r="A3453">
        <v>6603577302</v>
      </c>
      <c r="B3453" t="s">
        <v>1790</v>
      </c>
      <c r="C3453" t="str">
        <f>_xlfn.XLOOKUP(A3453,[1]Affiliations!$J$2:$J$5328,[1]Affiliations!$K$2:$K$5328,0)</f>
        <v>Federal University of Rio de Janeiro</v>
      </c>
      <c r="D3453">
        <v>59</v>
      </c>
      <c r="E3453">
        <v>965</v>
      </c>
      <c r="F3453">
        <v>16.355931999999999</v>
      </c>
      <c r="G3453">
        <v>27</v>
      </c>
      <c r="H3453">
        <v>0.79</v>
      </c>
      <c r="I3453">
        <v>0</v>
      </c>
      <c r="J3453">
        <v>1</v>
      </c>
      <c r="K3453">
        <v>5</v>
      </c>
      <c r="L3453">
        <v>18</v>
      </c>
      <c r="M3453">
        <v>41</v>
      </c>
      <c r="N3453">
        <v>56</v>
      </c>
      <c r="P3453">
        <v>0</v>
      </c>
      <c r="Q3453">
        <v>3</v>
      </c>
      <c r="R3453">
        <v>5</v>
      </c>
      <c r="S3453">
        <v>28</v>
      </c>
    </row>
    <row r="3454" spans="1:19" x14ac:dyDescent="0.35">
      <c r="A3454">
        <v>6603683306</v>
      </c>
      <c r="B3454" t="s">
        <v>1801</v>
      </c>
      <c r="C3454" t="str">
        <f>_xlfn.XLOOKUP(A3454,[1]Affiliations!$J$2:$J$5328,[1]Affiliations!$K$2:$K$5328,0)</f>
        <v>University of Campinas</v>
      </c>
      <c r="D3454">
        <v>28</v>
      </c>
      <c r="E3454">
        <v>582</v>
      </c>
      <c r="F3454">
        <v>20.785715</v>
      </c>
      <c r="G3454">
        <v>32</v>
      </c>
      <c r="H3454">
        <v>0.79</v>
      </c>
      <c r="I3454">
        <v>1</v>
      </c>
      <c r="J3454">
        <v>4</v>
      </c>
      <c r="K3454">
        <v>11</v>
      </c>
      <c r="L3454">
        <v>23</v>
      </c>
      <c r="M3454">
        <v>24</v>
      </c>
      <c r="N3454">
        <v>26</v>
      </c>
      <c r="P3454">
        <v>0</v>
      </c>
      <c r="Q3454">
        <v>1</v>
      </c>
      <c r="R3454">
        <v>3</v>
      </c>
      <c r="S3454">
        <v>7</v>
      </c>
    </row>
    <row r="3455" spans="1:19" hidden="1" x14ac:dyDescent="0.35">
      <c r="A3455">
        <v>57205273049</v>
      </c>
      <c r="B3455" t="s">
        <v>3456</v>
      </c>
      <c r="C3455" t="str">
        <f>_xlfn.XLOOKUP(A3455,[1]Affiliations!$J$2:$J$5328,[1]Affiliations!$K$2:$K$5328,0)</f>
        <v>Pontifical Catholic University of Rio de Janeiro (+3 more)</v>
      </c>
      <c r="D3455">
        <v>4</v>
      </c>
      <c r="E3455">
        <v>7</v>
      </c>
      <c r="F3455">
        <v>1.75</v>
      </c>
      <c r="G3455">
        <v>2</v>
      </c>
      <c r="H3455">
        <v>0.19</v>
      </c>
      <c r="I3455">
        <v>0</v>
      </c>
      <c r="J3455">
        <v>0</v>
      </c>
      <c r="K3455">
        <v>0</v>
      </c>
      <c r="L3455">
        <v>2</v>
      </c>
      <c r="M3455">
        <v>3</v>
      </c>
      <c r="N3455">
        <v>3</v>
      </c>
      <c r="P3455">
        <v>0</v>
      </c>
      <c r="Q3455">
        <v>0</v>
      </c>
      <c r="R3455">
        <v>0</v>
      </c>
      <c r="S3455">
        <v>0</v>
      </c>
    </row>
    <row r="3456" spans="1:19" x14ac:dyDescent="0.35">
      <c r="A3456">
        <v>39161187900</v>
      </c>
      <c r="B3456" t="s">
        <v>2284</v>
      </c>
      <c r="C3456" t="str">
        <f>_xlfn.XLOOKUP(A3456,[1]Affiliations!$J$2:$J$5328,[1]Affiliations!$K$2:$K$5328,0)</f>
        <v>Center for Mathematics</v>
      </c>
      <c r="D3456">
        <v>13</v>
      </c>
      <c r="E3456">
        <v>110</v>
      </c>
      <c r="F3456">
        <v>8.4615379999999991</v>
      </c>
      <c r="G3456">
        <v>8</v>
      </c>
      <c r="H3456">
        <v>0.79</v>
      </c>
      <c r="I3456">
        <v>0</v>
      </c>
      <c r="J3456">
        <v>1</v>
      </c>
      <c r="K3456">
        <v>1</v>
      </c>
      <c r="L3456">
        <v>3</v>
      </c>
      <c r="M3456">
        <v>4</v>
      </c>
      <c r="N3456">
        <v>8</v>
      </c>
      <c r="P3456">
        <v>0</v>
      </c>
      <c r="Q3456">
        <v>0</v>
      </c>
      <c r="R3456">
        <v>1</v>
      </c>
      <c r="S3456">
        <v>3</v>
      </c>
    </row>
    <row r="3457" spans="1:19" x14ac:dyDescent="0.35">
      <c r="A3457">
        <v>23977849800</v>
      </c>
      <c r="B3457" t="s">
        <v>2300</v>
      </c>
      <c r="C3457" t="str">
        <f>_xlfn.XLOOKUP(A3457,[1]Affiliations!$J$2:$J$5328,[1]Affiliations!$K$2:$K$5328,0)</f>
        <v>Universidade Federal Fluminense (+1 more)</v>
      </c>
      <c r="D3457">
        <v>28</v>
      </c>
      <c r="E3457">
        <v>719</v>
      </c>
      <c r="F3457">
        <v>25.678571999999999</v>
      </c>
      <c r="G3457">
        <v>19</v>
      </c>
      <c r="H3457">
        <v>0.79</v>
      </c>
      <c r="I3457">
        <v>0</v>
      </c>
      <c r="J3457">
        <v>3</v>
      </c>
      <c r="K3457">
        <v>7</v>
      </c>
      <c r="L3457">
        <v>10</v>
      </c>
      <c r="M3457">
        <v>18</v>
      </c>
      <c r="N3457">
        <v>20</v>
      </c>
      <c r="P3457">
        <v>0</v>
      </c>
      <c r="Q3457">
        <v>1</v>
      </c>
      <c r="R3457">
        <v>3</v>
      </c>
      <c r="S3457">
        <v>12</v>
      </c>
    </row>
    <row r="3458" spans="1:19" hidden="1" x14ac:dyDescent="0.35">
      <c r="A3458">
        <v>56585557800</v>
      </c>
      <c r="B3458" t="s">
        <v>3459</v>
      </c>
      <c r="C3458" t="str">
        <f>_xlfn.XLOOKUP(A3458,[1]Affiliations!$J$2:$J$5328,[1]Affiliations!$K$2:$K$5328,0)</f>
        <v>Universidade Federal Fluminense</v>
      </c>
      <c r="D3458">
        <v>9</v>
      </c>
      <c r="E3458">
        <v>123</v>
      </c>
      <c r="F3458">
        <v>13.666667</v>
      </c>
      <c r="G3458">
        <v>7</v>
      </c>
      <c r="H3458">
        <v>0.96</v>
      </c>
      <c r="I3458">
        <v>0</v>
      </c>
      <c r="J3458">
        <v>5</v>
      </c>
      <c r="K3458">
        <v>5</v>
      </c>
      <c r="L3458">
        <v>8</v>
      </c>
      <c r="M3458">
        <v>9</v>
      </c>
      <c r="N3458">
        <v>9</v>
      </c>
      <c r="P3458">
        <v>0</v>
      </c>
      <c r="Q3458">
        <v>0</v>
      </c>
      <c r="R3458">
        <v>0</v>
      </c>
      <c r="S3458">
        <v>2</v>
      </c>
    </row>
    <row r="3459" spans="1:19" x14ac:dyDescent="0.35">
      <c r="A3459">
        <v>55538674700</v>
      </c>
      <c r="B3459" t="s">
        <v>2447</v>
      </c>
      <c r="C3459" t="str">
        <f>_xlfn.XLOOKUP(A3459,[1]Affiliations!$J$2:$J$5328,[1]Affiliations!$K$2:$K$5328,0)</f>
        <v>Universidade Federal de Pernambuco</v>
      </c>
      <c r="D3459">
        <v>31</v>
      </c>
      <c r="E3459">
        <v>372</v>
      </c>
      <c r="F3459">
        <v>12</v>
      </c>
      <c r="G3459">
        <v>10</v>
      </c>
      <c r="H3459">
        <v>0.79</v>
      </c>
      <c r="I3459">
        <v>0</v>
      </c>
      <c r="J3459">
        <v>5</v>
      </c>
      <c r="K3459">
        <v>7</v>
      </c>
      <c r="L3459">
        <v>16</v>
      </c>
      <c r="M3459">
        <v>17</v>
      </c>
      <c r="N3459">
        <v>18</v>
      </c>
      <c r="P3459">
        <v>0</v>
      </c>
      <c r="Q3459">
        <v>0</v>
      </c>
      <c r="R3459">
        <v>4</v>
      </c>
      <c r="S3459">
        <v>11</v>
      </c>
    </row>
    <row r="3460" spans="1:19" hidden="1" x14ac:dyDescent="0.35">
      <c r="A3460">
        <v>57218618060</v>
      </c>
      <c r="B3460" t="s">
        <v>3461</v>
      </c>
      <c r="C3460" t="str">
        <f>_xlfn.XLOOKUP(A3460,[1]Affiliations!$J$2:$J$5328,[1]Affiliations!$K$2:$K$5328,0)</f>
        <v>Pontifícia Universidade Católica do Rio Grande do Sul</v>
      </c>
      <c r="D3460">
        <v>3</v>
      </c>
      <c r="E3460">
        <v>70</v>
      </c>
      <c r="F3460">
        <v>23.333334000000001</v>
      </c>
      <c r="G3460">
        <v>3</v>
      </c>
      <c r="H3460">
        <v>1.04</v>
      </c>
      <c r="I3460">
        <v>0</v>
      </c>
      <c r="J3460">
        <v>0</v>
      </c>
      <c r="K3460">
        <v>1</v>
      </c>
      <c r="L3460">
        <v>2</v>
      </c>
      <c r="M3460">
        <v>3</v>
      </c>
      <c r="N3460">
        <v>3</v>
      </c>
      <c r="P3460">
        <v>0</v>
      </c>
      <c r="Q3460">
        <v>0</v>
      </c>
      <c r="R3460">
        <v>1</v>
      </c>
      <c r="S3460">
        <v>1</v>
      </c>
    </row>
    <row r="3461" spans="1:19" hidden="1" x14ac:dyDescent="0.35">
      <c r="A3461">
        <v>57204432310</v>
      </c>
      <c r="B3461" t="s">
        <v>3462</v>
      </c>
      <c r="C3461" t="str">
        <f>_xlfn.XLOOKUP(A3461,[1]Affiliations!$J$2:$J$5328,[1]Affiliations!$K$2:$K$5328,0)</f>
        <v>Universidade de São Paulo</v>
      </c>
      <c r="D3461">
        <v>15</v>
      </c>
      <c r="E3461">
        <v>26</v>
      </c>
      <c r="F3461">
        <v>1.7333333</v>
      </c>
      <c r="G3461">
        <v>3</v>
      </c>
      <c r="H3461">
        <v>0.46</v>
      </c>
      <c r="I3461">
        <v>0</v>
      </c>
      <c r="J3461">
        <v>0</v>
      </c>
      <c r="K3461">
        <v>0</v>
      </c>
      <c r="L3461">
        <v>0</v>
      </c>
      <c r="M3461">
        <v>3</v>
      </c>
      <c r="N3461">
        <v>10</v>
      </c>
      <c r="P3461">
        <v>0</v>
      </c>
      <c r="Q3461">
        <v>0</v>
      </c>
      <c r="R3461">
        <v>0</v>
      </c>
      <c r="S3461">
        <v>0</v>
      </c>
    </row>
    <row r="3462" spans="1:19" hidden="1" x14ac:dyDescent="0.35">
      <c r="A3462">
        <v>56729792200</v>
      </c>
      <c r="B3462" t="s">
        <v>3463</v>
      </c>
      <c r="C3462" t="str">
        <f>_xlfn.XLOOKUP(A3462,[1]Affiliations!$J$2:$J$5328,[1]Affiliations!$K$2:$K$5328,0)</f>
        <v>Universidade Federal do Ceará</v>
      </c>
      <c r="D3462">
        <v>5</v>
      </c>
      <c r="E3462">
        <v>17</v>
      </c>
      <c r="F3462">
        <v>3.4</v>
      </c>
      <c r="G3462">
        <v>2</v>
      </c>
      <c r="H3462">
        <v>0.16</v>
      </c>
      <c r="I3462">
        <v>0</v>
      </c>
      <c r="J3462">
        <v>0</v>
      </c>
      <c r="K3462">
        <v>1</v>
      </c>
      <c r="L3462">
        <v>2</v>
      </c>
      <c r="M3462">
        <v>4</v>
      </c>
      <c r="N3462">
        <v>5</v>
      </c>
      <c r="P3462">
        <v>0</v>
      </c>
      <c r="Q3462">
        <v>0</v>
      </c>
      <c r="R3462">
        <v>0</v>
      </c>
      <c r="S3462">
        <v>0</v>
      </c>
    </row>
    <row r="3463" spans="1:19" hidden="1" x14ac:dyDescent="0.35">
      <c r="A3463">
        <v>57218514990</v>
      </c>
      <c r="B3463" t="s">
        <v>3464</v>
      </c>
      <c r="C3463" t="str">
        <f>_xlfn.XLOOKUP(A3463,[1]Affiliations!$J$2:$J$5328,[1]Affiliations!$K$2:$K$5328,0)</f>
        <v>Federal University of Santa Catarina</v>
      </c>
      <c r="D3463">
        <v>2</v>
      </c>
      <c r="E3463">
        <v>40</v>
      </c>
      <c r="F3463">
        <v>20</v>
      </c>
      <c r="G3463">
        <v>2</v>
      </c>
      <c r="H3463">
        <v>0.47</v>
      </c>
      <c r="I3463">
        <v>0</v>
      </c>
      <c r="J3463">
        <v>0</v>
      </c>
      <c r="K3463">
        <v>1</v>
      </c>
      <c r="L3463">
        <v>1</v>
      </c>
      <c r="M3463">
        <v>1</v>
      </c>
      <c r="N3463">
        <v>2</v>
      </c>
      <c r="P3463">
        <v>0</v>
      </c>
      <c r="Q3463">
        <v>0</v>
      </c>
      <c r="R3463">
        <v>1</v>
      </c>
      <c r="S3463">
        <v>1</v>
      </c>
    </row>
    <row r="3464" spans="1:19" hidden="1" x14ac:dyDescent="0.35">
      <c r="A3464">
        <v>17435158700</v>
      </c>
      <c r="B3464" t="s">
        <v>3465</v>
      </c>
      <c r="C3464" t="str">
        <f>_xlfn.XLOOKUP(A3464,[1]Affiliations!$J$2:$J$5328,[1]Affiliations!$K$2:$K$5328,0)</f>
        <v>Federal University of Santa Catarina</v>
      </c>
      <c r="D3464">
        <v>25</v>
      </c>
      <c r="E3464">
        <v>130</v>
      </c>
      <c r="F3464">
        <v>5.2</v>
      </c>
      <c r="G3464">
        <v>11</v>
      </c>
      <c r="H3464">
        <v>0.51</v>
      </c>
      <c r="I3464">
        <v>0</v>
      </c>
      <c r="J3464">
        <v>2</v>
      </c>
      <c r="K3464">
        <v>2</v>
      </c>
      <c r="L3464">
        <v>5</v>
      </c>
      <c r="M3464">
        <v>9</v>
      </c>
      <c r="N3464">
        <v>16</v>
      </c>
      <c r="P3464">
        <v>0</v>
      </c>
      <c r="Q3464">
        <v>0</v>
      </c>
      <c r="R3464">
        <v>0</v>
      </c>
      <c r="S3464">
        <v>1</v>
      </c>
    </row>
    <row r="3465" spans="1:19" x14ac:dyDescent="0.35">
      <c r="A3465">
        <v>57200604893</v>
      </c>
      <c r="B3465" t="s">
        <v>2751</v>
      </c>
      <c r="C3465" t="str">
        <f>_xlfn.XLOOKUP(A3465,[1]Affiliations!$J$2:$J$5328,[1]Affiliations!$K$2:$K$5328,0)</f>
        <v>Universidade de São Paulo</v>
      </c>
      <c r="D3465">
        <v>6</v>
      </c>
      <c r="E3465">
        <v>75</v>
      </c>
      <c r="F3465">
        <v>12.5</v>
      </c>
      <c r="G3465">
        <v>4</v>
      </c>
      <c r="H3465">
        <v>0.79</v>
      </c>
      <c r="I3465">
        <v>0</v>
      </c>
      <c r="J3465">
        <v>1</v>
      </c>
      <c r="K3465">
        <v>3</v>
      </c>
      <c r="L3465">
        <v>4</v>
      </c>
      <c r="M3465">
        <v>5</v>
      </c>
      <c r="N3465">
        <v>6</v>
      </c>
      <c r="P3465">
        <v>0</v>
      </c>
      <c r="Q3465">
        <v>1</v>
      </c>
      <c r="R3465">
        <v>1</v>
      </c>
      <c r="S3465">
        <v>2</v>
      </c>
    </row>
    <row r="3466" spans="1:19" hidden="1" x14ac:dyDescent="0.35">
      <c r="A3466">
        <v>57119040400</v>
      </c>
      <c r="B3466" t="s">
        <v>3467</v>
      </c>
      <c r="C3466" t="str">
        <f>_xlfn.XLOOKUP(A3466,[1]Affiliations!$J$2:$J$5328,[1]Affiliations!$K$2:$K$5328,0)</f>
        <v>Universidade Estadual de Maringá</v>
      </c>
      <c r="D3466">
        <v>5</v>
      </c>
      <c r="E3466">
        <v>52</v>
      </c>
      <c r="F3466">
        <v>10.4</v>
      </c>
      <c r="G3466">
        <v>3</v>
      </c>
      <c r="H3466">
        <v>0.27</v>
      </c>
      <c r="I3466">
        <v>0</v>
      </c>
      <c r="J3466">
        <v>0</v>
      </c>
      <c r="K3466">
        <v>0</v>
      </c>
      <c r="L3466">
        <v>3</v>
      </c>
      <c r="M3466">
        <v>3</v>
      </c>
      <c r="N3466">
        <v>3</v>
      </c>
      <c r="P3466">
        <v>0</v>
      </c>
      <c r="Q3466">
        <v>0</v>
      </c>
      <c r="R3466">
        <v>0</v>
      </c>
      <c r="S3466">
        <v>1</v>
      </c>
    </row>
    <row r="3467" spans="1:19" x14ac:dyDescent="0.35">
      <c r="A3467">
        <v>57205192800</v>
      </c>
      <c r="B3467" t="s">
        <v>2782</v>
      </c>
      <c r="C3467" t="str">
        <f>_xlfn.XLOOKUP(A3467,[1]Affiliations!$J$2:$J$5328,[1]Affiliations!$K$2:$K$5328,0)</f>
        <v>Federal University of Rio de Janeiro</v>
      </c>
      <c r="D3467">
        <v>24</v>
      </c>
      <c r="E3467">
        <v>461</v>
      </c>
      <c r="F3467">
        <v>19.208334000000001</v>
      </c>
      <c r="G3467">
        <v>27</v>
      </c>
      <c r="H3467">
        <v>0.79</v>
      </c>
      <c r="I3467">
        <v>0</v>
      </c>
      <c r="J3467">
        <v>1</v>
      </c>
      <c r="K3467">
        <v>4</v>
      </c>
      <c r="L3467">
        <v>11</v>
      </c>
      <c r="M3467">
        <v>15</v>
      </c>
      <c r="N3467">
        <v>20</v>
      </c>
      <c r="P3467">
        <v>0</v>
      </c>
      <c r="Q3467">
        <v>0</v>
      </c>
      <c r="R3467">
        <v>3</v>
      </c>
      <c r="S3467">
        <v>9</v>
      </c>
    </row>
    <row r="3468" spans="1:19" hidden="1" x14ac:dyDescent="0.35">
      <c r="A3468">
        <v>7404718434</v>
      </c>
      <c r="B3468" t="s">
        <v>3469</v>
      </c>
      <c r="C3468" t="str">
        <f>_xlfn.XLOOKUP(A3468,[1]Affiliations!$J$2:$J$5328,[1]Affiliations!$K$2:$K$5328,0)</f>
        <v>University of Campinas</v>
      </c>
      <c r="D3468">
        <v>13</v>
      </c>
      <c r="E3468">
        <v>59</v>
      </c>
      <c r="F3468">
        <v>4.5384617</v>
      </c>
      <c r="G3468">
        <v>16</v>
      </c>
      <c r="H3468">
        <v>0.2</v>
      </c>
      <c r="I3468">
        <v>0</v>
      </c>
      <c r="J3468">
        <v>0</v>
      </c>
      <c r="K3468">
        <v>1</v>
      </c>
      <c r="L3468">
        <v>3</v>
      </c>
      <c r="M3468">
        <v>11</v>
      </c>
      <c r="N3468">
        <v>12</v>
      </c>
      <c r="P3468">
        <v>0</v>
      </c>
      <c r="Q3468">
        <v>0</v>
      </c>
      <c r="R3468">
        <v>0</v>
      </c>
      <c r="S3468">
        <v>0</v>
      </c>
    </row>
    <row r="3469" spans="1:19" hidden="1" x14ac:dyDescent="0.35">
      <c r="A3469">
        <v>56095288000</v>
      </c>
      <c r="B3469" t="s">
        <v>3470</v>
      </c>
      <c r="C3469" t="str">
        <f>_xlfn.XLOOKUP(A3469,[1]Affiliations!$J$2:$J$5328,[1]Affiliations!$K$2:$K$5328,0)</f>
        <v>Paradigm Geophysical (+1 more)</v>
      </c>
      <c r="D3469">
        <v>1</v>
      </c>
      <c r="E3469">
        <v>1</v>
      </c>
      <c r="F3469">
        <v>1</v>
      </c>
      <c r="G3469">
        <v>2</v>
      </c>
      <c r="H3469">
        <v>0</v>
      </c>
      <c r="P3469">
        <v>0</v>
      </c>
      <c r="Q3469">
        <v>0</v>
      </c>
      <c r="R3469">
        <v>0</v>
      </c>
      <c r="S3469">
        <v>0</v>
      </c>
    </row>
    <row r="3470" spans="1:19" x14ac:dyDescent="0.35">
      <c r="A3470">
        <v>8384449900</v>
      </c>
      <c r="B3470" t="s">
        <v>2798</v>
      </c>
      <c r="C3470" t="str">
        <f>_xlfn.XLOOKUP(A3470,[1]Affiliations!$J$2:$J$5328,[1]Affiliations!$K$2:$K$5328,0)</f>
        <v>Federal University of Rio de Janeiro</v>
      </c>
      <c r="D3470">
        <v>53</v>
      </c>
      <c r="E3470">
        <v>764</v>
      </c>
      <c r="F3470">
        <v>14.415094</v>
      </c>
      <c r="G3470">
        <v>20</v>
      </c>
      <c r="H3470">
        <v>0.79</v>
      </c>
      <c r="I3470">
        <v>0</v>
      </c>
      <c r="J3470">
        <v>1</v>
      </c>
      <c r="K3470">
        <v>16</v>
      </c>
      <c r="L3470">
        <v>24</v>
      </c>
      <c r="M3470">
        <v>32</v>
      </c>
      <c r="N3470">
        <v>35</v>
      </c>
      <c r="P3470">
        <v>0</v>
      </c>
      <c r="Q3470">
        <v>0</v>
      </c>
      <c r="R3470">
        <v>4</v>
      </c>
      <c r="S3470">
        <v>18</v>
      </c>
    </row>
    <row r="3471" spans="1:19" x14ac:dyDescent="0.35">
      <c r="A3471">
        <v>56830131000</v>
      </c>
      <c r="B3471" t="s">
        <v>3529</v>
      </c>
      <c r="C3471" t="str">
        <f>_xlfn.XLOOKUP(A3471,[1]Affiliations!$J$2:$J$5328,[1]Affiliations!$K$2:$K$5328,0)</f>
        <v>DEMa</v>
      </c>
      <c r="D3471">
        <v>14</v>
      </c>
      <c r="E3471">
        <v>284</v>
      </c>
      <c r="F3471">
        <v>20.285715</v>
      </c>
      <c r="G3471">
        <v>8</v>
      </c>
      <c r="H3471">
        <v>0.79</v>
      </c>
      <c r="I3471">
        <v>0</v>
      </c>
      <c r="J3471">
        <v>1</v>
      </c>
      <c r="K3471">
        <v>3</v>
      </c>
      <c r="L3471">
        <v>7</v>
      </c>
      <c r="M3471">
        <v>12</v>
      </c>
      <c r="N3471">
        <v>12</v>
      </c>
      <c r="P3471">
        <v>0</v>
      </c>
      <c r="Q3471">
        <v>1</v>
      </c>
      <c r="R3471">
        <v>2</v>
      </c>
      <c r="S3471">
        <v>5</v>
      </c>
    </row>
    <row r="3472" spans="1:19" x14ac:dyDescent="0.35">
      <c r="A3472">
        <v>25723796400</v>
      </c>
      <c r="B3472" t="s">
        <v>4023</v>
      </c>
      <c r="C3472" t="str">
        <f>_xlfn.XLOOKUP(A3472,[1]Affiliations!$J$2:$J$5328,[1]Affiliations!$K$2:$K$5328,0)</f>
        <v>Federal University of Rio de Janeiro (+1 more)</v>
      </c>
      <c r="D3472">
        <v>10</v>
      </c>
      <c r="E3472">
        <v>218</v>
      </c>
      <c r="F3472">
        <v>21.8</v>
      </c>
      <c r="G3472">
        <v>13</v>
      </c>
      <c r="H3472">
        <v>0.79</v>
      </c>
      <c r="I3472">
        <v>0</v>
      </c>
      <c r="J3472">
        <v>2</v>
      </c>
      <c r="K3472">
        <v>3</v>
      </c>
      <c r="L3472">
        <v>4</v>
      </c>
      <c r="M3472">
        <v>8</v>
      </c>
      <c r="N3472">
        <v>9</v>
      </c>
      <c r="P3472">
        <v>0</v>
      </c>
      <c r="Q3472">
        <v>1</v>
      </c>
      <c r="R3472">
        <v>1</v>
      </c>
      <c r="S3472">
        <v>3</v>
      </c>
    </row>
    <row r="3473" spans="1:19" x14ac:dyDescent="0.35">
      <c r="A3473">
        <v>57193411579</v>
      </c>
      <c r="B3473" t="s">
        <v>4360</v>
      </c>
      <c r="C3473" t="str">
        <f>_xlfn.XLOOKUP(A3473,[1]Affiliations!$J$2:$J$5328,[1]Affiliations!$K$2:$K$5328,0)</f>
        <v>Federal University of Rio de Janeiro</v>
      </c>
      <c r="D3473">
        <v>28</v>
      </c>
      <c r="E3473">
        <v>933</v>
      </c>
      <c r="F3473">
        <v>33.321429999999999</v>
      </c>
      <c r="G3473">
        <v>11</v>
      </c>
      <c r="H3473">
        <v>0.79</v>
      </c>
      <c r="I3473">
        <v>0</v>
      </c>
      <c r="J3473">
        <v>5</v>
      </c>
      <c r="K3473">
        <v>6</v>
      </c>
      <c r="L3473">
        <v>15</v>
      </c>
      <c r="M3473">
        <v>26</v>
      </c>
      <c r="N3473">
        <v>27</v>
      </c>
      <c r="P3473">
        <v>1</v>
      </c>
      <c r="Q3473">
        <v>2</v>
      </c>
      <c r="R3473">
        <v>2</v>
      </c>
      <c r="S3473">
        <v>9</v>
      </c>
    </row>
    <row r="3474" spans="1:19" hidden="1" x14ac:dyDescent="0.35">
      <c r="A3474">
        <v>57203160922</v>
      </c>
      <c r="B3474" t="s">
        <v>3475</v>
      </c>
      <c r="C3474" t="str">
        <f>_xlfn.XLOOKUP(A3474,[1]Affiliations!$J$2:$J$5328,[1]Affiliations!$K$2:$K$5328,0)</f>
        <v>Universidade de São Paulo</v>
      </c>
      <c r="D3474">
        <v>12</v>
      </c>
      <c r="E3474">
        <v>73</v>
      </c>
      <c r="F3474">
        <v>6.0833335000000002</v>
      </c>
      <c r="G3474">
        <v>6</v>
      </c>
      <c r="H3474">
        <v>0.72</v>
      </c>
      <c r="I3474">
        <v>0</v>
      </c>
      <c r="J3474">
        <v>0</v>
      </c>
      <c r="K3474">
        <v>0</v>
      </c>
      <c r="L3474">
        <v>3</v>
      </c>
      <c r="M3474">
        <v>10</v>
      </c>
      <c r="N3474">
        <v>12</v>
      </c>
      <c r="P3474">
        <v>0</v>
      </c>
      <c r="Q3474">
        <v>0</v>
      </c>
      <c r="R3474">
        <v>0</v>
      </c>
      <c r="S3474">
        <v>3</v>
      </c>
    </row>
    <row r="3475" spans="1:19" hidden="1" x14ac:dyDescent="0.35">
      <c r="A3475">
        <v>57201341204</v>
      </c>
      <c r="B3475" t="s">
        <v>3476</v>
      </c>
      <c r="C3475" t="str">
        <f>_xlfn.XLOOKUP(A3475,[1]Affiliations!$J$2:$J$5328,[1]Affiliations!$K$2:$K$5328,0)</f>
        <v>Universidade Federal de Uberlândia</v>
      </c>
      <c r="D3475">
        <v>4</v>
      </c>
      <c r="E3475">
        <v>39</v>
      </c>
      <c r="F3475">
        <v>9.75</v>
      </c>
      <c r="G3475">
        <v>1</v>
      </c>
      <c r="H3475">
        <v>0.36</v>
      </c>
      <c r="I3475">
        <v>0</v>
      </c>
      <c r="J3475">
        <v>0</v>
      </c>
      <c r="K3475">
        <v>0</v>
      </c>
      <c r="L3475">
        <v>1</v>
      </c>
      <c r="M3475">
        <v>2</v>
      </c>
      <c r="N3475">
        <v>2</v>
      </c>
      <c r="P3475">
        <v>0</v>
      </c>
      <c r="Q3475">
        <v>0</v>
      </c>
      <c r="R3475">
        <v>0</v>
      </c>
      <c r="S3475">
        <v>1</v>
      </c>
    </row>
    <row r="3476" spans="1:19" hidden="1" x14ac:dyDescent="0.35">
      <c r="A3476">
        <v>14045837100</v>
      </c>
      <c r="B3476" t="s">
        <v>3477</v>
      </c>
      <c r="C3476" t="str">
        <f>_xlfn.XLOOKUP(A3476,[1]Affiliations!$J$2:$J$5328,[1]Affiliations!$K$2:$K$5328,0)</f>
        <v>Universidade Federal Rural do Semi-Árido</v>
      </c>
      <c r="D3476">
        <v>3</v>
      </c>
      <c r="E3476">
        <v>28</v>
      </c>
      <c r="F3476">
        <v>9.3333329999999997</v>
      </c>
      <c r="G3476">
        <v>7</v>
      </c>
      <c r="H3476">
        <v>0.36</v>
      </c>
      <c r="I3476">
        <v>0</v>
      </c>
      <c r="J3476">
        <v>0</v>
      </c>
      <c r="K3476">
        <v>0</v>
      </c>
      <c r="L3476">
        <v>0</v>
      </c>
      <c r="M3476">
        <v>3</v>
      </c>
      <c r="N3476">
        <v>3</v>
      </c>
      <c r="P3476">
        <v>0</v>
      </c>
      <c r="Q3476">
        <v>0</v>
      </c>
      <c r="R3476">
        <v>0</v>
      </c>
      <c r="S3476">
        <v>0</v>
      </c>
    </row>
    <row r="3477" spans="1:19" hidden="1" x14ac:dyDescent="0.35">
      <c r="A3477">
        <v>57188824957</v>
      </c>
      <c r="B3477" t="s">
        <v>3478</v>
      </c>
      <c r="C3477" t="str">
        <f>_xlfn.XLOOKUP(A3477,[1]Affiliations!$J$2:$J$5328,[1]Affiliations!$K$2:$K$5328,0)</f>
        <v>Universidade Federal Fluminense</v>
      </c>
      <c r="D3477">
        <v>1</v>
      </c>
      <c r="E3477">
        <v>13</v>
      </c>
      <c r="F3477">
        <v>13</v>
      </c>
      <c r="G3477">
        <v>1</v>
      </c>
      <c r="H3477">
        <v>0.52</v>
      </c>
      <c r="I3477">
        <v>0</v>
      </c>
      <c r="J3477">
        <v>0</v>
      </c>
      <c r="K3477">
        <v>0</v>
      </c>
      <c r="L3477">
        <v>1</v>
      </c>
      <c r="M3477">
        <v>1</v>
      </c>
      <c r="N3477">
        <v>1</v>
      </c>
      <c r="P3477">
        <v>0</v>
      </c>
      <c r="Q3477">
        <v>0</v>
      </c>
      <c r="R3477">
        <v>0</v>
      </c>
      <c r="S3477">
        <v>0</v>
      </c>
    </row>
    <row r="3478" spans="1:19" x14ac:dyDescent="0.35">
      <c r="A3478">
        <v>57196024441</v>
      </c>
      <c r="B3478" t="s">
        <v>4475</v>
      </c>
      <c r="C3478" t="str">
        <f>_xlfn.XLOOKUP(A3478,[1]Affiliations!$J$2:$J$5328,[1]Affiliations!$K$2:$K$5328,0)</f>
        <v>Universidade Estadual Paulista “Júlio de Mesquita Filho” (+1 more)</v>
      </c>
      <c r="D3478">
        <v>18</v>
      </c>
      <c r="E3478">
        <v>192</v>
      </c>
      <c r="F3478">
        <v>10.666667</v>
      </c>
      <c r="G3478">
        <v>6</v>
      </c>
      <c r="H3478">
        <v>0.79</v>
      </c>
      <c r="I3478">
        <v>0</v>
      </c>
      <c r="J3478">
        <v>1</v>
      </c>
      <c r="K3478">
        <v>1</v>
      </c>
      <c r="L3478">
        <v>3</v>
      </c>
      <c r="M3478">
        <v>7</v>
      </c>
      <c r="N3478">
        <v>11</v>
      </c>
      <c r="P3478">
        <v>0</v>
      </c>
      <c r="Q3478">
        <v>0</v>
      </c>
      <c r="R3478">
        <v>1</v>
      </c>
      <c r="S3478">
        <v>3</v>
      </c>
    </row>
    <row r="3479" spans="1:19" x14ac:dyDescent="0.35">
      <c r="A3479">
        <v>55489013500</v>
      </c>
      <c r="B3479" t="s">
        <v>4545</v>
      </c>
      <c r="C3479" t="str">
        <f>_xlfn.XLOOKUP(A3479,[1]Affiliations!$J$2:$J$5328,[1]Affiliations!$K$2:$K$5328,0)</f>
        <v>Universidade de São Paulo (+1 more)</v>
      </c>
      <c r="D3479">
        <v>14</v>
      </c>
      <c r="E3479">
        <v>158</v>
      </c>
      <c r="F3479">
        <v>11.285714</v>
      </c>
      <c r="G3479">
        <v>8</v>
      </c>
      <c r="H3479">
        <v>0.79</v>
      </c>
      <c r="I3479">
        <v>0</v>
      </c>
      <c r="J3479">
        <v>0</v>
      </c>
      <c r="K3479">
        <v>2</v>
      </c>
      <c r="L3479">
        <v>7</v>
      </c>
      <c r="M3479">
        <v>9</v>
      </c>
      <c r="N3479">
        <v>11</v>
      </c>
      <c r="P3479">
        <v>0</v>
      </c>
      <c r="Q3479">
        <v>0</v>
      </c>
      <c r="R3479">
        <v>1</v>
      </c>
      <c r="S3479">
        <v>2</v>
      </c>
    </row>
    <row r="3480" spans="1:19" hidden="1" x14ac:dyDescent="0.35">
      <c r="A3480">
        <v>57218868005</v>
      </c>
      <c r="B3480" t="s">
        <v>3481</v>
      </c>
      <c r="C3480" t="str">
        <f>_xlfn.XLOOKUP(A3480,[1]Affiliations!$J$2:$J$5328,[1]Affiliations!$K$2:$K$5328,0)</f>
        <v>Universidade Federal de Uberlândia</v>
      </c>
      <c r="D3480">
        <v>2</v>
      </c>
      <c r="E3480">
        <v>2</v>
      </c>
      <c r="F3480">
        <v>1</v>
      </c>
      <c r="G3480">
        <v>1</v>
      </c>
      <c r="H3480">
        <v>0.08</v>
      </c>
      <c r="I3480">
        <v>0</v>
      </c>
      <c r="J3480">
        <v>0</v>
      </c>
      <c r="K3480">
        <v>0</v>
      </c>
      <c r="L3480">
        <v>0</v>
      </c>
      <c r="M3480">
        <v>1</v>
      </c>
      <c r="N3480">
        <v>1</v>
      </c>
      <c r="P3480">
        <v>0</v>
      </c>
      <c r="Q3480">
        <v>0</v>
      </c>
      <c r="R3480">
        <v>0</v>
      </c>
      <c r="S3480">
        <v>0</v>
      </c>
    </row>
    <row r="3481" spans="1:19" hidden="1" x14ac:dyDescent="0.35">
      <c r="A3481">
        <v>56287832600</v>
      </c>
      <c r="B3481" t="s">
        <v>3482</v>
      </c>
      <c r="C3481" t="str">
        <f>_xlfn.XLOOKUP(A3481,[1]Affiliations!$J$2:$J$5328,[1]Affiliations!$K$2:$K$5328,0)</f>
        <v>Universidade de São Paulo</v>
      </c>
      <c r="D3481">
        <v>12</v>
      </c>
      <c r="E3481">
        <v>108</v>
      </c>
      <c r="F3481">
        <v>9</v>
      </c>
      <c r="G3481">
        <v>9</v>
      </c>
      <c r="H3481">
        <v>0.44</v>
      </c>
      <c r="I3481">
        <v>0</v>
      </c>
      <c r="J3481">
        <v>2</v>
      </c>
      <c r="K3481">
        <v>4</v>
      </c>
      <c r="L3481">
        <v>8</v>
      </c>
      <c r="M3481">
        <v>10</v>
      </c>
      <c r="N3481">
        <v>12</v>
      </c>
      <c r="P3481">
        <v>0</v>
      </c>
      <c r="Q3481">
        <v>0</v>
      </c>
      <c r="R3481">
        <v>0</v>
      </c>
      <c r="S3481">
        <v>1</v>
      </c>
    </row>
    <row r="3482" spans="1:19" x14ac:dyDescent="0.35">
      <c r="A3482">
        <v>7006522257</v>
      </c>
      <c r="B3482" t="s">
        <v>4887</v>
      </c>
      <c r="C3482" t="str">
        <f>_xlfn.XLOOKUP(A3482,[1]Affiliations!$J$2:$J$5328,[1]Affiliations!$K$2:$K$5328,0)</f>
        <v>Federal University of Rio de Janeiro</v>
      </c>
      <c r="D3482">
        <v>20</v>
      </c>
      <c r="E3482">
        <v>327</v>
      </c>
      <c r="F3482">
        <v>16.350000000000001</v>
      </c>
      <c r="G3482">
        <v>17</v>
      </c>
      <c r="H3482">
        <v>0.79</v>
      </c>
      <c r="I3482">
        <v>0</v>
      </c>
      <c r="J3482">
        <v>0</v>
      </c>
      <c r="K3482">
        <v>3</v>
      </c>
      <c r="L3482">
        <v>9</v>
      </c>
      <c r="M3482">
        <v>12</v>
      </c>
      <c r="N3482">
        <v>20</v>
      </c>
      <c r="P3482">
        <v>0</v>
      </c>
      <c r="Q3482">
        <v>0</v>
      </c>
      <c r="R3482">
        <v>3</v>
      </c>
      <c r="S3482">
        <v>5</v>
      </c>
    </row>
    <row r="3483" spans="1:19" x14ac:dyDescent="0.35">
      <c r="A3483">
        <v>7006483145</v>
      </c>
      <c r="B3483" t="s">
        <v>163</v>
      </c>
      <c r="C3483" t="str">
        <f>_xlfn.XLOOKUP(A3483,[1]Affiliations!$J$2:$J$5328,[1]Affiliations!$K$2:$K$5328,0)</f>
        <v>Federal University of Rio de Janeiro</v>
      </c>
      <c r="D3483">
        <v>40</v>
      </c>
      <c r="E3483">
        <v>892</v>
      </c>
      <c r="F3483">
        <v>22.3</v>
      </c>
      <c r="G3483">
        <v>26</v>
      </c>
      <c r="H3483">
        <v>0.78</v>
      </c>
      <c r="I3483">
        <v>0</v>
      </c>
      <c r="J3483">
        <v>2</v>
      </c>
      <c r="K3483">
        <v>3</v>
      </c>
      <c r="L3483">
        <v>21</v>
      </c>
      <c r="M3483">
        <v>32</v>
      </c>
      <c r="N3483">
        <v>37</v>
      </c>
      <c r="P3483">
        <v>0</v>
      </c>
      <c r="Q3483">
        <v>4</v>
      </c>
      <c r="R3483">
        <v>9</v>
      </c>
      <c r="S3483">
        <v>21</v>
      </c>
    </row>
    <row r="3484" spans="1:19" x14ac:dyDescent="0.35">
      <c r="A3484">
        <v>56662839300</v>
      </c>
      <c r="B3484" t="s">
        <v>288</v>
      </c>
      <c r="C3484" t="str">
        <f>_xlfn.XLOOKUP(A3484,[1]Affiliations!$J$2:$J$5328,[1]Affiliations!$K$2:$K$5328,0)</f>
        <v>UNISINOS (+1 more)</v>
      </c>
      <c r="D3484">
        <v>27</v>
      </c>
      <c r="E3484">
        <v>451</v>
      </c>
      <c r="F3484">
        <v>16.703703000000001</v>
      </c>
      <c r="G3484">
        <v>12</v>
      </c>
      <c r="H3484">
        <v>0.78</v>
      </c>
      <c r="I3484">
        <v>0</v>
      </c>
      <c r="J3484">
        <v>4</v>
      </c>
      <c r="K3484">
        <v>9</v>
      </c>
      <c r="L3484">
        <v>12</v>
      </c>
      <c r="M3484">
        <v>21</v>
      </c>
      <c r="N3484">
        <v>21</v>
      </c>
      <c r="P3484">
        <v>0</v>
      </c>
      <c r="Q3484">
        <v>1</v>
      </c>
      <c r="R3484">
        <v>1</v>
      </c>
      <c r="S3484">
        <v>7</v>
      </c>
    </row>
    <row r="3485" spans="1:19" hidden="1" x14ac:dyDescent="0.35">
      <c r="A3485">
        <v>26026004400</v>
      </c>
      <c r="B3485" t="s">
        <v>3486</v>
      </c>
      <c r="C3485" t="str">
        <f>_xlfn.XLOOKUP(A3485,[1]Affiliations!$J$2:$J$5328,[1]Affiliations!$K$2:$K$5328,0)</f>
        <v>Universidade Federal Fluminense (+1 more)</v>
      </c>
      <c r="D3485">
        <v>11</v>
      </c>
      <c r="E3485">
        <v>64</v>
      </c>
      <c r="F3485">
        <v>5.8181820000000002</v>
      </c>
      <c r="G3485">
        <v>11</v>
      </c>
      <c r="H3485">
        <v>0.62</v>
      </c>
      <c r="I3485">
        <v>0</v>
      </c>
      <c r="J3485">
        <v>0</v>
      </c>
      <c r="K3485">
        <v>0</v>
      </c>
      <c r="L3485">
        <v>1</v>
      </c>
      <c r="M3485">
        <v>4</v>
      </c>
      <c r="N3485">
        <v>6</v>
      </c>
      <c r="P3485">
        <v>0</v>
      </c>
      <c r="Q3485">
        <v>0</v>
      </c>
      <c r="R3485">
        <v>0</v>
      </c>
      <c r="S3485">
        <v>1</v>
      </c>
    </row>
    <row r="3486" spans="1:19" hidden="1" x14ac:dyDescent="0.35">
      <c r="A3486">
        <v>57224981502</v>
      </c>
      <c r="B3486" t="s">
        <v>3487</v>
      </c>
      <c r="C3486" t="str">
        <f>_xlfn.XLOOKUP(A3486,[1]Affiliations!$J$2:$J$5328,[1]Affiliations!$K$2:$K$5328,0)</f>
        <v>Universidade Federal Rural do Rio de Janeiro (+1 more)</v>
      </c>
      <c r="D3486">
        <v>6</v>
      </c>
      <c r="E3486">
        <v>49</v>
      </c>
      <c r="F3486">
        <v>8.1666670000000003</v>
      </c>
      <c r="G3486">
        <v>4</v>
      </c>
      <c r="H3486">
        <v>1.77</v>
      </c>
      <c r="I3486">
        <v>0</v>
      </c>
      <c r="J3486">
        <v>1</v>
      </c>
      <c r="K3486">
        <v>1</v>
      </c>
      <c r="L3486">
        <v>4</v>
      </c>
      <c r="M3486">
        <v>6</v>
      </c>
      <c r="N3486">
        <v>6</v>
      </c>
      <c r="P3486">
        <v>0</v>
      </c>
      <c r="Q3486">
        <v>0</v>
      </c>
      <c r="R3486">
        <v>0</v>
      </c>
      <c r="S3486">
        <v>1</v>
      </c>
    </row>
    <row r="3487" spans="1:19" x14ac:dyDescent="0.35">
      <c r="A3487">
        <v>57219315555</v>
      </c>
      <c r="B3487" t="s">
        <v>391</v>
      </c>
      <c r="C3487" t="str">
        <f>_xlfn.XLOOKUP(A3487,[1]Affiliations!$J$2:$J$5328,[1]Affiliations!$K$2:$K$5328,0)</f>
        <v>Universidade de São Paulo</v>
      </c>
      <c r="D3487">
        <v>14</v>
      </c>
      <c r="E3487">
        <v>141</v>
      </c>
      <c r="F3487">
        <v>10.071427999999999</v>
      </c>
      <c r="G3487">
        <v>6</v>
      </c>
      <c r="H3487">
        <v>0.78</v>
      </c>
      <c r="I3487">
        <v>0</v>
      </c>
      <c r="J3487">
        <v>2</v>
      </c>
      <c r="K3487">
        <v>5</v>
      </c>
      <c r="L3487">
        <v>5</v>
      </c>
      <c r="M3487">
        <v>6</v>
      </c>
      <c r="N3487">
        <v>7</v>
      </c>
      <c r="P3487">
        <v>0</v>
      </c>
      <c r="Q3487">
        <v>1</v>
      </c>
      <c r="R3487">
        <v>3</v>
      </c>
      <c r="S3487">
        <v>6</v>
      </c>
    </row>
    <row r="3488" spans="1:19" x14ac:dyDescent="0.35">
      <c r="A3488">
        <v>6504701878</v>
      </c>
      <c r="B3488" t="s">
        <v>1092</v>
      </c>
      <c r="C3488" t="str">
        <f>_xlfn.XLOOKUP(A3488,[1]Affiliations!$J$2:$J$5328,[1]Affiliations!$K$2:$K$5328,0)</f>
        <v>Universidade de São Paulo</v>
      </c>
      <c r="D3488">
        <v>32</v>
      </c>
      <c r="E3488">
        <v>246</v>
      </c>
      <c r="F3488">
        <v>7.6875</v>
      </c>
      <c r="G3488">
        <v>13</v>
      </c>
      <c r="H3488">
        <v>0.78</v>
      </c>
      <c r="I3488">
        <v>0</v>
      </c>
      <c r="J3488">
        <v>0</v>
      </c>
      <c r="K3488">
        <v>3</v>
      </c>
      <c r="L3488">
        <v>6</v>
      </c>
      <c r="M3488">
        <v>9</v>
      </c>
      <c r="N3488">
        <v>13</v>
      </c>
      <c r="P3488">
        <v>0</v>
      </c>
      <c r="Q3488">
        <v>0</v>
      </c>
      <c r="R3488">
        <v>1</v>
      </c>
      <c r="S3488">
        <v>4</v>
      </c>
    </row>
    <row r="3489" spans="1:19" x14ac:dyDescent="0.35">
      <c r="A3489">
        <v>36878033500</v>
      </c>
      <c r="B3489" t="s">
        <v>1355</v>
      </c>
      <c r="C3489" t="str">
        <f>_xlfn.XLOOKUP(A3489,[1]Affiliations!$J$2:$J$5328,[1]Affiliations!$K$2:$K$5328,0)</f>
        <v>Instituto de Química (+1 more)</v>
      </c>
      <c r="D3489">
        <v>18</v>
      </c>
      <c r="E3489">
        <v>344</v>
      </c>
      <c r="F3489">
        <v>19.11111</v>
      </c>
      <c r="G3489">
        <v>14</v>
      </c>
      <c r="H3489">
        <v>0.78</v>
      </c>
      <c r="I3489">
        <v>0</v>
      </c>
      <c r="J3489">
        <v>2</v>
      </c>
      <c r="K3489">
        <v>3</v>
      </c>
      <c r="L3489">
        <v>10</v>
      </c>
      <c r="M3489">
        <v>16</v>
      </c>
      <c r="N3489">
        <v>18</v>
      </c>
      <c r="P3489">
        <v>0</v>
      </c>
      <c r="Q3489">
        <v>0</v>
      </c>
      <c r="R3489">
        <v>2</v>
      </c>
      <c r="S3489">
        <v>6</v>
      </c>
    </row>
    <row r="3490" spans="1:19" x14ac:dyDescent="0.35">
      <c r="A3490">
        <v>6506316443</v>
      </c>
      <c r="B3490" t="s">
        <v>1504</v>
      </c>
      <c r="C3490" t="str">
        <f>_xlfn.XLOOKUP(A3490,[1]Affiliations!$J$2:$J$5328,[1]Affiliations!$K$2:$K$5328,0)</f>
        <v>DEMa</v>
      </c>
      <c r="D3490">
        <v>58</v>
      </c>
      <c r="E3490">
        <v>832</v>
      </c>
      <c r="F3490">
        <v>14.344828</v>
      </c>
      <c r="G3490">
        <v>20</v>
      </c>
      <c r="H3490">
        <v>0.78</v>
      </c>
      <c r="I3490">
        <v>0</v>
      </c>
      <c r="J3490">
        <v>2</v>
      </c>
      <c r="K3490">
        <v>6</v>
      </c>
      <c r="L3490">
        <v>22</v>
      </c>
      <c r="M3490">
        <v>52</v>
      </c>
      <c r="N3490">
        <v>55</v>
      </c>
      <c r="P3490">
        <v>0</v>
      </c>
      <c r="Q3490">
        <v>1</v>
      </c>
      <c r="R3490">
        <v>5</v>
      </c>
      <c r="S3490">
        <v>16</v>
      </c>
    </row>
    <row r="3491" spans="1:19" hidden="1" x14ac:dyDescent="0.35">
      <c r="A3491">
        <v>57198320445</v>
      </c>
      <c r="B3491" t="s">
        <v>3492</v>
      </c>
      <c r="C3491" t="str">
        <f>_xlfn.XLOOKUP(A3491,[1]Affiliations!$J$2:$J$5328,[1]Affiliations!$K$2:$K$5328,0)</f>
        <v>Pontifical Catholic University of Rio de Janeiro</v>
      </c>
      <c r="D3491">
        <v>2</v>
      </c>
      <c r="E3491">
        <v>4</v>
      </c>
      <c r="F3491">
        <v>2</v>
      </c>
      <c r="G3491">
        <v>2</v>
      </c>
      <c r="H3491">
        <v>0.14000000000000001</v>
      </c>
      <c r="I3491">
        <v>0</v>
      </c>
      <c r="J3491">
        <v>0</v>
      </c>
      <c r="K3491">
        <v>1</v>
      </c>
      <c r="L3491">
        <v>1</v>
      </c>
      <c r="M3491">
        <v>1</v>
      </c>
      <c r="N3491">
        <v>1</v>
      </c>
      <c r="P3491">
        <v>0</v>
      </c>
      <c r="Q3491">
        <v>0</v>
      </c>
      <c r="R3491">
        <v>0</v>
      </c>
      <c r="S3491">
        <v>0</v>
      </c>
    </row>
    <row r="3492" spans="1:19" hidden="1" x14ac:dyDescent="0.35">
      <c r="A3492">
        <v>57089943700</v>
      </c>
      <c r="B3492" t="s">
        <v>3493</v>
      </c>
      <c r="C3492" t="str">
        <f>_xlfn.XLOOKUP(A3492,[1]Affiliations!$J$2:$J$5328,[1]Affiliations!$K$2:$K$5328,0)</f>
        <v>Universidade Federal do Ceará</v>
      </c>
      <c r="D3492">
        <v>20</v>
      </c>
      <c r="E3492">
        <v>27</v>
      </c>
      <c r="F3492">
        <v>1.35</v>
      </c>
      <c r="G3492">
        <v>3</v>
      </c>
      <c r="H3492">
        <v>7.0000000000000007E-2</v>
      </c>
      <c r="I3492">
        <v>0</v>
      </c>
      <c r="J3492">
        <v>0</v>
      </c>
      <c r="K3492">
        <v>0</v>
      </c>
      <c r="L3492">
        <v>1</v>
      </c>
      <c r="M3492">
        <v>2</v>
      </c>
      <c r="N3492">
        <v>4</v>
      </c>
      <c r="P3492">
        <v>0</v>
      </c>
      <c r="Q3492">
        <v>0</v>
      </c>
      <c r="R3492">
        <v>0</v>
      </c>
      <c r="S3492">
        <v>0</v>
      </c>
    </row>
    <row r="3493" spans="1:19" x14ac:dyDescent="0.35">
      <c r="A3493">
        <v>7202169816</v>
      </c>
      <c r="B3493" t="s">
        <v>1789</v>
      </c>
      <c r="C3493" t="str">
        <f>_xlfn.XLOOKUP(A3493,[1]Affiliations!$J$2:$J$5328,[1]Affiliations!$K$2:$K$5328,0)</f>
        <v>Universidade Tecnológica Federal do Paraná</v>
      </c>
      <c r="D3493">
        <v>61</v>
      </c>
      <c r="E3493">
        <v>606</v>
      </c>
      <c r="F3493">
        <v>9.9344260000000002</v>
      </c>
      <c r="G3493">
        <v>22</v>
      </c>
      <c r="H3493">
        <v>0.78</v>
      </c>
      <c r="I3493">
        <v>3</v>
      </c>
      <c r="J3493">
        <v>4</v>
      </c>
      <c r="K3493">
        <v>11</v>
      </c>
      <c r="L3493">
        <v>18</v>
      </c>
      <c r="M3493">
        <v>29</v>
      </c>
      <c r="N3493">
        <v>33</v>
      </c>
      <c r="P3493">
        <v>0</v>
      </c>
      <c r="Q3493">
        <v>0</v>
      </c>
      <c r="R3493">
        <v>1</v>
      </c>
      <c r="S3493">
        <v>13</v>
      </c>
    </row>
    <row r="3494" spans="1:19" hidden="1" x14ac:dyDescent="0.35">
      <c r="A3494">
        <v>26431032300</v>
      </c>
      <c r="B3494" t="s">
        <v>3495</v>
      </c>
      <c r="C3494" t="str">
        <f>_xlfn.XLOOKUP(A3494,[1]Affiliations!$J$2:$J$5328,[1]Affiliations!$K$2:$K$5328,0)</f>
        <v>Universidade Federal de Uberlândia</v>
      </c>
      <c r="D3494">
        <v>1</v>
      </c>
      <c r="E3494">
        <v>1</v>
      </c>
      <c r="F3494">
        <v>1</v>
      </c>
      <c r="G3494">
        <v>3</v>
      </c>
      <c r="H3494">
        <v>0.7</v>
      </c>
      <c r="P3494">
        <v>0</v>
      </c>
      <c r="Q3494">
        <v>0</v>
      </c>
      <c r="R3494">
        <v>0</v>
      </c>
      <c r="S3494">
        <v>0</v>
      </c>
    </row>
    <row r="3495" spans="1:19" hidden="1" x14ac:dyDescent="0.35">
      <c r="A3495">
        <v>56430686300</v>
      </c>
      <c r="B3495" t="s">
        <v>3496</v>
      </c>
      <c r="C3495" t="str">
        <f>_xlfn.XLOOKUP(A3495,[1]Affiliations!$J$2:$J$5328,[1]Affiliations!$K$2:$K$5328,0)</f>
        <v>Federal University of Santa Catarina</v>
      </c>
      <c r="D3495">
        <v>2</v>
      </c>
      <c r="E3495">
        <v>3</v>
      </c>
      <c r="F3495">
        <v>1.5</v>
      </c>
      <c r="G3495">
        <v>2</v>
      </c>
      <c r="H3495">
        <v>0.51</v>
      </c>
      <c r="P3495">
        <v>0</v>
      </c>
      <c r="Q3495">
        <v>0</v>
      </c>
      <c r="R3495">
        <v>0</v>
      </c>
      <c r="S3495">
        <v>0</v>
      </c>
    </row>
    <row r="3496" spans="1:19" hidden="1" x14ac:dyDescent="0.35">
      <c r="A3496">
        <v>57221752834</v>
      </c>
      <c r="B3496" t="s">
        <v>3497</v>
      </c>
      <c r="C3496" t="str">
        <f>_xlfn.XLOOKUP(A3496,[1]Affiliations!$J$2:$J$5328,[1]Affiliations!$K$2:$K$5328,0)</f>
        <v>Universidade Tecnológica Federal do Paraná</v>
      </c>
      <c r="D3496">
        <v>1</v>
      </c>
      <c r="E3496">
        <v>17</v>
      </c>
      <c r="F3496">
        <v>17</v>
      </c>
      <c r="G3496">
        <v>1</v>
      </c>
      <c r="H3496">
        <v>0.75</v>
      </c>
      <c r="I3496">
        <v>0</v>
      </c>
      <c r="J3496">
        <v>0</v>
      </c>
      <c r="K3496">
        <v>1</v>
      </c>
      <c r="L3496">
        <v>1</v>
      </c>
      <c r="M3496">
        <v>1</v>
      </c>
      <c r="N3496">
        <v>1</v>
      </c>
      <c r="P3496">
        <v>0</v>
      </c>
      <c r="Q3496">
        <v>0</v>
      </c>
      <c r="R3496">
        <v>0</v>
      </c>
      <c r="S3496">
        <v>1</v>
      </c>
    </row>
    <row r="3497" spans="1:19" hidden="1" x14ac:dyDescent="0.35">
      <c r="A3497">
        <v>36473857600</v>
      </c>
      <c r="B3497" t="s">
        <v>3498</v>
      </c>
      <c r="C3497" t="str">
        <f>_xlfn.XLOOKUP(A3497,[1]Affiliations!$J$2:$J$5328,[1]Affiliations!$K$2:$K$5328,0)</f>
        <v>University of Campinas</v>
      </c>
      <c r="D3497">
        <v>3</v>
      </c>
      <c r="E3497">
        <v>48</v>
      </c>
      <c r="F3497">
        <v>16</v>
      </c>
      <c r="G3497">
        <v>6</v>
      </c>
      <c r="H3497">
        <v>0.55000000000000004</v>
      </c>
      <c r="I3497">
        <v>0</v>
      </c>
      <c r="J3497">
        <v>1</v>
      </c>
      <c r="K3497">
        <v>2</v>
      </c>
      <c r="L3497">
        <v>2</v>
      </c>
      <c r="M3497">
        <v>2</v>
      </c>
      <c r="N3497">
        <v>3</v>
      </c>
      <c r="P3497">
        <v>0</v>
      </c>
      <c r="Q3497">
        <v>0</v>
      </c>
      <c r="R3497">
        <v>0</v>
      </c>
      <c r="S3497">
        <v>1</v>
      </c>
    </row>
    <row r="3498" spans="1:19" hidden="1" x14ac:dyDescent="0.35">
      <c r="A3498">
        <v>56896999000</v>
      </c>
      <c r="B3498" t="s">
        <v>3499</v>
      </c>
      <c r="C3498" t="str">
        <f>_xlfn.XLOOKUP(A3498,[1]Affiliations!$J$2:$J$5328,[1]Affiliations!$K$2:$K$5328,0)</f>
        <v>Federal University of Rio de Janeiro</v>
      </c>
      <c r="D3498">
        <v>1</v>
      </c>
      <c r="E3498">
        <v>20</v>
      </c>
      <c r="F3498">
        <v>20</v>
      </c>
      <c r="G3498">
        <v>1</v>
      </c>
      <c r="H3498">
        <v>1.1599999999999999</v>
      </c>
      <c r="I3498">
        <v>0</v>
      </c>
      <c r="J3498">
        <v>0</v>
      </c>
      <c r="K3498">
        <v>1</v>
      </c>
      <c r="L3498">
        <v>1</v>
      </c>
      <c r="M3498">
        <v>1</v>
      </c>
      <c r="N3498">
        <v>1</v>
      </c>
      <c r="P3498">
        <v>0</v>
      </c>
      <c r="Q3498">
        <v>0</v>
      </c>
      <c r="R3498">
        <v>0</v>
      </c>
      <c r="S3498">
        <v>0</v>
      </c>
    </row>
    <row r="3499" spans="1:19" x14ac:dyDescent="0.35">
      <c r="A3499">
        <v>6701758360</v>
      </c>
      <c r="B3499" t="s">
        <v>2352</v>
      </c>
      <c r="C3499" t="str">
        <f>_xlfn.XLOOKUP(A3499,[1]Affiliations!$J$2:$J$5328,[1]Affiliations!$K$2:$K$5328,0)</f>
        <v>Universidade de São Paulo</v>
      </c>
      <c r="D3499">
        <v>101</v>
      </c>
      <c r="E3499">
        <v>617</v>
      </c>
      <c r="F3499">
        <v>6.108911</v>
      </c>
      <c r="G3499">
        <v>23</v>
      </c>
      <c r="H3499">
        <v>0.78</v>
      </c>
      <c r="I3499">
        <v>2</v>
      </c>
      <c r="J3499">
        <v>10</v>
      </c>
      <c r="K3499">
        <v>21</v>
      </c>
      <c r="L3499">
        <v>31</v>
      </c>
      <c r="M3499">
        <v>47</v>
      </c>
      <c r="N3499">
        <v>64</v>
      </c>
      <c r="P3499">
        <v>0</v>
      </c>
      <c r="Q3499">
        <v>0</v>
      </c>
      <c r="R3499">
        <v>2</v>
      </c>
      <c r="S3499">
        <v>10</v>
      </c>
    </row>
    <row r="3500" spans="1:19" hidden="1" x14ac:dyDescent="0.35">
      <c r="A3500">
        <v>35730239200</v>
      </c>
      <c r="B3500" t="s">
        <v>3501</v>
      </c>
      <c r="C3500" t="str">
        <f>_xlfn.XLOOKUP(A3500,[1]Affiliations!$J$2:$J$5328,[1]Affiliations!$K$2:$K$5328,0)</f>
        <v>Universidade de São Paulo</v>
      </c>
      <c r="D3500">
        <v>16</v>
      </c>
      <c r="E3500">
        <v>133</v>
      </c>
      <c r="F3500">
        <v>8.3125</v>
      </c>
      <c r="G3500">
        <v>7</v>
      </c>
      <c r="H3500">
        <v>0.57999999999999996</v>
      </c>
      <c r="I3500">
        <v>1</v>
      </c>
      <c r="J3500">
        <v>2</v>
      </c>
      <c r="K3500">
        <v>5</v>
      </c>
      <c r="L3500">
        <v>8</v>
      </c>
      <c r="M3500">
        <v>9</v>
      </c>
      <c r="N3500">
        <v>14</v>
      </c>
      <c r="P3500">
        <v>0</v>
      </c>
      <c r="Q3500">
        <v>0</v>
      </c>
      <c r="R3500">
        <v>0</v>
      </c>
      <c r="S3500">
        <v>3</v>
      </c>
    </row>
    <row r="3501" spans="1:19" hidden="1" x14ac:dyDescent="0.35">
      <c r="A3501">
        <v>57211367881</v>
      </c>
      <c r="B3501" t="s">
        <v>3502</v>
      </c>
      <c r="C3501" t="str">
        <f>_xlfn.XLOOKUP(A3501,[1]Affiliations!$J$2:$J$5328,[1]Affiliations!$K$2:$K$5328,0)</f>
        <v>Universidade Federal do Rio Grande do Norte (+1 more)</v>
      </c>
      <c r="D3501">
        <v>8</v>
      </c>
      <c r="E3501">
        <v>63</v>
      </c>
      <c r="F3501">
        <v>7.875</v>
      </c>
      <c r="G3501">
        <v>6</v>
      </c>
      <c r="H3501">
        <v>0.32</v>
      </c>
      <c r="I3501">
        <v>0</v>
      </c>
      <c r="J3501">
        <v>0</v>
      </c>
      <c r="K3501">
        <v>1</v>
      </c>
      <c r="L3501">
        <v>5</v>
      </c>
      <c r="M3501">
        <v>8</v>
      </c>
      <c r="N3501">
        <v>8</v>
      </c>
      <c r="P3501">
        <v>0</v>
      </c>
      <c r="Q3501">
        <v>0</v>
      </c>
      <c r="R3501">
        <v>0</v>
      </c>
      <c r="S3501">
        <v>0</v>
      </c>
    </row>
    <row r="3502" spans="1:19" hidden="1" x14ac:dyDescent="0.35">
      <c r="A3502">
        <v>59251253200</v>
      </c>
      <c r="B3502" t="s">
        <v>3503</v>
      </c>
      <c r="C3502" t="str">
        <f>_xlfn.XLOOKUP(A3502,[1]Affiliations!$J$2:$J$5328,[1]Affiliations!$K$2:$K$5328,0)</f>
        <v>Universidade Federal de Minas Gerais</v>
      </c>
      <c r="D3502">
        <v>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1</v>
      </c>
      <c r="N3502">
        <v>1</v>
      </c>
      <c r="P3502">
        <v>0</v>
      </c>
      <c r="Q3502">
        <v>0</v>
      </c>
      <c r="R3502">
        <v>0</v>
      </c>
      <c r="S3502">
        <v>0</v>
      </c>
    </row>
    <row r="3503" spans="1:19" hidden="1" x14ac:dyDescent="0.35">
      <c r="A3503">
        <v>6505890105</v>
      </c>
      <c r="B3503" t="s">
        <v>3504</v>
      </c>
      <c r="C3503" t="str">
        <f>_xlfn.XLOOKUP(A3503,[1]Affiliations!$J$2:$J$5328,[1]Affiliations!$K$2:$K$5328,0)</f>
        <v>KONGSBERG</v>
      </c>
      <c r="D3503">
        <v>2</v>
      </c>
      <c r="E3503">
        <v>3</v>
      </c>
      <c r="F3503">
        <v>1.5</v>
      </c>
      <c r="G3503">
        <v>5</v>
      </c>
      <c r="H3503">
        <v>0.87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P3503">
        <v>0</v>
      </c>
      <c r="Q3503">
        <v>0</v>
      </c>
      <c r="R3503">
        <v>0</v>
      </c>
      <c r="S3503">
        <v>0</v>
      </c>
    </row>
    <row r="3504" spans="1:19" x14ac:dyDescent="0.35">
      <c r="A3504">
        <v>57220885092</v>
      </c>
      <c r="B3504" t="s">
        <v>2466</v>
      </c>
      <c r="C3504" t="str">
        <f>_xlfn.XLOOKUP(A3504,[1]Affiliations!$J$2:$J$5328,[1]Affiliations!$K$2:$K$5328,0)</f>
        <v>Federal University of Santa Catarina</v>
      </c>
      <c r="D3504">
        <v>53</v>
      </c>
      <c r="E3504">
        <v>1322</v>
      </c>
      <c r="F3504">
        <v>24.943396</v>
      </c>
      <c r="G3504">
        <v>18</v>
      </c>
      <c r="H3504">
        <v>0.78</v>
      </c>
      <c r="I3504">
        <v>2</v>
      </c>
      <c r="J3504">
        <v>8</v>
      </c>
      <c r="K3504">
        <v>21</v>
      </c>
      <c r="L3504">
        <v>37</v>
      </c>
      <c r="M3504">
        <v>48</v>
      </c>
      <c r="N3504">
        <v>50</v>
      </c>
      <c r="P3504">
        <v>1</v>
      </c>
      <c r="Q3504">
        <v>3</v>
      </c>
      <c r="R3504">
        <v>6</v>
      </c>
      <c r="S3504">
        <v>23</v>
      </c>
    </row>
    <row r="3505" spans="1:19" x14ac:dyDescent="0.35">
      <c r="A3505">
        <v>55871123021</v>
      </c>
      <c r="B3505" t="s">
        <v>2560</v>
      </c>
      <c r="C3505" t="str">
        <f>_xlfn.XLOOKUP(A3505,[1]Affiliations!$J$2:$J$5328,[1]Affiliations!$K$2:$K$5328,0)</f>
        <v>Universidade Federal de Pernambuco</v>
      </c>
      <c r="D3505">
        <v>44</v>
      </c>
      <c r="E3505">
        <v>365</v>
      </c>
      <c r="F3505">
        <v>8.2954550000000005</v>
      </c>
      <c r="G3505">
        <v>19</v>
      </c>
      <c r="H3505">
        <v>0.78</v>
      </c>
      <c r="I3505">
        <v>1</v>
      </c>
      <c r="J3505">
        <v>5</v>
      </c>
      <c r="K3505">
        <v>9</v>
      </c>
      <c r="L3505">
        <v>15</v>
      </c>
      <c r="M3505">
        <v>19</v>
      </c>
      <c r="N3505">
        <v>23</v>
      </c>
      <c r="P3505">
        <v>0</v>
      </c>
      <c r="Q3505">
        <v>0</v>
      </c>
      <c r="R3505">
        <v>1</v>
      </c>
      <c r="S3505">
        <v>12</v>
      </c>
    </row>
    <row r="3506" spans="1:19" x14ac:dyDescent="0.35">
      <c r="A3506">
        <v>36462533600</v>
      </c>
      <c r="B3506" t="s">
        <v>2586</v>
      </c>
      <c r="C3506" t="str">
        <f>_xlfn.XLOOKUP(A3506,[1]Affiliations!$J$2:$J$5328,[1]Affiliations!$K$2:$K$5328,0)</f>
        <v>University of Campinas (+7 more)</v>
      </c>
      <c r="D3506">
        <v>55</v>
      </c>
      <c r="E3506">
        <v>972</v>
      </c>
      <c r="F3506">
        <v>17.672727999999999</v>
      </c>
      <c r="G3506">
        <v>25</v>
      </c>
      <c r="H3506">
        <v>0.78</v>
      </c>
      <c r="I3506">
        <v>0</v>
      </c>
      <c r="J3506">
        <v>8</v>
      </c>
      <c r="K3506">
        <v>17</v>
      </c>
      <c r="L3506">
        <v>36</v>
      </c>
      <c r="M3506">
        <v>41</v>
      </c>
      <c r="N3506">
        <v>44</v>
      </c>
      <c r="P3506">
        <v>0</v>
      </c>
      <c r="Q3506">
        <v>2</v>
      </c>
      <c r="R3506">
        <v>5</v>
      </c>
      <c r="S3506">
        <v>23</v>
      </c>
    </row>
    <row r="3507" spans="1:19" hidden="1" x14ac:dyDescent="0.35">
      <c r="A3507">
        <v>57217226864</v>
      </c>
      <c r="B3507" t="s">
        <v>3508</v>
      </c>
      <c r="C3507" t="str">
        <f>_xlfn.XLOOKUP(A3507,[1]Affiliations!$J$2:$J$5328,[1]Affiliations!$K$2:$K$5328,0)</f>
        <v>Vizlab - X-Reality and GeoInformatics Lab</v>
      </c>
      <c r="D3507">
        <v>6</v>
      </c>
      <c r="E3507">
        <v>9</v>
      </c>
      <c r="F3507">
        <v>1.5</v>
      </c>
      <c r="G3507">
        <v>2</v>
      </c>
      <c r="H3507">
        <v>0.12</v>
      </c>
      <c r="I3507">
        <v>0</v>
      </c>
      <c r="J3507">
        <v>0</v>
      </c>
      <c r="K3507">
        <v>2</v>
      </c>
      <c r="L3507">
        <v>3</v>
      </c>
      <c r="M3507">
        <v>3</v>
      </c>
      <c r="N3507">
        <v>6</v>
      </c>
      <c r="P3507">
        <v>0</v>
      </c>
      <c r="Q3507">
        <v>0</v>
      </c>
      <c r="R3507">
        <v>0</v>
      </c>
      <c r="S3507">
        <v>0</v>
      </c>
    </row>
    <row r="3508" spans="1:19" x14ac:dyDescent="0.35">
      <c r="A3508">
        <v>57210920444</v>
      </c>
      <c r="B3508" t="s">
        <v>2621</v>
      </c>
      <c r="C3508" t="str">
        <f>_xlfn.XLOOKUP(A3508,[1]Affiliations!$J$2:$J$5328,[1]Affiliations!$K$2:$K$5328,0)</f>
        <v>X-Reality GeoInformatics Lab Unisinos University (+2 more)</v>
      </c>
      <c r="D3508">
        <v>24</v>
      </c>
      <c r="E3508">
        <v>186</v>
      </c>
      <c r="F3508">
        <v>7.75</v>
      </c>
      <c r="G3508">
        <v>7</v>
      </c>
      <c r="H3508">
        <v>0.78</v>
      </c>
      <c r="I3508">
        <v>1</v>
      </c>
      <c r="J3508">
        <v>2</v>
      </c>
      <c r="K3508">
        <v>5</v>
      </c>
      <c r="L3508">
        <v>8</v>
      </c>
      <c r="M3508">
        <v>9</v>
      </c>
      <c r="N3508">
        <v>20</v>
      </c>
      <c r="P3508">
        <v>0</v>
      </c>
      <c r="Q3508">
        <v>0</v>
      </c>
      <c r="R3508">
        <v>2</v>
      </c>
      <c r="S3508">
        <v>5</v>
      </c>
    </row>
    <row r="3509" spans="1:19" x14ac:dyDescent="0.35">
      <c r="A3509">
        <v>6602116500</v>
      </c>
      <c r="B3509" t="s">
        <v>2663</v>
      </c>
      <c r="C3509" t="str">
        <f>_xlfn.XLOOKUP(A3509,[1]Affiliations!$J$2:$J$5328,[1]Affiliations!$K$2:$K$5328,0)</f>
        <v>Universidade Federal do Rio Grande do Sul</v>
      </c>
      <c r="D3509">
        <v>20</v>
      </c>
      <c r="E3509">
        <v>284</v>
      </c>
      <c r="F3509">
        <v>14.2</v>
      </c>
      <c r="G3509">
        <v>13</v>
      </c>
      <c r="H3509">
        <v>0.78</v>
      </c>
      <c r="I3509">
        <v>1</v>
      </c>
      <c r="J3509">
        <v>2</v>
      </c>
      <c r="K3509">
        <v>5</v>
      </c>
      <c r="L3509">
        <v>11</v>
      </c>
      <c r="M3509">
        <v>16</v>
      </c>
      <c r="N3509">
        <v>17</v>
      </c>
      <c r="P3509">
        <v>0</v>
      </c>
      <c r="Q3509">
        <v>0</v>
      </c>
      <c r="R3509">
        <v>1</v>
      </c>
      <c r="S3509">
        <v>6</v>
      </c>
    </row>
    <row r="3510" spans="1:19" x14ac:dyDescent="0.35">
      <c r="A3510">
        <v>23985526900</v>
      </c>
      <c r="B3510" t="s">
        <v>3020</v>
      </c>
      <c r="C3510" t="str">
        <f>_xlfn.XLOOKUP(A3510,[1]Affiliations!$J$2:$J$5328,[1]Affiliations!$K$2:$K$5328,0)</f>
        <v>DEMa</v>
      </c>
      <c r="D3510">
        <v>81</v>
      </c>
      <c r="E3510">
        <v>1675</v>
      </c>
      <c r="F3510">
        <v>20.679012</v>
      </c>
      <c r="G3510">
        <v>33</v>
      </c>
      <c r="H3510">
        <v>0.78</v>
      </c>
      <c r="I3510">
        <v>0</v>
      </c>
      <c r="J3510">
        <v>3</v>
      </c>
      <c r="K3510">
        <v>7</v>
      </c>
      <c r="L3510">
        <v>54</v>
      </c>
      <c r="M3510">
        <v>64</v>
      </c>
      <c r="N3510">
        <v>71</v>
      </c>
      <c r="P3510">
        <v>0</v>
      </c>
      <c r="Q3510">
        <v>0</v>
      </c>
      <c r="R3510">
        <v>9</v>
      </c>
      <c r="S3510">
        <v>47</v>
      </c>
    </row>
    <row r="3511" spans="1:19" x14ac:dyDescent="0.35">
      <c r="A3511">
        <v>55534282400</v>
      </c>
      <c r="B3511" t="s">
        <v>3214</v>
      </c>
      <c r="C3511" t="str">
        <f>_xlfn.XLOOKUP(A3511,[1]Affiliations!$J$2:$J$5328,[1]Affiliations!$K$2:$K$5328,0)</f>
        <v>Instituto Nacional de Tecnologia (+1 more)</v>
      </c>
      <c r="D3511">
        <v>6</v>
      </c>
      <c r="E3511">
        <v>135</v>
      </c>
      <c r="F3511">
        <v>22.5</v>
      </c>
      <c r="G3511">
        <v>6</v>
      </c>
      <c r="H3511">
        <v>0.78</v>
      </c>
      <c r="I3511">
        <v>0</v>
      </c>
      <c r="J3511">
        <v>2</v>
      </c>
      <c r="K3511">
        <v>4</v>
      </c>
      <c r="L3511">
        <v>5</v>
      </c>
      <c r="M3511">
        <v>6</v>
      </c>
      <c r="N3511">
        <v>6</v>
      </c>
      <c r="P3511">
        <v>0</v>
      </c>
      <c r="Q3511">
        <v>0</v>
      </c>
      <c r="R3511">
        <v>1</v>
      </c>
      <c r="S3511">
        <v>4</v>
      </c>
    </row>
    <row r="3512" spans="1:19" x14ac:dyDescent="0.35">
      <c r="A3512">
        <v>7801613046</v>
      </c>
      <c r="B3512" t="s">
        <v>3260</v>
      </c>
      <c r="C3512" t="str">
        <f>_xlfn.XLOOKUP(A3512,[1]Affiliations!$J$2:$J$5328,[1]Affiliations!$K$2:$K$5328,0)</f>
        <v>Pontifícia Universidade Católica do Rio Grande do Sul</v>
      </c>
      <c r="D3512">
        <v>17</v>
      </c>
      <c r="E3512">
        <v>292</v>
      </c>
      <c r="F3512">
        <v>17.176469999999998</v>
      </c>
      <c r="G3512">
        <v>13</v>
      </c>
      <c r="H3512">
        <v>0.78</v>
      </c>
      <c r="I3512">
        <v>0</v>
      </c>
      <c r="J3512">
        <v>0</v>
      </c>
      <c r="K3512">
        <v>2</v>
      </c>
      <c r="L3512">
        <v>7</v>
      </c>
      <c r="M3512">
        <v>12</v>
      </c>
      <c r="N3512">
        <v>17</v>
      </c>
      <c r="P3512">
        <v>0</v>
      </c>
      <c r="Q3512">
        <v>0</v>
      </c>
      <c r="R3512">
        <v>1</v>
      </c>
      <c r="S3512">
        <v>4</v>
      </c>
    </row>
    <row r="3513" spans="1:19" hidden="1" x14ac:dyDescent="0.35">
      <c r="A3513">
        <v>7007037185</v>
      </c>
      <c r="B3513" t="s">
        <v>3514</v>
      </c>
      <c r="C3513" t="str">
        <f>_xlfn.XLOOKUP(A3513,[1]Affiliations!$J$2:$J$5328,[1]Affiliations!$K$2:$K$5328,0)</f>
        <v>Laboratório Nacional de Computação Científica</v>
      </c>
      <c r="D3513">
        <v>6</v>
      </c>
      <c r="E3513">
        <v>32</v>
      </c>
      <c r="F3513">
        <v>5.3333335000000002</v>
      </c>
      <c r="G3513">
        <v>19</v>
      </c>
      <c r="H3513">
        <v>0.87</v>
      </c>
      <c r="I3513">
        <v>0</v>
      </c>
      <c r="J3513">
        <v>2</v>
      </c>
      <c r="K3513">
        <v>3</v>
      </c>
      <c r="L3513">
        <v>3</v>
      </c>
      <c r="M3513">
        <v>4</v>
      </c>
      <c r="N3513">
        <v>4</v>
      </c>
      <c r="P3513">
        <v>0</v>
      </c>
      <c r="Q3513">
        <v>0</v>
      </c>
      <c r="R3513">
        <v>0</v>
      </c>
      <c r="S3513">
        <v>0</v>
      </c>
    </row>
    <row r="3514" spans="1:19" hidden="1" x14ac:dyDescent="0.35">
      <c r="A3514">
        <v>56243150900</v>
      </c>
      <c r="B3514" t="s">
        <v>3515</v>
      </c>
      <c r="C3514" t="str">
        <f>_xlfn.XLOOKUP(A3514,[1]Affiliations!$J$2:$J$5328,[1]Affiliations!$K$2:$K$5328,0)</f>
        <v>Laboratório Nacional de Computação Científica (LNCC-MCT) (+1 more)</v>
      </c>
      <c r="D3514">
        <v>29</v>
      </c>
      <c r="E3514">
        <v>200</v>
      </c>
      <c r="F3514">
        <v>6.8965515999999996</v>
      </c>
      <c r="G3514">
        <v>9</v>
      </c>
      <c r="H3514">
        <v>0.65</v>
      </c>
      <c r="I3514">
        <v>0</v>
      </c>
      <c r="J3514">
        <v>1</v>
      </c>
      <c r="K3514">
        <v>10</v>
      </c>
      <c r="L3514">
        <v>19</v>
      </c>
      <c r="M3514">
        <v>19</v>
      </c>
      <c r="N3514">
        <v>19</v>
      </c>
      <c r="P3514">
        <v>0</v>
      </c>
      <c r="Q3514">
        <v>0</v>
      </c>
      <c r="R3514">
        <v>0</v>
      </c>
      <c r="S3514">
        <v>2</v>
      </c>
    </row>
    <row r="3515" spans="1:19" x14ac:dyDescent="0.35">
      <c r="A3515">
        <v>57203369338</v>
      </c>
      <c r="B3515" t="s">
        <v>3480</v>
      </c>
      <c r="C3515" t="str">
        <f>_xlfn.XLOOKUP(A3515,[1]Affiliations!$J$2:$J$5328,[1]Affiliations!$K$2:$K$5328,0)</f>
        <v>Federal University of Rio de Janeiro</v>
      </c>
      <c r="D3515">
        <v>7</v>
      </c>
      <c r="E3515">
        <v>165</v>
      </c>
      <c r="F3515">
        <v>23.571428000000001</v>
      </c>
      <c r="G3515">
        <v>6</v>
      </c>
      <c r="H3515">
        <v>0.78</v>
      </c>
      <c r="I3515">
        <v>1</v>
      </c>
      <c r="J3515">
        <v>2</v>
      </c>
      <c r="K3515">
        <v>4</v>
      </c>
      <c r="L3515">
        <v>6</v>
      </c>
      <c r="M3515">
        <v>7</v>
      </c>
      <c r="N3515">
        <v>7</v>
      </c>
      <c r="P3515">
        <v>0</v>
      </c>
      <c r="Q3515">
        <v>1</v>
      </c>
      <c r="R3515">
        <v>2</v>
      </c>
      <c r="S3515">
        <v>4</v>
      </c>
    </row>
    <row r="3516" spans="1:19" hidden="1" x14ac:dyDescent="0.35">
      <c r="A3516">
        <v>57218700820</v>
      </c>
      <c r="B3516" t="s">
        <v>3517</v>
      </c>
      <c r="C3516" t="str">
        <f>_xlfn.XLOOKUP(A3516,[1]Affiliations!$J$2:$J$5328,[1]Affiliations!$K$2:$K$5328,0)</f>
        <v>Universidade Estadual Paulista “Júlio de Mesquita Filho”</v>
      </c>
      <c r="D3516">
        <v>4</v>
      </c>
      <c r="E3516">
        <v>19</v>
      </c>
      <c r="F3516">
        <v>4.75</v>
      </c>
      <c r="G3516">
        <v>2</v>
      </c>
      <c r="H3516">
        <v>0.96</v>
      </c>
      <c r="I3516">
        <v>0</v>
      </c>
      <c r="J3516">
        <v>0</v>
      </c>
      <c r="K3516">
        <v>0</v>
      </c>
      <c r="L3516">
        <v>0</v>
      </c>
      <c r="M3516">
        <v>2</v>
      </c>
      <c r="N3516">
        <v>3</v>
      </c>
      <c r="P3516">
        <v>0</v>
      </c>
      <c r="Q3516">
        <v>0</v>
      </c>
      <c r="R3516">
        <v>0</v>
      </c>
      <c r="S3516">
        <v>0</v>
      </c>
    </row>
    <row r="3517" spans="1:19" hidden="1" x14ac:dyDescent="0.35">
      <c r="A3517">
        <v>57191446394</v>
      </c>
      <c r="B3517" t="s">
        <v>3518</v>
      </c>
      <c r="C3517" t="str">
        <f>_xlfn.XLOOKUP(A3517,[1]Affiliations!$J$2:$J$5328,[1]Affiliations!$K$2:$K$5328,0)</f>
        <v>Centro Nacional de Pesquisa em Energia e Materiais</v>
      </c>
      <c r="D3517">
        <v>4</v>
      </c>
      <c r="E3517">
        <v>110</v>
      </c>
      <c r="F3517">
        <v>27.5</v>
      </c>
      <c r="G3517">
        <v>2</v>
      </c>
      <c r="H3517">
        <v>1.1000000000000001</v>
      </c>
      <c r="I3517">
        <v>0</v>
      </c>
      <c r="J3517">
        <v>2</v>
      </c>
      <c r="K3517">
        <v>3</v>
      </c>
      <c r="L3517">
        <v>3</v>
      </c>
      <c r="M3517">
        <v>3</v>
      </c>
      <c r="N3517">
        <v>3</v>
      </c>
      <c r="P3517">
        <v>0</v>
      </c>
      <c r="Q3517">
        <v>0</v>
      </c>
      <c r="R3517">
        <v>1</v>
      </c>
      <c r="S3517">
        <v>2</v>
      </c>
    </row>
    <row r="3518" spans="1:19" x14ac:dyDescent="0.35">
      <c r="A3518">
        <v>57190272801</v>
      </c>
      <c r="B3518" t="s">
        <v>3666</v>
      </c>
      <c r="C3518" t="str">
        <f>_xlfn.XLOOKUP(A3518,[1]Affiliations!$J$2:$J$5328,[1]Affiliations!$K$2:$K$5328,0)</f>
        <v>Universidade Federal do Rio Grande do Norte</v>
      </c>
      <c r="D3518">
        <v>13</v>
      </c>
      <c r="E3518">
        <v>200</v>
      </c>
      <c r="F3518">
        <v>15.384615</v>
      </c>
      <c r="G3518">
        <v>7</v>
      </c>
      <c r="H3518">
        <v>0.78</v>
      </c>
      <c r="I3518">
        <v>0</v>
      </c>
      <c r="J3518">
        <v>0</v>
      </c>
      <c r="K3518">
        <v>2</v>
      </c>
      <c r="L3518">
        <v>10</v>
      </c>
      <c r="M3518">
        <v>10</v>
      </c>
      <c r="N3518">
        <v>10</v>
      </c>
      <c r="P3518">
        <v>0</v>
      </c>
      <c r="Q3518">
        <v>2</v>
      </c>
      <c r="R3518">
        <v>3</v>
      </c>
      <c r="S3518">
        <v>4</v>
      </c>
    </row>
    <row r="3519" spans="1:19" hidden="1" x14ac:dyDescent="0.35">
      <c r="A3519">
        <v>58026150400</v>
      </c>
      <c r="B3519" t="s">
        <v>3520</v>
      </c>
      <c r="C3519" t="str">
        <f>_xlfn.XLOOKUP(A3519,[1]Affiliations!$J$2:$J$5328,[1]Affiliations!$K$2:$K$5328,0)</f>
        <v>Universidade de São Paulo</v>
      </c>
      <c r="D3519">
        <v>3</v>
      </c>
      <c r="E3519">
        <v>20</v>
      </c>
      <c r="F3519">
        <v>6.6666664999999998</v>
      </c>
      <c r="G3519">
        <v>2</v>
      </c>
      <c r="H3519">
        <v>0.66</v>
      </c>
      <c r="I3519">
        <v>0</v>
      </c>
      <c r="J3519">
        <v>0</v>
      </c>
      <c r="K3519">
        <v>1</v>
      </c>
      <c r="L3519">
        <v>1</v>
      </c>
      <c r="M3519">
        <v>1</v>
      </c>
      <c r="N3519">
        <v>1</v>
      </c>
      <c r="P3519">
        <v>0</v>
      </c>
      <c r="Q3519">
        <v>0</v>
      </c>
      <c r="R3519">
        <v>0</v>
      </c>
      <c r="S3519">
        <v>1</v>
      </c>
    </row>
    <row r="3520" spans="1:19" hidden="1" x14ac:dyDescent="0.35">
      <c r="A3520">
        <v>57191860736</v>
      </c>
      <c r="B3520" t="s">
        <v>3521</v>
      </c>
      <c r="C3520" t="str">
        <f>_xlfn.XLOOKUP(A3520,[1]Affiliations!$J$2:$J$5328,[1]Affiliations!$K$2:$K$5328,0)</f>
        <v>Universidade Tecnológica Federal do Paraná</v>
      </c>
      <c r="D3520">
        <v>8</v>
      </c>
      <c r="E3520">
        <v>86</v>
      </c>
      <c r="F3520">
        <v>10.75</v>
      </c>
      <c r="G3520">
        <v>4</v>
      </c>
      <c r="H3520">
        <v>0.63</v>
      </c>
      <c r="I3520">
        <v>0</v>
      </c>
      <c r="J3520">
        <v>1</v>
      </c>
      <c r="K3520">
        <v>2</v>
      </c>
      <c r="L3520">
        <v>4</v>
      </c>
      <c r="M3520">
        <v>4</v>
      </c>
      <c r="N3520">
        <v>4</v>
      </c>
      <c r="P3520">
        <v>0</v>
      </c>
      <c r="Q3520">
        <v>0</v>
      </c>
      <c r="R3520">
        <v>0</v>
      </c>
      <c r="S3520">
        <v>3</v>
      </c>
    </row>
    <row r="3521" spans="1:19" hidden="1" x14ac:dyDescent="0.35">
      <c r="A3521">
        <v>24074820100</v>
      </c>
      <c r="B3521" t="s">
        <v>3522</v>
      </c>
      <c r="C3521" t="str">
        <f>_xlfn.XLOOKUP(A3521,[1]Affiliations!$J$2:$J$5328,[1]Affiliations!$K$2:$K$5328,0)</f>
        <v>Universidade Estadual Paulista “Júlio de Mesquita Filho” (+2 more)</v>
      </c>
      <c r="D3521">
        <v>8</v>
      </c>
      <c r="E3521">
        <v>67</v>
      </c>
      <c r="F3521">
        <v>8.375</v>
      </c>
      <c r="G3521">
        <v>10</v>
      </c>
      <c r="H3521">
        <v>0.43</v>
      </c>
      <c r="I3521">
        <v>0</v>
      </c>
      <c r="J3521">
        <v>0</v>
      </c>
      <c r="K3521">
        <v>0</v>
      </c>
      <c r="L3521">
        <v>0</v>
      </c>
      <c r="M3521">
        <v>3</v>
      </c>
      <c r="N3521">
        <v>5</v>
      </c>
      <c r="P3521">
        <v>0</v>
      </c>
      <c r="Q3521">
        <v>0</v>
      </c>
      <c r="R3521">
        <v>1</v>
      </c>
      <c r="S3521">
        <v>1</v>
      </c>
    </row>
    <row r="3522" spans="1:19" hidden="1" x14ac:dyDescent="0.35">
      <c r="A3522">
        <v>56469997200</v>
      </c>
      <c r="B3522" t="s">
        <v>3523</v>
      </c>
      <c r="C3522" t="str">
        <f>_xlfn.XLOOKUP(A3522,[1]Affiliations!$J$2:$J$5328,[1]Affiliations!$K$2:$K$5328,0)</f>
        <v>Universidade Federal de Minas Gerais</v>
      </c>
      <c r="D3522">
        <v>2</v>
      </c>
      <c r="E3522">
        <v>32</v>
      </c>
      <c r="F3522">
        <v>16</v>
      </c>
      <c r="G3522">
        <v>3</v>
      </c>
      <c r="H3522">
        <v>0.8</v>
      </c>
      <c r="I3522">
        <v>0</v>
      </c>
      <c r="J3522">
        <v>1</v>
      </c>
      <c r="K3522">
        <v>2</v>
      </c>
      <c r="L3522">
        <v>2</v>
      </c>
      <c r="M3522">
        <v>2</v>
      </c>
      <c r="N3522">
        <v>2</v>
      </c>
      <c r="P3522">
        <v>0</v>
      </c>
      <c r="Q3522">
        <v>0</v>
      </c>
      <c r="R3522">
        <v>0</v>
      </c>
      <c r="S3522">
        <v>1</v>
      </c>
    </row>
    <row r="3523" spans="1:19" x14ac:dyDescent="0.35">
      <c r="A3523">
        <v>57205742928</v>
      </c>
      <c r="B3523" t="s">
        <v>3886</v>
      </c>
      <c r="C3523" t="str">
        <f>_xlfn.XLOOKUP(A3523,[1]Affiliations!$J$2:$J$5328,[1]Affiliations!$K$2:$K$5328,0)</f>
        <v>Instituto de Pesquisas Tecnologicas</v>
      </c>
      <c r="D3523">
        <v>20</v>
      </c>
      <c r="E3523">
        <v>271</v>
      </c>
      <c r="F3523">
        <v>13.55</v>
      </c>
      <c r="G3523">
        <v>10</v>
      </c>
      <c r="H3523">
        <v>0.78</v>
      </c>
      <c r="I3523">
        <v>0</v>
      </c>
      <c r="J3523">
        <v>0</v>
      </c>
      <c r="K3523">
        <v>2</v>
      </c>
      <c r="L3523">
        <v>8</v>
      </c>
      <c r="M3523">
        <v>12</v>
      </c>
      <c r="N3523">
        <v>17</v>
      </c>
      <c r="P3523">
        <v>0</v>
      </c>
      <c r="Q3523">
        <v>0</v>
      </c>
      <c r="R3523">
        <v>2</v>
      </c>
      <c r="S3523">
        <v>8</v>
      </c>
    </row>
    <row r="3524" spans="1:19" hidden="1" x14ac:dyDescent="0.35">
      <c r="A3524">
        <v>57195447136</v>
      </c>
      <c r="B3524" t="s">
        <v>3525</v>
      </c>
      <c r="C3524" t="str">
        <f>_xlfn.XLOOKUP(A3524,[1]Affiliations!$J$2:$J$5328,[1]Affiliations!$K$2:$K$5328,0)</f>
        <v>Universidade Federal de Juiz de Fora</v>
      </c>
      <c r="D3524">
        <v>8</v>
      </c>
      <c r="E3524">
        <v>102</v>
      </c>
      <c r="F3524">
        <v>12.75</v>
      </c>
      <c r="G3524">
        <v>7</v>
      </c>
      <c r="H3524">
        <v>0.68</v>
      </c>
      <c r="I3524">
        <v>0</v>
      </c>
      <c r="J3524">
        <v>1</v>
      </c>
      <c r="K3524">
        <v>3</v>
      </c>
      <c r="L3524">
        <v>6</v>
      </c>
      <c r="M3524">
        <v>7</v>
      </c>
      <c r="N3524">
        <v>7</v>
      </c>
      <c r="P3524">
        <v>0</v>
      </c>
      <c r="Q3524">
        <v>0</v>
      </c>
      <c r="R3524">
        <v>0</v>
      </c>
      <c r="S3524">
        <v>1</v>
      </c>
    </row>
    <row r="3525" spans="1:19" hidden="1" x14ac:dyDescent="0.35">
      <c r="A3525">
        <v>57215322835</v>
      </c>
      <c r="B3525" t="s">
        <v>3526</v>
      </c>
      <c r="C3525" t="str">
        <f>_xlfn.XLOOKUP(A3525,[1]Affiliations!$J$2:$J$5328,[1]Affiliations!$K$2:$K$5328,0)</f>
        <v>University of Campinas</v>
      </c>
      <c r="D3525">
        <v>15</v>
      </c>
      <c r="E3525">
        <v>30</v>
      </c>
      <c r="F3525">
        <v>2</v>
      </c>
      <c r="G3525">
        <v>3</v>
      </c>
      <c r="H3525">
        <v>0.28000000000000003</v>
      </c>
      <c r="I3525">
        <v>0</v>
      </c>
      <c r="J3525">
        <v>2</v>
      </c>
      <c r="K3525">
        <v>2</v>
      </c>
      <c r="L3525">
        <v>3</v>
      </c>
      <c r="M3525">
        <v>5</v>
      </c>
      <c r="N3525">
        <v>6</v>
      </c>
      <c r="P3525">
        <v>0</v>
      </c>
      <c r="Q3525">
        <v>0</v>
      </c>
      <c r="R3525">
        <v>0</v>
      </c>
      <c r="S3525">
        <v>1</v>
      </c>
    </row>
    <row r="3526" spans="1:19" x14ac:dyDescent="0.35">
      <c r="A3526">
        <v>56430569600</v>
      </c>
      <c r="B3526" t="s">
        <v>4113</v>
      </c>
      <c r="C3526" t="str">
        <f>_xlfn.XLOOKUP(A3526,[1]Affiliations!$J$2:$J$5328,[1]Affiliations!$K$2:$K$5328,0)</f>
        <v>Universidade de São Paulo (+1 more)</v>
      </c>
      <c r="D3526">
        <v>65</v>
      </c>
      <c r="E3526">
        <v>725</v>
      </c>
      <c r="F3526">
        <v>11.153846</v>
      </c>
      <c r="G3526">
        <v>16</v>
      </c>
      <c r="H3526">
        <v>0.78</v>
      </c>
      <c r="I3526">
        <v>0</v>
      </c>
      <c r="J3526">
        <v>3</v>
      </c>
      <c r="K3526">
        <v>10</v>
      </c>
      <c r="L3526">
        <v>26</v>
      </c>
      <c r="M3526">
        <v>48</v>
      </c>
      <c r="N3526">
        <v>62</v>
      </c>
      <c r="P3526">
        <v>0</v>
      </c>
      <c r="Q3526">
        <v>1</v>
      </c>
      <c r="R3526">
        <v>2</v>
      </c>
      <c r="S3526">
        <v>16</v>
      </c>
    </row>
    <row r="3527" spans="1:19" hidden="1" x14ac:dyDescent="0.35">
      <c r="A3527">
        <v>36193014000</v>
      </c>
      <c r="B3527" t="s">
        <v>3528</v>
      </c>
      <c r="C3527" t="str">
        <f>_xlfn.XLOOKUP(A3527,[1]Affiliations!$J$2:$J$5328,[1]Affiliations!$K$2:$K$5328,0)</f>
        <v>Federal University of Rio de Janeiro</v>
      </c>
      <c r="D3527">
        <v>10</v>
      </c>
      <c r="E3527">
        <v>117</v>
      </c>
      <c r="F3527">
        <v>11.7</v>
      </c>
      <c r="G3527">
        <v>9</v>
      </c>
      <c r="H3527">
        <v>0.86</v>
      </c>
      <c r="I3527">
        <v>0</v>
      </c>
      <c r="J3527">
        <v>3</v>
      </c>
      <c r="K3527">
        <v>4</v>
      </c>
      <c r="L3527">
        <v>8</v>
      </c>
      <c r="M3527">
        <v>10</v>
      </c>
      <c r="N3527">
        <v>10</v>
      </c>
      <c r="P3527">
        <v>0</v>
      </c>
      <c r="Q3527">
        <v>0</v>
      </c>
      <c r="R3527">
        <v>0</v>
      </c>
      <c r="S3527">
        <v>4</v>
      </c>
    </row>
    <row r="3528" spans="1:19" x14ac:dyDescent="0.35">
      <c r="A3528">
        <v>56010845100</v>
      </c>
      <c r="B3528" t="s">
        <v>4156</v>
      </c>
      <c r="C3528" t="str">
        <f>_xlfn.XLOOKUP(A3528,[1]Affiliations!$J$2:$J$5328,[1]Affiliations!$K$2:$K$5328,0)</f>
        <v>Universidade Federal de Viçosa</v>
      </c>
      <c r="D3528">
        <v>25</v>
      </c>
      <c r="E3528">
        <v>295</v>
      </c>
      <c r="F3528">
        <v>11.8</v>
      </c>
      <c r="G3528">
        <v>11</v>
      </c>
      <c r="H3528">
        <v>0.78</v>
      </c>
      <c r="I3528">
        <v>2</v>
      </c>
      <c r="J3528">
        <v>8</v>
      </c>
      <c r="K3528">
        <v>14</v>
      </c>
      <c r="L3528">
        <v>21</v>
      </c>
      <c r="M3528">
        <v>23</v>
      </c>
      <c r="N3528">
        <v>25</v>
      </c>
      <c r="P3528">
        <v>0</v>
      </c>
      <c r="Q3528">
        <v>0</v>
      </c>
      <c r="R3528">
        <v>1</v>
      </c>
      <c r="S3528">
        <v>10</v>
      </c>
    </row>
    <row r="3529" spans="1:19" hidden="1" x14ac:dyDescent="0.35">
      <c r="A3529">
        <v>57928753800</v>
      </c>
      <c r="B3529" t="s">
        <v>3530</v>
      </c>
      <c r="C3529" t="str">
        <f>_xlfn.XLOOKUP(A3529,[1]Affiliations!$J$2:$J$5328,[1]Affiliations!$K$2:$K$5328,0)</f>
        <v>Universidade Federal Fluminense (+1 more)</v>
      </c>
      <c r="D3529">
        <v>2</v>
      </c>
      <c r="E3529">
        <v>1</v>
      </c>
      <c r="F3529">
        <v>0.5</v>
      </c>
      <c r="G3529">
        <v>1</v>
      </c>
      <c r="H3529">
        <v>0.48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P3529">
        <v>0</v>
      </c>
      <c r="Q3529">
        <v>0</v>
      </c>
      <c r="R3529">
        <v>0</v>
      </c>
      <c r="S3529">
        <v>0</v>
      </c>
    </row>
    <row r="3530" spans="1:19" hidden="1" x14ac:dyDescent="0.35">
      <c r="A3530">
        <v>57214465134</v>
      </c>
      <c r="B3530" t="s">
        <v>3531</v>
      </c>
      <c r="C3530" t="str">
        <f>_xlfn.XLOOKUP(A3530,[1]Affiliations!$J$2:$J$5328,[1]Affiliations!$K$2:$K$5328,0)</f>
        <v>Universidade Federal do Ceará</v>
      </c>
      <c r="D3530">
        <v>4</v>
      </c>
      <c r="E3530">
        <v>31</v>
      </c>
      <c r="F3530">
        <v>7.75</v>
      </c>
      <c r="G3530">
        <v>3</v>
      </c>
      <c r="H3530">
        <v>0.56999999999999995</v>
      </c>
      <c r="I3530">
        <v>0</v>
      </c>
      <c r="J3530">
        <v>0</v>
      </c>
      <c r="K3530">
        <v>0</v>
      </c>
      <c r="L3530">
        <v>1</v>
      </c>
      <c r="M3530">
        <v>3</v>
      </c>
      <c r="N3530">
        <v>3</v>
      </c>
      <c r="P3530">
        <v>0</v>
      </c>
      <c r="Q3530">
        <v>0</v>
      </c>
      <c r="R3530">
        <v>0</v>
      </c>
      <c r="S3530">
        <v>0</v>
      </c>
    </row>
    <row r="3531" spans="1:19" x14ac:dyDescent="0.35">
      <c r="A3531">
        <v>57189593526</v>
      </c>
      <c r="B3531" t="s">
        <v>4526</v>
      </c>
      <c r="C3531" t="str">
        <f>_xlfn.XLOOKUP(A3531,[1]Affiliations!$J$2:$J$5328,[1]Affiliations!$K$2:$K$5328,0)</f>
        <v>Pontifícia Universidade Católica do Rio Grande do Sul</v>
      </c>
      <c r="D3531">
        <v>22</v>
      </c>
      <c r="E3531">
        <v>453</v>
      </c>
      <c r="F3531">
        <v>20.590910000000001</v>
      </c>
      <c r="G3531">
        <v>11</v>
      </c>
      <c r="H3531">
        <v>0.78</v>
      </c>
      <c r="I3531">
        <v>1</v>
      </c>
      <c r="J3531">
        <v>3</v>
      </c>
      <c r="K3531">
        <v>8</v>
      </c>
      <c r="L3531">
        <v>14</v>
      </c>
      <c r="M3531">
        <v>20</v>
      </c>
      <c r="N3531">
        <v>22</v>
      </c>
      <c r="P3531">
        <v>1</v>
      </c>
      <c r="Q3531">
        <v>1</v>
      </c>
      <c r="R3531">
        <v>1</v>
      </c>
      <c r="S3531">
        <v>7</v>
      </c>
    </row>
    <row r="3532" spans="1:19" x14ac:dyDescent="0.35">
      <c r="A3532">
        <v>56369922100</v>
      </c>
      <c r="B3532" t="s">
        <v>4759</v>
      </c>
      <c r="C3532" t="str">
        <f>_xlfn.XLOOKUP(A3532,[1]Affiliations!$J$2:$J$5328,[1]Affiliations!$K$2:$K$5328,0)</f>
        <v>Universidade Federal do Pampa</v>
      </c>
      <c r="D3532">
        <v>12</v>
      </c>
      <c r="E3532">
        <v>216</v>
      </c>
      <c r="F3532">
        <v>18</v>
      </c>
      <c r="G3532">
        <v>8</v>
      </c>
      <c r="H3532">
        <v>0.78</v>
      </c>
      <c r="I3532">
        <v>0</v>
      </c>
      <c r="J3532">
        <v>0</v>
      </c>
      <c r="K3532">
        <v>2</v>
      </c>
      <c r="L3532">
        <v>8</v>
      </c>
      <c r="M3532">
        <v>11</v>
      </c>
      <c r="N3532">
        <v>11</v>
      </c>
      <c r="P3532">
        <v>0</v>
      </c>
      <c r="Q3532">
        <v>1</v>
      </c>
      <c r="R3532">
        <v>1</v>
      </c>
      <c r="S3532">
        <v>1</v>
      </c>
    </row>
    <row r="3533" spans="1:19" hidden="1" x14ac:dyDescent="0.35">
      <c r="A3533">
        <v>57204879363</v>
      </c>
      <c r="B3533" t="s">
        <v>3534</v>
      </c>
      <c r="C3533" t="str">
        <f>_xlfn.XLOOKUP(A3533,[1]Affiliations!$J$2:$J$5328,[1]Affiliations!$K$2:$K$5328,0)</f>
        <v>Universidade Federal de Campina Grande</v>
      </c>
      <c r="D3533">
        <v>4</v>
      </c>
      <c r="E3533">
        <v>28</v>
      </c>
      <c r="F3533">
        <v>7</v>
      </c>
      <c r="G3533">
        <v>3</v>
      </c>
      <c r="H3533">
        <v>0.61</v>
      </c>
      <c r="I3533">
        <v>0</v>
      </c>
      <c r="J3533">
        <v>1</v>
      </c>
      <c r="K3533">
        <v>1</v>
      </c>
      <c r="L3533">
        <v>3</v>
      </c>
      <c r="M3533">
        <v>3</v>
      </c>
      <c r="N3533">
        <v>3</v>
      </c>
      <c r="P3533">
        <v>0</v>
      </c>
      <c r="Q3533">
        <v>0</v>
      </c>
      <c r="R3533">
        <v>0</v>
      </c>
      <c r="S3533">
        <v>0</v>
      </c>
    </row>
    <row r="3534" spans="1:19" x14ac:dyDescent="0.35">
      <c r="A3534">
        <v>6505546937</v>
      </c>
      <c r="B3534" t="s">
        <v>5231</v>
      </c>
      <c r="C3534" t="str">
        <f>_xlfn.XLOOKUP(A3534,[1]Affiliations!$J$2:$J$5328,[1]Affiliations!$K$2:$K$5328,0)</f>
        <v>Federal University of Rio de Janeiro</v>
      </c>
      <c r="D3534">
        <v>14</v>
      </c>
      <c r="E3534">
        <v>371</v>
      </c>
      <c r="F3534">
        <v>26.5</v>
      </c>
      <c r="G3534">
        <v>14</v>
      </c>
      <c r="H3534">
        <v>0.78</v>
      </c>
      <c r="I3534">
        <v>0</v>
      </c>
      <c r="J3534">
        <v>1</v>
      </c>
      <c r="K3534">
        <v>3</v>
      </c>
      <c r="L3534">
        <v>8</v>
      </c>
      <c r="M3534">
        <v>10</v>
      </c>
      <c r="N3534">
        <v>13</v>
      </c>
      <c r="P3534">
        <v>0</v>
      </c>
      <c r="Q3534">
        <v>0</v>
      </c>
      <c r="R3534">
        <v>2</v>
      </c>
      <c r="S3534">
        <v>9</v>
      </c>
    </row>
    <row r="3535" spans="1:19" x14ac:dyDescent="0.35">
      <c r="A3535">
        <v>35486490400</v>
      </c>
      <c r="B3535" t="s">
        <v>5295</v>
      </c>
      <c r="C3535" t="str">
        <f>_xlfn.XLOOKUP(A3535,[1]Affiliations!$J$2:$J$5328,[1]Affiliations!$K$2:$K$5328,0)</f>
        <v>Centro Nacional de Pesquisa em Energia e Materiais</v>
      </c>
      <c r="D3535">
        <v>39</v>
      </c>
      <c r="E3535">
        <v>944</v>
      </c>
      <c r="F3535">
        <v>24.205127999999998</v>
      </c>
      <c r="G3535">
        <v>23</v>
      </c>
      <c r="H3535">
        <v>0.78</v>
      </c>
      <c r="I3535">
        <v>1</v>
      </c>
      <c r="J3535">
        <v>7</v>
      </c>
      <c r="K3535">
        <v>17</v>
      </c>
      <c r="L3535">
        <v>32</v>
      </c>
      <c r="M3535">
        <v>37</v>
      </c>
      <c r="N3535">
        <v>39</v>
      </c>
      <c r="P3535">
        <v>0</v>
      </c>
      <c r="Q3535">
        <v>0</v>
      </c>
      <c r="R3535">
        <v>5</v>
      </c>
      <c r="S3535">
        <v>20</v>
      </c>
    </row>
    <row r="3536" spans="1:19" hidden="1" x14ac:dyDescent="0.35">
      <c r="A3536">
        <v>58370544200</v>
      </c>
      <c r="B3536" t="s">
        <v>3537</v>
      </c>
      <c r="C3536" t="str">
        <f>_xlfn.XLOOKUP(A3536,[1]Affiliations!$J$2:$J$5328,[1]Affiliations!$K$2:$K$5328,0)</f>
        <v>Pontifical Catholic University of Rio de Janeiro</v>
      </c>
      <c r="D3536">
        <v>5</v>
      </c>
      <c r="E3536">
        <v>41</v>
      </c>
      <c r="F3536">
        <v>8.1999999999999993</v>
      </c>
      <c r="G3536">
        <v>5</v>
      </c>
      <c r="H3536">
        <v>4.16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3</v>
      </c>
      <c r="P3536">
        <v>0</v>
      </c>
      <c r="Q3536">
        <v>0</v>
      </c>
      <c r="R3536">
        <v>1</v>
      </c>
      <c r="S3536">
        <v>4</v>
      </c>
    </row>
    <row r="3537" spans="1:19" x14ac:dyDescent="0.35">
      <c r="A3537">
        <v>35118604300</v>
      </c>
      <c r="B3537" t="s">
        <v>218</v>
      </c>
      <c r="C3537" t="str">
        <f>_xlfn.XLOOKUP(A3537,[1]Affiliations!$J$2:$J$5328,[1]Affiliations!$K$2:$K$5328,0)</f>
        <v>Federal University of Rio de Janeiro</v>
      </c>
      <c r="D3537">
        <v>39</v>
      </c>
      <c r="E3537">
        <v>676</v>
      </c>
      <c r="F3537">
        <v>17.333334000000001</v>
      </c>
      <c r="G3537">
        <v>18</v>
      </c>
      <c r="H3537">
        <v>0.77</v>
      </c>
      <c r="I3537">
        <v>1</v>
      </c>
      <c r="J3537">
        <v>11</v>
      </c>
      <c r="K3537">
        <v>14</v>
      </c>
      <c r="L3537">
        <v>26</v>
      </c>
      <c r="M3537">
        <v>32</v>
      </c>
      <c r="N3537">
        <v>37</v>
      </c>
      <c r="P3537">
        <v>0</v>
      </c>
      <c r="Q3537">
        <v>1</v>
      </c>
      <c r="R3537">
        <v>5</v>
      </c>
      <c r="S3537">
        <v>19</v>
      </c>
    </row>
    <row r="3538" spans="1:19" hidden="1" x14ac:dyDescent="0.35">
      <c r="A3538">
        <v>57202118602</v>
      </c>
      <c r="B3538" t="s">
        <v>3539</v>
      </c>
      <c r="C3538" t="str">
        <f>_xlfn.XLOOKUP(A3538,[1]Affiliations!$J$2:$J$5328,[1]Affiliations!$K$2:$K$5328,0)</f>
        <v>Votorantim S.A.</v>
      </c>
      <c r="D3538">
        <v>1</v>
      </c>
      <c r="E3538">
        <v>14</v>
      </c>
      <c r="F3538">
        <v>14</v>
      </c>
      <c r="G3538">
        <v>1</v>
      </c>
      <c r="H3538">
        <v>0.51</v>
      </c>
      <c r="I3538">
        <v>0</v>
      </c>
      <c r="J3538">
        <v>0</v>
      </c>
      <c r="K3538">
        <v>0</v>
      </c>
      <c r="L3538">
        <v>0</v>
      </c>
      <c r="M3538">
        <v>1</v>
      </c>
      <c r="N3538">
        <v>1</v>
      </c>
      <c r="P3538">
        <v>0</v>
      </c>
      <c r="Q3538">
        <v>0</v>
      </c>
      <c r="R3538">
        <v>0</v>
      </c>
      <c r="S3538">
        <v>0</v>
      </c>
    </row>
    <row r="3539" spans="1:19" hidden="1" x14ac:dyDescent="0.35">
      <c r="A3539">
        <v>59910396900</v>
      </c>
      <c r="B3539" t="s">
        <v>3540</v>
      </c>
      <c r="C3539" t="str">
        <f>_xlfn.XLOOKUP(A3539,[1]Affiliations!$J$2:$J$5328,[1]Affiliations!$K$2:$K$5328,0)</f>
        <v>Universidade Federal de Pernambuco</v>
      </c>
      <c r="D3539">
        <v>0</v>
      </c>
      <c r="G3539">
        <v>0</v>
      </c>
    </row>
    <row r="3540" spans="1:19" hidden="1" x14ac:dyDescent="0.35">
      <c r="A3540">
        <v>57218457330</v>
      </c>
      <c r="B3540" t="s">
        <v>3541</v>
      </c>
      <c r="C3540" t="str">
        <f>_xlfn.XLOOKUP(A3540,[1]Affiliations!$J$2:$J$5328,[1]Affiliations!$K$2:$K$5328,0)</f>
        <v>Federal University of Rio de Janeiro</v>
      </c>
      <c r="D3540">
        <v>2</v>
      </c>
      <c r="E3540">
        <v>26</v>
      </c>
      <c r="F3540">
        <v>13</v>
      </c>
      <c r="G3540">
        <v>3</v>
      </c>
      <c r="H3540">
        <v>0.8</v>
      </c>
      <c r="I3540">
        <v>0</v>
      </c>
      <c r="J3540">
        <v>0</v>
      </c>
      <c r="K3540">
        <v>0</v>
      </c>
      <c r="L3540">
        <v>2</v>
      </c>
      <c r="M3540">
        <v>2</v>
      </c>
      <c r="N3540">
        <v>2</v>
      </c>
      <c r="P3540">
        <v>0</v>
      </c>
      <c r="Q3540">
        <v>0</v>
      </c>
      <c r="R3540">
        <v>0</v>
      </c>
      <c r="S3540">
        <v>2</v>
      </c>
    </row>
    <row r="3541" spans="1:19" hidden="1" x14ac:dyDescent="0.35">
      <c r="A3541">
        <v>56097514800</v>
      </c>
      <c r="B3541" t="s">
        <v>3542</v>
      </c>
      <c r="C3541" t="str">
        <f>_xlfn.XLOOKUP(A3541,[1]Affiliations!$J$2:$J$5328,[1]Affiliations!$K$2:$K$5328,0)</f>
        <v>Federal University of Rio de Janeiro</v>
      </c>
      <c r="D3541">
        <v>3</v>
      </c>
      <c r="E3541">
        <v>73</v>
      </c>
      <c r="F3541">
        <v>24.333334000000001</v>
      </c>
      <c r="G3541">
        <v>4</v>
      </c>
      <c r="H3541">
        <v>0.56000000000000005</v>
      </c>
      <c r="I3541">
        <v>0</v>
      </c>
      <c r="J3541">
        <v>0</v>
      </c>
      <c r="K3541">
        <v>0</v>
      </c>
      <c r="L3541">
        <v>0</v>
      </c>
      <c r="M3541">
        <v>2</v>
      </c>
      <c r="N3541">
        <v>3</v>
      </c>
      <c r="P3541">
        <v>0</v>
      </c>
      <c r="Q3541">
        <v>0</v>
      </c>
      <c r="R3541">
        <v>0</v>
      </c>
      <c r="S3541">
        <v>2</v>
      </c>
    </row>
    <row r="3542" spans="1:19" hidden="1" x14ac:dyDescent="0.35">
      <c r="A3542">
        <v>57219548401</v>
      </c>
      <c r="B3542" t="s">
        <v>3543</v>
      </c>
      <c r="C3542" t="str">
        <f>_xlfn.XLOOKUP(A3542,[1]Affiliations!$J$2:$J$5328,[1]Affiliations!$K$2:$K$5328,0)</f>
        <v>Federal University of Rio de Janeiro</v>
      </c>
      <c r="D3542">
        <v>1</v>
      </c>
      <c r="E3542">
        <v>14</v>
      </c>
      <c r="F3542">
        <v>14</v>
      </c>
      <c r="G3542">
        <v>1</v>
      </c>
      <c r="H3542">
        <v>0.36</v>
      </c>
      <c r="I3542">
        <v>0</v>
      </c>
      <c r="J3542">
        <v>0</v>
      </c>
      <c r="K3542">
        <v>0</v>
      </c>
      <c r="L3542">
        <v>1</v>
      </c>
      <c r="M3542">
        <v>1</v>
      </c>
      <c r="N3542">
        <v>1</v>
      </c>
      <c r="P3542">
        <v>0</v>
      </c>
      <c r="Q3542">
        <v>0</v>
      </c>
      <c r="R3542">
        <v>0</v>
      </c>
      <c r="S3542">
        <v>0</v>
      </c>
    </row>
    <row r="3543" spans="1:19" hidden="1" x14ac:dyDescent="0.35">
      <c r="A3543">
        <v>59158246200</v>
      </c>
      <c r="B3543" t="s">
        <v>3544</v>
      </c>
      <c r="C3543" t="str">
        <f>_xlfn.XLOOKUP(A3543,[1]Affiliations!$J$2:$J$5328,[1]Affiliations!$K$2:$K$5328,0)</f>
        <v>Universidade Federal de Pernambuco</v>
      </c>
      <c r="D3543">
        <v>5</v>
      </c>
      <c r="E3543">
        <v>81</v>
      </c>
      <c r="F3543">
        <v>16.2</v>
      </c>
      <c r="G3543">
        <v>4</v>
      </c>
      <c r="H3543">
        <v>1.65</v>
      </c>
      <c r="I3543">
        <v>0</v>
      </c>
      <c r="J3543">
        <v>0</v>
      </c>
      <c r="K3543">
        <v>0</v>
      </c>
      <c r="L3543">
        <v>0</v>
      </c>
      <c r="M3543">
        <v>5</v>
      </c>
      <c r="N3543">
        <v>5</v>
      </c>
      <c r="P3543">
        <v>0</v>
      </c>
      <c r="Q3543">
        <v>0</v>
      </c>
      <c r="R3543">
        <v>1</v>
      </c>
      <c r="S3543">
        <v>2</v>
      </c>
    </row>
    <row r="3544" spans="1:19" hidden="1" x14ac:dyDescent="0.35">
      <c r="A3544">
        <v>57205055293</v>
      </c>
      <c r="B3544" t="s">
        <v>3545</v>
      </c>
      <c r="C3544" t="str">
        <f>_xlfn.XLOOKUP(A3544,[1]Affiliations!$J$2:$J$5328,[1]Affiliations!$K$2:$K$5328,0)</f>
        <v>INCT-GP (+1 more)</v>
      </c>
      <c r="D3544">
        <v>6</v>
      </c>
      <c r="E3544">
        <v>22</v>
      </c>
      <c r="F3544">
        <v>3.6666666999999999</v>
      </c>
      <c r="G3544">
        <v>3</v>
      </c>
      <c r="H3544">
        <v>0.22</v>
      </c>
      <c r="I3544">
        <v>0</v>
      </c>
      <c r="J3544">
        <v>0</v>
      </c>
      <c r="K3544">
        <v>1</v>
      </c>
      <c r="L3544">
        <v>3</v>
      </c>
      <c r="M3544">
        <v>4</v>
      </c>
      <c r="N3544">
        <v>4</v>
      </c>
      <c r="P3544">
        <v>0</v>
      </c>
      <c r="Q3544">
        <v>0</v>
      </c>
      <c r="R3544">
        <v>0</v>
      </c>
      <c r="S3544">
        <v>0</v>
      </c>
    </row>
    <row r="3545" spans="1:19" x14ac:dyDescent="0.35">
      <c r="A3545">
        <v>57222264176</v>
      </c>
      <c r="B3545" t="s">
        <v>1152</v>
      </c>
      <c r="C3545" t="str">
        <f>_xlfn.XLOOKUP(A3545,[1]Affiliations!$J$2:$J$5328,[1]Affiliations!$K$2:$K$5328,0)</f>
        <v>Federal University of Rio de Janeiro</v>
      </c>
      <c r="D3545">
        <v>40</v>
      </c>
      <c r="E3545">
        <v>958</v>
      </c>
      <c r="F3545">
        <v>23.95</v>
      </c>
      <c r="G3545">
        <v>17</v>
      </c>
      <c r="H3545">
        <v>0.77</v>
      </c>
      <c r="I3545">
        <v>0</v>
      </c>
      <c r="J3545">
        <v>8</v>
      </c>
      <c r="K3545">
        <v>11</v>
      </c>
      <c r="L3545">
        <v>26</v>
      </c>
      <c r="M3545">
        <v>36</v>
      </c>
      <c r="N3545">
        <v>38</v>
      </c>
      <c r="P3545">
        <v>0</v>
      </c>
      <c r="Q3545">
        <v>3</v>
      </c>
      <c r="R3545">
        <v>7</v>
      </c>
      <c r="S3545">
        <v>17</v>
      </c>
    </row>
    <row r="3546" spans="1:19" hidden="1" x14ac:dyDescent="0.35">
      <c r="A3546">
        <v>36452389400</v>
      </c>
      <c r="B3546" t="s">
        <v>3547</v>
      </c>
      <c r="C3546" t="str">
        <f>_xlfn.XLOOKUP(A3546,[1]Affiliations!$J$2:$J$5328,[1]Affiliations!$K$2:$K$5328,0)</f>
        <v>Universidade Federal Rural de Pernambuco</v>
      </c>
      <c r="D3546">
        <v>4</v>
      </c>
      <c r="E3546">
        <v>3</v>
      </c>
      <c r="F3546">
        <v>0.75</v>
      </c>
      <c r="G3546">
        <v>2</v>
      </c>
      <c r="H3546">
        <v>0.09</v>
      </c>
      <c r="I3546">
        <v>0</v>
      </c>
      <c r="J3546">
        <v>0</v>
      </c>
      <c r="K3546">
        <v>0</v>
      </c>
      <c r="L3546">
        <v>0</v>
      </c>
      <c r="M3546">
        <v>3</v>
      </c>
      <c r="N3546">
        <v>3</v>
      </c>
      <c r="P3546">
        <v>0</v>
      </c>
      <c r="Q3546">
        <v>0</v>
      </c>
      <c r="R3546">
        <v>0</v>
      </c>
      <c r="S3546">
        <v>0</v>
      </c>
    </row>
    <row r="3547" spans="1:19" x14ac:dyDescent="0.35">
      <c r="A3547">
        <v>56682563100</v>
      </c>
      <c r="B3547" t="s">
        <v>1228</v>
      </c>
      <c r="C3547" t="str">
        <f>_xlfn.XLOOKUP(A3547,[1]Affiliations!$J$2:$J$5328,[1]Affiliations!$K$2:$K$5328,0)</f>
        <v>Universidade Federal de Sergipe</v>
      </c>
      <c r="D3547">
        <v>36</v>
      </c>
      <c r="E3547">
        <v>545</v>
      </c>
      <c r="F3547">
        <v>15.138889000000001</v>
      </c>
      <c r="G3547">
        <v>16</v>
      </c>
      <c r="H3547">
        <v>0.77</v>
      </c>
      <c r="I3547">
        <v>0</v>
      </c>
      <c r="J3547">
        <v>5</v>
      </c>
      <c r="K3547">
        <v>8</v>
      </c>
      <c r="L3547">
        <v>15</v>
      </c>
      <c r="M3547">
        <v>20</v>
      </c>
      <c r="N3547">
        <v>29</v>
      </c>
      <c r="P3547">
        <v>0</v>
      </c>
      <c r="Q3547">
        <v>1</v>
      </c>
      <c r="R3547">
        <v>3</v>
      </c>
      <c r="S3547">
        <v>11</v>
      </c>
    </row>
    <row r="3548" spans="1:19" hidden="1" x14ac:dyDescent="0.35">
      <c r="A3548">
        <v>58204203400</v>
      </c>
      <c r="B3548" t="s">
        <v>3549</v>
      </c>
      <c r="C3548" t="str">
        <f>_xlfn.XLOOKUP(A3548,[1]Affiliations!$J$2:$J$5328,[1]Affiliations!$K$2:$K$5328,0)</f>
        <v>Forza Composites</v>
      </c>
      <c r="D3548">
        <v>1</v>
      </c>
      <c r="E3548">
        <v>4</v>
      </c>
      <c r="F3548">
        <v>4</v>
      </c>
      <c r="G3548">
        <v>1</v>
      </c>
      <c r="H3548">
        <v>0.56000000000000005</v>
      </c>
      <c r="I3548">
        <v>0</v>
      </c>
      <c r="J3548">
        <v>1</v>
      </c>
      <c r="K3548">
        <v>1</v>
      </c>
      <c r="L3548">
        <v>1</v>
      </c>
      <c r="M3548">
        <v>1</v>
      </c>
      <c r="N3548">
        <v>1</v>
      </c>
      <c r="P3548">
        <v>0</v>
      </c>
      <c r="Q3548">
        <v>0</v>
      </c>
      <c r="R3548">
        <v>0</v>
      </c>
      <c r="S3548">
        <v>0</v>
      </c>
    </row>
    <row r="3549" spans="1:19" x14ac:dyDescent="0.35">
      <c r="A3549">
        <v>56363255900</v>
      </c>
      <c r="B3549" t="s">
        <v>1369</v>
      </c>
      <c r="C3549" t="str">
        <f>_xlfn.XLOOKUP(A3549,[1]Affiliations!$J$2:$J$5328,[1]Affiliations!$K$2:$K$5328,0)</f>
        <v>University of Liverpool (+1 more)</v>
      </c>
      <c r="D3549">
        <v>25</v>
      </c>
      <c r="E3549">
        <v>307</v>
      </c>
      <c r="F3549">
        <v>12.28</v>
      </c>
      <c r="G3549">
        <v>9</v>
      </c>
      <c r="H3549">
        <v>0.77</v>
      </c>
      <c r="I3549">
        <v>0</v>
      </c>
      <c r="J3549">
        <v>5</v>
      </c>
      <c r="K3549">
        <v>9</v>
      </c>
      <c r="L3549">
        <v>15</v>
      </c>
      <c r="M3549">
        <v>23</v>
      </c>
      <c r="N3549">
        <v>24</v>
      </c>
      <c r="P3549">
        <v>0</v>
      </c>
      <c r="Q3549">
        <v>1</v>
      </c>
      <c r="R3549">
        <v>1</v>
      </c>
      <c r="S3549">
        <v>12</v>
      </c>
    </row>
    <row r="3550" spans="1:19" x14ac:dyDescent="0.35">
      <c r="A3550">
        <v>56470815900</v>
      </c>
      <c r="B3550" t="s">
        <v>1664</v>
      </c>
      <c r="C3550" t="str">
        <f>_xlfn.XLOOKUP(A3550,[1]Affiliations!$J$2:$J$5328,[1]Affiliations!$K$2:$K$5328,0)</f>
        <v>ICTS</v>
      </c>
      <c r="D3550">
        <v>26</v>
      </c>
      <c r="E3550">
        <v>132</v>
      </c>
      <c r="F3550">
        <v>5.0769229999999999</v>
      </c>
      <c r="G3550">
        <v>7</v>
      </c>
      <c r="H3550">
        <v>0.77</v>
      </c>
      <c r="I3550">
        <v>1</v>
      </c>
      <c r="J3550">
        <v>1</v>
      </c>
      <c r="K3550">
        <v>5</v>
      </c>
      <c r="L3550">
        <v>10</v>
      </c>
      <c r="M3550">
        <v>10</v>
      </c>
      <c r="N3550">
        <v>10</v>
      </c>
      <c r="P3550">
        <v>0</v>
      </c>
      <c r="Q3550">
        <v>0</v>
      </c>
      <c r="R3550">
        <v>1</v>
      </c>
      <c r="S3550">
        <v>3</v>
      </c>
    </row>
    <row r="3551" spans="1:19" x14ac:dyDescent="0.35">
      <c r="A3551">
        <v>57413107800</v>
      </c>
      <c r="B3551" t="s">
        <v>1895</v>
      </c>
      <c r="C3551" t="str">
        <f>_xlfn.XLOOKUP(A3551,[1]Affiliations!$J$2:$J$5328,[1]Affiliations!$K$2:$K$5328,0)</f>
        <v>Vizlab - X-Reality and GeoInformatics Lab (+1 more)</v>
      </c>
      <c r="D3551">
        <v>10</v>
      </c>
      <c r="E3551">
        <v>102</v>
      </c>
      <c r="F3551">
        <v>10.199999999999999</v>
      </c>
      <c r="G3551">
        <v>6</v>
      </c>
      <c r="H3551">
        <v>0.77</v>
      </c>
      <c r="I3551">
        <v>1</v>
      </c>
      <c r="J3551">
        <v>1</v>
      </c>
      <c r="K3551">
        <v>3</v>
      </c>
      <c r="L3551">
        <v>4</v>
      </c>
      <c r="M3551">
        <v>9</v>
      </c>
      <c r="N3551">
        <v>10</v>
      </c>
      <c r="P3551">
        <v>0</v>
      </c>
      <c r="Q3551">
        <v>1</v>
      </c>
      <c r="R3551">
        <v>2</v>
      </c>
      <c r="S3551">
        <v>3</v>
      </c>
    </row>
    <row r="3552" spans="1:19" hidden="1" x14ac:dyDescent="0.35">
      <c r="A3552">
        <v>56067886900</v>
      </c>
      <c r="B3552" t="s">
        <v>3553</v>
      </c>
      <c r="C3552" t="str">
        <f>_xlfn.XLOOKUP(A3552,[1]Affiliations!$J$2:$J$5328,[1]Affiliations!$K$2:$K$5328,0)</f>
        <v>Pontifical Catholic University of Rio de Janeiro</v>
      </c>
      <c r="D3552">
        <v>10</v>
      </c>
      <c r="E3552">
        <v>63</v>
      </c>
      <c r="F3552">
        <v>6.3</v>
      </c>
      <c r="G3552">
        <v>5</v>
      </c>
      <c r="H3552">
        <v>0.85</v>
      </c>
      <c r="I3552">
        <v>0</v>
      </c>
      <c r="J3552">
        <v>1</v>
      </c>
      <c r="K3552">
        <v>1</v>
      </c>
      <c r="L3552">
        <v>3</v>
      </c>
      <c r="M3552">
        <v>3</v>
      </c>
      <c r="N3552">
        <v>6</v>
      </c>
      <c r="P3552">
        <v>0</v>
      </c>
      <c r="Q3552">
        <v>0</v>
      </c>
      <c r="R3552">
        <v>0</v>
      </c>
      <c r="S3552">
        <v>1</v>
      </c>
    </row>
    <row r="3553" spans="1:19" x14ac:dyDescent="0.35">
      <c r="A3553">
        <v>6503878132</v>
      </c>
      <c r="B3553" t="s">
        <v>2339</v>
      </c>
      <c r="C3553" t="str">
        <f>_xlfn.XLOOKUP(A3553,[1]Affiliations!$J$2:$J$5328,[1]Affiliations!$K$2:$K$5328,0)</f>
        <v>Universidade Federal Fluminense</v>
      </c>
      <c r="D3553">
        <v>25</v>
      </c>
      <c r="E3553">
        <v>302</v>
      </c>
      <c r="F3553">
        <v>12.08</v>
      </c>
      <c r="G3553">
        <v>13</v>
      </c>
      <c r="H3553">
        <v>0.77</v>
      </c>
      <c r="I3553">
        <v>0</v>
      </c>
      <c r="J3553">
        <v>6</v>
      </c>
      <c r="K3553">
        <v>7</v>
      </c>
      <c r="L3553">
        <v>12</v>
      </c>
      <c r="M3553">
        <v>20</v>
      </c>
      <c r="N3553">
        <v>24</v>
      </c>
      <c r="P3553">
        <v>0</v>
      </c>
      <c r="Q3553">
        <v>0</v>
      </c>
      <c r="R3553">
        <v>1</v>
      </c>
      <c r="S3553">
        <v>7</v>
      </c>
    </row>
    <row r="3554" spans="1:19" hidden="1" x14ac:dyDescent="0.35">
      <c r="A3554">
        <v>57201408680</v>
      </c>
      <c r="B3554" t="s">
        <v>3555</v>
      </c>
      <c r="C3554" t="str">
        <f>_xlfn.XLOOKUP(A3554,[1]Affiliations!$J$2:$J$5328,[1]Affiliations!$K$2:$K$5328,0)</f>
        <v>CONSULPRI</v>
      </c>
      <c r="D3554">
        <v>2</v>
      </c>
      <c r="E3554">
        <v>0</v>
      </c>
      <c r="F3554">
        <v>0</v>
      </c>
      <c r="G3554">
        <v>0</v>
      </c>
      <c r="H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35">
      <c r="A3555">
        <v>56548041300</v>
      </c>
      <c r="B3555" t="s">
        <v>2382</v>
      </c>
      <c r="C3555" t="str">
        <f>_xlfn.XLOOKUP(A3555,[1]Affiliations!$J$2:$J$5328,[1]Affiliations!$K$2:$K$5328,0)</f>
        <v>Universidade Federal do Rio Grande do Sul</v>
      </c>
      <c r="D3555">
        <v>20</v>
      </c>
      <c r="E3555">
        <v>151</v>
      </c>
      <c r="F3555">
        <v>7.55</v>
      </c>
      <c r="G3555">
        <v>7</v>
      </c>
      <c r="H3555">
        <v>0.77</v>
      </c>
      <c r="I3555">
        <v>0</v>
      </c>
      <c r="J3555">
        <v>1</v>
      </c>
      <c r="K3555">
        <v>3</v>
      </c>
      <c r="L3555">
        <v>4</v>
      </c>
      <c r="M3555">
        <v>5</v>
      </c>
      <c r="N3555">
        <v>7</v>
      </c>
      <c r="P3555">
        <v>0</v>
      </c>
      <c r="Q3555">
        <v>1</v>
      </c>
      <c r="R3555">
        <v>2</v>
      </c>
      <c r="S3555">
        <v>5</v>
      </c>
    </row>
    <row r="3556" spans="1:19" x14ac:dyDescent="0.35">
      <c r="A3556">
        <v>36015001400</v>
      </c>
      <c r="B3556" t="s">
        <v>2531</v>
      </c>
      <c r="C3556" t="str">
        <f>_xlfn.XLOOKUP(A3556,[1]Affiliations!$J$2:$J$5328,[1]Affiliations!$K$2:$K$5328,0)</f>
        <v>Universidade Federal do Rio Grande do Sul (+2 more)</v>
      </c>
      <c r="D3556">
        <v>35</v>
      </c>
      <c r="E3556">
        <v>534</v>
      </c>
      <c r="F3556">
        <v>15.257142999999999</v>
      </c>
      <c r="G3556">
        <v>13</v>
      </c>
      <c r="H3556">
        <v>0.77</v>
      </c>
      <c r="I3556">
        <v>1</v>
      </c>
      <c r="J3556">
        <v>3</v>
      </c>
      <c r="K3556">
        <v>6</v>
      </c>
      <c r="L3556">
        <v>21</v>
      </c>
      <c r="M3556">
        <v>30</v>
      </c>
      <c r="N3556">
        <v>31</v>
      </c>
      <c r="P3556">
        <v>0</v>
      </c>
      <c r="Q3556">
        <v>1</v>
      </c>
      <c r="R3556">
        <v>3</v>
      </c>
      <c r="S3556">
        <v>10</v>
      </c>
    </row>
    <row r="3557" spans="1:19" x14ac:dyDescent="0.35">
      <c r="A3557">
        <v>6508331514</v>
      </c>
      <c r="B3557" t="s">
        <v>2550</v>
      </c>
      <c r="C3557" t="str">
        <f>_xlfn.XLOOKUP(A3557,[1]Affiliations!$J$2:$J$5328,[1]Affiliations!$K$2:$K$5328,0)</f>
        <v>Universidade Estadual Paulista “Júlio de Mesquita Filho”</v>
      </c>
      <c r="D3557">
        <v>19</v>
      </c>
      <c r="E3557">
        <v>153</v>
      </c>
      <c r="F3557">
        <v>8.0526309999999999</v>
      </c>
      <c r="G3557">
        <v>12</v>
      </c>
      <c r="H3557">
        <v>0.77</v>
      </c>
      <c r="I3557">
        <v>0</v>
      </c>
      <c r="J3557">
        <v>3</v>
      </c>
      <c r="K3557">
        <v>4</v>
      </c>
      <c r="L3557">
        <v>4</v>
      </c>
      <c r="M3557">
        <v>6</v>
      </c>
      <c r="N3557">
        <v>11</v>
      </c>
      <c r="P3557">
        <v>0</v>
      </c>
      <c r="Q3557">
        <v>0</v>
      </c>
      <c r="R3557">
        <v>1</v>
      </c>
      <c r="S3557">
        <v>2</v>
      </c>
    </row>
    <row r="3558" spans="1:19" hidden="1" x14ac:dyDescent="0.35">
      <c r="A3558">
        <v>57203513682</v>
      </c>
      <c r="B3558" t="s">
        <v>3559</v>
      </c>
      <c r="C3558" t="str">
        <f>_xlfn.XLOOKUP(A3558,[1]Affiliations!$J$2:$J$5328,[1]Affiliations!$K$2:$K$5328,0)</f>
        <v>Federal University of Rio de Janeiro</v>
      </c>
      <c r="D3558">
        <v>21</v>
      </c>
      <c r="E3558">
        <v>160</v>
      </c>
      <c r="F3558">
        <v>7.6190476</v>
      </c>
      <c r="G3558">
        <v>16</v>
      </c>
      <c r="H3558">
        <v>0.41</v>
      </c>
      <c r="I3558">
        <v>0</v>
      </c>
      <c r="J3558">
        <v>2</v>
      </c>
      <c r="K3558">
        <v>2</v>
      </c>
      <c r="L3558">
        <v>14</v>
      </c>
      <c r="M3558">
        <v>20</v>
      </c>
      <c r="N3558">
        <v>21</v>
      </c>
      <c r="P3558">
        <v>0</v>
      </c>
      <c r="Q3558">
        <v>0</v>
      </c>
      <c r="R3558">
        <v>0</v>
      </c>
      <c r="S3558">
        <v>3</v>
      </c>
    </row>
    <row r="3559" spans="1:19" hidden="1" x14ac:dyDescent="0.35">
      <c r="A3559">
        <v>57211444917</v>
      </c>
      <c r="B3559" t="s">
        <v>3560</v>
      </c>
      <c r="C3559" t="str">
        <f>_xlfn.XLOOKUP(A3559,[1]Affiliations!$J$2:$J$5328,[1]Affiliations!$K$2:$K$5328,0)</f>
        <v>Universidade Federal do Espírito Santo</v>
      </c>
      <c r="D3559">
        <v>8</v>
      </c>
      <c r="E3559">
        <v>58</v>
      </c>
      <c r="F3559">
        <v>7.25</v>
      </c>
      <c r="G3559">
        <v>6</v>
      </c>
      <c r="H3559">
        <v>0.46</v>
      </c>
      <c r="I3559">
        <v>0</v>
      </c>
      <c r="J3559">
        <v>2</v>
      </c>
      <c r="K3559">
        <v>3</v>
      </c>
      <c r="L3559">
        <v>5</v>
      </c>
      <c r="M3559">
        <v>8</v>
      </c>
      <c r="N3559">
        <v>8</v>
      </c>
      <c r="P3559">
        <v>0</v>
      </c>
      <c r="Q3559">
        <v>0</v>
      </c>
      <c r="R3559">
        <v>0</v>
      </c>
      <c r="S3559">
        <v>1</v>
      </c>
    </row>
    <row r="3560" spans="1:19" x14ac:dyDescent="0.35">
      <c r="A3560">
        <v>6506293921</v>
      </c>
      <c r="B3560" t="s">
        <v>2734</v>
      </c>
      <c r="C3560" t="str">
        <f>_xlfn.XLOOKUP(A3560,[1]Affiliations!$J$2:$J$5328,[1]Affiliations!$K$2:$K$5328,0)</f>
        <v>Universidade do Estado do Rio de Janeiro (+2 more)</v>
      </c>
      <c r="D3560">
        <v>30</v>
      </c>
      <c r="E3560">
        <v>462</v>
      </c>
      <c r="F3560">
        <v>15.4</v>
      </c>
      <c r="G3560">
        <v>22</v>
      </c>
      <c r="H3560">
        <v>0.77</v>
      </c>
      <c r="I3560">
        <v>0</v>
      </c>
      <c r="J3560">
        <v>4</v>
      </c>
      <c r="K3560">
        <v>8</v>
      </c>
      <c r="L3560">
        <v>14</v>
      </c>
      <c r="M3560">
        <v>26</v>
      </c>
      <c r="N3560">
        <v>28</v>
      </c>
      <c r="P3560">
        <v>0</v>
      </c>
      <c r="Q3560">
        <v>1</v>
      </c>
      <c r="R3560">
        <v>1</v>
      </c>
      <c r="S3560">
        <v>6</v>
      </c>
    </row>
    <row r="3561" spans="1:19" hidden="1" x14ac:dyDescent="0.35">
      <c r="A3561">
        <v>59479320100</v>
      </c>
      <c r="B3561" t="s">
        <v>3562</v>
      </c>
      <c r="C3561" t="str">
        <f>_xlfn.XLOOKUP(A3561,[1]Affiliations!$J$2:$J$5328,[1]Affiliations!$K$2:$K$5328,0)</f>
        <v>Federal University of Rio de Janeiro</v>
      </c>
      <c r="D3561">
        <v>1</v>
      </c>
      <c r="E3561">
        <v>3</v>
      </c>
      <c r="F3561">
        <v>3</v>
      </c>
      <c r="G3561">
        <v>1</v>
      </c>
      <c r="H3561">
        <v>0.42</v>
      </c>
      <c r="I3561">
        <v>0</v>
      </c>
      <c r="J3561">
        <v>1</v>
      </c>
      <c r="K3561">
        <v>1</v>
      </c>
      <c r="L3561">
        <v>1</v>
      </c>
      <c r="M3561">
        <v>1</v>
      </c>
      <c r="N3561">
        <v>1</v>
      </c>
      <c r="P3561">
        <v>0</v>
      </c>
      <c r="Q3561">
        <v>0</v>
      </c>
      <c r="R3561">
        <v>0</v>
      </c>
      <c r="S3561">
        <v>0</v>
      </c>
    </row>
    <row r="3562" spans="1:19" hidden="1" x14ac:dyDescent="0.35">
      <c r="A3562">
        <v>56017011200</v>
      </c>
      <c r="B3562" t="s">
        <v>3563</v>
      </c>
      <c r="C3562" t="str">
        <f>_xlfn.XLOOKUP(A3562,[1]Affiliations!$J$2:$J$5328,[1]Affiliations!$K$2:$K$5328,0)</f>
        <v>Petróleo Brasileiro S.A. (+1 more)</v>
      </c>
      <c r="D3562">
        <v>10</v>
      </c>
      <c r="E3562">
        <v>149</v>
      </c>
      <c r="F3562">
        <v>14.9</v>
      </c>
      <c r="G3562">
        <v>8</v>
      </c>
      <c r="H3562">
        <v>0.52</v>
      </c>
      <c r="I3562">
        <v>0</v>
      </c>
      <c r="J3562">
        <v>0</v>
      </c>
      <c r="K3562">
        <v>0</v>
      </c>
      <c r="L3562">
        <v>2</v>
      </c>
      <c r="M3562">
        <v>10</v>
      </c>
      <c r="N3562">
        <v>10</v>
      </c>
      <c r="P3562">
        <v>0</v>
      </c>
      <c r="Q3562">
        <v>0</v>
      </c>
      <c r="R3562">
        <v>1</v>
      </c>
      <c r="S3562">
        <v>3</v>
      </c>
    </row>
    <row r="3563" spans="1:19" x14ac:dyDescent="0.35">
      <c r="A3563">
        <v>7006023298</v>
      </c>
      <c r="B3563" t="s">
        <v>2958</v>
      </c>
      <c r="C3563" t="str">
        <f>_xlfn.XLOOKUP(A3563,[1]Affiliations!$J$2:$J$5328,[1]Affiliations!$K$2:$K$5328,0)</f>
        <v>Pontifical Catholic University of Rio de Janeiro</v>
      </c>
      <c r="D3563">
        <v>83</v>
      </c>
      <c r="E3563">
        <v>742</v>
      </c>
      <c r="F3563">
        <v>8.9397590000000005</v>
      </c>
      <c r="G3563">
        <v>18</v>
      </c>
      <c r="H3563">
        <v>0.77</v>
      </c>
      <c r="I3563">
        <v>2</v>
      </c>
      <c r="J3563">
        <v>8</v>
      </c>
      <c r="K3563">
        <v>11</v>
      </c>
      <c r="L3563">
        <v>29</v>
      </c>
      <c r="M3563">
        <v>41</v>
      </c>
      <c r="N3563">
        <v>45</v>
      </c>
      <c r="P3563">
        <v>0</v>
      </c>
      <c r="Q3563">
        <v>2</v>
      </c>
      <c r="R3563">
        <v>4</v>
      </c>
      <c r="S3563">
        <v>15</v>
      </c>
    </row>
    <row r="3564" spans="1:19" hidden="1" x14ac:dyDescent="0.35">
      <c r="A3564">
        <v>36911394000</v>
      </c>
      <c r="B3564" t="s">
        <v>3565</v>
      </c>
      <c r="C3564" t="str">
        <f>_xlfn.XLOOKUP(A3564,[1]Affiliations!$J$2:$J$5328,[1]Affiliations!$K$2:$K$5328,0)</f>
        <v>Universidade Federal de Campina Grande</v>
      </c>
      <c r="D3564">
        <v>12</v>
      </c>
      <c r="E3564">
        <v>84</v>
      </c>
      <c r="F3564">
        <v>7</v>
      </c>
      <c r="G3564">
        <v>6</v>
      </c>
      <c r="H3564">
        <v>0.37</v>
      </c>
      <c r="I3564">
        <v>0</v>
      </c>
      <c r="J3564">
        <v>2</v>
      </c>
      <c r="K3564">
        <v>2</v>
      </c>
      <c r="L3564">
        <v>5</v>
      </c>
      <c r="M3564">
        <v>7</v>
      </c>
      <c r="N3564">
        <v>9</v>
      </c>
      <c r="P3564">
        <v>0</v>
      </c>
      <c r="Q3564">
        <v>0</v>
      </c>
      <c r="R3564">
        <v>0</v>
      </c>
      <c r="S3564">
        <v>1</v>
      </c>
    </row>
    <row r="3565" spans="1:19" hidden="1" x14ac:dyDescent="0.35">
      <c r="A3565">
        <v>8961231600</v>
      </c>
      <c r="B3565" t="s">
        <v>3566</v>
      </c>
      <c r="C3565" t="str">
        <f>_xlfn.XLOOKUP(A3565,[1]Affiliations!$J$2:$J$5328,[1]Affiliations!$K$2:$K$5328,0)</f>
        <v>Centro de Tecnologia Mineral</v>
      </c>
      <c r="D3565">
        <v>6</v>
      </c>
      <c r="E3565">
        <v>109</v>
      </c>
      <c r="F3565">
        <v>18.166665999999999</v>
      </c>
      <c r="G3565">
        <v>16</v>
      </c>
      <c r="H3565">
        <v>0.76</v>
      </c>
      <c r="I3565">
        <v>0</v>
      </c>
      <c r="J3565">
        <v>0</v>
      </c>
      <c r="K3565">
        <v>1</v>
      </c>
      <c r="L3565">
        <v>2</v>
      </c>
      <c r="M3565">
        <v>5</v>
      </c>
      <c r="N3565">
        <v>5</v>
      </c>
      <c r="P3565">
        <v>0</v>
      </c>
      <c r="Q3565">
        <v>0</v>
      </c>
      <c r="R3565">
        <v>0</v>
      </c>
      <c r="S3565">
        <v>2</v>
      </c>
    </row>
    <row r="3566" spans="1:19" x14ac:dyDescent="0.35">
      <c r="A3566">
        <v>54976304900</v>
      </c>
      <c r="B3566" t="s">
        <v>2997</v>
      </c>
      <c r="C3566" t="str">
        <f>_xlfn.XLOOKUP(A3566,[1]Affiliations!$J$2:$J$5328,[1]Affiliations!$K$2:$K$5328,0)</f>
        <v>Universidade de São Paulo</v>
      </c>
      <c r="D3566">
        <v>188</v>
      </c>
      <c r="E3566">
        <v>2501</v>
      </c>
      <c r="F3566">
        <v>13.303191</v>
      </c>
      <c r="G3566">
        <v>30</v>
      </c>
      <c r="H3566">
        <v>0.77</v>
      </c>
      <c r="I3566">
        <v>3</v>
      </c>
      <c r="J3566">
        <v>9</v>
      </c>
      <c r="K3566">
        <v>20</v>
      </c>
      <c r="L3566">
        <v>57</v>
      </c>
      <c r="M3566">
        <v>105</v>
      </c>
      <c r="N3566">
        <v>153</v>
      </c>
      <c r="P3566">
        <v>1</v>
      </c>
      <c r="Q3566">
        <v>5</v>
      </c>
      <c r="R3566">
        <v>9</v>
      </c>
      <c r="S3566">
        <v>35</v>
      </c>
    </row>
    <row r="3567" spans="1:19" x14ac:dyDescent="0.35">
      <c r="A3567">
        <v>7201480762</v>
      </c>
      <c r="B3567" t="s">
        <v>3035</v>
      </c>
      <c r="C3567" t="str">
        <f>_xlfn.XLOOKUP(A3567,[1]Affiliations!$J$2:$J$5328,[1]Affiliations!$K$2:$K$5328,0)</f>
        <v>Universidade Federal de Minas Gerais (+1 more)</v>
      </c>
      <c r="D3567">
        <v>30</v>
      </c>
      <c r="E3567">
        <v>285</v>
      </c>
      <c r="F3567">
        <v>9.5</v>
      </c>
      <c r="G3567">
        <v>13</v>
      </c>
      <c r="H3567">
        <v>0.77</v>
      </c>
      <c r="I3567">
        <v>0</v>
      </c>
      <c r="J3567">
        <v>1</v>
      </c>
      <c r="K3567">
        <v>5</v>
      </c>
      <c r="L3567">
        <v>14</v>
      </c>
      <c r="M3567">
        <v>20</v>
      </c>
      <c r="N3567">
        <v>27</v>
      </c>
      <c r="P3567">
        <v>0</v>
      </c>
      <c r="Q3567">
        <v>0</v>
      </c>
      <c r="R3567">
        <v>2</v>
      </c>
      <c r="S3567">
        <v>9</v>
      </c>
    </row>
    <row r="3568" spans="1:19" hidden="1" x14ac:dyDescent="0.35">
      <c r="A3568">
        <v>57221500381</v>
      </c>
      <c r="B3568" t="s">
        <v>3569</v>
      </c>
      <c r="C3568" t="str">
        <f>_xlfn.XLOOKUP(A3568,[1]Affiliations!$J$2:$J$5328,[1]Affiliations!$K$2:$K$5328,0)</f>
        <v>Universidade Federal de Uberlândia</v>
      </c>
      <c r="D3568">
        <v>1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1</v>
      </c>
      <c r="P3568">
        <v>0</v>
      </c>
      <c r="Q3568">
        <v>0</v>
      </c>
      <c r="R3568">
        <v>0</v>
      </c>
      <c r="S3568">
        <v>0</v>
      </c>
    </row>
    <row r="3569" spans="1:19" hidden="1" x14ac:dyDescent="0.35">
      <c r="A3569">
        <v>58678094600</v>
      </c>
      <c r="B3569" t="s">
        <v>3570</v>
      </c>
      <c r="C3569" t="str">
        <f>_xlfn.XLOOKUP(A3569,[1]Affiliations!$J$2:$J$5328,[1]Affiliations!$K$2:$K$5328,0)</f>
        <v>Universidade Federal Fluminense</v>
      </c>
      <c r="D3569">
        <v>1</v>
      </c>
      <c r="E3569">
        <v>3</v>
      </c>
      <c r="F3569">
        <v>3</v>
      </c>
      <c r="G3569">
        <v>1</v>
      </c>
      <c r="H3569">
        <v>2.09</v>
      </c>
      <c r="P3569">
        <v>0</v>
      </c>
      <c r="Q3569">
        <v>0</v>
      </c>
      <c r="R3569">
        <v>0</v>
      </c>
      <c r="S3569">
        <v>0</v>
      </c>
    </row>
    <row r="3570" spans="1:19" hidden="1" x14ac:dyDescent="0.35">
      <c r="A3570">
        <v>57207848403</v>
      </c>
      <c r="B3570" t="s">
        <v>3571</v>
      </c>
      <c r="C3570" t="str">
        <f>_xlfn.XLOOKUP(A3570,[1]Affiliations!$J$2:$J$5328,[1]Affiliations!$K$2:$K$5328,0)</f>
        <v>Faculdade de Tecnologia de São Paulo (+1 more)</v>
      </c>
      <c r="D3570">
        <v>9</v>
      </c>
      <c r="E3570">
        <v>53</v>
      </c>
      <c r="F3570">
        <v>5.8888889999999998</v>
      </c>
      <c r="G3570">
        <v>5</v>
      </c>
      <c r="H3570">
        <v>0.53</v>
      </c>
      <c r="I3570">
        <v>0</v>
      </c>
      <c r="J3570">
        <v>0</v>
      </c>
      <c r="K3570">
        <v>0</v>
      </c>
      <c r="L3570">
        <v>1</v>
      </c>
      <c r="M3570">
        <v>4</v>
      </c>
      <c r="N3570">
        <v>6</v>
      </c>
      <c r="P3570">
        <v>0</v>
      </c>
      <c r="Q3570">
        <v>0</v>
      </c>
      <c r="R3570">
        <v>0</v>
      </c>
      <c r="S3570">
        <v>1</v>
      </c>
    </row>
    <row r="3571" spans="1:19" x14ac:dyDescent="0.35">
      <c r="A3571">
        <v>55353887700</v>
      </c>
      <c r="B3571" t="s">
        <v>3318</v>
      </c>
      <c r="C3571" t="str">
        <f>_xlfn.XLOOKUP(A3571,[1]Affiliations!$J$2:$J$5328,[1]Affiliations!$K$2:$K$5328,0)</f>
        <v>Universidade Federal de Viçosa</v>
      </c>
      <c r="D3571">
        <v>114</v>
      </c>
      <c r="E3571">
        <v>1963</v>
      </c>
      <c r="F3571">
        <v>17.219297000000001</v>
      </c>
      <c r="G3571">
        <v>30</v>
      </c>
      <c r="H3571">
        <v>0.77</v>
      </c>
      <c r="I3571">
        <v>0</v>
      </c>
      <c r="J3571">
        <v>13</v>
      </c>
      <c r="K3571">
        <v>34</v>
      </c>
      <c r="L3571">
        <v>79</v>
      </c>
      <c r="M3571">
        <v>101</v>
      </c>
      <c r="N3571">
        <v>110</v>
      </c>
      <c r="P3571">
        <v>1</v>
      </c>
      <c r="Q3571">
        <v>5</v>
      </c>
      <c r="R3571">
        <v>8</v>
      </c>
      <c r="S3571">
        <v>36</v>
      </c>
    </row>
    <row r="3572" spans="1:19" x14ac:dyDescent="0.35">
      <c r="A3572">
        <v>7004537044</v>
      </c>
      <c r="B3572" t="s">
        <v>3489</v>
      </c>
      <c r="C3572" t="str">
        <f>_xlfn.XLOOKUP(A3572,[1]Affiliations!$J$2:$J$5328,[1]Affiliations!$K$2:$K$5328,0)</f>
        <v>Federal University of Rio de Janeiro</v>
      </c>
      <c r="D3572">
        <v>13</v>
      </c>
      <c r="E3572">
        <v>317</v>
      </c>
      <c r="F3572">
        <v>24.384615</v>
      </c>
      <c r="G3572">
        <v>15</v>
      </c>
      <c r="H3572">
        <v>0.77</v>
      </c>
      <c r="I3572">
        <v>0</v>
      </c>
      <c r="J3572">
        <v>2</v>
      </c>
      <c r="K3572">
        <v>3</v>
      </c>
      <c r="L3572">
        <v>6</v>
      </c>
      <c r="M3572">
        <v>8</v>
      </c>
      <c r="N3572">
        <v>10</v>
      </c>
      <c r="P3572">
        <v>0</v>
      </c>
      <c r="Q3572">
        <v>0</v>
      </c>
      <c r="R3572">
        <v>2</v>
      </c>
      <c r="S3572">
        <v>7</v>
      </c>
    </row>
    <row r="3573" spans="1:19" hidden="1" x14ac:dyDescent="0.35">
      <c r="A3573">
        <v>6508271198</v>
      </c>
      <c r="B3573" t="s">
        <v>3574</v>
      </c>
      <c r="C3573" t="str">
        <f>_xlfn.XLOOKUP(A3573,[1]Affiliations!$J$2:$J$5328,[1]Affiliations!$K$2:$K$5328,0)</f>
        <v>Universidade Federal de Campina Grande</v>
      </c>
      <c r="D3573">
        <v>24</v>
      </c>
      <c r="E3573">
        <v>125</v>
      </c>
      <c r="F3573">
        <v>5.2083335000000002</v>
      </c>
      <c r="G3573">
        <v>9</v>
      </c>
      <c r="H3573">
        <v>0.36</v>
      </c>
      <c r="I3573">
        <v>0</v>
      </c>
      <c r="J3573">
        <v>0</v>
      </c>
      <c r="K3573">
        <v>1</v>
      </c>
      <c r="L3573">
        <v>4</v>
      </c>
      <c r="M3573">
        <v>7</v>
      </c>
      <c r="N3573">
        <v>12</v>
      </c>
      <c r="P3573">
        <v>0</v>
      </c>
      <c r="Q3573">
        <v>0</v>
      </c>
      <c r="R3573">
        <v>0</v>
      </c>
      <c r="S3573">
        <v>1</v>
      </c>
    </row>
    <row r="3574" spans="1:19" hidden="1" x14ac:dyDescent="0.35">
      <c r="A3574">
        <v>58636136600</v>
      </c>
      <c r="B3574" t="s">
        <v>3575</v>
      </c>
      <c r="C3574" t="str">
        <f>_xlfn.XLOOKUP(A3574,[1]Affiliations!$J$2:$J$5328,[1]Affiliations!$K$2:$K$5328,0)</f>
        <v>University of Campinas</v>
      </c>
      <c r="D3574">
        <v>6</v>
      </c>
      <c r="E3574">
        <v>1</v>
      </c>
      <c r="F3574">
        <v>0.16666666999999999</v>
      </c>
      <c r="G3574">
        <v>1</v>
      </c>
      <c r="H3574">
        <v>0.02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P3574">
        <v>0</v>
      </c>
      <c r="Q3574">
        <v>0</v>
      </c>
      <c r="R3574">
        <v>0</v>
      </c>
      <c r="S3574">
        <v>0</v>
      </c>
    </row>
    <row r="3575" spans="1:19" x14ac:dyDescent="0.35">
      <c r="A3575">
        <v>35732328500</v>
      </c>
      <c r="B3575" t="s">
        <v>3991</v>
      </c>
      <c r="C3575" t="str">
        <f>_xlfn.XLOOKUP(A3575,[1]Affiliations!$J$2:$J$5328,[1]Affiliations!$K$2:$K$5328,0)</f>
        <v>Vizlab - X-Reality and GeoInformatics Lab (+1 more)</v>
      </c>
      <c r="D3575">
        <v>36</v>
      </c>
      <c r="E3575">
        <v>400</v>
      </c>
      <c r="F3575">
        <v>11.111110999999999</v>
      </c>
      <c r="G3575">
        <v>14</v>
      </c>
      <c r="H3575">
        <v>0.77</v>
      </c>
      <c r="I3575">
        <v>0</v>
      </c>
      <c r="J3575">
        <v>1</v>
      </c>
      <c r="K3575">
        <v>3</v>
      </c>
      <c r="L3575">
        <v>9</v>
      </c>
      <c r="M3575">
        <v>25</v>
      </c>
      <c r="N3575">
        <v>32</v>
      </c>
      <c r="P3575">
        <v>0</v>
      </c>
      <c r="Q3575">
        <v>2</v>
      </c>
      <c r="R3575">
        <v>2</v>
      </c>
      <c r="S3575">
        <v>6</v>
      </c>
    </row>
    <row r="3576" spans="1:19" x14ac:dyDescent="0.35">
      <c r="A3576">
        <v>16317422400</v>
      </c>
      <c r="B3576" t="s">
        <v>4004</v>
      </c>
      <c r="C3576" t="str">
        <f>_xlfn.XLOOKUP(A3576,[1]Affiliations!$J$2:$J$5328,[1]Affiliations!$K$2:$K$5328,0)</f>
        <v>Universidade Federal do Rio Grande do Sul</v>
      </c>
      <c r="D3576">
        <v>23</v>
      </c>
      <c r="E3576">
        <v>314</v>
      </c>
      <c r="F3576">
        <v>13.652174</v>
      </c>
      <c r="G3576">
        <v>13</v>
      </c>
      <c r="H3576">
        <v>0.77</v>
      </c>
      <c r="I3576">
        <v>0</v>
      </c>
      <c r="J3576">
        <v>2</v>
      </c>
      <c r="K3576">
        <v>5</v>
      </c>
      <c r="L3576">
        <v>10</v>
      </c>
      <c r="M3576">
        <v>20</v>
      </c>
      <c r="N3576">
        <v>22</v>
      </c>
      <c r="P3576">
        <v>0</v>
      </c>
      <c r="Q3576">
        <v>1</v>
      </c>
      <c r="R3576">
        <v>1</v>
      </c>
      <c r="S3576">
        <v>4</v>
      </c>
    </row>
    <row r="3577" spans="1:19" hidden="1" x14ac:dyDescent="0.35">
      <c r="A3577">
        <v>6602092577</v>
      </c>
      <c r="B3577" t="s">
        <v>3578</v>
      </c>
      <c r="C3577" t="str">
        <f>_xlfn.XLOOKUP(A3577,[1]Affiliations!$J$2:$J$5328,[1]Affiliations!$K$2:$K$5328,0)</f>
        <v>Federal University of Rio de Janeiro</v>
      </c>
      <c r="D3577">
        <v>44</v>
      </c>
      <c r="E3577">
        <v>261</v>
      </c>
      <c r="F3577">
        <v>5.9318179999999998</v>
      </c>
      <c r="G3577">
        <v>23</v>
      </c>
      <c r="H3577">
        <v>0.46</v>
      </c>
      <c r="I3577">
        <v>0</v>
      </c>
      <c r="J3577">
        <v>0</v>
      </c>
      <c r="K3577">
        <v>5</v>
      </c>
      <c r="L3577">
        <v>12</v>
      </c>
      <c r="M3577">
        <v>27</v>
      </c>
      <c r="N3577">
        <v>37</v>
      </c>
      <c r="P3577">
        <v>0</v>
      </c>
      <c r="Q3577">
        <v>0</v>
      </c>
      <c r="R3577">
        <v>0</v>
      </c>
      <c r="S3577">
        <v>2</v>
      </c>
    </row>
    <row r="3578" spans="1:19" hidden="1" x14ac:dyDescent="0.35">
      <c r="A3578">
        <v>58678081900</v>
      </c>
      <c r="B3578" t="s">
        <v>3579</v>
      </c>
      <c r="C3578" t="str">
        <f>_xlfn.XLOOKUP(A3578,[1]Affiliations!$J$2:$J$5328,[1]Affiliations!$K$2:$K$5328,0)</f>
        <v>Universidade Tecnológica Federal do Paraná</v>
      </c>
      <c r="D3578">
        <v>3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1</v>
      </c>
      <c r="P3578">
        <v>0</v>
      </c>
      <c r="Q3578">
        <v>0</v>
      </c>
      <c r="R3578">
        <v>0</v>
      </c>
      <c r="S3578">
        <v>0</v>
      </c>
    </row>
    <row r="3579" spans="1:19" hidden="1" x14ac:dyDescent="0.35">
      <c r="A3579">
        <v>7102611378</v>
      </c>
      <c r="B3579" t="s">
        <v>3580</v>
      </c>
      <c r="C3579" t="str">
        <f>_xlfn.XLOOKUP(A3579,[1]Affiliations!$J$2:$J$5328,[1]Affiliations!$K$2:$K$5328,0)</f>
        <v>Petróleo Brasileiro S.A. (+3 more)</v>
      </c>
      <c r="D3579">
        <v>4</v>
      </c>
      <c r="E3579">
        <v>8</v>
      </c>
      <c r="F3579">
        <v>2</v>
      </c>
      <c r="G3579">
        <v>11</v>
      </c>
      <c r="H3579">
        <v>0.48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P3579">
        <v>0</v>
      </c>
      <c r="Q3579">
        <v>0</v>
      </c>
      <c r="R3579">
        <v>0</v>
      </c>
      <c r="S3579">
        <v>0</v>
      </c>
    </row>
    <row r="3580" spans="1:19" hidden="1" x14ac:dyDescent="0.35">
      <c r="A3580">
        <v>57543251200</v>
      </c>
      <c r="B3580" t="s">
        <v>3581</v>
      </c>
      <c r="C3580" t="str">
        <f>_xlfn.XLOOKUP(A3580,[1]Affiliations!$J$2:$J$5328,[1]Affiliations!$K$2:$K$5328,0)</f>
        <v>Universidade de São Paulo</v>
      </c>
      <c r="D3580">
        <v>1</v>
      </c>
      <c r="E3580">
        <v>13</v>
      </c>
      <c r="F3580">
        <v>13</v>
      </c>
      <c r="G3580">
        <v>1</v>
      </c>
      <c r="H3580">
        <v>0.52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1</v>
      </c>
      <c r="P3580">
        <v>0</v>
      </c>
      <c r="Q3580">
        <v>0</v>
      </c>
      <c r="R3580">
        <v>0</v>
      </c>
      <c r="S3580">
        <v>0</v>
      </c>
    </row>
    <row r="3581" spans="1:19" x14ac:dyDescent="0.35">
      <c r="A3581">
        <v>45161720500</v>
      </c>
      <c r="B3581" t="s">
        <v>4389</v>
      </c>
      <c r="C3581" t="str">
        <f>_xlfn.XLOOKUP(A3581,[1]Affiliations!$J$2:$J$5328,[1]Affiliations!$K$2:$K$5328,0)</f>
        <v>Universidade Federal do Espírito Santo</v>
      </c>
      <c r="D3581">
        <v>32</v>
      </c>
      <c r="E3581">
        <v>681</v>
      </c>
      <c r="F3581">
        <v>21.28125</v>
      </c>
      <c r="G3581">
        <v>19</v>
      </c>
      <c r="H3581">
        <v>0.77</v>
      </c>
      <c r="I3581">
        <v>1</v>
      </c>
      <c r="J3581">
        <v>10</v>
      </c>
      <c r="K3581">
        <v>17</v>
      </c>
      <c r="L3581">
        <v>24</v>
      </c>
      <c r="M3581">
        <v>29</v>
      </c>
      <c r="N3581">
        <v>30</v>
      </c>
      <c r="P3581">
        <v>1</v>
      </c>
      <c r="Q3581">
        <v>2</v>
      </c>
      <c r="R3581">
        <v>3</v>
      </c>
      <c r="S3581">
        <v>17</v>
      </c>
    </row>
    <row r="3582" spans="1:19" hidden="1" x14ac:dyDescent="0.35">
      <c r="A3582">
        <v>56095197100</v>
      </c>
      <c r="B3582" t="s">
        <v>3583</v>
      </c>
      <c r="C3582" t="str">
        <f>_xlfn.XLOOKUP(A3582,[1]Affiliations!$J$2:$J$5328,[1]Affiliations!$K$2:$K$5328,0)</f>
        <v>Federal University of Rio de Janeiro</v>
      </c>
      <c r="D3582">
        <v>4</v>
      </c>
      <c r="E3582">
        <v>24</v>
      </c>
      <c r="F3582">
        <v>6</v>
      </c>
      <c r="G3582">
        <v>4</v>
      </c>
      <c r="H3582">
        <v>1.1299999999999999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4</v>
      </c>
      <c r="P3582">
        <v>0</v>
      </c>
      <c r="Q3582">
        <v>0</v>
      </c>
      <c r="R3582">
        <v>0</v>
      </c>
      <c r="S3582">
        <v>0</v>
      </c>
    </row>
    <row r="3583" spans="1:19" x14ac:dyDescent="0.35">
      <c r="A3583">
        <v>55924776700</v>
      </c>
      <c r="B3583" t="s">
        <v>4920</v>
      </c>
      <c r="C3583" t="str">
        <f>_xlfn.XLOOKUP(A3583,[1]Affiliations!$J$2:$J$5328,[1]Affiliations!$K$2:$K$5328,0)</f>
        <v>Universidade Estadual do Norte Fluminense</v>
      </c>
      <c r="D3583">
        <v>9</v>
      </c>
      <c r="E3583">
        <v>279</v>
      </c>
      <c r="F3583">
        <v>31</v>
      </c>
      <c r="G3583">
        <v>12</v>
      </c>
      <c r="H3583">
        <v>0.77</v>
      </c>
      <c r="I3583">
        <v>0</v>
      </c>
      <c r="J3583">
        <v>1</v>
      </c>
      <c r="K3583">
        <v>2</v>
      </c>
      <c r="L3583">
        <v>6</v>
      </c>
      <c r="M3583">
        <v>7</v>
      </c>
      <c r="N3583">
        <v>9</v>
      </c>
      <c r="P3583">
        <v>0</v>
      </c>
      <c r="Q3583">
        <v>1</v>
      </c>
      <c r="R3583">
        <v>2</v>
      </c>
      <c r="S3583">
        <v>3</v>
      </c>
    </row>
    <row r="3584" spans="1:19" hidden="1" x14ac:dyDescent="0.35">
      <c r="A3584">
        <v>58016833000</v>
      </c>
      <c r="B3584" t="s">
        <v>3585</v>
      </c>
      <c r="C3584" t="str">
        <f>_xlfn.XLOOKUP(A3584,[1]Affiliations!$J$2:$J$5328,[1]Affiliations!$K$2:$K$5328,0)</f>
        <v>Universidade Federal Fluminense</v>
      </c>
      <c r="D3584">
        <v>1</v>
      </c>
      <c r="E3584">
        <v>7</v>
      </c>
      <c r="F3584">
        <v>7</v>
      </c>
      <c r="G3584">
        <v>1</v>
      </c>
      <c r="H3584">
        <v>0.47</v>
      </c>
      <c r="I3584">
        <v>0</v>
      </c>
      <c r="J3584">
        <v>0</v>
      </c>
      <c r="K3584">
        <v>0</v>
      </c>
      <c r="L3584">
        <v>1</v>
      </c>
      <c r="M3584">
        <v>1</v>
      </c>
      <c r="N3584">
        <v>1</v>
      </c>
      <c r="P3584">
        <v>0</v>
      </c>
      <c r="Q3584">
        <v>0</v>
      </c>
      <c r="R3584">
        <v>0</v>
      </c>
      <c r="S3584">
        <v>0</v>
      </c>
    </row>
    <row r="3585" spans="1:19" hidden="1" x14ac:dyDescent="0.35">
      <c r="A3585">
        <v>57210105996</v>
      </c>
      <c r="B3585" t="s">
        <v>3586</v>
      </c>
      <c r="C3585" t="str">
        <f>_xlfn.XLOOKUP(A3585,[1]Affiliations!$J$2:$J$5328,[1]Affiliations!$K$2:$K$5328,0)</f>
        <v>Universidade Federal Fluminense</v>
      </c>
      <c r="D3585">
        <v>3</v>
      </c>
      <c r="E3585">
        <v>10</v>
      </c>
      <c r="F3585">
        <v>3.3333333000000001</v>
      </c>
      <c r="G3585">
        <v>2</v>
      </c>
      <c r="H3585">
        <v>0.16</v>
      </c>
      <c r="I3585">
        <v>0</v>
      </c>
      <c r="J3585">
        <v>0</v>
      </c>
      <c r="K3585">
        <v>0</v>
      </c>
      <c r="L3585">
        <v>1</v>
      </c>
      <c r="M3585">
        <v>1</v>
      </c>
      <c r="N3585">
        <v>1</v>
      </c>
      <c r="P3585">
        <v>0</v>
      </c>
      <c r="Q3585">
        <v>0</v>
      </c>
      <c r="R3585">
        <v>0</v>
      </c>
      <c r="S3585">
        <v>0</v>
      </c>
    </row>
    <row r="3586" spans="1:19" hidden="1" x14ac:dyDescent="0.35">
      <c r="A3586">
        <v>59452038800</v>
      </c>
      <c r="B3586" t="s">
        <v>3587</v>
      </c>
      <c r="C3586" t="str">
        <f>_xlfn.XLOOKUP(A3586,[1]Affiliations!$J$2:$J$5328,[1]Affiliations!$K$2:$K$5328,0)</f>
        <v>Universidade Federal de Minas Gerais</v>
      </c>
      <c r="D3586">
        <v>0</v>
      </c>
      <c r="G3586">
        <v>1</v>
      </c>
    </row>
    <row r="3587" spans="1:19" hidden="1" x14ac:dyDescent="0.35">
      <c r="A3587">
        <v>57220187518</v>
      </c>
      <c r="B3587" t="s">
        <v>3588</v>
      </c>
      <c r="C3587" t="str">
        <f>_xlfn.XLOOKUP(A3587,[1]Affiliations!$J$2:$J$5328,[1]Affiliations!$K$2:$K$5328,0)</f>
        <v>Pontifical Catholic University of Rio de Janeiro</v>
      </c>
      <c r="D3587">
        <v>5</v>
      </c>
      <c r="E3587">
        <v>18</v>
      </c>
      <c r="F3587">
        <v>3.6</v>
      </c>
      <c r="G3587">
        <v>3</v>
      </c>
      <c r="H3587">
        <v>0.48</v>
      </c>
      <c r="I3587">
        <v>0</v>
      </c>
      <c r="J3587">
        <v>1</v>
      </c>
      <c r="K3587">
        <v>1</v>
      </c>
      <c r="L3587">
        <v>1</v>
      </c>
      <c r="M3587">
        <v>1</v>
      </c>
      <c r="N3587">
        <v>2</v>
      </c>
      <c r="P3587">
        <v>0</v>
      </c>
      <c r="Q3587">
        <v>0</v>
      </c>
      <c r="R3587">
        <v>0</v>
      </c>
      <c r="S3587">
        <v>0</v>
      </c>
    </row>
    <row r="3588" spans="1:19" hidden="1" x14ac:dyDescent="0.35">
      <c r="A3588">
        <v>56435673300</v>
      </c>
      <c r="B3588" t="s">
        <v>3589</v>
      </c>
      <c r="C3588" t="str">
        <f>_xlfn.XLOOKUP(A3588,[1]Affiliations!$J$2:$J$5328,[1]Affiliations!$K$2:$K$5328,0)</f>
        <v>Instituto Nacional de Metrologia, Qualidade e Tecnologia (+1 more)</v>
      </c>
      <c r="D3588">
        <v>5</v>
      </c>
      <c r="E3588">
        <v>33</v>
      </c>
      <c r="F3588">
        <v>6.6</v>
      </c>
      <c r="G3588">
        <v>4</v>
      </c>
      <c r="H3588">
        <v>0.26</v>
      </c>
      <c r="I3588">
        <v>0</v>
      </c>
      <c r="J3588">
        <v>0</v>
      </c>
      <c r="K3588">
        <v>0</v>
      </c>
      <c r="L3588">
        <v>3</v>
      </c>
      <c r="M3588">
        <v>5</v>
      </c>
      <c r="N3588">
        <v>5</v>
      </c>
      <c r="P3588">
        <v>0</v>
      </c>
      <c r="Q3588">
        <v>0</v>
      </c>
      <c r="R3588">
        <v>0</v>
      </c>
      <c r="S3588">
        <v>0</v>
      </c>
    </row>
    <row r="3589" spans="1:19" hidden="1" x14ac:dyDescent="0.35">
      <c r="A3589">
        <v>57200313928</v>
      </c>
      <c r="B3589" t="s">
        <v>3590</v>
      </c>
      <c r="C3589" t="str">
        <f>_xlfn.XLOOKUP(A3589,[1]Affiliations!$J$2:$J$5328,[1]Affiliations!$K$2:$K$5328,0)</f>
        <v>Federal University of Rio de Janeiro</v>
      </c>
      <c r="D3589">
        <v>2</v>
      </c>
      <c r="E3589">
        <v>6</v>
      </c>
      <c r="F3589">
        <v>3</v>
      </c>
      <c r="G3589">
        <v>1</v>
      </c>
      <c r="H3589">
        <v>0.36</v>
      </c>
      <c r="I3589">
        <v>0</v>
      </c>
      <c r="J3589">
        <v>0</v>
      </c>
      <c r="K3589">
        <v>0</v>
      </c>
      <c r="L3589">
        <v>1</v>
      </c>
      <c r="M3589">
        <v>1</v>
      </c>
      <c r="N3589">
        <v>1</v>
      </c>
      <c r="P3589">
        <v>0</v>
      </c>
      <c r="Q3589">
        <v>0</v>
      </c>
      <c r="R3589">
        <v>0</v>
      </c>
      <c r="S3589">
        <v>0</v>
      </c>
    </row>
    <row r="3590" spans="1:19" x14ac:dyDescent="0.35">
      <c r="A3590">
        <v>56548228100</v>
      </c>
      <c r="B3590" t="s">
        <v>5191</v>
      </c>
      <c r="C3590" t="str">
        <f>_xlfn.XLOOKUP(A3590,[1]Affiliations!$J$2:$J$5328,[1]Affiliations!$K$2:$K$5328,0)</f>
        <v>Centro Nacional de Pesquisa em Energia e Materiais</v>
      </c>
      <c r="D3590">
        <v>13</v>
      </c>
      <c r="E3590">
        <v>227</v>
      </c>
      <c r="F3590">
        <v>17.461538000000001</v>
      </c>
      <c r="G3590">
        <v>10</v>
      </c>
      <c r="H3590">
        <v>0.77</v>
      </c>
      <c r="I3590">
        <v>0</v>
      </c>
      <c r="J3590">
        <v>5</v>
      </c>
      <c r="K3590">
        <v>11</v>
      </c>
      <c r="L3590">
        <v>13</v>
      </c>
      <c r="M3590">
        <v>13</v>
      </c>
      <c r="N3590">
        <v>13</v>
      </c>
      <c r="P3590">
        <v>0</v>
      </c>
      <c r="Q3590">
        <v>1</v>
      </c>
      <c r="R3590">
        <v>2</v>
      </c>
      <c r="S3590">
        <v>4</v>
      </c>
    </row>
    <row r="3591" spans="1:19" hidden="1" x14ac:dyDescent="0.35">
      <c r="A3591">
        <v>57967602800</v>
      </c>
      <c r="B3591" t="s">
        <v>3592</v>
      </c>
      <c r="C3591" t="str">
        <f>_xlfn.XLOOKUP(A3591,[1]Affiliations!$J$2:$J$5328,[1]Affiliations!$K$2:$K$5328,0)</f>
        <v>Laboratório Nacional de Luz Síncrotron (LNLS) (+1 more)</v>
      </c>
      <c r="D3591">
        <v>2</v>
      </c>
      <c r="E3591">
        <v>42</v>
      </c>
      <c r="F3591">
        <v>21</v>
      </c>
      <c r="G3591">
        <v>2</v>
      </c>
      <c r="H3591">
        <v>1.02</v>
      </c>
      <c r="I3591">
        <v>0</v>
      </c>
      <c r="J3591">
        <v>2</v>
      </c>
      <c r="K3591">
        <v>2</v>
      </c>
      <c r="L3591">
        <v>2</v>
      </c>
      <c r="M3591">
        <v>2</v>
      </c>
      <c r="N3591">
        <v>2</v>
      </c>
      <c r="P3591">
        <v>0</v>
      </c>
      <c r="Q3591">
        <v>1</v>
      </c>
      <c r="R3591">
        <v>1</v>
      </c>
      <c r="S3591">
        <v>2</v>
      </c>
    </row>
    <row r="3592" spans="1:19" hidden="1" x14ac:dyDescent="0.35">
      <c r="A3592">
        <v>55612383600</v>
      </c>
      <c r="B3592" t="s">
        <v>3593</v>
      </c>
      <c r="C3592" t="str">
        <f>_xlfn.XLOOKUP(A3592,[1]Affiliations!$J$2:$J$5328,[1]Affiliations!$K$2:$K$5328,0)</f>
        <v>Universidade de São Paulo</v>
      </c>
      <c r="D3592">
        <v>4</v>
      </c>
      <c r="E3592">
        <v>50</v>
      </c>
      <c r="F3592">
        <v>12.5</v>
      </c>
      <c r="G3592">
        <v>4</v>
      </c>
      <c r="H3592">
        <v>0.61</v>
      </c>
      <c r="I3592">
        <v>0</v>
      </c>
      <c r="J3592">
        <v>0</v>
      </c>
      <c r="K3592">
        <v>2</v>
      </c>
      <c r="L3592">
        <v>2</v>
      </c>
      <c r="M3592">
        <v>4</v>
      </c>
      <c r="N3592">
        <v>4</v>
      </c>
      <c r="P3592">
        <v>0</v>
      </c>
      <c r="Q3592">
        <v>0</v>
      </c>
      <c r="R3592">
        <v>0</v>
      </c>
      <c r="S3592">
        <v>1</v>
      </c>
    </row>
    <row r="3593" spans="1:19" hidden="1" x14ac:dyDescent="0.35">
      <c r="A3593">
        <v>57200282557</v>
      </c>
      <c r="B3593" t="s">
        <v>3594</v>
      </c>
      <c r="C3593" t="str">
        <f>_xlfn.XLOOKUP(A3593,[1]Affiliations!$J$2:$J$5328,[1]Affiliations!$K$2:$K$5328,0)</f>
        <v>University of Parma (+2 more)</v>
      </c>
      <c r="D3593">
        <v>10</v>
      </c>
      <c r="E3593">
        <v>192</v>
      </c>
      <c r="F3593">
        <v>19.2</v>
      </c>
      <c r="G3593">
        <v>8</v>
      </c>
      <c r="H3593">
        <v>1.81</v>
      </c>
      <c r="I3593">
        <v>0</v>
      </c>
      <c r="J3593">
        <v>3</v>
      </c>
      <c r="K3593">
        <v>4</v>
      </c>
      <c r="L3593">
        <v>10</v>
      </c>
      <c r="M3593">
        <v>10</v>
      </c>
      <c r="N3593">
        <v>10</v>
      </c>
      <c r="P3593">
        <v>0</v>
      </c>
      <c r="Q3593">
        <v>0</v>
      </c>
      <c r="R3593">
        <v>0</v>
      </c>
      <c r="S3593">
        <v>9</v>
      </c>
    </row>
    <row r="3594" spans="1:19" hidden="1" x14ac:dyDescent="0.35">
      <c r="A3594">
        <v>36137843300</v>
      </c>
      <c r="B3594" t="s">
        <v>3595</v>
      </c>
      <c r="C3594" t="str">
        <f>_xlfn.XLOOKUP(A3594,[1]Affiliations!$J$2:$J$5328,[1]Affiliations!$K$2:$K$5328,0)</f>
        <v>Universidade Federal Fluminense (+1 more)</v>
      </c>
      <c r="D3594">
        <v>11</v>
      </c>
      <c r="E3594">
        <v>155</v>
      </c>
      <c r="F3594">
        <v>14.090909</v>
      </c>
      <c r="G3594">
        <v>9</v>
      </c>
      <c r="H3594">
        <v>0.63</v>
      </c>
      <c r="I3594">
        <v>0</v>
      </c>
      <c r="J3594">
        <v>0</v>
      </c>
      <c r="K3594">
        <v>1</v>
      </c>
      <c r="L3594">
        <v>8</v>
      </c>
      <c r="M3594">
        <v>9</v>
      </c>
      <c r="N3594">
        <v>11</v>
      </c>
      <c r="P3594">
        <v>0</v>
      </c>
      <c r="Q3594">
        <v>0</v>
      </c>
      <c r="R3594">
        <v>0</v>
      </c>
      <c r="S3594">
        <v>4</v>
      </c>
    </row>
    <row r="3595" spans="1:19" x14ac:dyDescent="0.35">
      <c r="A3595">
        <v>55456955000</v>
      </c>
      <c r="B3595" t="s">
        <v>115</v>
      </c>
      <c r="C3595" t="str">
        <f>_xlfn.XLOOKUP(A3595,[1]Affiliations!$J$2:$J$5328,[1]Affiliations!$K$2:$K$5328,0)</f>
        <v>Universidade Federal Rural do Rio de Janeiro</v>
      </c>
      <c r="D3595">
        <v>18</v>
      </c>
      <c r="E3595">
        <v>214</v>
      </c>
      <c r="F3595">
        <v>11.888889000000001</v>
      </c>
      <c r="G3595">
        <v>12</v>
      </c>
      <c r="H3595">
        <v>0.76</v>
      </c>
      <c r="I3595">
        <v>0</v>
      </c>
      <c r="J3595">
        <v>0</v>
      </c>
      <c r="K3595">
        <v>2</v>
      </c>
      <c r="L3595">
        <v>5</v>
      </c>
      <c r="M3595">
        <v>7</v>
      </c>
      <c r="N3595">
        <v>15</v>
      </c>
      <c r="P3595">
        <v>0</v>
      </c>
      <c r="Q3595">
        <v>0</v>
      </c>
      <c r="R3595">
        <v>1</v>
      </c>
      <c r="S3595">
        <v>6</v>
      </c>
    </row>
    <row r="3596" spans="1:19" x14ac:dyDescent="0.35">
      <c r="A3596">
        <v>8299640100</v>
      </c>
      <c r="B3596" t="s">
        <v>559</v>
      </c>
      <c r="C3596" t="str">
        <f>_xlfn.XLOOKUP(A3596,[1]Affiliations!$J$2:$J$5328,[1]Affiliations!$K$2:$K$5328,0)</f>
        <v>University of Campinas</v>
      </c>
      <c r="D3596">
        <v>79</v>
      </c>
      <c r="E3596">
        <v>558</v>
      </c>
      <c r="F3596">
        <v>7.0632910000000004</v>
      </c>
      <c r="G3596">
        <v>15</v>
      </c>
      <c r="H3596">
        <v>0.76</v>
      </c>
      <c r="I3596">
        <v>1</v>
      </c>
      <c r="J3596">
        <v>4</v>
      </c>
      <c r="K3596">
        <v>6</v>
      </c>
      <c r="L3596">
        <v>14</v>
      </c>
      <c r="M3596">
        <v>27</v>
      </c>
      <c r="N3596">
        <v>30</v>
      </c>
      <c r="P3596">
        <v>0</v>
      </c>
      <c r="Q3596">
        <v>1</v>
      </c>
      <c r="R3596">
        <v>3</v>
      </c>
      <c r="S3596">
        <v>7</v>
      </c>
    </row>
    <row r="3597" spans="1:19" hidden="1" x14ac:dyDescent="0.35">
      <c r="A3597">
        <v>6603902516</v>
      </c>
      <c r="B3597" t="s">
        <v>3598</v>
      </c>
      <c r="C3597" t="str">
        <f>_xlfn.XLOOKUP(A3597,[1]Affiliations!$J$2:$J$5328,[1]Affiliations!$K$2:$K$5328,0)</f>
        <v>Pontifical Catholic University of Rio de Janeiro (+1 more)</v>
      </c>
      <c r="D3597">
        <v>27</v>
      </c>
      <c r="E3597">
        <v>113</v>
      </c>
      <c r="F3597">
        <v>4.1851849999999997</v>
      </c>
      <c r="G3597">
        <v>12</v>
      </c>
      <c r="H3597">
        <v>0.38</v>
      </c>
      <c r="I3597">
        <v>0</v>
      </c>
      <c r="J3597">
        <v>0</v>
      </c>
      <c r="K3597">
        <v>2</v>
      </c>
      <c r="L3597">
        <v>9</v>
      </c>
      <c r="M3597">
        <v>15</v>
      </c>
      <c r="N3597">
        <v>18</v>
      </c>
      <c r="P3597">
        <v>0</v>
      </c>
      <c r="Q3597">
        <v>0</v>
      </c>
      <c r="R3597">
        <v>0</v>
      </c>
      <c r="S3597">
        <v>1</v>
      </c>
    </row>
    <row r="3598" spans="1:19" hidden="1" x14ac:dyDescent="0.35">
      <c r="A3598">
        <v>57202119518</v>
      </c>
      <c r="B3598" t="s">
        <v>3599</v>
      </c>
      <c r="C3598" t="str">
        <f>_xlfn.XLOOKUP(A3598,[1]Affiliations!$J$2:$J$5328,[1]Affiliations!$K$2:$K$5328,0)</f>
        <v>Pontifical Catholic University of Rio de Janeiro</v>
      </c>
      <c r="D3598">
        <v>3</v>
      </c>
      <c r="E3598">
        <v>16</v>
      </c>
      <c r="F3598">
        <v>5.3333335000000002</v>
      </c>
      <c r="G3598">
        <v>1</v>
      </c>
      <c r="H3598">
        <v>0.17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1</v>
      </c>
      <c r="P3598">
        <v>0</v>
      </c>
      <c r="Q3598">
        <v>0</v>
      </c>
      <c r="R3598">
        <v>0</v>
      </c>
      <c r="S3598">
        <v>0</v>
      </c>
    </row>
    <row r="3599" spans="1:19" x14ac:dyDescent="0.35">
      <c r="A3599">
        <v>57193665990</v>
      </c>
      <c r="B3599" t="s">
        <v>620</v>
      </c>
      <c r="C3599" t="str">
        <f>_xlfn.XLOOKUP(A3599,[1]Affiliations!$J$2:$J$5328,[1]Affiliations!$K$2:$K$5328,0)</f>
        <v>Federal University of Rio de Janeiro</v>
      </c>
      <c r="D3599">
        <v>20</v>
      </c>
      <c r="E3599">
        <v>458</v>
      </c>
      <c r="F3599">
        <v>22.9</v>
      </c>
      <c r="G3599">
        <v>12</v>
      </c>
      <c r="H3599">
        <v>0.76</v>
      </c>
      <c r="I3599">
        <v>0</v>
      </c>
      <c r="J3599">
        <v>9</v>
      </c>
      <c r="K3599">
        <v>13</v>
      </c>
      <c r="L3599">
        <v>15</v>
      </c>
      <c r="M3599">
        <v>16</v>
      </c>
      <c r="N3599">
        <v>16</v>
      </c>
      <c r="P3599">
        <v>0</v>
      </c>
      <c r="Q3599">
        <v>1</v>
      </c>
      <c r="R3599">
        <v>3</v>
      </c>
      <c r="S3599">
        <v>13</v>
      </c>
    </row>
    <row r="3600" spans="1:19" x14ac:dyDescent="0.35">
      <c r="A3600">
        <v>35570358200</v>
      </c>
      <c r="B3600" t="s">
        <v>709</v>
      </c>
      <c r="C3600" t="str">
        <f>_xlfn.XLOOKUP(A3600,[1]Affiliations!$J$2:$J$5328,[1]Affiliations!$K$2:$K$5328,0)</f>
        <v>Federal University of Rio de Janeiro</v>
      </c>
      <c r="D3600">
        <v>36</v>
      </c>
      <c r="E3600">
        <v>850</v>
      </c>
      <c r="F3600">
        <v>23.61111</v>
      </c>
      <c r="G3600">
        <v>30</v>
      </c>
      <c r="H3600">
        <v>0.76</v>
      </c>
      <c r="I3600">
        <v>0</v>
      </c>
      <c r="J3600">
        <v>1</v>
      </c>
      <c r="K3600">
        <v>2</v>
      </c>
      <c r="L3600">
        <v>20</v>
      </c>
      <c r="M3600">
        <v>29</v>
      </c>
      <c r="N3600">
        <v>33</v>
      </c>
      <c r="P3600">
        <v>0</v>
      </c>
      <c r="Q3600">
        <v>2</v>
      </c>
      <c r="R3600">
        <v>6</v>
      </c>
      <c r="S3600">
        <v>16</v>
      </c>
    </row>
    <row r="3601" spans="1:19" hidden="1" x14ac:dyDescent="0.35">
      <c r="A3601">
        <v>57222666594</v>
      </c>
      <c r="B3601" t="s">
        <v>3602</v>
      </c>
      <c r="C3601" t="str">
        <f>_xlfn.XLOOKUP(A3601,[1]Affiliations!$J$2:$J$5328,[1]Affiliations!$K$2:$K$5328,0)</f>
        <v>Universidade Federal de Itajubá</v>
      </c>
      <c r="D3601">
        <v>1</v>
      </c>
      <c r="E3601">
        <v>3</v>
      </c>
      <c r="F3601">
        <v>3</v>
      </c>
      <c r="G3601">
        <v>1</v>
      </c>
      <c r="H3601">
        <v>7.0000000000000007E-2</v>
      </c>
      <c r="I3601">
        <v>0</v>
      </c>
      <c r="J3601">
        <v>0</v>
      </c>
      <c r="K3601">
        <v>0</v>
      </c>
      <c r="L3601">
        <v>1</v>
      </c>
      <c r="M3601">
        <v>1</v>
      </c>
      <c r="N3601">
        <v>1</v>
      </c>
      <c r="P3601">
        <v>0</v>
      </c>
      <c r="Q3601">
        <v>0</v>
      </c>
      <c r="R3601">
        <v>0</v>
      </c>
      <c r="S3601">
        <v>0</v>
      </c>
    </row>
    <row r="3602" spans="1:19" x14ac:dyDescent="0.35">
      <c r="A3602">
        <v>55509191600</v>
      </c>
      <c r="B3602" t="s">
        <v>1068</v>
      </c>
      <c r="C3602" t="str">
        <f>_xlfn.XLOOKUP(A3602,[1]Affiliations!$J$2:$J$5328,[1]Affiliations!$K$2:$K$5328,0)</f>
        <v>Pontifical Catholic University of Rio de Janeiro</v>
      </c>
      <c r="D3602">
        <v>5</v>
      </c>
      <c r="E3602">
        <v>74</v>
      </c>
      <c r="F3602">
        <v>14.8</v>
      </c>
      <c r="G3602">
        <v>4</v>
      </c>
      <c r="H3602">
        <v>0.76</v>
      </c>
      <c r="I3602">
        <v>0</v>
      </c>
      <c r="J3602">
        <v>1</v>
      </c>
      <c r="K3602">
        <v>2</v>
      </c>
      <c r="L3602">
        <v>4</v>
      </c>
      <c r="M3602">
        <v>5</v>
      </c>
      <c r="N3602">
        <v>5</v>
      </c>
      <c r="P3602">
        <v>0</v>
      </c>
      <c r="Q3602">
        <v>0</v>
      </c>
      <c r="R3602">
        <v>1</v>
      </c>
      <c r="S3602">
        <v>3</v>
      </c>
    </row>
    <row r="3603" spans="1:19" hidden="1" x14ac:dyDescent="0.35">
      <c r="A3603">
        <v>36667057800</v>
      </c>
      <c r="B3603" t="s">
        <v>3604</v>
      </c>
      <c r="C3603" t="str">
        <f>_xlfn.XLOOKUP(A3603,[1]Affiliations!$J$2:$J$5328,[1]Affiliations!$K$2:$K$5328,0)</f>
        <v>Universidade Federal de Campina Grande</v>
      </c>
      <c r="D3603">
        <v>11</v>
      </c>
      <c r="E3603">
        <v>17</v>
      </c>
      <c r="F3603">
        <v>1.5454545</v>
      </c>
      <c r="G3603">
        <v>4</v>
      </c>
      <c r="H3603">
        <v>7.0000000000000007E-2</v>
      </c>
      <c r="I3603">
        <v>0</v>
      </c>
      <c r="J3603">
        <v>0</v>
      </c>
      <c r="K3603">
        <v>0</v>
      </c>
      <c r="L3603">
        <v>1</v>
      </c>
      <c r="M3603">
        <v>7</v>
      </c>
      <c r="N3603">
        <v>8</v>
      </c>
      <c r="P3603">
        <v>0</v>
      </c>
      <c r="Q3603">
        <v>0</v>
      </c>
      <c r="R3603">
        <v>0</v>
      </c>
      <c r="S3603">
        <v>0</v>
      </c>
    </row>
    <row r="3604" spans="1:19" hidden="1" x14ac:dyDescent="0.35">
      <c r="A3604">
        <v>57193928958</v>
      </c>
      <c r="B3604" t="s">
        <v>3605</v>
      </c>
      <c r="C3604" t="str">
        <f>_xlfn.XLOOKUP(A3604,[1]Affiliations!$J$2:$J$5328,[1]Affiliations!$K$2:$K$5328,0)</f>
        <v>Brazilian Geological Survey (CRPM)</v>
      </c>
      <c r="D3604">
        <v>4</v>
      </c>
      <c r="E3604">
        <v>51</v>
      </c>
      <c r="F3604">
        <v>12.75</v>
      </c>
      <c r="G3604">
        <v>3</v>
      </c>
      <c r="H3604">
        <v>0.68</v>
      </c>
      <c r="I3604">
        <v>0</v>
      </c>
      <c r="J3604">
        <v>2</v>
      </c>
      <c r="K3604">
        <v>2</v>
      </c>
      <c r="L3604">
        <v>2</v>
      </c>
      <c r="M3604">
        <v>2</v>
      </c>
      <c r="N3604">
        <v>2</v>
      </c>
      <c r="P3604">
        <v>0</v>
      </c>
      <c r="Q3604">
        <v>0</v>
      </c>
      <c r="R3604">
        <v>0</v>
      </c>
      <c r="S3604">
        <v>1</v>
      </c>
    </row>
    <row r="3605" spans="1:19" hidden="1" x14ac:dyDescent="0.35">
      <c r="A3605">
        <v>56267704800</v>
      </c>
      <c r="B3605" t="s">
        <v>3606</v>
      </c>
      <c r="C3605" t="str">
        <f>_xlfn.XLOOKUP(A3605,[1]Affiliations!$J$2:$J$5328,[1]Affiliations!$K$2:$K$5328,0)</f>
        <v>Federal University of Rio de Janeiro</v>
      </c>
      <c r="D3605">
        <v>0</v>
      </c>
      <c r="G3605">
        <v>1</v>
      </c>
    </row>
    <row r="3606" spans="1:19" hidden="1" x14ac:dyDescent="0.35">
      <c r="A3606">
        <v>56656506000</v>
      </c>
      <c r="B3606" t="s">
        <v>3607</v>
      </c>
      <c r="C3606" t="str">
        <f>_xlfn.XLOOKUP(A3606,[1]Affiliations!$J$2:$J$5328,[1]Affiliations!$K$2:$K$5328,0)</f>
        <v>Envex Engineering and Consulting</v>
      </c>
      <c r="D3606">
        <v>3</v>
      </c>
      <c r="E3606">
        <v>60</v>
      </c>
      <c r="F3606">
        <v>20</v>
      </c>
      <c r="G3606">
        <v>3</v>
      </c>
      <c r="H3606">
        <v>0.96</v>
      </c>
      <c r="I3606">
        <v>0</v>
      </c>
      <c r="J3606">
        <v>0</v>
      </c>
      <c r="K3606">
        <v>0</v>
      </c>
      <c r="L3606">
        <v>2</v>
      </c>
      <c r="M3606">
        <v>3</v>
      </c>
      <c r="N3606">
        <v>3</v>
      </c>
      <c r="P3606">
        <v>0</v>
      </c>
      <c r="Q3606">
        <v>0</v>
      </c>
      <c r="R3606">
        <v>0</v>
      </c>
      <c r="S3606">
        <v>2</v>
      </c>
    </row>
    <row r="3607" spans="1:19" hidden="1" x14ac:dyDescent="0.35">
      <c r="A3607">
        <v>6506547586</v>
      </c>
      <c r="B3607" t="s">
        <v>3608</v>
      </c>
      <c r="C3607" t="str">
        <f>_xlfn.XLOOKUP(A3607,[1]Affiliations!$J$2:$J$5328,[1]Affiliations!$K$2:$K$5328,0)</f>
        <v>Universidade Federal do Paraná</v>
      </c>
      <c r="D3607">
        <v>26</v>
      </c>
      <c r="E3607">
        <v>246</v>
      </c>
      <c r="F3607">
        <v>9.4615379999999991</v>
      </c>
      <c r="G3607">
        <v>12</v>
      </c>
      <c r="H3607">
        <v>0.74</v>
      </c>
      <c r="I3607">
        <v>0</v>
      </c>
      <c r="J3607">
        <v>1</v>
      </c>
      <c r="K3607">
        <v>3</v>
      </c>
      <c r="L3607">
        <v>11</v>
      </c>
      <c r="M3607">
        <v>19</v>
      </c>
      <c r="N3607">
        <v>25</v>
      </c>
      <c r="P3607">
        <v>0</v>
      </c>
      <c r="Q3607">
        <v>0</v>
      </c>
      <c r="R3607">
        <v>0</v>
      </c>
      <c r="S3607">
        <v>8</v>
      </c>
    </row>
    <row r="3608" spans="1:19" hidden="1" x14ac:dyDescent="0.35">
      <c r="A3608">
        <v>57220401992</v>
      </c>
      <c r="B3608" t="s">
        <v>3609</v>
      </c>
      <c r="C3608" t="str">
        <f>_xlfn.XLOOKUP(A3608,[1]Affiliations!$J$2:$J$5328,[1]Affiliations!$K$2:$K$5328,0)</f>
        <v>DEMa</v>
      </c>
      <c r="D3608">
        <v>4</v>
      </c>
      <c r="E3608">
        <v>41</v>
      </c>
      <c r="F3608">
        <v>10.25</v>
      </c>
      <c r="G3608">
        <v>4</v>
      </c>
      <c r="H3608">
        <v>1.29</v>
      </c>
      <c r="I3608">
        <v>0</v>
      </c>
      <c r="J3608">
        <v>0</v>
      </c>
      <c r="K3608">
        <v>0</v>
      </c>
      <c r="L3608">
        <v>1</v>
      </c>
      <c r="M3608">
        <v>3</v>
      </c>
      <c r="N3608">
        <v>4</v>
      </c>
      <c r="P3608">
        <v>0</v>
      </c>
      <c r="Q3608">
        <v>0</v>
      </c>
      <c r="R3608">
        <v>0</v>
      </c>
      <c r="S3608">
        <v>1</v>
      </c>
    </row>
    <row r="3609" spans="1:19" hidden="1" x14ac:dyDescent="0.35">
      <c r="A3609">
        <v>57102778200</v>
      </c>
      <c r="B3609" t="s">
        <v>3610</v>
      </c>
      <c r="C3609" t="str">
        <f>_xlfn.XLOOKUP(A3609,[1]Affiliations!$J$2:$J$5328,[1]Affiliations!$K$2:$K$5328,0)</f>
        <v>Federal University of Rio de Janeiro</v>
      </c>
      <c r="D3609">
        <v>2</v>
      </c>
      <c r="E3609">
        <v>100</v>
      </c>
      <c r="F3609">
        <v>50</v>
      </c>
      <c r="G3609">
        <v>2</v>
      </c>
      <c r="H3609">
        <v>1.31</v>
      </c>
      <c r="I3609">
        <v>0</v>
      </c>
      <c r="J3609">
        <v>0</v>
      </c>
      <c r="K3609">
        <v>0</v>
      </c>
      <c r="L3609">
        <v>1</v>
      </c>
      <c r="M3609">
        <v>2</v>
      </c>
      <c r="N3609">
        <v>2</v>
      </c>
      <c r="P3609">
        <v>0</v>
      </c>
      <c r="Q3609">
        <v>0</v>
      </c>
      <c r="R3609">
        <v>1</v>
      </c>
      <c r="S3609">
        <v>2</v>
      </c>
    </row>
    <row r="3610" spans="1:19" hidden="1" x14ac:dyDescent="0.35">
      <c r="A3610">
        <v>7102266172</v>
      </c>
      <c r="B3610" t="s">
        <v>3611</v>
      </c>
      <c r="C3610" t="str">
        <f>_xlfn.XLOOKUP(A3610,[1]Affiliations!$J$2:$J$5328,[1]Affiliations!$K$2:$K$5328,0)</f>
        <v>Federal University of Pará</v>
      </c>
      <c r="D3610">
        <v>65</v>
      </c>
      <c r="E3610">
        <v>750</v>
      </c>
      <c r="F3610">
        <v>11.538462000000001</v>
      </c>
      <c r="G3610">
        <v>27</v>
      </c>
      <c r="H3610">
        <v>0.7</v>
      </c>
      <c r="I3610">
        <v>0</v>
      </c>
      <c r="J3610">
        <v>8</v>
      </c>
      <c r="K3610">
        <v>16</v>
      </c>
      <c r="L3610">
        <v>28</v>
      </c>
      <c r="M3610">
        <v>56</v>
      </c>
      <c r="N3610">
        <v>61</v>
      </c>
      <c r="P3610">
        <v>0</v>
      </c>
      <c r="Q3610">
        <v>0</v>
      </c>
      <c r="R3610">
        <v>0</v>
      </c>
      <c r="S3610">
        <v>13</v>
      </c>
    </row>
    <row r="3611" spans="1:19" hidden="1" x14ac:dyDescent="0.35">
      <c r="A3611">
        <v>55891106200</v>
      </c>
      <c r="B3611" t="s">
        <v>3612</v>
      </c>
      <c r="C3611" t="str">
        <f>_xlfn.XLOOKUP(A3611,[1]Affiliations!$J$2:$J$5328,[1]Affiliations!$K$2:$K$5328,0)</f>
        <v>Federal University of Rio de Janeiro</v>
      </c>
      <c r="D3611">
        <v>1</v>
      </c>
      <c r="E3611">
        <v>13</v>
      </c>
      <c r="F3611">
        <v>13</v>
      </c>
      <c r="G3611">
        <v>4</v>
      </c>
      <c r="H3611">
        <v>0.69</v>
      </c>
      <c r="I3611">
        <v>0</v>
      </c>
      <c r="J3611">
        <v>0</v>
      </c>
      <c r="K3611">
        <v>0</v>
      </c>
      <c r="L3611">
        <v>0</v>
      </c>
      <c r="M3611">
        <v>1</v>
      </c>
      <c r="N3611">
        <v>1</v>
      </c>
      <c r="P3611">
        <v>0</v>
      </c>
      <c r="Q3611">
        <v>0</v>
      </c>
      <c r="R3611">
        <v>0</v>
      </c>
      <c r="S3611">
        <v>0</v>
      </c>
    </row>
    <row r="3612" spans="1:19" hidden="1" x14ac:dyDescent="0.35">
      <c r="A3612">
        <v>59920109100</v>
      </c>
      <c r="B3612" t="s">
        <v>3613</v>
      </c>
      <c r="C3612" t="str">
        <f>_xlfn.XLOOKUP(A3612,[1]Affiliations!$J$2:$J$5328,[1]Affiliations!$K$2:$K$5328,0)</f>
        <v>Universidade Federal de Campina Grande</v>
      </c>
      <c r="D3612">
        <v>1</v>
      </c>
      <c r="E3612">
        <v>2</v>
      </c>
      <c r="F3612">
        <v>2</v>
      </c>
      <c r="G3612">
        <v>1</v>
      </c>
      <c r="H3612">
        <v>4.74</v>
      </c>
      <c r="P3612">
        <v>0</v>
      </c>
      <c r="Q3612">
        <v>0</v>
      </c>
      <c r="R3612">
        <v>0</v>
      </c>
      <c r="S3612">
        <v>0</v>
      </c>
    </row>
    <row r="3613" spans="1:19" hidden="1" x14ac:dyDescent="0.35">
      <c r="A3613">
        <v>56187074800</v>
      </c>
      <c r="B3613" t="s">
        <v>3614</v>
      </c>
      <c r="C3613" t="str">
        <f>_xlfn.XLOOKUP(A3613,[1]Affiliations!$J$2:$J$5328,[1]Affiliations!$K$2:$K$5328,0)</f>
        <v>Universidade Federal de São Paulo</v>
      </c>
      <c r="D3613">
        <v>10</v>
      </c>
      <c r="E3613">
        <v>74</v>
      </c>
      <c r="F3613">
        <v>7.4</v>
      </c>
      <c r="G3613">
        <v>7</v>
      </c>
      <c r="H3613">
        <v>0.37</v>
      </c>
      <c r="I3613">
        <v>0</v>
      </c>
      <c r="J3613">
        <v>0</v>
      </c>
      <c r="K3613">
        <v>1</v>
      </c>
      <c r="L3613">
        <v>4</v>
      </c>
      <c r="M3613">
        <v>9</v>
      </c>
      <c r="N3613">
        <v>10</v>
      </c>
      <c r="P3613">
        <v>0</v>
      </c>
      <c r="Q3613">
        <v>0</v>
      </c>
      <c r="R3613">
        <v>0</v>
      </c>
      <c r="S3613">
        <v>1</v>
      </c>
    </row>
    <row r="3614" spans="1:19" hidden="1" x14ac:dyDescent="0.35">
      <c r="A3614">
        <v>56533523500</v>
      </c>
      <c r="B3614" t="s">
        <v>3615</v>
      </c>
      <c r="C3614" t="str">
        <f>_xlfn.XLOOKUP(A3614,[1]Affiliations!$J$2:$J$5328,[1]Affiliations!$K$2:$K$5328,0)</f>
        <v>Federal University of Rio de Janeiro</v>
      </c>
      <c r="D3614">
        <v>3</v>
      </c>
      <c r="E3614">
        <v>88</v>
      </c>
      <c r="F3614">
        <v>29.333334000000001</v>
      </c>
      <c r="G3614">
        <v>3</v>
      </c>
      <c r="H3614">
        <v>1</v>
      </c>
      <c r="I3614">
        <v>0</v>
      </c>
      <c r="J3614">
        <v>0</v>
      </c>
      <c r="K3614">
        <v>0</v>
      </c>
      <c r="L3614">
        <v>3</v>
      </c>
      <c r="M3614">
        <v>3</v>
      </c>
      <c r="N3614">
        <v>3</v>
      </c>
      <c r="P3614">
        <v>0</v>
      </c>
      <c r="Q3614">
        <v>0</v>
      </c>
      <c r="R3614">
        <v>0</v>
      </c>
      <c r="S3614">
        <v>2</v>
      </c>
    </row>
    <row r="3615" spans="1:19" x14ac:dyDescent="0.35">
      <c r="A3615">
        <v>6507973216</v>
      </c>
      <c r="B3615" t="s">
        <v>1110</v>
      </c>
      <c r="C3615" t="str">
        <f>_xlfn.XLOOKUP(A3615,[1]Affiliations!$J$2:$J$5328,[1]Affiliations!$K$2:$K$5328,0)</f>
        <v>Laboratório Nacional de Computação Científica (LNCC-MCT)</v>
      </c>
      <c r="D3615">
        <v>13</v>
      </c>
      <c r="E3615">
        <v>172</v>
      </c>
      <c r="F3615">
        <v>13.230769</v>
      </c>
      <c r="G3615">
        <v>7</v>
      </c>
      <c r="H3615">
        <v>0.76</v>
      </c>
      <c r="I3615">
        <v>0</v>
      </c>
      <c r="J3615">
        <v>0</v>
      </c>
      <c r="K3615">
        <v>2</v>
      </c>
      <c r="L3615">
        <v>2</v>
      </c>
      <c r="M3615">
        <v>3</v>
      </c>
      <c r="N3615">
        <v>5</v>
      </c>
      <c r="P3615">
        <v>0</v>
      </c>
      <c r="Q3615">
        <v>1</v>
      </c>
      <c r="R3615">
        <v>1</v>
      </c>
      <c r="S3615">
        <v>1</v>
      </c>
    </row>
    <row r="3616" spans="1:19" hidden="1" x14ac:dyDescent="0.35">
      <c r="A3616">
        <v>59539517600</v>
      </c>
      <c r="B3616" t="s">
        <v>3617</v>
      </c>
      <c r="C3616" t="str">
        <f>_xlfn.XLOOKUP(A3616,[1]Affiliations!$J$2:$J$5328,[1]Affiliations!$K$2:$K$5328,0)</f>
        <v>Universidade Federal Fluminense</v>
      </c>
      <c r="D3616">
        <v>1</v>
      </c>
      <c r="E3616">
        <v>0</v>
      </c>
      <c r="F3616">
        <v>0</v>
      </c>
      <c r="G3616">
        <v>0</v>
      </c>
      <c r="H3616">
        <v>0</v>
      </c>
      <c r="P3616">
        <v>0</v>
      </c>
      <c r="Q3616">
        <v>0</v>
      </c>
      <c r="R3616">
        <v>0</v>
      </c>
      <c r="S3616">
        <v>0</v>
      </c>
    </row>
    <row r="3617" spans="1:19" x14ac:dyDescent="0.35">
      <c r="A3617">
        <v>7402942472</v>
      </c>
      <c r="B3617" t="s">
        <v>1202</v>
      </c>
      <c r="C3617" t="str">
        <f>_xlfn.XLOOKUP(A3617,[1]Affiliations!$J$2:$J$5328,[1]Affiliations!$K$2:$K$5328,0)</f>
        <v>Federal University of Santa Catarina (+1 more)</v>
      </c>
      <c r="D3617">
        <v>59</v>
      </c>
      <c r="E3617">
        <v>946</v>
      </c>
      <c r="F3617">
        <v>16.033897</v>
      </c>
      <c r="G3617">
        <v>28</v>
      </c>
      <c r="H3617">
        <v>0.76</v>
      </c>
      <c r="I3617">
        <v>5</v>
      </c>
      <c r="J3617">
        <v>23</v>
      </c>
      <c r="K3617">
        <v>38</v>
      </c>
      <c r="L3617">
        <v>50</v>
      </c>
      <c r="M3617">
        <v>57</v>
      </c>
      <c r="N3617">
        <v>57</v>
      </c>
      <c r="P3617">
        <v>0</v>
      </c>
      <c r="Q3617">
        <v>3</v>
      </c>
      <c r="R3617">
        <v>6</v>
      </c>
      <c r="S3617">
        <v>19</v>
      </c>
    </row>
    <row r="3618" spans="1:19" hidden="1" x14ac:dyDescent="0.35">
      <c r="A3618">
        <v>57211299807</v>
      </c>
      <c r="B3618" t="s">
        <v>3619</v>
      </c>
      <c r="C3618" t="str">
        <f>_xlfn.XLOOKUP(A3618,[1]Affiliations!$J$2:$J$5328,[1]Affiliations!$K$2:$K$5328,0)</f>
        <v>Universidade Tecnológica Federal do Paraná</v>
      </c>
      <c r="D3618">
        <v>2</v>
      </c>
      <c r="E3618">
        <v>7</v>
      </c>
      <c r="F3618">
        <v>3.5</v>
      </c>
      <c r="G3618">
        <v>2</v>
      </c>
      <c r="H3618">
        <v>0.21</v>
      </c>
      <c r="I3618">
        <v>0</v>
      </c>
      <c r="J3618">
        <v>0</v>
      </c>
      <c r="K3618">
        <v>0</v>
      </c>
      <c r="L3618">
        <v>2</v>
      </c>
      <c r="M3618">
        <v>2</v>
      </c>
      <c r="N3618">
        <v>2</v>
      </c>
      <c r="P3618">
        <v>0</v>
      </c>
      <c r="Q3618">
        <v>0</v>
      </c>
      <c r="R3618">
        <v>0</v>
      </c>
      <c r="S3618">
        <v>0</v>
      </c>
    </row>
    <row r="3619" spans="1:19" hidden="1" x14ac:dyDescent="0.35">
      <c r="A3619">
        <v>35409957200</v>
      </c>
      <c r="B3619" t="s">
        <v>3620</v>
      </c>
      <c r="C3619" t="str">
        <f>_xlfn.XLOOKUP(A3619,[1]Affiliations!$J$2:$J$5328,[1]Affiliations!$K$2:$K$5328,0)</f>
        <v>Universidade Federal de Uberlândia</v>
      </c>
      <c r="D3619">
        <v>14</v>
      </c>
      <c r="E3619">
        <v>55</v>
      </c>
      <c r="F3619">
        <v>3.9285714999999999</v>
      </c>
      <c r="G3619">
        <v>6</v>
      </c>
      <c r="H3619">
        <v>0.35</v>
      </c>
      <c r="I3619">
        <v>0</v>
      </c>
      <c r="J3619">
        <v>0</v>
      </c>
      <c r="K3619">
        <v>1</v>
      </c>
      <c r="L3619">
        <v>4</v>
      </c>
      <c r="M3619">
        <v>5</v>
      </c>
      <c r="N3619">
        <v>8</v>
      </c>
      <c r="P3619">
        <v>0</v>
      </c>
      <c r="Q3619">
        <v>0</v>
      </c>
      <c r="R3619">
        <v>0</v>
      </c>
      <c r="S3619">
        <v>1</v>
      </c>
    </row>
    <row r="3620" spans="1:19" x14ac:dyDescent="0.35">
      <c r="A3620">
        <v>7007165201</v>
      </c>
      <c r="B3620" t="s">
        <v>1445</v>
      </c>
      <c r="C3620" t="str">
        <f>_xlfn.XLOOKUP(A3620,[1]Affiliations!$J$2:$J$5328,[1]Affiliations!$K$2:$K$5328,0)</f>
        <v>Federal University of Rio de Janeiro</v>
      </c>
      <c r="D3620">
        <v>45</v>
      </c>
      <c r="E3620">
        <v>446</v>
      </c>
      <c r="F3620">
        <v>9.911111</v>
      </c>
      <c r="G3620">
        <v>20</v>
      </c>
      <c r="H3620">
        <v>0.76</v>
      </c>
      <c r="I3620">
        <v>1</v>
      </c>
      <c r="J3620">
        <v>10</v>
      </c>
      <c r="K3620">
        <v>17</v>
      </c>
      <c r="L3620">
        <v>21</v>
      </c>
      <c r="M3620">
        <v>29</v>
      </c>
      <c r="N3620">
        <v>31</v>
      </c>
      <c r="P3620">
        <v>0</v>
      </c>
      <c r="Q3620">
        <v>1</v>
      </c>
      <c r="R3620">
        <v>1</v>
      </c>
      <c r="S3620">
        <v>11</v>
      </c>
    </row>
    <row r="3621" spans="1:19" x14ac:dyDescent="0.35">
      <c r="A3621">
        <v>57190863030</v>
      </c>
      <c r="B3621" t="s">
        <v>1514</v>
      </c>
      <c r="C3621" t="str">
        <f>_xlfn.XLOOKUP(A3621,[1]Affiliations!$J$2:$J$5328,[1]Affiliations!$K$2:$K$5328,0)</f>
        <v>Ergostech Renewable Energy Solutions</v>
      </c>
      <c r="D3621">
        <v>15</v>
      </c>
      <c r="E3621">
        <v>341</v>
      </c>
      <c r="F3621">
        <v>22.733333999999999</v>
      </c>
      <c r="G3621">
        <v>11</v>
      </c>
      <c r="H3621">
        <v>0.76</v>
      </c>
      <c r="I3621">
        <v>0</v>
      </c>
      <c r="J3621">
        <v>3</v>
      </c>
      <c r="K3621">
        <v>4</v>
      </c>
      <c r="L3621">
        <v>9</v>
      </c>
      <c r="M3621">
        <v>15</v>
      </c>
      <c r="N3621">
        <v>15</v>
      </c>
      <c r="P3621">
        <v>0</v>
      </c>
      <c r="Q3621">
        <v>0</v>
      </c>
      <c r="R3621">
        <v>1</v>
      </c>
      <c r="S3621">
        <v>7</v>
      </c>
    </row>
    <row r="3622" spans="1:19" hidden="1" x14ac:dyDescent="0.35">
      <c r="A3622">
        <v>55199061300</v>
      </c>
      <c r="B3622" t="s">
        <v>3623</v>
      </c>
      <c r="C3622" t="str">
        <f>_xlfn.XLOOKUP(A3622,[1]Affiliations!$J$2:$J$5328,[1]Affiliations!$K$2:$K$5328,0)</f>
        <v>Federal University of Rio de Janeiro</v>
      </c>
      <c r="D3622">
        <v>7</v>
      </c>
      <c r="E3622">
        <v>26</v>
      </c>
      <c r="F3622">
        <v>3.7142856000000002</v>
      </c>
      <c r="G3622">
        <v>4</v>
      </c>
      <c r="H3622">
        <v>0.78</v>
      </c>
      <c r="I3622">
        <v>0</v>
      </c>
      <c r="J3622">
        <v>0</v>
      </c>
      <c r="K3622">
        <v>0</v>
      </c>
      <c r="L3622">
        <v>1</v>
      </c>
      <c r="M3622">
        <v>2</v>
      </c>
      <c r="N3622">
        <v>7</v>
      </c>
      <c r="P3622">
        <v>0</v>
      </c>
      <c r="Q3622">
        <v>0</v>
      </c>
      <c r="R3622">
        <v>0</v>
      </c>
      <c r="S3622">
        <v>0</v>
      </c>
    </row>
    <row r="3623" spans="1:19" hidden="1" x14ac:dyDescent="0.35">
      <c r="A3623">
        <v>59396763000</v>
      </c>
      <c r="B3623" t="s">
        <v>3624</v>
      </c>
      <c r="C3623" t="str">
        <f>_xlfn.XLOOKUP(A3623,[1]Affiliations!$J$2:$J$5328,[1]Affiliations!$K$2:$K$5328,0)</f>
        <v>Universidade Federal de Pernambuco</v>
      </c>
      <c r="D3623">
        <v>1</v>
      </c>
      <c r="E3623">
        <v>0</v>
      </c>
      <c r="F3623">
        <v>0</v>
      </c>
      <c r="G3623">
        <v>0</v>
      </c>
      <c r="H3623">
        <v>0</v>
      </c>
      <c r="P3623">
        <v>0</v>
      </c>
      <c r="Q3623">
        <v>0</v>
      </c>
      <c r="R3623">
        <v>0</v>
      </c>
      <c r="S3623">
        <v>0</v>
      </c>
    </row>
    <row r="3624" spans="1:19" hidden="1" x14ac:dyDescent="0.35">
      <c r="A3624">
        <v>56572940500</v>
      </c>
      <c r="B3624" t="s">
        <v>3625</v>
      </c>
      <c r="C3624" t="str">
        <f>_xlfn.XLOOKUP(A3624,[1]Affiliations!$J$2:$J$5328,[1]Affiliations!$K$2:$K$5328,0)</f>
        <v>Universidade Federal de Juiz de Fora</v>
      </c>
      <c r="D3624">
        <v>3</v>
      </c>
      <c r="E3624">
        <v>67</v>
      </c>
      <c r="F3624">
        <v>22.333334000000001</v>
      </c>
      <c r="G3624">
        <v>3</v>
      </c>
      <c r="H3624">
        <v>0.63</v>
      </c>
      <c r="I3624">
        <v>0</v>
      </c>
      <c r="J3624">
        <v>0</v>
      </c>
      <c r="K3624">
        <v>0</v>
      </c>
      <c r="L3624">
        <v>3</v>
      </c>
      <c r="M3624">
        <v>3</v>
      </c>
      <c r="N3624">
        <v>3</v>
      </c>
      <c r="P3624">
        <v>0</v>
      </c>
      <c r="Q3624">
        <v>0</v>
      </c>
      <c r="R3624">
        <v>0</v>
      </c>
      <c r="S3624">
        <v>1</v>
      </c>
    </row>
    <row r="3625" spans="1:19" hidden="1" x14ac:dyDescent="0.35">
      <c r="A3625">
        <v>6602802551</v>
      </c>
      <c r="B3625" t="s">
        <v>3626</v>
      </c>
      <c r="C3625" t="str">
        <f>_xlfn.XLOOKUP(A3625,[1]Affiliations!$J$2:$J$5328,[1]Affiliations!$K$2:$K$5328,0)</f>
        <v>Universidade de São Paulo</v>
      </c>
      <c r="D3625">
        <v>6</v>
      </c>
      <c r="E3625">
        <v>45</v>
      </c>
      <c r="F3625">
        <v>7.5</v>
      </c>
      <c r="G3625">
        <v>13</v>
      </c>
      <c r="H3625">
        <v>0.36</v>
      </c>
      <c r="I3625">
        <v>0</v>
      </c>
      <c r="J3625">
        <v>0</v>
      </c>
      <c r="K3625">
        <v>1</v>
      </c>
      <c r="L3625">
        <v>5</v>
      </c>
      <c r="M3625">
        <v>5</v>
      </c>
      <c r="N3625">
        <v>6</v>
      </c>
      <c r="P3625">
        <v>0</v>
      </c>
      <c r="Q3625">
        <v>0</v>
      </c>
      <c r="R3625">
        <v>0</v>
      </c>
      <c r="S3625">
        <v>0</v>
      </c>
    </row>
    <row r="3626" spans="1:19" hidden="1" x14ac:dyDescent="0.35">
      <c r="A3626">
        <v>57889070200</v>
      </c>
      <c r="B3626" t="s">
        <v>3627</v>
      </c>
      <c r="C3626" t="str">
        <f>_xlfn.XLOOKUP(A3626,[1]Affiliations!$J$2:$J$5328,[1]Affiliations!$K$2:$K$5328,0)</f>
        <v>Pontifical Catholic University of Rio de Janeiro</v>
      </c>
      <c r="D3626">
        <v>2</v>
      </c>
      <c r="E3626">
        <v>6</v>
      </c>
      <c r="F3626">
        <v>3</v>
      </c>
      <c r="G3626">
        <v>2</v>
      </c>
      <c r="H3626">
        <v>0.39</v>
      </c>
      <c r="I3626">
        <v>0</v>
      </c>
      <c r="J3626">
        <v>0</v>
      </c>
      <c r="K3626">
        <v>0</v>
      </c>
      <c r="L3626">
        <v>0</v>
      </c>
      <c r="M3626">
        <v>1</v>
      </c>
      <c r="N3626">
        <v>1</v>
      </c>
      <c r="P3626">
        <v>0</v>
      </c>
      <c r="Q3626">
        <v>0</v>
      </c>
      <c r="R3626">
        <v>0</v>
      </c>
      <c r="S3626">
        <v>0</v>
      </c>
    </row>
    <row r="3627" spans="1:19" x14ac:dyDescent="0.35">
      <c r="A3627">
        <v>57210067275</v>
      </c>
      <c r="B3627" t="s">
        <v>1539</v>
      </c>
      <c r="C3627" t="str">
        <f>_xlfn.XLOOKUP(A3627,[1]Affiliations!$J$2:$J$5328,[1]Affiliations!$K$2:$K$5328,0)</f>
        <v>Universidade Federal do Rio Grande do Norte</v>
      </c>
      <c r="D3627">
        <v>6</v>
      </c>
      <c r="E3627">
        <v>163</v>
      </c>
      <c r="F3627">
        <v>27.166665999999999</v>
      </c>
      <c r="G3627">
        <v>5</v>
      </c>
      <c r="H3627">
        <v>0.76</v>
      </c>
      <c r="I3627">
        <v>0</v>
      </c>
      <c r="J3627">
        <v>2</v>
      </c>
      <c r="K3627">
        <v>2</v>
      </c>
      <c r="L3627">
        <v>3</v>
      </c>
      <c r="M3627">
        <v>4</v>
      </c>
      <c r="N3627">
        <v>6</v>
      </c>
      <c r="P3627">
        <v>0</v>
      </c>
      <c r="Q3627">
        <v>0</v>
      </c>
      <c r="R3627">
        <v>2</v>
      </c>
      <c r="S3627">
        <v>3</v>
      </c>
    </row>
    <row r="3628" spans="1:19" x14ac:dyDescent="0.35">
      <c r="A3628">
        <v>8454193200</v>
      </c>
      <c r="B3628" t="s">
        <v>1806</v>
      </c>
      <c r="C3628" t="str">
        <f>_xlfn.XLOOKUP(A3628,[1]Affiliations!$J$2:$J$5328,[1]Affiliations!$K$2:$K$5328,0)</f>
        <v>Federal University of Rio de Janeiro</v>
      </c>
      <c r="D3628">
        <v>35</v>
      </c>
      <c r="E3628">
        <v>551</v>
      </c>
      <c r="F3628">
        <v>15.742857000000001</v>
      </c>
      <c r="G3628">
        <v>14</v>
      </c>
      <c r="H3628">
        <v>0.76</v>
      </c>
      <c r="I3628">
        <v>0</v>
      </c>
      <c r="J3628">
        <v>1</v>
      </c>
      <c r="K3628">
        <v>1</v>
      </c>
      <c r="L3628">
        <v>8</v>
      </c>
      <c r="M3628">
        <v>12</v>
      </c>
      <c r="N3628">
        <v>16</v>
      </c>
      <c r="P3628">
        <v>0</v>
      </c>
      <c r="Q3628">
        <v>3</v>
      </c>
      <c r="R3628">
        <v>4</v>
      </c>
      <c r="S3628">
        <v>7</v>
      </c>
    </row>
    <row r="3629" spans="1:19" x14ac:dyDescent="0.35">
      <c r="A3629">
        <v>57211025780</v>
      </c>
      <c r="B3629" t="s">
        <v>1827</v>
      </c>
      <c r="C3629" t="str">
        <f>_xlfn.XLOOKUP(A3629,[1]Affiliations!$J$2:$J$5328,[1]Affiliations!$K$2:$K$5328,0)</f>
        <v>Pontifícia Universidade Católica do Rio Grande do Sul</v>
      </c>
      <c r="D3629">
        <v>14</v>
      </c>
      <c r="E3629">
        <v>165</v>
      </c>
      <c r="F3629">
        <v>11.785714</v>
      </c>
      <c r="G3629">
        <v>8</v>
      </c>
      <c r="H3629">
        <v>0.76</v>
      </c>
      <c r="I3629">
        <v>0</v>
      </c>
      <c r="J3629">
        <v>0</v>
      </c>
      <c r="K3629">
        <v>1</v>
      </c>
      <c r="L3629">
        <v>6</v>
      </c>
      <c r="M3629">
        <v>11</v>
      </c>
      <c r="N3629">
        <v>14</v>
      </c>
      <c r="P3629">
        <v>0</v>
      </c>
      <c r="Q3629">
        <v>1</v>
      </c>
      <c r="R3629">
        <v>1</v>
      </c>
      <c r="S3629">
        <v>3</v>
      </c>
    </row>
    <row r="3630" spans="1:19" hidden="1" x14ac:dyDescent="0.35">
      <c r="A3630">
        <v>57225115048</v>
      </c>
      <c r="B3630" t="s">
        <v>3631</v>
      </c>
      <c r="C3630" t="str">
        <f>_xlfn.XLOOKUP(A3630,[1]Affiliations!$J$2:$J$5328,[1]Affiliations!$K$2:$K$5328,0)</f>
        <v>University of Campinas</v>
      </c>
      <c r="D3630">
        <v>2</v>
      </c>
      <c r="E3630">
        <v>27</v>
      </c>
      <c r="F3630">
        <v>13.5</v>
      </c>
      <c r="G3630">
        <v>2</v>
      </c>
      <c r="H3630">
        <v>0.79</v>
      </c>
      <c r="I3630">
        <v>0</v>
      </c>
      <c r="J3630">
        <v>1</v>
      </c>
      <c r="K3630">
        <v>2</v>
      </c>
      <c r="L3630">
        <v>2</v>
      </c>
      <c r="M3630">
        <v>2</v>
      </c>
      <c r="N3630">
        <v>2</v>
      </c>
      <c r="P3630">
        <v>0</v>
      </c>
      <c r="Q3630">
        <v>0</v>
      </c>
      <c r="R3630">
        <v>0</v>
      </c>
      <c r="S3630">
        <v>1</v>
      </c>
    </row>
    <row r="3631" spans="1:19" hidden="1" x14ac:dyDescent="0.35">
      <c r="A3631">
        <v>57258281600</v>
      </c>
      <c r="B3631" t="s">
        <v>3632</v>
      </c>
      <c r="C3631" t="str">
        <f>_xlfn.XLOOKUP(A3631,[1]Affiliations!$J$2:$J$5328,[1]Affiliations!$K$2:$K$5328,0)</f>
        <v>Universidade Federal Fluminense</v>
      </c>
      <c r="D3631">
        <v>5</v>
      </c>
      <c r="E3631">
        <v>10</v>
      </c>
      <c r="F3631">
        <v>2</v>
      </c>
      <c r="G3631">
        <v>2</v>
      </c>
      <c r="H3631">
        <v>0.65</v>
      </c>
      <c r="I3631">
        <v>0</v>
      </c>
      <c r="J3631">
        <v>0</v>
      </c>
      <c r="K3631">
        <v>0</v>
      </c>
      <c r="L3631">
        <v>1</v>
      </c>
      <c r="M3631">
        <v>1</v>
      </c>
      <c r="N3631">
        <v>2</v>
      </c>
      <c r="P3631">
        <v>0</v>
      </c>
      <c r="Q3631">
        <v>0</v>
      </c>
      <c r="R3631">
        <v>0</v>
      </c>
      <c r="S3631">
        <v>0</v>
      </c>
    </row>
    <row r="3632" spans="1:19" hidden="1" x14ac:dyDescent="0.35">
      <c r="A3632">
        <v>58737299800</v>
      </c>
      <c r="B3632" t="s">
        <v>3633</v>
      </c>
      <c r="C3632" t="str">
        <f>_xlfn.XLOOKUP(A3632,[1]Affiliations!$J$2:$J$5328,[1]Affiliations!$K$2:$K$5328,0)</f>
        <v>Vizlab - X-Reality and GeoInformatics Lab</v>
      </c>
      <c r="D3632">
        <v>1</v>
      </c>
      <c r="E3632">
        <v>4</v>
      </c>
      <c r="F3632">
        <v>4</v>
      </c>
      <c r="G3632">
        <v>1</v>
      </c>
      <c r="H3632">
        <v>1.68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P3632">
        <v>0</v>
      </c>
      <c r="Q3632">
        <v>0</v>
      </c>
      <c r="R3632">
        <v>0</v>
      </c>
      <c r="S3632">
        <v>0</v>
      </c>
    </row>
    <row r="3633" spans="1:19" x14ac:dyDescent="0.35">
      <c r="A3633">
        <v>12799954900</v>
      </c>
      <c r="B3633" t="s">
        <v>2283</v>
      </c>
      <c r="C3633" t="str">
        <f>_xlfn.XLOOKUP(A3633,[1]Affiliations!$J$2:$J$5328,[1]Affiliations!$K$2:$K$5328,0)</f>
        <v>Universidade Tiradentes (+4 more)</v>
      </c>
      <c r="D3633">
        <v>77</v>
      </c>
      <c r="E3633">
        <v>1459</v>
      </c>
      <c r="F3633">
        <v>18.948051</v>
      </c>
      <c r="G3633">
        <v>31</v>
      </c>
      <c r="H3633">
        <v>0.76</v>
      </c>
      <c r="I3633">
        <v>0</v>
      </c>
      <c r="J3633">
        <v>5</v>
      </c>
      <c r="K3633">
        <v>11</v>
      </c>
      <c r="L3633">
        <v>46</v>
      </c>
      <c r="M3633">
        <v>68</v>
      </c>
      <c r="N3633">
        <v>76</v>
      </c>
      <c r="P3633">
        <v>0</v>
      </c>
      <c r="Q3633">
        <v>3</v>
      </c>
      <c r="R3633">
        <v>3</v>
      </c>
      <c r="S3633">
        <v>33</v>
      </c>
    </row>
    <row r="3634" spans="1:19" x14ac:dyDescent="0.35">
      <c r="A3634">
        <v>15820645600</v>
      </c>
      <c r="B3634" t="s">
        <v>2523</v>
      </c>
      <c r="C3634" t="str">
        <f>_xlfn.XLOOKUP(A3634,[1]Affiliations!$J$2:$J$5328,[1]Affiliations!$K$2:$K$5328,0)</f>
        <v>Universidade Federal do Espírito Santo</v>
      </c>
      <c r="D3634">
        <v>25</v>
      </c>
      <c r="E3634">
        <v>663</v>
      </c>
      <c r="F3634">
        <v>26.52</v>
      </c>
      <c r="G3634">
        <v>20</v>
      </c>
      <c r="H3634">
        <v>0.76</v>
      </c>
      <c r="I3634">
        <v>0</v>
      </c>
      <c r="J3634">
        <v>2</v>
      </c>
      <c r="K3634">
        <v>2</v>
      </c>
      <c r="L3634">
        <v>4</v>
      </c>
      <c r="M3634">
        <v>20</v>
      </c>
      <c r="N3634">
        <v>25</v>
      </c>
      <c r="P3634">
        <v>0</v>
      </c>
      <c r="Q3634">
        <v>1</v>
      </c>
      <c r="R3634">
        <v>6</v>
      </c>
      <c r="S3634">
        <v>12</v>
      </c>
    </row>
    <row r="3635" spans="1:19" hidden="1" x14ac:dyDescent="0.35">
      <c r="A3635">
        <v>55832265600</v>
      </c>
      <c r="B3635" t="s">
        <v>3636</v>
      </c>
      <c r="C3635" t="str">
        <f>_xlfn.XLOOKUP(A3635,[1]Affiliations!$J$2:$J$5328,[1]Affiliations!$K$2:$K$5328,0)</f>
        <v>Universidade Federal do Rio Grande do Sul</v>
      </c>
      <c r="D3635">
        <v>10</v>
      </c>
      <c r="E3635">
        <v>108</v>
      </c>
      <c r="F3635">
        <v>10.8</v>
      </c>
      <c r="G3635">
        <v>6</v>
      </c>
      <c r="H3635">
        <v>0.71</v>
      </c>
      <c r="I3635">
        <v>0</v>
      </c>
      <c r="J3635">
        <v>0</v>
      </c>
      <c r="K3635">
        <v>0</v>
      </c>
      <c r="L3635">
        <v>4</v>
      </c>
      <c r="M3635">
        <v>5</v>
      </c>
      <c r="N3635">
        <v>7</v>
      </c>
      <c r="P3635">
        <v>0</v>
      </c>
      <c r="Q3635">
        <v>0</v>
      </c>
      <c r="R3635">
        <v>1</v>
      </c>
      <c r="S3635">
        <v>2</v>
      </c>
    </row>
    <row r="3636" spans="1:19" hidden="1" x14ac:dyDescent="0.35">
      <c r="A3636">
        <v>58627540500</v>
      </c>
      <c r="B3636" t="s">
        <v>3637</v>
      </c>
      <c r="C3636" t="str">
        <f>_xlfn.XLOOKUP(A3636,[1]Affiliations!$J$2:$J$5328,[1]Affiliations!$K$2:$K$5328,0)</f>
        <v>Pontifical Catholic University of Rio de Janeiro</v>
      </c>
      <c r="D3636">
        <v>1</v>
      </c>
      <c r="E3636">
        <v>13</v>
      </c>
      <c r="F3636">
        <v>13</v>
      </c>
      <c r="G3636">
        <v>2</v>
      </c>
      <c r="H3636">
        <v>1.19</v>
      </c>
      <c r="I3636">
        <v>0</v>
      </c>
      <c r="J3636">
        <v>0</v>
      </c>
      <c r="K3636">
        <v>0</v>
      </c>
      <c r="L3636">
        <v>1</v>
      </c>
      <c r="M3636">
        <v>1</v>
      </c>
      <c r="N3636">
        <v>1</v>
      </c>
      <c r="P3636">
        <v>0</v>
      </c>
      <c r="Q3636">
        <v>0</v>
      </c>
      <c r="R3636">
        <v>0</v>
      </c>
      <c r="S3636">
        <v>1</v>
      </c>
    </row>
    <row r="3637" spans="1:19" hidden="1" x14ac:dyDescent="0.35">
      <c r="A3637">
        <v>57222745869</v>
      </c>
      <c r="B3637" t="s">
        <v>3638</v>
      </c>
      <c r="C3637" t="str">
        <f>_xlfn.XLOOKUP(A3637,[1]Affiliations!$J$2:$J$5328,[1]Affiliations!$K$2:$K$5328,0)</f>
        <v>Umicore</v>
      </c>
      <c r="D3637">
        <v>1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1</v>
      </c>
      <c r="P3637">
        <v>0</v>
      </c>
      <c r="Q3637">
        <v>0</v>
      </c>
      <c r="R3637">
        <v>0</v>
      </c>
      <c r="S3637">
        <v>0</v>
      </c>
    </row>
    <row r="3638" spans="1:19" x14ac:dyDescent="0.35">
      <c r="A3638">
        <v>55951525100</v>
      </c>
      <c r="B3638" t="s">
        <v>3131</v>
      </c>
      <c r="C3638" t="str">
        <f>_xlfn.XLOOKUP(A3638,[1]Affiliations!$J$2:$J$5328,[1]Affiliations!$K$2:$K$5328,0)</f>
        <v>Pontifícia Universidade Católica do Rio Grande do Sul</v>
      </c>
      <c r="D3638">
        <v>20</v>
      </c>
      <c r="E3638">
        <v>294</v>
      </c>
      <c r="F3638">
        <v>14.7</v>
      </c>
      <c r="G3638">
        <v>11</v>
      </c>
      <c r="H3638">
        <v>0.76</v>
      </c>
      <c r="I3638">
        <v>0</v>
      </c>
      <c r="J3638">
        <v>1</v>
      </c>
      <c r="K3638">
        <v>3</v>
      </c>
      <c r="L3638">
        <v>11</v>
      </c>
      <c r="M3638">
        <v>16</v>
      </c>
      <c r="N3638">
        <v>20</v>
      </c>
      <c r="P3638">
        <v>0</v>
      </c>
      <c r="Q3638">
        <v>0</v>
      </c>
      <c r="R3638">
        <v>1</v>
      </c>
      <c r="S3638">
        <v>6</v>
      </c>
    </row>
    <row r="3639" spans="1:19" hidden="1" x14ac:dyDescent="0.35">
      <c r="A3639">
        <v>59397437400</v>
      </c>
      <c r="B3639" t="s">
        <v>3640</v>
      </c>
      <c r="C3639" t="str">
        <f>_xlfn.XLOOKUP(A3639,[1]Affiliations!$J$2:$J$5328,[1]Affiliations!$K$2:$K$5328,0)</f>
        <v>Universidade Tecnológica Federal do Paraná</v>
      </c>
      <c r="D3639">
        <v>1</v>
      </c>
      <c r="E3639">
        <v>1</v>
      </c>
      <c r="F3639">
        <v>1</v>
      </c>
      <c r="G3639">
        <v>1</v>
      </c>
      <c r="H3639">
        <v>1.72</v>
      </c>
      <c r="P3639">
        <v>0</v>
      </c>
      <c r="Q3639">
        <v>0</v>
      </c>
      <c r="R3639">
        <v>0</v>
      </c>
      <c r="S3639">
        <v>0</v>
      </c>
    </row>
    <row r="3640" spans="1:19" x14ac:dyDescent="0.35">
      <c r="A3640">
        <v>13106290000</v>
      </c>
      <c r="B3640" t="s">
        <v>3767</v>
      </c>
      <c r="C3640" t="str">
        <f>_xlfn.XLOOKUP(A3640,[1]Affiliations!$J$2:$J$5328,[1]Affiliations!$K$2:$K$5328,0)</f>
        <v>Universidade de Caxias do Sul</v>
      </c>
      <c r="D3640">
        <v>24</v>
      </c>
      <c r="E3640">
        <v>303</v>
      </c>
      <c r="F3640">
        <v>12.625</v>
      </c>
      <c r="G3640">
        <v>13</v>
      </c>
      <c r="H3640">
        <v>0.76</v>
      </c>
      <c r="I3640">
        <v>0</v>
      </c>
      <c r="J3640">
        <v>1</v>
      </c>
      <c r="K3640">
        <v>3</v>
      </c>
      <c r="L3640">
        <v>7</v>
      </c>
      <c r="M3640">
        <v>16</v>
      </c>
      <c r="N3640">
        <v>20</v>
      </c>
      <c r="P3640">
        <v>0</v>
      </c>
      <c r="Q3640">
        <v>0</v>
      </c>
      <c r="R3640">
        <v>3</v>
      </c>
      <c r="S3640">
        <v>12</v>
      </c>
    </row>
    <row r="3641" spans="1:19" hidden="1" x14ac:dyDescent="0.35">
      <c r="A3641">
        <v>7102595499</v>
      </c>
      <c r="B3641" t="s">
        <v>3642</v>
      </c>
      <c r="C3641" t="str">
        <f>_xlfn.XLOOKUP(A3641,[1]Affiliations!$J$2:$J$5328,[1]Affiliations!$K$2:$K$5328,0)</f>
        <v>Universidade do Estado do Rio de Janeiro (+1 more)</v>
      </c>
      <c r="D3641">
        <v>11</v>
      </c>
      <c r="E3641">
        <v>154</v>
      </c>
      <c r="F3641">
        <v>14</v>
      </c>
      <c r="G3641">
        <v>28</v>
      </c>
      <c r="H3641">
        <v>0.56999999999999995</v>
      </c>
      <c r="I3641">
        <v>0</v>
      </c>
      <c r="J3641">
        <v>1</v>
      </c>
      <c r="K3641">
        <v>2</v>
      </c>
      <c r="L3641">
        <v>3</v>
      </c>
      <c r="M3641">
        <v>5</v>
      </c>
      <c r="N3641">
        <v>9</v>
      </c>
      <c r="P3641">
        <v>0</v>
      </c>
      <c r="Q3641">
        <v>0</v>
      </c>
      <c r="R3641">
        <v>0</v>
      </c>
      <c r="S3641">
        <v>2</v>
      </c>
    </row>
    <row r="3642" spans="1:19" hidden="1" x14ac:dyDescent="0.35">
      <c r="A3642">
        <v>35307811200</v>
      </c>
      <c r="B3642" t="s">
        <v>3643</v>
      </c>
      <c r="C3642" t="str">
        <f>_xlfn.XLOOKUP(A3642,[1]Affiliations!$J$2:$J$5328,[1]Affiliations!$K$2:$K$5328,0)</f>
        <v>Universidade Federal do Rio Grande do Sul</v>
      </c>
      <c r="D3642">
        <v>20</v>
      </c>
      <c r="E3642">
        <v>255</v>
      </c>
      <c r="F3642">
        <v>12.75</v>
      </c>
      <c r="G3642">
        <v>11</v>
      </c>
      <c r="H3642">
        <v>0.62</v>
      </c>
      <c r="I3642">
        <v>0</v>
      </c>
      <c r="J3642">
        <v>0</v>
      </c>
      <c r="K3642">
        <v>0</v>
      </c>
      <c r="L3642">
        <v>7</v>
      </c>
      <c r="M3642">
        <v>15</v>
      </c>
      <c r="N3642">
        <v>18</v>
      </c>
      <c r="P3642">
        <v>0</v>
      </c>
      <c r="Q3642">
        <v>0</v>
      </c>
      <c r="R3642">
        <v>1</v>
      </c>
      <c r="S3642">
        <v>9</v>
      </c>
    </row>
    <row r="3643" spans="1:19" x14ac:dyDescent="0.35">
      <c r="A3643">
        <v>49261261700</v>
      </c>
      <c r="B3643" t="s">
        <v>4296</v>
      </c>
      <c r="C3643" t="str">
        <f>_xlfn.XLOOKUP(A3643,[1]Affiliations!$J$2:$J$5328,[1]Affiliations!$K$2:$K$5328,0)</f>
        <v>Universidade Federal de Goiás</v>
      </c>
      <c r="D3643">
        <v>17</v>
      </c>
      <c r="E3643">
        <v>226</v>
      </c>
      <c r="F3643">
        <v>13.294117999999999</v>
      </c>
      <c r="G3643">
        <v>8</v>
      </c>
      <c r="H3643">
        <v>0.76</v>
      </c>
      <c r="I3643">
        <v>0</v>
      </c>
      <c r="J3643">
        <v>0</v>
      </c>
      <c r="K3643">
        <v>1</v>
      </c>
      <c r="L3643">
        <v>4</v>
      </c>
      <c r="M3643">
        <v>11</v>
      </c>
      <c r="N3643">
        <v>14</v>
      </c>
      <c r="P3643">
        <v>0</v>
      </c>
      <c r="Q3643">
        <v>0</v>
      </c>
      <c r="R3643">
        <v>1</v>
      </c>
      <c r="S3643">
        <v>6</v>
      </c>
    </row>
    <row r="3644" spans="1:19" hidden="1" x14ac:dyDescent="0.35">
      <c r="A3644">
        <v>57203879221</v>
      </c>
      <c r="B3644" t="s">
        <v>3645</v>
      </c>
      <c r="C3644" t="str">
        <f>_xlfn.XLOOKUP(A3644,[1]Affiliations!$J$2:$J$5328,[1]Affiliations!$K$2:$K$5328,0)</f>
        <v>Federal University of Rio de Janeiro</v>
      </c>
      <c r="D3644">
        <v>2</v>
      </c>
      <c r="E3644">
        <v>47</v>
      </c>
      <c r="F3644">
        <v>23.5</v>
      </c>
      <c r="G3644">
        <v>2</v>
      </c>
      <c r="H3644">
        <v>1.19</v>
      </c>
      <c r="I3644">
        <v>0</v>
      </c>
      <c r="J3644">
        <v>0</v>
      </c>
      <c r="K3644">
        <v>0</v>
      </c>
      <c r="L3644">
        <v>1</v>
      </c>
      <c r="M3644">
        <v>2</v>
      </c>
      <c r="N3644">
        <v>2</v>
      </c>
      <c r="P3644">
        <v>0</v>
      </c>
      <c r="Q3644">
        <v>0</v>
      </c>
      <c r="R3644">
        <v>0</v>
      </c>
      <c r="S3644">
        <v>2</v>
      </c>
    </row>
    <row r="3645" spans="1:19" x14ac:dyDescent="0.35">
      <c r="A3645">
        <v>55640494500</v>
      </c>
      <c r="B3645" t="s">
        <v>4566</v>
      </c>
      <c r="C3645" t="str">
        <f>_xlfn.XLOOKUP(A3645,[1]Affiliations!$J$2:$J$5328,[1]Affiliations!$K$2:$K$5328,0)</f>
        <v>Universidade Tiradentes (+1 more)</v>
      </c>
      <c r="D3645">
        <v>17</v>
      </c>
      <c r="E3645">
        <v>309</v>
      </c>
      <c r="F3645">
        <v>18.176469999999998</v>
      </c>
      <c r="G3645">
        <v>11</v>
      </c>
      <c r="H3645">
        <v>0.76</v>
      </c>
      <c r="I3645">
        <v>0</v>
      </c>
      <c r="J3645">
        <v>2</v>
      </c>
      <c r="K3645">
        <v>3</v>
      </c>
      <c r="L3645">
        <v>8</v>
      </c>
      <c r="M3645">
        <v>12</v>
      </c>
      <c r="N3645">
        <v>15</v>
      </c>
      <c r="P3645">
        <v>0</v>
      </c>
      <c r="Q3645">
        <v>1</v>
      </c>
      <c r="R3645">
        <v>2</v>
      </c>
      <c r="S3645">
        <v>6</v>
      </c>
    </row>
    <row r="3646" spans="1:19" x14ac:dyDescent="0.35">
      <c r="A3646">
        <v>57191442610</v>
      </c>
      <c r="B3646" t="s">
        <v>4734</v>
      </c>
      <c r="C3646" t="str">
        <f>_xlfn.XLOOKUP(A3646,[1]Affiliations!$J$2:$J$5328,[1]Affiliations!$K$2:$K$5328,0)</f>
        <v>Pontifical Catholic University of Rio de Janeiro</v>
      </c>
      <c r="D3646">
        <v>14</v>
      </c>
      <c r="E3646">
        <v>173</v>
      </c>
      <c r="F3646">
        <v>12.357142</v>
      </c>
      <c r="G3646">
        <v>6</v>
      </c>
      <c r="H3646">
        <v>0.76</v>
      </c>
      <c r="I3646">
        <v>0</v>
      </c>
      <c r="J3646">
        <v>3</v>
      </c>
      <c r="K3646">
        <v>5</v>
      </c>
      <c r="L3646">
        <v>8</v>
      </c>
      <c r="M3646">
        <v>11</v>
      </c>
      <c r="N3646">
        <v>11</v>
      </c>
      <c r="P3646">
        <v>0</v>
      </c>
      <c r="Q3646">
        <v>0</v>
      </c>
      <c r="R3646">
        <v>1</v>
      </c>
      <c r="S3646">
        <v>4</v>
      </c>
    </row>
    <row r="3647" spans="1:19" hidden="1" x14ac:dyDescent="0.35">
      <c r="A3647">
        <v>58581954400</v>
      </c>
      <c r="B3647" t="s">
        <v>3648</v>
      </c>
      <c r="C3647" t="str">
        <f>_xlfn.XLOOKUP(A3647,[1]Affiliations!$J$2:$J$5328,[1]Affiliations!$K$2:$K$5328,0)</f>
        <v>Universidade Federal do Rio Grande do Sul</v>
      </c>
      <c r="D3647">
        <v>3</v>
      </c>
      <c r="E3647">
        <v>18</v>
      </c>
      <c r="F3647">
        <v>6</v>
      </c>
      <c r="G3647">
        <v>3</v>
      </c>
      <c r="H3647">
        <v>0.7</v>
      </c>
      <c r="I3647">
        <v>0</v>
      </c>
      <c r="J3647">
        <v>0</v>
      </c>
      <c r="K3647">
        <v>0</v>
      </c>
      <c r="L3647">
        <v>2</v>
      </c>
      <c r="M3647">
        <v>3</v>
      </c>
      <c r="N3647">
        <v>3</v>
      </c>
      <c r="P3647">
        <v>0</v>
      </c>
      <c r="Q3647">
        <v>0</v>
      </c>
      <c r="R3647">
        <v>0</v>
      </c>
      <c r="S3647">
        <v>2</v>
      </c>
    </row>
    <row r="3648" spans="1:19" hidden="1" x14ac:dyDescent="0.35">
      <c r="A3648">
        <v>55266128500</v>
      </c>
      <c r="B3648" t="s">
        <v>3649</v>
      </c>
      <c r="C3648" t="str">
        <f>_xlfn.XLOOKUP(A3648,[1]Affiliations!$J$2:$J$5328,[1]Affiliations!$K$2:$K$5328,0)</f>
        <v>Federal University of Santa Catarina</v>
      </c>
      <c r="D3648">
        <v>8</v>
      </c>
      <c r="E3648">
        <v>49</v>
      </c>
      <c r="F3648">
        <v>6.125</v>
      </c>
      <c r="G3648">
        <v>6</v>
      </c>
      <c r="H3648">
        <v>0.35</v>
      </c>
      <c r="I3648">
        <v>0</v>
      </c>
      <c r="J3648">
        <v>0</v>
      </c>
      <c r="K3648">
        <v>1</v>
      </c>
      <c r="L3648">
        <v>4</v>
      </c>
      <c r="M3648">
        <v>5</v>
      </c>
      <c r="N3648">
        <v>6</v>
      </c>
      <c r="P3648">
        <v>0</v>
      </c>
      <c r="Q3648">
        <v>0</v>
      </c>
      <c r="R3648">
        <v>0</v>
      </c>
      <c r="S3648">
        <v>2</v>
      </c>
    </row>
    <row r="3649" spans="1:19" hidden="1" x14ac:dyDescent="0.35">
      <c r="A3649">
        <v>55388259500</v>
      </c>
      <c r="B3649" t="s">
        <v>3650</v>
      </c>
      <c r="C3649" t="str">
        <f>_xlfn.XLOOKUP(A3649,[1]Affiliations!$J$2:$J$5328,[1]Affiliations!$K$2:$K$5328,0)</f>
        <v>Universidade Federal Fluminense</v>
      </c>
      <c r="D3649">
        <v>2</v>
      </c>
      <c r="E3649">
        <v>9</v>
      </c>
      <c r="F3649">
        <v>4.5</v>
      </c>
      <c r="G3649">
        <v>2</v>
      </c>
      <c r="H3649">
        <v>1.96</v>
      </c>
      <c r="P3649">
        <v>0</v>
      </c>
      <c r="Q3649">
        <v>0</v>
      </c>
      <c r="R3649">
        <v>0</v>
      </c>
      <c r="S3649">
        <v>0</v>
      </c>
    </row>
    <row r="3650" spans="1:19" hidden="1" x14ac:dyDescent="0.35">
      <c r="A3650">
        <v>6701485389</v>
      </c>
      <c r="B3650" t="s">
        <v>3651</v>
      </c>
      <c r="C3650" t="str">
        <f>_xlfn.XLOOKUP(A3650,[1]Affiliations!$J$2:$J$5328,[1]Affiliations!$K$2:$K$5328,0)</f>
        <v>Universidade de São Paulo</v>
      </c>
      <c r="D3650">
        <v>34</v>
      </c>
      <c r="E3650">
        <v>301</v>
      </c>
      <c r="F3650">
        <v>8.8529415</v>
      </c>
      <c r="G3650">
        <v>27</v>
      </c>
      <c r="H3650">
        <v>0.45</v>
      </c>
      <c r="I3650">
        <v>0</v>
      </c>
      <c r="J3650">
        <v>3</v>
      </c>
      <c r="K3650">
        <v>11</v>
      </c>
      <c r="L3650">
        <v>18</v>
      </c>
      <c r="M3650">
        <v>24</v>
      </c>
      <c r="N3650">
        <v>28</v>
      </c>
      <c r="P3650">
        <v>0</v>
      </c>
      <c r="Q3650">
        <v>0</v>
      </c>
      <c r="R3650">
        <v>0</v>
      </c>
      <c r="S3650">
        <v>4</v>
      </c>
    </row>
    <row r="3651" spans="1:19" x14ac:dyDescent="0.35">
      <c r="A3651">
        <v>54933069800</v>
      </c>
      <c r="B3651" t="s">
        <v>4754</v>
      </c>
      <c r="C3651" t="str">
        <f>_xlfn.XLOOKUP(A3651,[1]Affiliations!$J$2:$J$5328,[1]Affiliations!$K$2:$K$5328,0)</f>
        <v>Federal University of Rio de Janeiro</v>
      </c>
      <c r="D3651">
        <v>71</v>
      </c>
      <c r="E3651">
        <v>1239</v>
      </c>
      <c r="F3651">
        <v>17.450704999999999</v>
      </c>
      <c r="G3651">
        <v>30</v>
      </c>
      <c r="H3651">
        <v>0.76</v>
      </c>
      <c r="I3651">
        <v>0</v>
      </c>
      <c r="J3651">
        <v>11</v>
      </c>
      <c r="K3651">
        <v>20</v>
      </c>
      <c r="L3651">
        <v>41</v>
      </c>
      <c r="M3651">
        <v>52</v>
      </c>
      <c r="N3651">
        <v>62</v>
      </c>
      <c r="P3651">
        <v>1</v>
      </c>
      <c r="Q3651">
        <v>3</v>
      </c>
      <c r="R3651">
        <v>7</v>
      </c>
      <c r="S3651">
        <v>21</v>
      </c>
    </row>
    <row r="3652" spans="1:19" x14ac:dyDescent="0.35">
      <c r="A3652">
        <v>38561042700</v>
      </c>
      <c r="B3652" t="s">
        <v>335</v>
      </c>
      <c r="C3652" t="str">
        <f>_xlfn.XLOOKUP(A3652,[1]Affiliations!$J$2:$J$5328,[1]Affiliations!$K$2:$K$5328,0)</f>
        <v>Universidade de Caxias do Sul</v>
      </c>
      <c r="D3652">
        <v>48</v>
      </c>
      <c r="E3652">
        <v>1020</v>
      </c>
      <c r="F3652">
        <v>21.25</v>
      </c>
      <c r="G3652">
        <v>18</v>
      </c>
      <c r="H3652">
        <v>0.75</v>
      </c>
      <c r="I3652">
        <v>3</v>
      </c>
      <c r="J3652">
        <v>5</v>
      </c>
      <c r="K3652">
        <v>9</v>
      </c>
      <c r="L3652">
        <v>15</v>
      </c>
      <c r="M3652">
        <v>37</v>
      </c>
      <c r="N3652">
        <v>46</v>
      </c>
      <c r="P3652">
        <v>0</v>
      </c>
      <c r="Q3652">
        <v>3</v>
      </c>
      <c r="R3652">
        <v>7</v>
      </c>
      <c r="S3652">
        <v>19</v>
      </c>
    </row>
    <row r="3653" spans="1:19" x14ac:dyDescent="0.35">
      <c r="A3653">
        <v>56290981100</v>
      </c>
      <c r="B3653" t="s">
        <v>569</v>
      </c>
      <c r="C3653" t="str">
        <f>_xlfn.XLOOKUP(A3653,[1]Affiliations!$J$2:$J$5328,[1]Affiliations!$K$2:$K$5328,0)</f>
        <v>Universidade do Estado do Rio de Janeiro (+1 more)</v>
      </c>
      <c r="D3653">
        <v>32</v>
      </c>
      <c r="E3653">
        <v>413</v>
      </c>
      <c r="F3653">
        <v>12.90625</v>
      </c>
      <c r="G3653">
        <v>13</v>
      </c>
      <c r="H3653">
        <v>0.75</v>
      </c>
      <c r="I3653">
        <v>0</v>
      </c>
      <c r="J3653">
        <v>2</v>
      </c>
      <c r="K3653">
        <v>6</v>
      </c>
      <c r="L3653">
        <v>16</v>
      </c>
      <c r="M3653">
        <v>27</v>
      </c>
      <c r="N3653">
        <v>30</v>
      </c>
      <c r="P3653">
        <v>0</v>
      </c>
      <c r="Q3653">
        <v>0</v>
      </c>
      <c r="R3653">
        <v>4</v>
      </c>
      <c r="S3653">
        <v>13</v>
      </c>
    </row>
    <row r="3654" spans="1:19" hidden="1" x14ac:dyDescent="0.35">
      <c r="A3654">
        <v>57270614000</v>
      </c>
      <c r="B3654" t="s">
        <v>3655</v>
      </c>
      <c r="C3654" t="str">
        <f>_xlfn.XLOOKUP(A3654,[1]Affiliations!$J$2:$J$5328,[1]Affiliations!$K$2:$K$5328,0)</f>
        <v>University of Campinas</v>
      </c>
      <c r="D3654">
        <v>4</v>
      </c>
      <c r="E3654">
        <v>32</v>
      </c>
      <c r="F3654">
        <v>8</v>
      </c>
      <c r="G3654">
        <v>4</v>
      </c>
      <c r="H3654">
        <v>0.5</v>
      </c>
      <c r="I3654">
        <v>0</v>
      </c>
      <c r="J3654">
        <v>2</v>
      </c>
      <c r="K3654">
        <v>2</v>
      </c>
      <c r="L3654">
        <v>4</v>
      </c>
      <c r="M3654">
        <v>4</v>
      </c>
      <c r="N3654">
        <v>4</v>
      </c>
      <c r="P3654">
        <v>0</v>
      </c>
      <c r="Q3654">
        <v>0</v>
      </c>
      <c r="R3654">
        <v>0</v>
      </c>
      <c r="S3654">
        <v>2</v>
      </c>
    </row>
    <row r="3655" spans="1:19" hidden="1" x14ac:dyDescent="0.35">
      <c r="A3655">
        <v>59197546000</v>
      </c>
      <c r="B3655" t="s">
        <v>3656</v>
      </c>
      <c r="C3655" t="str">
        <f>_xlfn.XLOOKUP(A3655,[1]Affiliations!$J$2:$J$5328,[1]Affiliations!$K$2:$K$5328,0)</f>
        <v>Universidade Federal do Rio Grande do Sul</v>
      </c>
      <c r="D3655">
        <v>1</v>
      </c>
      <c r="E3655">
        <v>1</v>
      </c>
      <c r="F3655">
        <v>1</v>
      </c>
      <c r="G3655">
        <v>1</v>
      </c>
      <c r="H3655">
        <v>0.25</v>
      </c>
      <c r="I3655">
        <v>0</v>
      </c>
      <c r="J3655">
        <v>0</v>
      </c>
      <c r="K3655">
        <v>0</v>
      </c>
      <c r="L3655">
        <v>1</v>
      </c>
      <c r="M3655">
        <v>1</v>
      </c>
      <c r="N3655">
        <v>1</v>
      </c>
      <c r="P3655">
        <v>0</v>
      </c>
      <c r="Q3655">
        <v>0</v>
      </c>
      <c r="R3655">
        <v>0</v>
      </c>
      <c r="S3655">
        <v>0</v>
      </c>
    </row>
    <row r="3656" spans="1:19" x14ac:dyDescent="0.35">
      <c r="A3656">
        <v>56764416200</v>
      </c>
      <c r="B3656" t="s">
        <v>727</v>
      </c>
      <c r="C3656" t="str">
        <f>_xlfn.XLOOKUP(A3656,[1]Affiliations!$J$2:$J$5328,[1]Affiliations!$K$2:$K$5328,0)</f>
        <v>Universidade de São Paulo</v>
      </c>
      <c r="D3656">
        <v>37</v>
      </c>
      <c r="E3656">
        <v>656</v>
      </c>
      <c r="F3656">
        <v>17.72973</v>
      </c>
      <c r="G3656">
        <v>19</v>
      </c>
      <c r="H3656">
        <v>0.75</v>
      </c>
      <c r="I3656">
        <v>1</v>
      </c>
      <c r="J3656">
        <v>4</v>
      </c>
      <c r="K3656">
        <v>10</v>
      </c>
      <c r="L3656">
        <v>20</v>
      </c>
      <c r="M3656">
        <v>29</v>
      </c>
      <c r="N3656">
        <v>32</v>
      </c>
      <c r="P3656">
        <v>0</v>
      </c>
      <c r="Q3656">
        <v>2</v>
      </c>
      <c r="R3656">
        <v>4</v>
      </c>
      <c r="S3656">
        <v>11</v>
      </c>
    </row>
    <row r="3657" spans="1:19" hidden="1" x14ac:dyDescent="0.35">
      <c r="A3657">
        <v>23012967200</v>
      </c>
      <c r="B3657" t="s">
        <v>3658</v>
      </c>
      <c r="C3657" t="str">
        <f>_xlfn.XLOOKUP(A3657,[1]Affiliations!$J$2:$J$5328,[1]Affiliations!$K$2:$K$5328,0)</f>
        <v>Universidade do Sul da Bahia – UFSB (+1 more)</v>
      </c>
      <c r="D3657">
        <v>3</v>
      </c>
      <c r="E3657">
        <v>6</v>
      </c>
      <c r="F3657">
        <v>2</v>
      </c>
      <c r="G3657">
        <v>3</v>
      </c>
      <c r="H3657">
        <v>0.25</v>
      </c>
      <c r="I3657">
        <v>0</v>
      </c>
      <c r="J3657">
        <v>0</v>
      </c>
      <c r="K3657">
        <v>0</v>
      </c>
      <c r="L3657">
        <v>0</v>
      </c>
      <c r="M3657">
        <v>1</v>
      </c>
      <c r="N3657">
        <v>1</v>
      </c>
      <c r="P3657">
        <v>0</v>
      </c>
      <c r="Q3657">
        <v>0</v>
      </c>
      <c r="R3657">
        <v>0</v>
      </c>
      <c r="S3657">
        <v>0</v>
      </c>
    </row>
    <row r="3658" spans="1:19" hidden="1" x14ac:dyDescent="0.35">
      <c r="A3658">
        <v>60027148600</v>
      </c>
      <c r="B3658" t="s">
        <v>3659</v>
      </c>
      <c r="C3658" t="str">
        <f>_xlfn.XLOOKUP(A3658,[1]Affiliations!$J$2:$J$5328,[1]Affiliations!$K$2:$K$5328,0)</f>
        <v>Instituto de Pesquisas da Marinha (+1 more)</v>
      </c>
      <c r="D3658">
        <v>0</v>
      </c>
      <c r="G3658">
        <v>0</v>
      </c>
    </row>
    <row r="3659" spans="1:19" hidden="1" x14ac:dyDescent="0.35">
      <c r="A3659">
        <v>56460305500</v>
      </c>
      <c r="B3659" t="s">
        <v>3660</v>
      </c>
      <c r="C3659" t="str">
        <f>_xlfn.XLOOKUP(A3659,[1]Affiliations!$J$2:$J$5328,[1]Affiliations!$K$2:$K$5328,0)</f>
        <v>Pontifical Catholic University of Rio de Janeiro (+1 more)</v>
      </c>
      <c r="D3659">
        <v>1</v>
      </c>
      <c r="E3659">
        <v>21</v>
      </c>
      <c r="F3659">
        <v>21</v>
      </c>
      <c r="G3659">
        <v>1</v>
      </c>
      <c r="H3659">
        <v>0.79</v>
      </c>
      <c r="I3659">
        <v>0</v>
      </c>
      <c r="J3659">
        <v>0</v>
      </c>
      <c r="K3659">
        <v>0</v>
      </c>
      <c r="L3659">
        <v>1</v>
      </c>
      <c r="M3659">
        <v>1</v>
      </c>
      <c r="N3659">
        <v>1</v>
      </c>
      <c r="P3659">
        <v>0</v>
      </c>
      <c r="Q3659">
        <v>0</v>
      </c>
      <c r="R3659">
        <v>0</v>
      </c>
      <c r="S3659">
        <v>0</v>
      </c>
    </row>
    <row r="3660" spans="1:19" hidden="1" x14ac:dyDescent="0.35">
      <c r="A3660">
        <v>58682035400</v>
      </c>
      <c r="B3660" t="s">
        <v>3661</v>
      </c>
      <c r="C3660" t="str">
        <f>_xlfn.XLOOKUP(A3660,[1]Affiliations!$J$2:$J$5328,[1]Affiliations!$K$2:$K$5328,0)</f>
        <v>Universidade Federal Fluminense (+1 more)</v>
      </c>
      <c r="D3660">
        <v>3</v>
      </c>
      <c r="E3660">
        <v>17</v>
      </c>
      <c r="F3660">
        <v>5.6666664999999998</v>
      </c>
      <c r="G3660">
        <v>2</v>
      </c>
      <c r="H3660">
        <v>0.76</v>
      </c>
      <c r="I3660">
        <v>0</v>
      </c>
      <c r="J3660">
        <v>1</v>
      </c>
      <c r="K3660">
        <v>2</v>
      </c>
      <c r="L3660">
        <v>2</v>
      </c>
      <c r="M3660">
        <v>2</v>
      </c>
      <c r="N3660">
        <v>2</v>
      </c>
      <c r="P3660">
        <v>0</v>
      </c>
      <c r="Q3660">
        <v>0</v>
      </c>
      <c r="R3660">
        <v>0</v>
      </c>
      <c r="S3660">
        <v>1</v>
      </c>
    </row>
    <row r="3661" spans="1:19" hidden="1" x14ac:dyDescent="0.35">
      <c r="A3661">
        <v>58493692500</v>
      </c>
      <c r="B3661" t="s">
        <v>3662</v>
      </c>
      <c r="C3661" t="str">
        <f>_xlfn.XLOOKUP(A3661,[1]Affiliations!$J$2:$J$5328,[1]Affiliations!$K$2:$K$5328,0)</f>
        <v>Universidade Federal de Minas Gerais</v>
      </c>
      <c r="D3661">
        <v>1</v>
      </c>
      <c r="E3661">
        <v>5</v>
      </c>
      <c r="F3661">
        <v>5</v>
      </c>
      <c r="G3661">
        <v>1</v>
      </c>
      <c r="H3661">
        <v>0.72</v>
      </c>
      <c r="I3661">
        <v>0</v>
      </c>
      <c r="J3661">
        <v>1</v>
      </c>
      <c r="K3661">
        <v>1</v>
      </c>
      <c r="L3661">
        <v>1</v>
      </c>
      <c r="M3661">
        <v>1</v>
      </c>
      <c r="N3661">
        <v>1</v>
      </c>
      <c r="P3661">
        <v>0</v>
      </c>
      <c r="Q3661">
        <v>0</v>
      </c>
      <c r="R3661">
        <v>0</v>
      </c>
      <c r="S3661">
        <v>0</v>
      </c>
    </row>
    <row r="3662" spans="1:19" x14ac:dyDescent="0.35">
      <c r="A3662">
        <v>55843456600</v>
      </c>
      <c r="B3662" t="s">
        <v>761</v>
      </c>
      <c r="C3662" t="str">
        <f>_xlfn.XLOOKUP(A3662,[1]Affiliations!$J$2:$J$5328,[1]Affiliations!$K$2:$K$5328,0)</f>
        <v>Universidade Federal de Minas Gerais</v>
      </c>
      <c r="D3662">
        <v>31</v>
      </c>
      <c r="E3662">
        <v>590</v>
      </c>
      <c r="F3662">
        <v>19.032259</v>
      </c>
      <c r="G3662">
        <v>13</v>
      </c>
      <c r="H3662">
        <v>0.75</v>
      </c>
      <c r="I3662">
        <v>1</v>
      </c>
      <c r="J3662">
        <v>4</v>
      </c>
      <c r="K3662">
        <v>13</v>
      </c>
      <c r="L3662">
        <v>24</v>
      </c>
      <c r="M3662">
        <v>30</v>
      </c>
      <c r="N3662">
        <v>30</v>
      </c>
      <c r="P3662">
        <v>0</v>
      </c>
      <c r="Q3662">
        <v>1</v>
      </c>
      <c r="R3662">
        <v>3</v>
      </c>
      <c r="S3662">
        <v>9</v>
      </c>
    </row>
    <row r="3663" spans="1:19" x14ac:dyDescent="0.35">
      <c r="A3663">
        <v>55663174500</v>
      </c>
      <c r="B3663" t="s">
        <v>1593</v>
      </c>
      <c r="C3663" t="str">
        <f>_xlfn.XLOOKUP(A3663,[1]Affiliations!$J$2:$J$5328,[1]Affiliations!$K$2:$K$5328,0)</f>
        <v>Universidade de Brasília</v>
      </c>
      <c r="D3663">
        <v>13</v>
      </c>
      <c r="E3663">
        <v>392</v>
      </c>
      <c r="F3663">
        <v>30.153846999999999</v>
      </c>
      <c r="G3663">
        <v>19</v>
      </c>
      <c r="H3663">
        <v>0.75</v>
      </c>
      <c r="I3663">
        <v>0</v>
      </c>
      <c r="J3663">
        <v>1</v>
      </c>
      <c r="K3663">
        <v>3</v>
      </c>
      <c r="L3663">
        <v>7</v>
      </c>
      <c r="M3663">
        <v>9</v>
      </c>
      <c r="N3663">
        <v>13</v>
      </c>
      <c r="P3663">
        <v>1</v>
      </c>
      <c r="Q3663">
        <v>1</v>
      </c>
      <c r="R3663">
        <v>1</v>
      </c>
      <c r="S3663">
        <v>4</v>
      </c>
    </row>
    <row r="3664" spans="1:19" hidden="1" x14ac:dyDescent="0.35">
      <c r="A3664">
        <v>57888972100</v>
      </c>
      <c r="B3664" t="s">
        <v>3665</v>
      </c>
      <c r="C3664" t="str">
        <f>_xlfn.XLOOKUP(A3664,[1]Affiliations!$J$2:$J$5328,[1]Affiliations!$K$2:$K$5328,0)</f>
        <v>Universidade do Estado do Rio de Janeiro</v>
      </c>
      <c r="D3664">
        <v>1</v>
      </c>
      <c r="E3664">
        <v>6</v>
      </c>
      <c r="F3664">
        <v>6</v>
      </c>
      <c r="G3664">
        <v>1</v>
      </c>
      <c r="H3664">
        <v>2.1</v>
      </c>
      <c r="P3664">
        <v>0</v>
      </c>
      <c r="Q3664">
        <v>0</v>
      </c>
      <c r="R3664">
        <v>0</v>
      </c>
      <c r="S3664">
        <v>0</v>
      </c>
    </row>
    <row r="3665" spans="1:19" x14ac:dyDescent="0.35">
      <c r="A3665">
        <v>56070681900</v>
      </c>
      <c r="B3665" t="s">
        <v>1756</v>
      </c>
      <c r="C3665" t="str">
        <f>_xlfn.XLOOKUP(A3665,[1]Affiliations!$J$2:$J$5328,[1]Affiliations!$K$2:$K$5328,0)</f>
        <v>Vizlab - X-Reality and GeoInformatics Lab</v>
      </c>
      <c r="D3665">
        <v>11</v>
      </c>
      <c r="E3665">
        <v>277</v>
      </c>
      <c r="F3665">
        <v>25.181818</v>
      </c>
      <c r="G3665">
        <v>5</v>
      </c>
      <c r="H3665">
        <v>0.75</v>
      </c>
      <c r="I3665">
        <v>0</v>
      </c>
      <c r="J3665">
        <v>1</v>
      </c>
      <c r="K3665">
        <v>2</v>
      </c>
      <c r="L3665">
        <v>5</v>
      </c>
      <c r="M3665">
        <v>6</v>
      </c>
      <c r="N3665">
        <v>9</v>
      </c>
      <c r="P3665">
        <v>1</v>
      </c>
      <c r="Q3665">
        <v>1</v>
      </c>
      <c r="R3665">
        <v>2</v>
      </c>
      <c r="S3665">
        <v>2</v>
      </c>
    </row>
    <row r="3666" spans="1:19" hidden="1" x14ac:dyDescent="0.35">
      <c r="A3666">
        <v>57216451146</v>
      </c>
      <c r="B3666" t="s">
        <v>3667</v>
      </c>
      <c r="C3666" t="str">
        <f>_xlfn.XLOOKUP(A3666,[1]Affiliations!$J$2:$J$5328,[1]Affiliations!$K$2:$K$5328,0)</f>
        <v>Federal University of Rio de Janeiro</v>
      </c>
      <c r="D3666">
        <v>2</v>
      </c>
      <c r="E3666">
        <v>2</v>
      </c>
      <c r="F3666">
        <v>1</v>
      </c>
      <c r="G3666">
        <v>1</v>
      </c>
      <c r="H3666">
        <v>0.13</v>
      </c>
      <c r="I3666">
        <v>0</v>
      </c>
      <c r="J3666">
        <v>0</v>
      </c>
      <c r="K3666">
        <v>0</v>
      </c>
      <c r="L3666">
        <v>1</v>
      </c>
      <c r="M3666">
        <v>2</v>
      </c>
      <c r="N3666">
        <v>2</v>
      </c>
      <c r="P3666">
        <v>0</v>
      </c>
      <c r="Q3666">
        <v>0</v>
      </c>
      <c r="R3666">
        <v>0</v>
      </c>
      <c r="S3666">
        <v>0</v>
      </c>
    </row>
    <row r="3667" spans="1:19" x14ac:dyDescent="0.35">
      <c r="A3667">
        <v>57218197961</v>
      </c>
      <c r="B3667" t="s">
        <v>2226</v>
      </c>
      <c r="C3667" t="str">
        <f>_xlfn.XLOOKUP(A3667,[1]Affiliations!$J$2:$J$5328,[1]Affiliations!$K$2:$K$5328,0)</f>
        <v>DEMa</v>
      </c>
      <c r="D3667">
        <v>16</v>
      </c>
      <c r="E3667">
        <v>213</v>
      </c>
      <c r="F3667">
        <v>13.3125</v>
      </c>
      <c r="G3667">
        <v>7</v>
      </c>
      <c r="H3667">
        <v>0.75</v>
      </c>
      <c r="I3667">
        <v>0</v>
      </c>
      <c r="J3667">
        <v>1</v>
      </c>
      <c r="K3667">
        <v>1</v>
      </c>
      <c r="L3667">
        <v>6</v>
      </c>
      <c r="M3667">
        <v>14</v>
      </c>
      <c r="N3667">
        <v>15</v>
      </c>
      <c r="P3667">
        <v>0</v>
      </c>
      <c r="Q3667">
        <v>0</v>
      </c>
      <c r="R3667">
        <v>1</v>
      </c>
      <c r="S3667">
        <v>5</v>
      </c>
    </row>
    <row r="3668" spans="1:19" hidden="1" x14ac:dyDescent="0.35">
      <c r="A3668">
        <v>57210149856</v>
      </c>
      <c r="B3668" t="s">
        <v>3669</v>
      </c>
      <c r="C3668" t="str">
        <f>_xlfn.XLOOKUP(A3668,[1]Affiliations!$J$2:$J$5328,[1]Affiliations!$K$2:$K$5328,0)</f>
        <v>Universidade Federal Rural do Rio de Janeiro</v>
      </c>
      <c r="D3668">
        <v>6</v>
      </c>
      <c r="E3668">
        <v>84</v>
      </c>
      <c r="F3668">
        <v>14</v>
      </c>
      <c r="G3668">
        <v>5</v>
      </c>
      <c r="H3668">
        <v>0.67</v>
      </c>
      <c r="I3668">
        <v>0</v>
      </c>
      <c r="J3668">
        <v>1</v>
      </c>
      <c r="K3668">
        <v>1</v>
      </c>
      <c r="L3668">
        <v>5</v>
      </c>
      <c r="M3668">
        <v>5</v>
      </c>
      <c r="N3668">
        <v>5</v>
      </c>
      <c r="P3668">
        <v>0</v>
      </c>
      <c r="Q3668">
        <v>0</v>
      </c>
      <c r="R3668">
        <v>0</v>
      </c>
      <c r="S3668">
        <v>1</v>
      </c>
    </row>
    <row r="3669" spans="1:19" hidden="1" x14ac:dyDescent="0.35">
      <c r="A3669">
        <v>57075981700</v>
      </c>
      <c r="B3669" t="s">
        <v>3670</v>
      </c>
      <c r="C3669" t="str">
        <f>_xlfn.XLOOKUP(A3669,[1]Affiliations!$J$2:$J$5328,[1]Affiliations!$K$2:$K$5328,0)</f>
        <v>Universidade Federal do Espírito Santo</v>
      </c>
      <c r="D3669">
        <v>2</v>
      </c>
      <c r="E3669">
        <v>45</v>
      </c>
      <c r="F3669">
        <v>22.5</v>
      </c>
      <c r="G3669">
        <v>2</v>
      </c>
      <c r="H3669">
        <v>0.85</v>
      </c>
      <c r="I3669">
        <v>0</v>
      </c>
      <c r="J3669">
        <v>1</v>
      </c>
      <c r="K3669">
        <v>2</v>
      </c>
      <c r="L3669">
        <v>2</v>
      </c>
      <c r="M3669">
        <v>2</v>
      </c>
      <c r="N3669">
        <v>2</v>
      </c>
      <c r="P3669">
        <v>0</v>
      </c>
      <c r="Q3669">
        <v>0</v>
      </c>
      <c r="R3669">
        <v>0</v>
      </c>
      <c r="S3669">
        <v>1</v>
      </c>
    </row>
    <row r="3670" spans="1:19" hidden="1" x14ac:dyDescent="0.35">
      <c r="A3670">
        <v>59364174600</v>
      </c>
      <c r="B3670" t="s">
        <v>3671</v>
      </c>
      <c r="C3670" t="str">
        <f>_xlfn.XLOOKUP(A3670,[1]Affiliations!$J$2:$J$5328,[1]Affiliations!$K$2:$K$5328,0)</f>
        <v>Pontifícia Universidade Católica de Minas Gerais</v>
      </c>
      <c r="D3670">
        <v>1</v>
      </c>
      <c r="E3670">
        <v>6</v>
      </c>
      <c r="F3670">
        <v>6</v>
      </c>
      <c r="G3670">
        <v>1</v>
      </c>
      <c r="H3670">
        <v>0.39</v>
      </c>
      <c r="I3670">
        <v>0</v>
      </c>
      <c r="J3670">
        <v>1</v>
      </c>
      <c r="K3670">
        <v>1</v>
      </c>
      <c r="L3670">
        <v>1</v>
      </c>
      <c r="M3670">
        <v>1</v>
      </c>
      <c r="N3670">
        <v>1</v>
      </c>
      <c r="P3670">
        <v>0</v>
      </c>
      <c r="Q3670">
        <v>0</v>
      </c>
      <c r="R3670">
        <v>0</v>
      </c>
      <c r="S3670">
        <v>1</v>
      </c>
    </row>
    <row r="3671" spans="1:19" hidden="1" x14ac:dyDescent="0.35">
      <c r="A3671">
        <v>57212221930</v>
      </c>
      <c r="B3671" t="s">
        <v>3672</v>
      </c>
      <c r="C3671" t="str">
        <f>_xlfn.XLOOKUP(A3671,[1]Affiliations!$J$2:$J$5328,[1]Affiliations!$K$2:$K$5328,0)</f>
        <v>Universidade Federal de Minas Gerais</v>
      </c>
      <c r="D3671">
        <v>4</v>
      </c>
      <c r="E3671">
        <v>116</v>
      </c>
      <c r="F3671">
        <v>29</v>
      </c>
      <c r="G3671">
        <v>3</v>
      </c>
      <c r="H3671">
        <v>1.0900000000000001</v>
      </c>
      <c r="I3671">
        <v>0</v>
      </c>
      <c r="J3671">
        <v>1</v>
      </c>
      <c r="K3671">
        <v>2</v>
      </c>
      <c r="L3671">
        <v>4</v>
      </c>
      <c r="M3671">
        <v>4</v>
      </c>
      <c r="N3671">
        <v>4</v>
      </c>
      <c r="P3671">
        <v>0</v>
      </c>
      <c r="Q3671">
        <v>1</v>
      </c>
      <c r="R3671">
        <v>2</v>
      </c>
      <c r="S3671">
        <v>3</v>
      </c>
    </row>
    <row r="3672" spans="1:19" hidden="1" x14ac:dyDescent="0.35">
      <c r="A3672">
        <v>57294760300</v>
      </c>
      <c r="B3672" t="s">
        <v>3673</v>
      </c>
      <c r="C3672" t="str">
        <f>_xlfn.XLOOKUP(A3672,[1]Affiliations!$J$2:$J$5328,[1]Affiliations!$K$2:$K$5328,0)</f>
        <v>Federal University of Santa Catarina</v>
      </c>
      <c r="D3672">
        <v>3</v>
      </c>
      <c r="E3672">
        <v>15</v>
      </c>
      <c r="F3672">
        <v>5</v>
      </c>
      <c r="G3672">
        <v>2</v>
      </c>
      <c r="H3672">
        <v>1.0900000000000001</v>
      </c>
      <c r="I3672">
        <v>0</v>
      </c>
      <c r="J3672">
        <v>0</v>
      </c>
      <c r="K3672">
        <v>0</v>
      </c>
      <c r="L3672">
        <v>0</v>
      </c>
      <c r="M3672">
        <v>3</v>
      </c>
      <c r="N3672">
        <v>3</v>
      </c>
      <c r="P3672">
        <v>0</v>
      </c>
      <c r="Q3672">
        <v>0</v>
      </c>
      <c r="R3672">
        <v>0</v>
      </c>
      <c r="S3672">
        <v>0</v>
      </c>
    </row>
    <row r="3673" spans="1:19" hidden="1" x14ac:dyDescent="0.35">
      <c r="A3673">
        <v>23970972000</v>
      </c>
      <c r="B3673" t="s">
        <v>3674</v>
      </c>
      <c r="C3673" t="str">
        <f>_xlfn.XLOOKUP(A3673,[1]Affiliations!$J$2:$J$5328,[1]Affiliations!$K$2:$K$5328,0)</f>
        <v>Universidade do Estado do Rio de Janeiro (+1 more)</v>
      </c>
      <c r="D3673">
        <v>43</v>
      </c>
      <c r="E3673">
        <v>360</v>
      </c>
      <c r="F3673">
        <v>8.3720929999999996</v>
      </c>
      <c r="G3673">
        <v>15</v>
      </c>
      <c r="H3673">
        <v>0.52</v>
      </c>
      <c r="I3673">
        <v>0</v>
      </c>
      <c r="J3673">
        <v>0</v>
      </c>
      <c r="K3673">
        <v>0</v>
      </c>
      <c r="L3673">
        <v>4</v>
      </c>
      <c r="M3673">
        <v>19</v>
      </c>
      <c r="N3673">
        <v>39</v>
      </c>
      <c r="P3673">
        <v>0</v>
      </c>
      <c r="Q3673">
        <v>0</v>
      </c>
      <c r="R3673">
        <v>0</v>
      </c>
      <c r="S3673">
        <v>7</v>
      </c>
    </row>
    <row r="3674" spans="1:19" hidden="1" x14ac:dyDescent="0.35">
      <c r="A3674">
        <v>55909470900</v>
      </c>
      <c r="B3674" t="s">
        <v>3675</v>
      </c>
      <c r="C3674" t="str">
        <f>_xlfn.XLOOKUP(A3674,[1]Affiliations!$J$2:$J$5328,[1]Affiliations!$K$2:$K$5328,0)</f>
        <v>Universidade Federal do Rio Grande do Sul</v>
      </c>
      <c r="D3674">
        <v>1</v>
      </c>
      <c r="E3674">
        <v>8</v>
      </c>
      <c r="F3674">
        <v>8</v>
      </c>
      <c r="G3674">
        <v>1</v>
      </c>
      <c r="H3674">
        <v>0.42</v>
      </c>
      <c r="P3674">
        <v>0</v>
      </c>
      <c r="Q3674">
        <v>0</v>
      </c>
      <c r="R3674">
        <v>0</v>
      </c>
      <c r="S3674">
        <v>0</v>
      </c>
    </row>
    <row r="3675" spans="1:19" x14ac:dyDescent="0.35">
      <c r="A3675">
        <v>16416447000</v>
      </c>
      <c r="B3675" t="s">
        <v>2287</v>
      </c>
      <c r="C3675" t="str">
        <f>_xlfn.XLOOKUP(A3675,[1]Affiliations!$J$2:$J$5328,[1]Affiliations!$K$2:$K$5328,0)</f>
        <v>Universidade Tecnológica Federal do Paraná</v>
      </c>
      <c r="D3675">
        <v>47</v>
      </c>
      <c r="E3675">
        <v>617</v>
      </c>
      <c r="F3675">
        <v>13.127660000000001</v>
      </c>
      <c r="G3675">
        <v>17</v>
      </c>
      <c r="H3675">
        <v>0.75</v>
      </c>
      <c r="I3675">
        <v>1</v>
      </c>
      <c r="J3675">
        <v>3</v>
      </c>
      <c r="K3675">
        <v>10</v>
      </c>
      <c r="L3675">
        <v>30</v>
      </c>
      <c r="M3675">
        <v>44</v>
      </c>
      <c r="N3675">
        <v>45</v>
      </c>
      <c r="P3675">
        <v>0</v>
      </c>
      <c r="Q3675">
        <v>1</v>
      </c>
      <c r="R3675">
        <v>3</v>
      </c>
      <c r="S3675">
        <v>19</v>
      </c>
    </row>
    <row r="3676" spans="1:19" hidden="1" x14ac:dyDescent="0.35">
      <c r="A3676">
        <v>57420880600</v>
      </c>
      <c r="B3676" t="s">
        <v>3677</v>
      </c>
      <c r="C3676" t="str">
        <f>_xlfn.XLOOKUP(A3676,[1]Affiliations!$J$2:$J$5328,[1]Affiliations!$K$2:$K$5328,0)</f>
        <v>Universidade Estadual Paulista “Júlio de Mesquita Filho”</v>
      </c>
      <c r="D3676">
        <v>1</v>
      </c>
      <c r="E3676">
        <v>80</v>
      </c>
      <c r="F3676">
        <v>80</v>
      </c>
      <c r="G3676">
        <v>1</v>
      </c>
      <c r="H3676">
        <v>1.41</v>
      </c>
      <c r="I3676">
        <v>1</v>
      </c>
      <c r="J3676">
        <v>1</v>
      </c>
      <c r="K3676">
        <v>1</v>
      </c>
      <c r="L3676">
        <v>1</v>
      </c>
      <c r="M3676">
        <v>1</v>
      </c>
      <c r="N3676">
        <v>1</v>
      </c>
      <c r="P3676">
        <v>1</v>
      </c>
      <c r="Q3676">
        <v>1</v>
      </c>
      <c r="R3676">
        <v>1</v>
      </c>
      <c r="S3676">
        <v>1</v>
      </c>
    </row>
    <row r="3677" spans="1:19" hidden="1" x14ac:dyDescent="0.35">
      <c r="A3677">
        <v>57202001782</v>
      </c>
      <c r="B3677" t="s">
        <v>3678</v>
      </c>
      <c r="C3677" t="str">
        <f>_xlfn.XLOOKUP(A3677,[1]Affiliations!$J$2:$J$5328,[1]Affiliations!$K$2:$K$5328,0)</f>
        <v>University of Campinas</v>
      </c>
      <c r="D3677">
        <v>1</v>
      </c>
      <c r="E3677">
        <v>13</v>
      </c>
      <c r="F3677">
        <v>13</v>
      </c>
      <c r="G3677">
        <v>1</v>
      </c>
      <c r="H3677">
        <v>0.88</v>
      </c>
      <c r="I3677">
        <v>0</v>
      </c>
      <c r="J3677">
        <v>0</v>
      </c>
      <c r="K3677">
        <v>0</v>
      </c>
      <c r="L3677">
        <v>1</v>
      </c>
      <c r="M3677">
        <v>1</v>
      </c>
      <c r="N3677">
        <v>1</v>
      </c>
      <c r="P3677">
        <v>0</v>
      </c>
      <c r="Q3677">
        <v>0</v>
      </c>
      <c r="R3677">
        <v>0</v>
      </c>
      <c r="S3677">
        <v>0</v>
      </c>
    </row>
    <row r="3678" spans="1:19" hidden="1" x14ac:dyDescent="0.35">
      <c r="A3678">
        <v>8567778500</v>
      </c>
      <c r="B3678" t="s">
        <v>3679</v>
      </c>
      <c r="C3678" t="str">
        <f>_xlfn.XLOOKUP(A3678,[1]Affiliations!$J$2:$J$5328,[1]Affiliations!$K$2:$K$5328,0)</f>
        <v>Universidade Federal Fluminense (+1 more)</v>
      </c>
      <c r="D3678">
        <v>1</v>
      </c>
      <c r="E3678">
        <v>46</v>
      </c>
      <c r="F3678">
        <v>46</v>
      </c>
      <c r="G3678">
        <v>14</v>
      </c>
      <c r="H3678">
        <v>1.28</v>
      </c>
      <c r="I3678">
        <v>0</v>
      </c>
      <c r="J3678">
        <v>0</v>
      </c>
      <c r="K3678">
        <v>0</v>
      </c>
      <c r="L3678">
        <v>1</v>
      </c>
      <c r="M3678">
        <v>1</v>
      </c>
      <c r="N3678">
        <v>1</v>
      </c>
      <c r="P3678">
        <v>0</v>
      </c>
      <c r="Q3678">
        <v>0</v>
      </c>
      <c r="R3678">
        <v>0</v>
      </c>
      <c r="S3678">
        <v>1</v>
      </c>
    </row>
    <row r="3679" spans="1:19" hidden="1" x14ac:dyDescent="0.35">
      <c r="A3679">
        <v>59159045300</v>
      </c>
      <c r="B3679" t="s">
        <v>3680</v>
      </c>
      <c r="C3679" t="str">
        <f>_xlfn.XLOOKUP(A3679,[1]Affiliations!$J$2:$J$5328,[1]Affiliations!$K$2:$K$5328,0)</f>
        <v>Centro Federal de Educação Tecnológica - CEFET-RJ (+1 more)</v>
      </c>
      <c r="D3679">
        <v>3</v>
      </c>
      <c r="E3679">
        <v>52</v>
      </c>
      <c r="F3679">
        <v>17.333334000000001</v>
      </c>
      <c r="G3679">
        <v>2</v>
      </c>
      <c r="H3679">
        <v>1.66</v>
      </c>
      <c r="I3679">
        <v>0</v>
      </c>
      <c r="J3679">
        <v>0</v>
      </c>
      <c r="K3679">
        <v>1</v>
      </c>
      <c r="L3679">
        <v>1</v>
      </c>
      <c r="M3679">
        <v>2</v>
      </c>
      <c r="N3679">
        <v>2</v>
      </c>
      <c r="P3679">
        <v>0</v>
      </c>
      <c r="Q3679">
        <v>0</v>
      </c>
      <c r="R3679">
        <v>1</v>
      </c>
      <c r="S3679">
        <v>1</v>
      </c>
    </row>
    <row r="3680" spans="1:19" x14ac:dyDescent="0.35">
      <c r="A3680">
        <v>6504011371</v>
      </c>
      <c r="B3680" t="s">
        <v>2368</v>
      </c>
      <c r="C3680" t="str">
        <f>_xlfn.XLOOKUP(A3680,[1]Affiliations!$J$2:$J$5328,[1]Affiliations!$K$2:$K$5328,0)</f>
        <v>Universidade Federal da Grande Dourados</v>
      </c>
      <c r="D3680">
        <v>96</v>
      </c>
      <c r="E3680">
        <v>1119</v>
      </c>
      <c r="F3680">
        <v>11.65625</v>
      </c>
      <c r="G3680">
        <v>20</v>
      </c>
      <c r="H3680">
        <v>0.75</v>
      </c>
      <c r="I3680">
        <v>0</v>
      </c>
      <c r="J3680">
        <v>5</v>
      </c>
      <c r="K3680">
        <v>11</v>
      </c>
      <c r="L3680">
        <v>38</v>
      </c>
      <c r="M3680">
        <v>57</v>
      </c>
      <c r="N3680">
        <v>74</v>
      </c>
      <c r="P3680">
        <v>0</v>
      </c>
      <c r="Q3680">
        <v>1</v>
      </c>
      <c r="R3680">
        <v>4</v>
      </c>
      <c r="S3680">
        <v>20</v>
      </c>
    </row>
    <row r="3681" spans="1:19" hidden="1" x14ac:dyDescent="0.35">
      <c r="A3681">
        <v>59833083100</v>
      </c>
      <c r="B3681" t="s">
        <v>3682</v>
      </c>
      <c r="C3681" t="str">
        <f>_xlfn.XLOOKUP(A3681,[1]Affiliations!$J$2:$J$5328,[1]Affiliations!$K$2:$K$5328,0)</f>
        <v>Universidade Federal do Espírito Santo</v>
      </c>
      <c r="D3681">
        <v>3</v>
      </c>
      <c r="E3681">
        <v>104</v>
      </c>
      <c r="F3681">
        <v>34.666668000000001</v>
      </c>
      <c r="G3681">
        <v>5</v>
      </c>
      <c r="H3681">
        <v>1.05</v>
      </c>
      <c r="I3681">
        <v>0</v>
      </c>
      <c r="J3681">
        <v>1</v>
      </c>
      <c r="K3681">
        <v>2</v>
      </c>
      <c r="L3681">
        <v>3</v>
      </c>
      <c r="M3681">
        <v>3</v>
      </c>
      <c r="N3681">
        <v>3</v>
      </c>
      <c r="P3681">
        <v>0</v>
      </c>
      <c r="Q3681">
        <v>0</v>
      </c>
      <c r="R3681">
        <v>1</v>
      </c>
      <c r="S3681">
        <v>2</v>
      </c>
    </row>
    <row r="3682" spans="1:19" x14ac:dyDescent="0.35">
      <c r="A3682">
        <v>7102943662</v>
      </c>
      <c r="B3682" t="s">
        <v>2649</v>
      </c>
      <c r="C3682" t="str">
        <f>_xlfn.XLOOKUP(A3682,[1]Affiliations!$J$2:$J$5328,[1]Affiliations!$K$2:$K$5328,0)</f>
        <v>Federal University of Rio de Janeiro</v>
      </c>
      <c r="D3682">
        <v>39</v>
      </c>
      <c r="E3682">
        <v>285</v>
      </c>
      <c r="F3682">
        <v>7.3076924999999999</v>
      </c>
      <c r="G3682">
        <v>22</v>
      </c>
      <c r="H3682">
        <v>0.75</v>
      </c>
      <c r="I3682">
        <v>1</v>
      </c>
      <c r="J3682">
        <v>2</v>
      </c>
      <c r="K3682">
        <v>6</v>
      </c>
      <c r="L3682">
        <v>13</v>
      </c>
      <c r="M3682">
        <v>19</v>
      </c>
      <c r="N3682">
        <v>31</v>
      </c>
      <c r="P3682">
        <v>0</v>
      </c>
      <c r="Q3682">
        <v>0</v>
      </c>
      <c r="R3682">
        <v>2</v>
      </c>
      <c r="S3682">
        <v>6</v>
      </c>
    </row>
    <row r="3683" spans="1:19" hidden="1" x14ac:dyDescent="0.35">
      <c r="A3683">
        <v>57213817215</v>
      </c>
      <c r="B3683" t="s">
        <v>3684</v>
      </c>
      <c r="C3683" t="str">
        <f>_xlfn.XLOOKUP(A3683,[1]Affiliations!$J$2:$J$5328,[1]Affiliations!$K$2:$K$5328,0)</f>
        <v>Universidade Federal Fluminense (+1 more)</v>
      </c>
      <c r="D3683">
        <v>1</v>
      </c>
      <c r="E3683">
        <v>5</v>
      </c>
      <c r="F3683">
        <v>5</v>
      </c>
      <c r="G3683">
        <v>1</v>
      </c>
      <c r="H3683">
        <v>0.1</v>
      </c>
      <c r="I3683">
        <v>0</v>
      </c>
      <c r="J3683">
        <v>0</v>
      </c>
      <c r="K3683">
        <v>0</v>
      </c>
      <c r="L3683">
        <v>0</v>
      </c>
      <c r="M3683">
        <v>1</v>
      </c>
      <c r="N3683">
        <v>1</v>
      </c>
      <c r="P3683">
        <v>0</v>
      </c>
      <c r="Q3683">
        <v>0</v>
      </c>
      <c r="R3683">
        <v>0</v>
      </c>
      <c r="S3683">
        <v>0</v>
      </c>
    </row>
    <row r="3684" spans="1:19" x14ac:dyDescent="0.35">
      <c r="A3684">
        <v>6603724483</v>
      </c>
      <c r="B3684" t="s">
        <v>2727</v>
      </c>
      <c r="C3684" t="str">
        <f>_xlfn.XLOOKUP(A3684,[1]Affiliations!$J$2:$J$5328,[1]Affiliations!$K$2:$K$5328,0)</f>
        <v>Universidade Federal de Pernambuco</v>
      </c>
      <c r="D3684">
        <v>107</v>
      </c>
      <c r="E3684">
        <v>1000</v>
      </c>
      <c r="F3684">
        <v>9.3457950000000007</v>
      </c>
      <c r="G3684">
        <v>21</v>
      </c>
      <c r="H3684">
        <v>0.75</v>
      </c>
      <c r="I3684">
        <v>1</v>
      </c>
      <c r="J3684">
        <v>7</v>
      </c>
      <c r="K3684">
        <v>16</v>
      </c>
      <c r="L3684">
        <v>35</v>
      </c>
      <c r="M3684">
        <v>69</v>
      </c>
      <c r="N3684">
        <v>73</v>
      </c>
      <c r="P3684">
        <v>0</v>
      </c>
      <c r="Q3684">
        <v>2</v>
      </c>
      <c r="R3684">
        <v>6</v>
      </c>
      <c r="S3684">
        <v>19</v>
      </c>
    </row>
    <row r="3685" spans="1:19" hidden="1" x14ac:dyDescent="0.35">
      <c r="A3685">
        <v>14045559100</v>
      </c>
      <c r="B3685" t="s">
        <v>3686</v>
      </c>
      <c r="C3685" t="str">
        <f>_xlfn.XLOOKUP(A3685,[1]Affiliations!$J$2:$J$5328,[1]Affiliations!$K$2:$K$5328,0)</f>
        <v>Federal University of Rio de Janeiro</v>
      </c>
      <c r="D3685">
        <v>2</v>
      </c>
      <c r="E3685">
        <v>23</v>
      </c>
      <c r="F3685">
        <v>11.5</v>
      </c>
      <c r="G3685">
        <v>4</v>
      </c>
      <c r="H3685">
        <v>0.66</v>
      </c>
      <c r="I3685">
        <v>0</v>
      </c>
      <c r="J3685">
        <v>1</v>
      </c>
      <c r="K3685">
        <v>1</v>
      </c>
      <c r="L3685">
        <v>1</v>
      </c>
      <c r="M3685">
        <v>2</v>
      </c>
      <c r="N3685">
        <v>2</v>
      </c>
      <c r="P3685">
        <v>0</v>
      </c>
      <c r="Q3685">
        <v>0</v>
      </c>
      <c r="R3685">
        <v>0</v>
      </c>
      <c r="S3685">
        <v>0</v>
      </c>
    </row>
    <row r="3686" spans="1:19" hidden="1" x14ac:dyDescent="0.35">
      <c r="A3686">
        <v>8257786900</v>
      </c>
      <c r="B3686" t="s">
        <v>3687</v>
      </c>
      <c r="C3686" t="str">
        <f>_xlfn.XLOOKUP(A3686,[1]Affiliations!$J$2:$J$5328,[1]Affiliations!$K$2:$K$5328,0)</f>
        <v>Federal University of Rio de Janeiro</v>
      </c>
      <c r="D3686">
        <v>2</v>
      </c>
      <c r="E3686">
        <v>2</v>
      </c>
      <c r="F3686">
        <v>1</v>
      </c>
      <c r="G3686">
        <v>2</v>
      </c>
      <c r="H3686">
        <v>0.3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P3686">
        <v>0</v>
      </c>
      <c r="Q3686">
        <v>0</v>
      </c>
      <c r="R3686">
        <v>0</v>
      </c>
      <c r="S3686">
        <v>0</v>
      </c>
    </row>
    <row r="3687" spans="1:19" hidden="1" x14ac:dyDescent="0.35">
      <c r="A3687">
        <v>57189712355</v>
      </c>
      <c r="B3687" t="s">
        <v>3688</v>
      </c>
      <c r="C3687" t="str">
        <f>_xlfn.XLOOKUP(A3687,[1]Affiliations!$J$2:$J$5328,[1]Affiliations!$K$2:$K$5328,0)</f>
        <v>Universidade Federal da Paraíba</v>
      </c>
      <c r="D3687">
        <v>20</v>
      </c>
      <c r="E3687">
        <v>157</v>
      </c>
      <c r="F3687">
        <v>7.85</v>
      </c>
      <c r="G3687">
        <v>7</v>
      </c>
      <c r="H3687">
        <v>0.41</v>
      </c>
      <c r="I3687">
        <v>0</v>
      </c>
      <c r="J3687">
        <v>4</v>
      </c>
      <c r="K3687">
        <v>7</v>
      </c>
      <c r="L3687">
        <v>15</v>
      </c>
      <c r="M3687">
        <v>17</v>
      </c>
      <c r="N3687">
        <v>18</v>
      </c>
      <c r="P3687">
        <v>0</v>
      </c>
      <c r="Q3687">
        <v>0</v>
      </c>
      <c r="R3687">
        <v>0</v>
      </c>
      <c r="S3687">
        <v>2</v>
      </c>
    </row>
    <row r="3688" spans="1:19" hidden="1" x14ac:dyDescent="0.35">
      <c r="A3688">
        <v>59436682500</v>
      </c>
      <c r="B3688" t="s">
        <v>3689</v>
      </c>
      <c r="C3688" t="str">
        <f>_xlfn.XLOOKUP(A3688,[1]Affiliations!$J$2:$J$5328,[1]Affiliations!$K$2:$K$5328,0)</f>
        <v>DEMa</v>
      </c>
      <c r="D3688">
        <v>1</v>
      </c>
      <c r="E3688">
        <v>26</v>
      </c>
      <c r="F3688">
        <v>26</v>
      </c>
      <c r="G3688">
        <v>1</v>
      </c>
      <c r="H3688">
        <v>0.94</v>
      </c>
      <c r="I3688">
        <v>0</v>
      </c>
      <c r="J3688">
        <v>0</v>
      </c>
      <c r="K3688">
        <v>0</v>
      </c>
      <c r="L3688">
        <v>1</v>
      </c>
      <c r="M3688">
        <v>1</v>
      </c>
      <c r="N3688">
        <v>1</v>
      </c>
      <c r="P3688">
        <v>0</v>
      </c>
      <c r="Q3688">
        <v>0</v>
      </c>
      <c r="R3688">
        <v>0</v>
      </c>
      <c r="S3688">
        <v>1</v>
      </c>
    </row>
    <row r="3689" spans="1:19" hidden="1" x14ac:dyDescent="0.35">
      <c r="A3689">
        <v>57203923220</v>
      </c>
      <c r="B3689" t="s">
        <v>3690</v>
      </c>
      <c r="C3689" t="str">
        <f>_xlfn.XLOOKUP(A3689,[1]Affiliations!$J$2:$J$5328,[1]Affiliations!$K$2:$K$5328,0)</f>
        <v>Universidade Federal Rural do Rio de Janeiro</v>
      </c>
      <c r="D3689">
        <v>4</v>
      </c>
      <c r="E3689">
        <v>34</v>
      </c>
      <c r="F3689">
        <v>8.5</v>
      </c>
      <c r="G3689">
        <v>3</v>
      </c>
      <c r="H3689">
        <v>0.38</v>
      </c>
      <c r="I3689">
        <v>0</v>
      </c>
      <c r="J3689">
        <v>0</v>
      </c>
      <c r="K3689">
        <v>0</v>
      </c>
      <c r="L3689">
        <v>3</v>
      </c>
      <c r="M3689">
        <v>3</v>
      </c>
      <c r="N3689">
        <v>4</v>
      </c>
      <c r="P3689">
        <v>0</v>
      </c>
      <c r="Q3689">
        <v>0</v>
      </c>
      <c r="R3689">
        <v>0</v>
      </c>
      <c r="S3689">
        <v>0</v>
      </c>
    </row>
    <row r="3690" spans="1:19" hidden="1" x14ac:dyDescent="0.35">
      <c r="A3690">
        <v>60190269100</v>
      </c>
      <c r="B3690" t="s">
        <v>3691</v>
      </c>
      <c r="C3690" t="str">
        <f>_xlfn.XLOOKUP(A3690,[1]Affiliations!$J$2:$J$5328,[1]Affiliations!$K$2:$K$5328,0)</f>
        <v>Universidade Federal do Rio Grande do Norte</v>
      </c>
      <c r="D3690">
        <v>0</v>
      </c>
      <c r="G3690">
        <v>0</v>
      </c>
    </row>
    <row r="3691" spans="1:19" hidden="1" x14ac:dyDescent="0.35">
      <c r="A3691">
        <v>57226646377</v>
      </c>
      <c r="B3691" t="s">
        <v>3692</v>
      </c>
      <c r="C3691" t="str">
        <f>_xlfn.XLOOKUP(A3691,[1]Affiliations!$J$2:$J$5328,[1]Affiliations!$K$2:$K$5328,0)</f>
        <v>Universidade Federal de Minas Gerais</v>
      </c>
      <c r="D3691">
        <v>6</v>
      </c>
      <c r="E3691">
        <v>23</v>
      </c>
      <c r="F3691">
        <v>3.8333333000000001</v>
      </c>
      <c r="G3691">
        <v>4</v>
      </c>
      <c r="H3691">
        <v>0.31</v>
      </c>
      <c r="I3691">
        <v>0</v>
      </c>
      <c r="J3691">
        <v>2</v>
      </c>
      <c r="K3691">
        <v>3</v>
      </c>
      <c r="L3691">
        <v>5</v>
      </c>
      <c r="M3691">
        <v>6</v>
      </c>
      <c r="N3691">
        <v>6</v>
      </c>
      <c r="P3691">
        <v>0</v>
      </c>
      <c r="Q3691">
        <v>0</v>
      </c>
      <c r="R3691">
        <v>0</v>
      </c>
      <c r="S3691">
        <v>0</v>
      </c>
    </row>
    <row r="3692" spans="1:19" hidden="1" x14ac:dyDescent="0.35">
      <c r="A3692">
        <v>58016821600</v>
      </c>
      <c r="B3692" t="s">
        <v>3693</v>
      </c>
      <c r="C3692" t="str">
        <f>_xlfn.XLOOKUP(A3692,[1]Affiliations!$J$2:$J$5328,[1]Affiliations!$K$2:$K$5328,0)</f>
        <v>Universidade Federal Fluminense</v>
      </c>
      <c r="D3692">
        <v>1</v>
      </c>
      <c r="E3692">
        <v>7</v>
      </c>
      <c r="F3692">
        <v>7</v>
      </c>
      <c r="G3692">
        <v>1</v>
      </c>
      <c r="H3692">
        <v>0.47</v>
      </c>
      <c r="I3692">
        <v>0</v>
      </c>
      <c r="J3692">
        <v>0</v>
      </c>
      <c r="K3692">
        <v>0</v>
      </c>
      <c r="L3692">
        <v>1</v>
      </c>
      <c r="M3692">
        <v>1</v>
      </c>
      <c r="N3692">
        <v>1</v>
      </c>
      <c r="P3692">
        <v>0</v>
      </c>
      <c r="Q3692">
        <v>0</v>
      </c>
      <c r="R3692">
        <v>0</v>
      </c>
      <c r="S3692">
        <v>0</v>
      </c>
    </row>
    <row r="3693" spans="1:19" x14ac:dyDescent="0.35">
      <c r="A3693">
        <v>57207855609</v>
      </c>
      <c r="B3693" t="s">
        <v>2738</v>
      </c>
      <c r="C3693" t="str">
        <f>_xlfn.XLOOKUP(A3693,[1]Affiliations!$J$2:$J$5328,[1]Affiliations!$K$2:$K$5328,0)</f>
        <v>Universidade Federal do Rio Grande do Sul</v>
      </c>
      <c r="D3693">
        <v>12</v>
      </c>
      <c r="E3693">
        <v>133</v>
      </c>
      <c r="F3693">
        <v>11.083333</v>
      </c>
      <c r="G3693">
        <v>7</v>
      </c>
      <c r="H3693">
        <v>0.75</v>
      </c>
      <c r="I3693">
        <v>2</v>
      </c>
      <c r="J3693">
        <v>3</v>
      </c>
      <c r="K3693">
        <v>5</v>
      </c>
      <c r="L3693">
        <v>9</v>
      </c>
      <c r="M3693">
        <v>12</v>
      </c>
      <c r="N3693">
        <v>12</v>
      </c>
      <c r="P3693">
        <v>0</v>
      </c>
      <c r="Q3693">
        <v>0</v>
      </c>
      <c r="R3693">
        <v>1</v>
      </c>
      <c r="S3693">
        <v>4</v>
      </c>
    </row>
    <row r="3694" spans="1:19" x14ac:dyDescent="0.35">
      <c r="A3694">
        <v>6506684280</v>
      </c>
      <c r="B3694" t="s">
        <v>2699</v>
      </c>
      <c r="C3694" t="str">
        <f>_xlfn.XLOOKUP(A3694,[1]Affiliations!$J$2:$J$5328,[1]Affiliations!$K$2:$K$5328,0)</f>
        <v>Universidade Federal do Espírito Santo</v>
      </c>
      <c r="D3694">
        <v>96</v>
      </c>
      <c r="E3694">
        <v>1623</v>
      </c>
      <c r="F3694">
        <v>16.90625</v>
      </c>
      <c r="G3694">
        <v>29</v>
      </c>
      <c r="H3694">
        <v>0.75</v>
      </c>
      <c r="I3694">
        <v>0</v>
      </c>
      <c r="J3694">
        <v>12</v>
      </c>
      <c r="K3694">
        <v>23</v>
      </c>
      <c r="L3694">
        <v>42</v>
      </c>
      <c r="M3694">
        <v>70</v>
      </c>
      <c r="N3694">
        <v>90</v>
      </c>
      <c r="P3694">
        <v>1</v>
      </c>
      <c r="Q3694">
        <v>4</v>
      </c>
      <c r="R3694">
        <v>9</v>
      </c>
      <c r="S3694">
        <v>31</v>
      </c>
    </row>
    <row r="3695" spans="1:19" hidden="1" x14ac:dyDescent="0.35">
      <c r="A3695">
        <v>57296811000</v>
      </c>
      <c r="B3695" t="s">
        <v>3696</v>
      </c>
      <c r="C3695" t="str">
        <f>_xlfn.XLOOKUP(A3695,[1]Affiliations!$J$2:$J$5328,[1]Affiliations!$K$2:$K$5328,0)</f>
        <v>Universidade de São Paulo</v>
      </c>
      <c r="D3695">
        <v>1</v>
      </c>
      <c r="E3695">
        <v>3</v>
      </c>
      <c r="F3695">
        <v>3</v>
      </c>
      <c r="G3695">
        <v>1</v>
      </c>
      <c r="H3695">
        <v>1.05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1</v>
      </c>
      <c r="P3695">
        <v>0</v>
      </c>
      <c r="Q3695">
        <v>0</v>
      </c>
      <c r="R3695">
        <v>0</v>
      </c>
      <c r="S3695">
        <v>0</v>
      </c>
    </row>
    <row r="3696" spans="1:19" hidden="1" x14ac:dyDescent="0.35">
      <c r="A3696">
        <v>57201426219</v>
      </c>
      <c r="B3696" t="s">
        <v>3697</v>
      </c>
      <c r="C3696" t="str">
        <f>_xlfn.XLOOKUP(A3696,[1]Affiliations!$J$2:$J$5328,[1]Affiliations!$K$2:$K$5328,0)</f>
        <v>Universidade Federal do Rio Grande do Sul</v>
      </c>
      <c r="D3696">
        <v>3</v>
      </c>
      <c r="E3696">
        <v>5</v>
      </c>
      <c r="F3696">
        <v>1.6666666000000001</v>
      </c>
      <c r="G3696">
        <v>1</v>
      </c>
      <c r="H3696">
        <v>0.28000000000000003</v>
      </c>
      <c r="I3696">
        <v>0</v>
      </c>
      <c r="J3696">
        <v>0</v>
      </c>
      <c r="K3696">
        <v>0</v>
      </c>
      <c r="L3696">
        <v>1</v>
      </c>
      <c r="M3696">
        <v>1</v>
      </c>
      <c r="N3696">
        <v>1</v>
      </c>
      <c r="P3696">
        <v>0</v>
      </c>
      <c r="Q3696">
        <v>0</v>
      </c>
      <c r="R3696">
        <v>0</v>
      </c>
      <c r="S3696">
        <v>1</v>
      </c>
    </row>
    <row r="3697" spans="1:19" hidden="1" x14ac:dyDescent="0.35">
      <c r="A3697">
        <v>58835858800</v>
      </c>
      <c r="B3697" t="s">
        <v>3698</v>
      </c>
      <c r="C3697" t="str">
        <f>_xlfn.XLOOKUP(A3697,[1]Affiliations!$J$2:$J$5328,[1]Affiliations!$K$2:$K$5328,0)</f>
        <v>Universidade Federal de Alagoas</v>
      </c>
      <c r="D3697">
        <v>1</v>
      </c>
      <c r="E3697">
        <v>7</v>
      </c>
      <c r="F3697">
        <v>7</v>
      </c>
      <c r="G3697">
        <v>1</v>
      </c>
      <c r="H3697">
        <v>0.63</v>
      </c>
      <c r="I3697">
        <v>0</v>
      </c>
      <c r="J3697">
        <v>0</v>
      </c>
      <c r="K3697">
        <v>0</v>
      </c>
      <c r="L3697">
        <v>1</v>
      </c>
      <c r="M3697">
        <v>1</v>
      </c>
      <c r="N3697">
        <v>1</v>
      </c>
      <c r="P3697">
        <v>0</v>
      </c>
      <c r="Q3697">
        <v>0</v>
      </c>
      <c r="R3697">
        <v>0</v>
      </c>
      <c r="S3697">
        <v>0</v>
      </c>
    </row>
    <row r="3698" spans="1:19" x14ac:dyDescent="0.35">
      <c r="A3698">
        <v>54398122400</v>
      </c>
      <c r="B3698" t="s">
        <v>2881</v>
      </c>
      <c r="C3698" t="str">
        <f>_xlfn.XLOOKUP(A3698,[1]Affiliations!$J$2:$J$5328,[1]Affiliations!$K$2:$K$5328,0)</f>
        <v>Universidade Federal do Rio Grande do Sul</v>
      </c>
      <c r="D3698">
        <v>26</v>
      </c>
      <c r="E3698">
        <v>393</v>
      </c>
      <c r="F3698">
        <v>15.115385</v>
      </c>
      <c r="G3698">
        <v>13</v>
      </c>
      <c r="H3698">
        <v>0.75</v>
      </c>
      <c r="I3698">
        <v>0</v>
      </c>
      <c r="J3698">
        <v>2</v>
      </c>
      <c r="K3698">
        <v>6</v>
      </c>
      <c r="L3698">
        <v>17</v>
      </c>
      <c r="M3698">
        <v>24</v>
      </c>
      <c r="N3698">
        <v>24</v>
      </c>
      <c r="P3698">
        <v>0</v>
      </c>
      <c r="Q3698">
        <v>1</v>
      </c>
      <c r="R3698">
        <v>2</v>
      </c>
      <c r="S3698">
        <v>7</v>
      </c>
    </row>
    <row r="3699" spans="1:19" hidden="1" x14ac:dyDescent="0.35">
      <c r="A3699">
        <v>24402777500</v>
      </c>
      <c r="B3699" t="s">
        <v>3700</v>
      </c>
      <c r="C3699" t="str">
        <f>_xlfn.XLOOKUP(A3699,[1]Affiliations!$J$2:$J$5328,[1]Affiliations!$K$2:$K$5328,0)</f>
        <v>Universidade Federal do Rio Grande do Norte (+1 more)</v>
      </c>
      <c r="D3699">
        <v>8</v>
      </c>
      <c r="E3699">
        <v>102</v>
      </c>
      <c r="F3699">
        <v>12.75</v>
      </c>
      <c r="G3699">
        <v>5</v>
      </c>
      <c r="H3699">
        <v>0.93</v>
      </c>
      <c r="I3699">
        <v>0</v>
      </c>
      <c r="J3699">
        <v>1</v>
      </c>
      <c r="K3699">
        <v>2</v>
      </c>
      <c r="L3699">
        <v>4</v>
      </c>
      <c r="M3699">
        <v>7</v>
      </c>
      <c r="N3699">
        <v>7</v>
      </c>
      <c r="P3699">
        <v>0</v>
      </c>
      <c r="Q3699">
        <v>0</v>
      </c>
      <c r="R3699">
        <v>0</v>
      </c>
      <c r="S3699">
        <v>2</v>
      </c>
    </row>
    <row r="3700" spans="1:19" x14ac:dyDescent="0.35">
      <c r="A3700">
        <v>57211082399</v>
      </c>
      <c r="B3700" t="s">
        <v>3061</v>
      </c>
      <c r="C3700" t="str">
        <f>_xlfn.XLOOKUP(A3700,[1]Affiliations!$J$2:$J$5328,[1]Affiliations!$K$2:$K$5328,0)</f>
        <v>Universidade Federal de Goiás</v>
      </c>
      <c r="D3700">
        <v>17</v>
      </c>
      <c r="E3700">
        <v>221</v>
      </c>
      <c r="F3700">
        <v>13</v>
      </c>
      <c r="G3700">
        <v>9</v>
      </c>
      <c r="H3700">
        <v>0.75</v>
      </c>
      <c r="I3700">
        <v>1</v>
      </c>
      <c r="J3700">
        <v>2</v>
      </c>
      <c r="K3700">
        <v>6</v>
      </c>
      <c r="L3700">
        <v>11</v>
      </c>
      <c r="M3700">
        <v>15</v>
      </c>
      <c r="N3700">
        <v>16</v>
      </c>
      <c r="P3700">
        <v>0</v>
      </c>
      <c r="Q3700">
        <v>1</v>
      </c>
      <c r="R3700">
        <v>4</v>
      </c>
      <c r="S3700">
        <v>6</v>
      </c>
    </row>
    <row r="3701" spans="1:19" hidden="1" x14ac:dyDescent="0.35">
      <c r="A3701">
        <v>56571971200</v>
      </c>
      <c r="B3701" t="s">
        <v>3702</v>
      </c>
      <c r="C3701" t="str">
        <f>_xlfn.XLOOKUP(A3701,[1]Affiliations!$J$2:$J$5328,[1]Affiliations!$K$2:$K$5328,0)</f>
        <v>Universidade Federal de Pernambuco</v>
      </c>
      <c r="D3701">
        <v>9</v>
      </c>
      <c r="E3701">
        <v>67</v>
      </c>
      <c r="F3701">
        <v>7.4444447</v>
      </c>
      <c r="G3701">
        <v>5</v>
      </c>
      <c r="H3701">
        <v>0.4</v>
      </c>
      <c r="I3701">
        <v>1</v>
      </c>
      <c r="J3701">
        <v>1</v>
      </c>
      <c r="K3701">
        <v>1</v>
      </c>
      <c r="L3701">
        <v>4</v>
      </c>
      <c r="M3701">
        <v>8</v>
      </c>
      <c r="N3701">
        <v>8</v>
      </c>
      <c r="P3701">
        <v>0</v>
      </c>
      <c r="Q3701">
        <v>0</v>
      </c>
      <c r="R3701">
        <v>0</v>
      </c>
      <c r="S3701">
        <v>2</v>
      </c>
    </row>
    <row r="3702" spans="1:19" hidden="1" x14ac:dyDescent="0.35">
      <c r="A3702">
        <v>59961292900</v>
      </c>
      <c r="B3702" t="s">
        <v>3703</v>
      </c>
      <c r="C3702" t="str">
        <f>_xlfn.XLOOKUP(A3702,[1]Affiliations!$J$2:$J$5328,[1]Affiliations!$K$2:$K$5328,0)</f>
        <v>Universidade de São Paulo</v>
      </c>
      <c r="D3702">
        <v>0</v>
      </c>
      <c r="G3702">
        <v>1</v>
      </c>
    </row>
    <row r="3703" spans="1:19" hidden="1" x14ac:dyDescent="0.35">
      <c r="A3703">
        <v>57981310800</v>
      </c>
      <c r="B3703" t="s">
        <v>3704</v>
      </c>
      <c r="C3703" t="str">
        <f>_xlfn.XLOOKUP(A3703,[1]Affiliations!$J$2:$J$5328,[1]Affiliations!$K$2:$K$5328,0)</f>
        <v>Universidade Federal de Goiás</v>
      </c>
      <c r="D3703">
        <v>4</v>
      </c>
      <c r="E3703">
        <v>80</v>
      </c>
      <c r="F3703">
        <v>20</v>
      </c>
      <c r="G3703">
        <v>4</v>
      </c>
      <c r="H3703">
        <v>0.95</v>
      </c>
      <c r="I3703">
        <v>1</v>
      </c>
      <c r="J3703">
        <v>1</v>
      </c>
      <c r="K3703">
        <v>2</v>
      </c>
      <c r="L3703">
        <v>4</v>
      </c>
      <c r="M3703">
        <v>4</v>
      </c>
      <c r="N3703">
        <v>4</v>
      </c>
      <c r="P3703">
        <v>0</v>
      </c>
      <c r="Q3703">
        <v>1</v>
      </c>
      <c r="R3703">
        <v>2</v>
      </c>
      <c r="S3703">
        <v>4</v>
      </c>
    </row>
    <row r="3704" spans="1:19" hidden="1" x14ac:dyDescent="0.35">
      <c r="A3704">
        <v>57222495125</v>
      </c>
      <c r="B3704" t="s">
        <v>3705</v>
      </c>
      <c r="C3704" t="str">
        <f>_xlfn.XLOOKUP(A3704,[1]Affiliations!$J$2:$J$5328,[1]Affiliations!$K$2:$K$5328,0)</f>
        <v>Universidade Federal do Rio Grande</v>
      </c>
      <c r="D3704">
        <v>2</v>
      </c>
      <c r="E3704">
        <v>7</v>
      </c>
      <c r="F3704">
        <v>3.5</v>
      </c>
      <c r="G3704">
        <v>2</v>
      </c>
      <c r="H3704">
        <v>0.2</v>
      </c>
      <c r="I3704">
        <v>0</v>
      </c>
      <c r="J3704">
        <v>0</v>
      </c>
      <c r="K3704">
        <v>0</v>
      </c>
      <c r="L3704">
        <v>2</v>
      </c>
      <c r="M3704">
        <v>2</v>
      </c>
      <c r="N3704">
        <v>2</v>
      </c>
      <c r="P3704">
        <v>0</v>
      </c>
      <c r="Q3704">
        <v>0</v>
      </c>
      <c r="R3704">
        <v>0</v>
      </c>
      <c r="S3704">
        <v>0</v>
      </c>
    </row>
    <row r="3705" spans="1:19" hidden="1" x14ac:dyDescent="0.35">
      <c r="A3705">
        <v>25823293800</v>
      </c>
      <c r="B3705" t="s">
        <v>3706</v>
      </c>
      <c r="C3705" t="str">
        <f>_xlfn.XLOOKUP(A3705,[1]Affiliations!$J$2:$J$5328,[1]Affiliations!$K$2:$K$5328,0)</f>
        <v>Military Institute of Engineering - IME (+2 more)</v>
      </c>
      <c r="D3705">
        <v>9</v>
      </c>
      <c r="E3705">
        <v>14</v>
      </c>
      <c r="F3705">
        <v>1.5555555999999999</v>
      </c>
      <c r="G3705">
        <v>6</v>
      </c>
      <c r="H3705">
        <v>0.33</v>
      </c>
      <c r="I3705">
        <v>0</v>
      </c>
      <c r="J3705">
        <v>0</v>
      </c>
      <c r="K3705">
        <v>0</v>
      </c>
      <c r="L3705">
        <v>1</v>
      </c>
      <c r="M3705">
        <v>3</v>
      </c>
      <c r="N3705">
        <v>3</v>
      </c>
      <c r="P3705">
        <v>0</v>
      </c>
      <c r="Q3705">
        <v>0</v>
      </c>
      <c r="R3705">
        <v>0</v>
      </c>
      <c r="S3705">
        <v>0</v>
      </c>
    </row>
    <row r="3706" spans="1:19" hidden="1" x14ac:dyDescent="0.35">
      <c r="A3706">
        <v>42662201600</v>
      </c>
      <c r="B3706" t="s">
        <v>3707</v>
      </c>
      <c r="C3706" t="str">
        <f>_xlfn.XLOOKUP(A3706,[1]Affiliations!$J$2:$J$5328,[1]Affiliations!$K$2:$K$5328,0)</f>
        <v>Universidade Federal Rural do Rio de Janeiro</v>
      </c>
      <c r="D3706">
        <v>3</v>
      </c>
      <c r="E3706">
        <v>34</v>
      </c>
      <c r="F3706">
        <v>11.333333</v>
      </c>
      <c r="G3706">
        <v>2</v>
      </c>
      <c r="H3706">
        <v>0.46</v>
      </c>
      <c r="I3706">
        <v>0</v>
      </c>
      <c r="J3706">
        <v>0</v>
      </c>
      <c r="K3706">
        <v>0</v>
      </c>
      <c r="L3706">
        <v>2</v>
      </c>
      <c r="M3706">
        <v>2</v>
      </c>
      <c r="N3706">
        <v>3</v>
      </c>
      <c r="P3706">
        <v>0</v>
      </c>
      <c r="Q3706">
        <v>0</v>
      </c>
      <c r="R3706">
        <v>0</v>
      </c>
      <c r="S3706">
        <v>1</v>
      </c>
    </row>
    <row r="3707" spans="1:19" hidden="1" x14ac:dyDescent="0.35">
      <c r="A3707">
        <v>58826748000</v>
      </c>
      <c r="B3707" t="s">
        <v>3708</v>
      </c>
      <c r="C3707" t="str">
        <f>_xlfn.XLOOKUP(A3707,[1]Affiliations!$J$2:$J$5328,[1]Affiliations!$K$2:$K$5328,0)</f>
        <v>Engineering Simulation and Scientific Software (ESSS) (+1 more)</v>
      </c>
      <c r="D3707">
        <v>2</v>
      </c>
      <c r="E3707">
        <v>1</v>
      </c>
      <c r="F3707">
        <v>0.5</v>
      </c>
      <c r="G3707">
        <v>1</v>
      </c>
      <c r="H3707">
        <v>0.35</v>
      </c>
      <c r="P3707">
        <v>0</v>
      </c>
      <c r="Q3707">
        <v>0</v>
      </c>
      <c r="R3707">
        <v>0</v>
      </c>
      <c r="S3707">
        <v>0</v>
      </c>
    </row>
    <row r="3708" spans="1:19" hidden="1" x14ac:dyDescent="0.35">
      <c r="A3708">
        <v>57211968815</v>
      </c>
      <c r="B3708" t="s">
        <v>3709</v>
      </c>
      <c r="C3708" t="str">
        <f>_xlfn.XLOOKUP(A3708,[1]Affiliations!$J$2:$J$5328,[1]Affiliations!$K$2:$K$5328,0)</f>
        <v>Universidade Federal do Rio Grande do Norte</v>
      </c>
      <c r="D3708">
        <v>2</v>
      </c>
      <c r="E3708">
        <v>27</v>
      </c>
      <c r="F3708">
        <v>13.5</v>
      </c>
      <c r="G3708">
        <v>2</v>
      </c>
      <c r="H3708">
        <v>1.5</v>
      </c>
      <c r="I3708">
        <v>0</v>
      </c>
      <c r="J3708">
        <v>0</v>
      </c>
      <c r="K3708">
        <v>0</v>
      </c>
      <c r="L3708">
        <v>2</v>
      </c>
      <c r="M3708">
        <v>2</v>
      </c>
      <c r="N3708">
        <v>2</v>
      </c>
      <c r="P3708">
        <v>0</v>
      </c>
      <c r="Q3708">
        <v>0</v>
      </c>
      <c r="R3708">
        <v>0</v>
      </c>
      <c r="S3708">
        <v>1</v>
      </c>
    </row>
    <row r="3709" spans="1:19" hidden="1" x14ac:dyDescent="0.35">
      <c r="A3709">
        <v>58782041500</v>
      </c>
      <c r="B3709" t="s">
        <v>3710</v>
      </c>
      <c r="C3709" t="str">
        <f>_xlfn.XLOOKUP(A3709,[1]Affiliations!$J$2:$J$5328,[1]Affiliations!$K$2:$K$5328,0)</f>
        <v>Universidade Federal de Campina Grande</v>
      </c>
      <c r="D3709">
        <v>2</v>
      </c>
      <c r="E3709">
        <v>2</v>
      </c>
      <c r="F3709">
        <v>1</v>
      </c>
      <c r="G3709">
        <v>1</v>
      </c>
      <c r="H3709">
        <v>0.1</v>
      </c>
      <c r="I3709">
        <v>0</v>
      </c>
      <c r="J3709">
        <v>0</v>
      </c>
      <c r="K3709">
        <v>0</v>
      </c>
      <c r="L3709">
        <v>1</v>
      </c>
      <c r="M3709">
        <v>2</v>
      </c>
      <c r="N3709">
        <v>2</v>
      </c>
      <c r="P3709">
        <v>0</v>
      </c>
      <c r="Q3709">
        <v>0</v>
      </c>
      <c r="R3709">
        <v>0</v>
      </c>
      <c r="S3709">
        <v>0</v>
      </c>
    </row>
    <row r="3710" spans="1:19" hidden="1" x14ac:dyDescent="0.35">
      <c r="A3710">
        <v>57928912900</v>
      </c>
      <c r="B3710" t="s">
        <v>3711</v>
      </c>
      <c r="C3710" t="str">
        <f>_xlfn.XLOOKUP(A3710,[1]Affiliations!$J$2:$J$5328,[1]Affiliations!$K$2:$K$5328,0)</f>
        <v>Universidade Federal de Sergipe (+1 more)</v>
      </c>
      <c r="D3710">
        <v>1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P3710">
        <v>0</v>
      </c>
      <c r="Q3710">
        <v>0</v>
      </c>
      <c r="R3710">
        <v>0</v>
      </c>
      <c r="S3710">
        <v>0</v>
      </c>
    </row>
    <row r="3711" spans="1:19" hidden="1" x14ac:dyDescent="0.35">
      <c r="A3711">
        <v>58117602400</v>
      </c>
      <c r="B3711" t="s">
        <v>3712</v>
      </c>
      <c r="C3711" t="str">
        <f>_xlfn.XLOOKUP(A3711,[1]Affiliations!$J$2:$J$5328,[1]Affiliations!$K$2:$K$5328,0)</f>
        <v>Universidade Federal da Bahia</v>
      </c>
      <c r="D3711">
        <v>2</v>
      </c>
      <c r="E3711">
        <v>3</v>
      </c>
      <c r="F3711">
        <v>1.5</v>
      </c>
      <c r="G3711">
        <v>2</v>
      </c>
      <c r="H3711">
        <v>0.26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1</v>
      </c>
      <c r="P3711">
        <v>0</v>
      </c>
      <c r="Q3711">
        <v>0</v>
      </c>
      <c r="R3711">
        <v>0</v>
      </c>
      <c r="S3711">
        <v>0</v>
      </c>
    </row>
    <row r="3712" spans="1:19" x14ac:dyDescent="0.35">
      <c r="A3712">
        <v>6603852738</v>
      </c>
      <c r="B3712" t="s">
        <v>3519</v>
      </c>
      <c r="C3712" t="str">
        <f>_xlfn.XLOOKUP(A3712,[1]Affiliations!$J$2:$J$5328,[1]Affiliations!$K$2:$K$5328,0)</f>
        <v>Pontifical Catholic University of Rio de Janeiro (+3 more)</v>
      </c>
      <c r="D3712">
        <v>42</v>
      </c>
      <c r="E3712">
        <v>609</v>
      </c>
      <c r="F3712">
        <v>14.5</v>
      </c>
      <c r="G3712">
        <v>21</v>
      </c>
      <c r="H3712">
        <v>0.75</v>
      </c>
      <c r="I3712">
        <v>0</v>
      </c>
      <c r="J3712">
        <v>1</v>
      </c>
      <c r="K3712">
        <v>5</v>
      </c>
      <c r="L3712">
        <v>21</v>
      </c>
      <c r="M3712">
        <v>31</v>
      </c>
      <c r="N3712">
        <v>38</v>
      </c>
      <c r="P3712">
        <v>0</v>
      </c>
      <c r="Q3712">
        <v>1</v>
      </c>
      <c r="R3712">
        <v>3</v>
      </c>
      <c r="S3712">
        <v>13</v>
      </c>
    </row>
    <row r="3713" spans="1:19" hidden="1" x14ac:dyDescent="0.35">
      <c r="A3713">
        <v>7402586531</v>
      </c>
      <c r="B3713" t="s">
        <v>3714</v>
      </c>
      <c r="C3713" t="str">
        <f>_xlfn.XLOOKUP(A3713,[1]Affiliations!$J$2:$J$5328,[1]Affiliations!$K$2:$K$5328,0)</f>
        <v>Pontifical Catholic University of Rio de Janeiro</v>
      </c>
      <c r="D3713">
        <v>0</v>
      </c>
      <c r="G3713">
        <v>6</v>
      </c>
    </row>
    <row r="3714" spans="1:19" hidden="1" x14ac:dyDescent="0.35">
      <c r="A3714">
        <v>58677024300</v>
      </c>
      <c r="B3714" t="s">
        <v>3715</v>
      </c>
      <c r="C3714" t="str">
        <f>_xlfn.XLOOKUP(A3714,[1]Affiliations!$J$2:$J$5328,[1]Affiliations!$K$2:$K$5328,0)</f>
        <v>Universidade Federal do Rio Grande do Sul</v>
      </c>
      <c r="D3714">
        <v>1</v>
      </c>
      <c r="E3714">
        <v>1</v>
      </c>
      <c r="F3714">
        <v>1</v>
      </c>
      <c r="G3714">
        <v>1</v>
      </c>
      <c r="H3714">
        <v>0.7</v>
      </c>
      <c r="P3714">
        <v>0</v>
      </c>
      <c r="Q3714">
        <v>0</v>
      </c>
      <c r="R3714">
        <v>0</v>
      </c>
      <c r="S3714">
        <v>0</v>
      </c>
    </row>
    <row r="3715" spans="1:19" hidden="1" x14ac:dyDescent="0.35">
      <c r="A3715">
        <v>57221272547</v>
      </c>
      <c r="B3715" t="s">
        <v>3716</v>
      </c>
      <c r="C3715" t="str">
        <f>_xlfn.XLOOKUP(A3715,[1]Affiliations!$J$2:$J$5328,[1]Affiliations!$K$2:$K$5328,0)</f>
        <v>Pontifícia Universidade Católica do Rio Grande do Sul</v>
      </c>
      <c r="D3715">
        <v>3</v>
      </c>
      <c r="E3715">
        <v>56</v>
      </c>
      <c r="F3715">
        <v>18.666665999999999</v>
      </c>
      <c r="G3715">
        <v>2</v>
      </c>
      <c r="H3715">
        <v>0.96</v>
      </c>
      <c r="I3715">
        <v>0</v>
      </c>
      <c r="J3715">
        <v>0</v>
      </c>
      <c r="K3715">
        <v>1</v>
      </c>
      <c r="L3715">
        <v>1</v>
      </c>
      <c r="M3715">
        <v>2</v>
      </c>
      <c r="N3715">
        <v>3</v>
      </c>
      <c r="P3715">
        <v>0</v>
      </c>
      <c r="Q3715">
        <v>0</v>
      </c>
      <c r="R3715">
        <v>1</v>
      </c>
      <c r="S3715">
        <v>1</v>
      </c>
    </row>
    <row r="3716" spans="1:19" x14ac:dyDescent="0.35">
      <c r="A3716">
        <v>7102810710</v>
      </c>
      <c r="B3716" t="s">
        <v>3596</v>
      </c>
      <c r="C3716" t="str">
        <f>_xlfn.XLOOKUP(A3716,[1]Affiliations!$J$2:$J$5328,[1]Affiliations!$K$2:$K$5328,0)</f>
        <v>Laboratório Nacional de Computação Científica</v>
      </c>
      <c r="D3716">
        <v>34</v>
      </c>
      <c r="E3716">
        <v>647</v>
      </c>
      <c r="F3716">
        <v>19.029411</v>
      </c>
      <c r="G3716">
        <v>24</v>
      </c>
      <c r="H3716">
        <v>0.75</v>
      </c>
      <c r="I3716">
        <v>0</v>
      </c>
      <c r="J3716">
        <v>2</v>
      </c>
      <c r="K3716">
        <v>10</v>
      </c>
      <c r="L3716">
        <v>17</v>
      </c>
      <c r="M3716">
        <v>26</v>
      </c>
      <c r="N3716">
        <v>31</v>
      </c>
      <c r="P3716">
        <v>0</v>
      </c>
      <c r="Q3716">
        <v>1</v>
      </c>
      <c r="R3716">
        <v>5</v>
      </c>
      <c r="S3716">
        <v>10</v>
      </c>
    </row>
    <row r="3717" spans="1:19" hidden="1" x14ac:dyDescent="0.35">
      <c r="A3717">
        <v>57216840061</v>
      </c>
      <c r="B3717" t="s">
        <v>3718</v>
      </c>
      <c r="C3717" t="str">
        <f>_xlfn.XLOOKUP(A3717,[1]Affiliations!$J$2:$J$5328,[1]Affiliations!$K$2:$K$5328,0)</f>
        <v>Electronics and Biomedical Department (+1 more)</v>
      </c>
      <c r="D3717">
        <v>1</v>
      </c>
      <c r="E3717">
        <v>6</v>
      </c>
      <c r="F3717">
        <v>6</v>
      </c>
      <c r="G3717">
        <v>1</v>
      </c>
      <c r="H3717">
        <v>1.22</v>
      </c>
      <c r="P3717">
        <v>0</v>
      </c>
      <c r="Q3717">
        <v>0</v>
      </c>
      <c r="R3717">
        <v>0</v>
      </c>
      <c r="S3717">
        <v>0</v>
      </c>
    </row>
    <row r="3718" spans="1:19" x14ac:dyDescent="0.35">
      <c r="A3718">
        <v>7006497995</v>
      </c>
      <c r="B3718" t="s">
        <v>3635</v>
      </c>
      <c r="C3718" t="str">
        <f>_xlfn.XLOOKUP(A3718,[1]Affiliations!$J$2:$J$5328,[1]Affiliations!$K$2:$K$5328,0)</f>
        <v>Federal University of Rio de Janeiro</v>
      </c>
      <c r="D3718">
        <v>20</v>
      </c>
      <c r="E3718">
        <v>181</v>
      </c>
      <c r="F3718">
        <v>9.0500000000000007</v>
      </c>
      <c r="G3718">
        <v>12</v>
      </c>
      <c r="H3718">
        <v>0.75</v>
      </c>
      <c r="I3718">
        <v>0</v>
      </c>
      <c r="J3718">
        <v>2</v>
      </c>
      <c r="K3718">
        <v>5</v>
      </c>
      <c r="L3718">
        <v>6</v>
      </c>
      <c r="M3718">
        <v>8</v>
      </c>
      <c r="N3718">
        <v>15</v>
      </c>
      <c r="P3718">
        <v>0</v>
      </c>
      <c r="Q3718">
        <v>0</v>
      </c>
      <c r="R3718">
        <v>1</v>
      </c>
      <c r="S3718">
        <v>6</v>
      </c>
    </row>
    <row r="3719" spans="1:19" hidden="1" x14ac:dyDescent="0.35">
      <c r="A3719">
        <v>59101733300</v>
      </c>
      <c r="B3719" t="s">
        <v>3720</v>
      </c>
      <c r="C3719" t="str">
        <f>_xlfn.XLOOKUP(A3719,[1]Affiliations!$J$2:$J$5328,[1]Affiliations!$K$2:$K$5328,0)</f>
        <v>Universidade Federal Fluminense</v>
      </c>
      <c r="D3719">
        <v>1</v>
      </c>
      <c r="E3719">
        <v>2</v>
      </c>
      <c r="F3719">
        <v>2</v>
      </c>
      <c r="G3719">
        <v>1</v>
      </c>
      <c r="H3719">
        <v>0.24</v>
      </c>
      <c r="I3719">
        <v>0</v>
      </c>
      <c r="J3719">
        <v>0</v>
      </c>
      <c r="K3719">
        <v>0</v>
      </c>
      <c r="L3719">
        <v>1</v>
      </c>
      <c r="M3719">
        <v>1</v>
      </c>
      <c r="N3719">
        <v>1</v>
      </c>
      <c r="P3719">
        <v>0</v>
      </c>
      <c r="Q3719">
        <v>0</v>
      </c>
      <c r="R3719">
        <v>0</v>
      </c>
      <c r="S3719">
        <v>0</v>
      </c>
    </row>
    <row r="3720" spans="1:19" x14ac:dyDescent="0.35">
      <c r="A3720">
        <v>57200265464</v>
      </c>
      <c r="B3720" t="s">
        <v>3724</v>
      </c>
      <c r="C3720" t="str">
        <f>_xlfn.XLOOKUP(A3720,[1]Affiliations!$J$2:$J$5328,[1]Affiliations!$K$2:$K$5328,0)</f>
        <v>Universidade Federal de Minas Gerais</v>
      </c>
      <c r="D3720">
        <v>39</v>
      </c>
      <c r="E3720">
        <v>591</v>
      </c>
      <c r="F3720">
        <v>15.153846</v>
      </c>
      <c r="G3720">
        <v>16</v>
      </c>
      <c r="H3720">
        <v>0.75</v>
      </c>
      <c r="I3720">
        <v>1</v>
      </c>
      <c r="J3720">
        <v>1</v>
      </c>
      <c r="K3720">
        <v>3</v>
      </c>
      <c r="L3720">
        <v>10</v>
      </c>
      <c r="M3720">
        <v>25</v>
      </c>
      <c r="N3720">
        <v>33</v>
      </c>
      <c r="P3720">
        <v>0</v>
      </c>
      <c r="Q3720">
        <v>2</v>
      </c>
      <c r="R3720">
        <v>3</v>
      </c>
      <c r="S3720">
        <v>13</v>
      </c>
    </row>
    <row r="3721" spans="1:19" hidden="1" x14ac:dyDescent="0.35">
      <c r="A3721">
        <v>57224724707</v>
      </c>
      <c r="B3721" t="s">
        <v>3722</v>
      </c>
      <c r="C3721" t="str">
        <f>_xlfn.XLOOKUP(A3721,[1]Affiliations!$J$2:$J$5328,[1]Affiliations!$K$2:$K$5328,0)</f>
        <v>SECA</v>
      </c>
      <c r="D3721">
        <v>2</v>
      </c>
      <c r="E3721">
        <v>2</v>
      </c>
      <c r="F3721">
        <v>1</v>
      </c>
      <c r="G3721">
        <v>1</v>
      </c>
      <c r="H3721">
        <v>0.06</v>
      </c>
      <c r="I3721">
        <v>0</v>
      </c>
      <c r="J3721">
        <v>0</v>
      </c>
      <c r="K3721">
        <v>0</v>
      </c>
      <c r="L3721">
        <v>0</v>
      </c>
      <c r="M3721">
        <v>1</v>
      </c>
      <c r="N3721">
        <v>1</v>
      </c>
      <c r="P3721">
        <v>0</v>
      </c>
      <c r="Q3721">
        <v>0</v>
      </c>
      <c r="R3721">
        <v>0</v>
      </c>
      <c r="S3721">
        <v>0</v>
      </c>
    </row>
    <row r="3722" spans="1:19" hidden="1" x14ac:dyDescent="0.35">
      <c r="A3722">
        <v>57198900534</v>
      </c>
      <c r="B3722" t="s">
        <v>3723</v>
      </c>
      <c r="C3722" t="str">
        <f>_xlfn.XLOOKUP(A3722,[1]Affiliations!$J$2:$J$5328,[1]Affiliations!$K$2:$K$5328,0)</f>
        <v>Universidade Federal do Ceará</v>
      </c>
      <c r="D3722">
        <v>1</v>
      </c>
      <c r="E3722">
        <v>16</v>
      </c>
      <c r="F3722">
        <v>16</v>
      </c>
      <c r="G3722">
        <v>1</v>
      </c>
      <c r="H3722">
        <v>0.56000000000000005</v>
      </c>
      <c r="I3722">
        <v>0</v>
      </c>
      <c r="J3722">
        <v>0</v>
      </c>
      <c r="K3722">
        <v>0</v>
      </c>
      <c r="L3722">
        <v>1</v>
      </c>
      <c r="M3722">
        <v>1</v>
      </c>
      <c r="N3722">
        <v>1</v>
      </c>
      <c r="P3722">
        <v>0</v>
      </c>
      <c r="Q3722">
        <v>0</v>
      </c>
      <c r="R3722">
        <v>0</v>
      </c>
      <c r="S3722">
        <v>0</v>
      </c>
    </row>
    <row r="3723" spans="1:19" x14ac:dyDescent="0.35">
      <c r="A3723">
        <v>6603107199</v>
      </c>
      <c r="B3723" t="s">
        <v>3926</v>
      </c>
      <c r="C3723" t="str">
        <f>_xlfn.XLOOKUP(A3723,[1]Affiliations!$J$2:$J$5328,[1]Affiliations!$K$2:$K$5328,0)</f>
        <v>Universidade Federal do Rio Grande do Norte</v>
      </c>
      <c r="D3723">
        <v>127</v>
      </c>
      <c r="E3723">
        <v>2161</v>
      </c>
      <c r="F3723">
        <v>17.015749</v>
      </c>
      <c r="G3723">
        <v>35</v>
      </c>
      <c r="H3723">
        <v>0.75</v>
      </c>
      <c r="I3723">
        <v>1</v>
      </c>
      <c r="J3723">
        <v>9</v>
      </c>
      <c r="K3723">
        <v>30</v>
      </c>
      <c r="L3723">
        <v>69</v>
      </c>
      <c r="M3723">
        <v>106</v>
      </c>
      <c r="N3723">
        <v>118</v>
      </c>
      <c r="P3723">
        <v>0</v>
      </c>
      <c r="Q3723">
        <v>5</v>
      </c>
      <c r="R3723">
        <v>11</v>
      </c>
      <c r="S3723">
        <v>45</v>
      </c>
    </row>
    <row r="3724" spans="1:19" hidden="1" x14ac:dyDescent="0.35">
      <c r="A3724">
        <v>25623655300</v>
      </c>
      <c r="B3724" t="s">
        <v>3725</v>
      </c>
      <c r="C3724" t="str">
        <f>_xlfn.XLOOKUP(A3724,[1]Affiliations!$J$2:$J$5328,[1]Affiliations!$K$2:$K$5328,0)</f>
        <v>Universidade Federal de Uberlândia</v>
      </c>
      <c r="D3724">
        <v>5</v>
      </c>
      <c r="E3724">
        <v>23</v>
      </c>
      <c r="F3724">
        <v>4.5999999999999996</v>
      </c>
      <c r="G3724">
        <v>5</v>
      </c>
      <c r="H3724">
        <v>0.17</v>
      </c>
      <c r="I3724">
        <v>0</v>
      </c>
      <c r="J3724">
        <v>0</v>
      </c>
      <c r="K3724">
        <v>0</v>
      </c>
      <c r="L3724">
        <v>1</v>
      </c>
      <c r="M3724">
        <v>2</v>
      </c>
      <c r="N3724">
        <v>2</v>
      </c>
      <c r="P3724">
        <v>0</v>
      </c>
      <c r="Q3724">
        <v>0</v>
      </c>
      <c r="R3724">
        <v>0</v>
      </c>
      <c r="S3724">
        <v>0</v>
      </c>
    </row>
    <row r="3725" spans="1:19" x14ac:dyDescent="0.35">
      <c r="A3725">
        <v>56306538700</v>
      </c>
      <c r="B3725" t="s">
        <v>4247</v>
      </c>
      <c r="C3725" t="str">
        <f>_xlfn.XLOOKUP(A3725,[1]Affiliations!$J$2:$J$5328,[1]Affiliations!$K$2:$K$5328,0)</f>
        <v>Universidade Federal de Ouro Preto</v>
      </c>
      <c r="D3725">
        <v>17</v>
      </c>
      <c r="E3725">
        <v>135</v>
      </c>
      <c r="F3725">
        <v>7.9411763999999998</v>
      </c>
      <c r="G3725">
        <v>6</v>
      </c>
      <c r="H3725">
        <v>0.75</v>
      </c>
      <c r="I3725">
        <v>0</v>
      </c>
      <c r="J3725">
        <v>1</v>
      </c>
      <c r="K3725">
        <v>1</v>
      </c>
      <c r="L3725">
        <v>3</v>
      </c>
      <c r="M3725">
        <v>5</v>
      </c>
      <c r="N3725">
        <v>11</v>
      </c>
      <c r="P3725">
        <v>0</v>
      </c>
      <c r="Q3725">
        <v>0</v>
      </c>
      <c r="R3725">
        <v>1</v>
      </c>
      <c r="S3725">
        <v>3</v>
      </c>
    </row>
    <row r="3726" spans="1:19" hidden="1" x14ac:dyDescent="0.35">
      <c r="A3726">
        <v>56315980000</v>
      </c>
      <c r="B3726" t="s">
        <v>3727</v>
      </c>
      <c r="C3726" t="str">
        <f>_xlfn.XLOOKUP(A3726,[1]Affiliations!$J$2:$J$5328,[1]Affiliations!$K$2:$K$5328,0)</f>
        <v>Universidade de São Paulo</v>
      </c>
      <c r="D3726">
        <v>13</v>
      </c>
      <c r="E3726">
        <v>50</v>
      </c>
      <c r="F3726">
        <v>3.8461536999999999</v>
      </c>
      <c r="G3726">
        <v>5</v>
      </c>
      <c r="H3726">
        <v>0.34</v>
      </c>
      <c r="I3726">
        <v>0</v>
      </c>
      <c r="J3726">
        <v>0</v>
      </c>
      <c r="K3726">
        <v>2</v>
      </c>
      <c r="L3726">
        <v>2</v>
      </c>
      <c r="M3726">
        <v>2</v>
      </c>
      <c r="N3726">
        <v>4</v>
      </c>
      <c r="P3726">
        <v>0</v>
      </c>
      <c r="Q3726">
        <v>0</v>
      </c>
      <c r="R3726">
        <v>0</v>
      </c>
      <c r="S3726">
        <v>1</v>
      </c>
    </row>
    <row r="3727" spans="1:19" hidden="1" x14ac:dyDescent="0.35">
      <c r="A3727">
        <v>47061737800</v>
      </c>
      <c r="B3727" t="s">
        <v>3728</v>
      </c>
      <c r="C3727" t="str">
        <f>_xlfn.XLOOKUP(A3727,[1]Affiliations!$J$2:$J$5328,[1]Affiliations!$K$2:$K$5328,0)</f>
        <v>Observatório Nacional</v>
      </c>
      <c r="D3727">
        <v>31</v>
      </c>
      <c r="E3727">
        <v>166</v>
      </c>
      <c r="F3727">
        <v>5.3548390000000001</v>
      </c>
      <c r="G3727">
        <v>10</v>
      </c>
      <c r="H3727">
        <v>0.39</v>
      </c>
      <c r="I3727">
        <v>0</v>
      </c>
      <c r="J3727">
        <v>1</v>
      </c>
      <c r="K3727">
        <v>3</v>
      </c>
      <c r="L3727">
        <v>11</v>
      </c>
      <c r="M3727">
        <v>16</v>
      </c>
      <c r="N3727">
        <v>17</v>
      </c>
      <c r="P3727">
        <v>0</v>
      </c>
      <c r="Q3727">
        <v>0</v>
      </c>
      <c r="R3727">
        <v>0</v>
      </c>
      <c r="S3727">
        <v>1</v>
      </c>
    </row>
    <row r="3728" spans="1:19" hidden="1" x14ac:dyDescent="0.35">
      <c r="A3728">
        <v>57542104700</v>
      </c>
      <c r="B3728" t="s">
        <v>3729</v>
      </c>
      <c r="C3728" t="str">
        <f>_xlfn.XLOOKUP(A3728,[1]Affiliations!$J$2:$J$5328,[1]Affiliations!$K$2:$K$5328,0)</f>
        <v>URFJ</v>
      </c>
      <c r="D3728">
        <v>5</v>
      </c>
      <c r="E3728">
        <v>8</v>
      </c>
      <c r="F3728">
        <v>1.6</v>
      </c>
      <c r="G3728">
        <v>2</v>
      </c>
      <c r="H3728">
        <v>7.0000000000000007E-2</v>
      </c>
      <c r="I3728">
        <v>0</v>
      </c>
      <c r="J3728">
        <v>0</v>
      </c>
      <c r="K3728">
        <v>0</v>
      </c>
      <c r="L3728">
        <v>2</v>
      </c>
      <c r="M3728">
        <v>2</v>
      </c>
      <c r="N3728">
        <v>2</v>
      </c>
      <c r="P3728">
        <v>0</v>
      </c>
      <c r="Q3728">
        <v>0</v>
      </c>
      <c r="R3728">
        <v>0</v>
      </c>
      <c r="S3728">
        <v>0</v>
      </c>
    </row>
    <row r="3729" spans="1:19" hidden="1" x14ac:dyDescent="0.35">
      <c r="A3729">
        <v>55835307400</v>
      </c>
      <c r="B3729" t="s">
        <v>3730</v>
      </c>
      <c r="C3729" t="str">
        <f>_xlfn.XLOOKUP(A3729,[1]Affiliations!$J$2:$J$5328,[1]Affiliations!$K$2:$K$5328,0)</f>
        <v>Universidade Federal do Espírito Santo</v>
      </c>
      <c r="D3729">
        <v>14</v>
      </c>
      <c r="E3729">
        <v>72</v>
      </c>
      <c r="F3729">
        <v>5.1428570000000002</v>
      </c>
      <c r="G3729">
        <v>6</v>
      </c>
      <c r="H3729">
        <v>0.75</v>
      </c>
      <c r="I3729">
        <v>0</v>
      </c>
      <c r="J3729">
        <v>0</v>
      </c>
      <c r="K3729">
        <v>1</v>
      </c>
      <c r="L3729">
        <v>1</v>
      </c>
      <c r="M3729">
        <v>4</v>
      </c>
      <c r="N3729">
        <v>9</v>
      </c>
      <c r="P3729">
        <v>0</v>
      </c>
      <c r="Q3729">
        <v>0</v>
      </c>
      <c r="R3729">
        <v>0</v>
      </c>
      <c r="S3729">
        <v>0</v>
      </c>
    </row>
    <row r="3730" spans="1:19" x14ac:dyDescent="0.35">
      <c r="A3730">
        <v>57195979577</v>
      </c>
      <c r="B3730" t="s">
        <v>4283</v>
      </c>
      <c r="C3730" t="str">
        <f>_xlfn.XLOOKUP(A3730,[1]Affiliations!$J$2:$J$5328,[1]Affiliations!$K$2:$K$5328,0)</f>
        <v>Universidade Federal de Goiás</v>
      </c>
      <c r="D3730">
        <v>16</v>
      </c>
      <c r="E3730">
        <v>226</v>
      </c>
      <c r="F3730">
        <v>14.125</v>
      </c>
      <c r="G3730">
        <v>8</v>
      </c>
      <c r="H3730">
        <v>0.75</v>
      </c>
      <c r="I3730">
        <v>0</v>
      </c>
      <c r="J3730">
        <v>1</v>
      </c>
      <c r="K3730">
        <v>1</v>
      </c>
      <c r="L3730">
        <v>7</v>
      </c>
      <c r="M3730">
        <v>12</v>
      </c>
      <c r="N3730">
        <v>14</v>
      </c>
      <c r="P3730">
        <v>0</v>
      </c>
      <c r="Q3730">
        <v>0</v>
      </c>
      <c r="R3730">
        <v>1</v>
      </c>
      <c r="S3730">
        <v>4</v>
      </c>
    </row>
    <row r="3731" spans="1:19" hidden="1" x14ac:dyDescent="0.35">
      <c r="A3731">
        <v>26658576300</v>
      </c>
      <c r="B3731" t="s">
        <v>3732</v>
      </c>
      <c r="C3731" t="str">
        <f>_xlfn.XLOOKUP(A3731,[1]Affiliations!$J$2:$J$5328,[1]Affiliations!$K$2:$K$5328,0)</f>
        <v>Pontifical Catholic University of Rio de Janeiro</v>
      </c>
      <c r="D3731">
        <v>12</v>
      </c>
      <c r="E3731">
        <v>109</v>
      </c>
      <c r="F3731">
        <v>9.0833329999999997</v>
      </c>
      <c r="G3731">
        <v>7</v>
      </c>
      <c r="H3731">
        <v>0.38</v>
      </c>
      <c r="I3731">
        <v>0</v>
      </c>
      <c r="J3731">
        <v>1</v>
      </c>
      <c r="K3731">
        <v>3</v>
      </c>
      <c r="L3731">
        <v>4</v>
      </c>
      <c r="M3731">
        <v>5</v>
      </c>
      <c r="N3731">
        <v>6</v>
      </c>
      <c r="P3731">
        <v>0</v>
      </c>
      <c r="Q3731">
        <v>0</v>
      </c>
      <c r="R3731">
        <v>0</v>
      </c>
      <c r="S3731">
        <v>3</v>
      </c>
    </row>
    <row r="3732" spans="1:19" hidden="1" x14ac:dyDescent="0.35">
      <c r="A3732">
        <v>55903223600</v>
      </c>
      <c r="B3732" t="s">
        <v>3733</v>
      </c>
      <c r="C3732" t="str">
        <f>_xlfn.XLOOKUP(A3732,[1]Affiliations!$J$2:$J$5328,[1]Affiliations!$K$2:$K$5328,0)</f>
        <v>Universidade Federal do ABC (+1 more)</v>
      </c>
      <c r="D3732">
        <v>10</v>
      </c>
      <c r="E3732">
        <v>136</v>
      </c>
      <c r="F3732">
        <v>13.6</v>
      </c>
      <c r="G3732">
        <v>9</v>
      </c>
      <c r="H3732">
        <v>0.4</v>
      </c>
      <c r="I3732">
        <v>0</v>
      </c>
      <c r="J3732">
        <v>0</v>
      </c>
      <c r="K3732">
        <v>0</v>
      </c>
      <c r="L3732">
        <v>1</v>
      </c>
      <c r="M3732">
        <v>8</v>
      </c>
      <c r="N3732">
        <v>10</v>
      </c>
      <c r="P3732">
        <v>0</v>
      </c>
      <c r="Q3732">
        <v>0</v>
      </c>
      <c r="R3732">
        <v>1</v>
      </c>
      <c r="S3732">
        <v>2</v>
      </c>
    </row>
    <row r="3733" spans="1:19" hidden="1" x14ac:dyDescent="0.35">
      <c r="A3733">
        <v>57216840348</v>
      </c>
      <c r="B3733" t="s">
        <v>3734</v>
      </c>
      <c r="C3733" t="str">
        <f>_xlfn.XLOOKUP(A3733,[1]Affiliations!$J$2:$J$5328,[1]Affiliations!$K$2:$K$5328,0)</f>
        <v>Federal University of Santa Catarina</v>
      </c>
      <c r="D3733">
        <v>4</v>
      </c>
      <c r="E3733">
        <v>9</v>
      </c>
      <c r="F3733">
        <v>2.25</v>
      </c>
      <c r="G3733">
        <v>1</v>
      </c>
      <c r="H3733">
        <v>0.55000000000000004</v>
      </c>
      <c r="I3733">
        <v>0</v>
      </c>
      <c r="J3733">
        <v>1</v>
      </c>
      <c r="K3733">
        <v>1</v>
      </c>
      <c r="L3733">
        <v>1</v>
      </c>
      <c r="M3733">
        <v>1</v>
      </c>
      <c r="N3733">
        <v>1</v>
      </c>
      <c r="P3733">
        <v>0</v>
      </c>
      <c r="Q3733">
        <v>0</v>
      </c>
      <c r="R3733">
        <v>0</v>
      </c>
      <c r="S3733">
        <v>1</v>
      </c>
    </row>
    <row r="3734" spans="1:19" x14ac:dyDescent="0.35">
      <c r="A3734">
        <v>6701831470</v>
      </c>
      <c r="B3734" t="s">
        <v>4448</v>
      </c>
      <c r="C3734" t="str">
        <f>_xlfn.XLOOKUP(A3734,[1]Affiliations!$J$2:$J$5328,[1]Affiliations!$K$2:$K$5328,0)</f>
        <v>Instituto Nacional de Pesquisas Espaciais</v>
      </c>
      <c r="D3734">
        <v>41</v>
      </c>
      <c r="E3734">
        <v>312</v>
      </c>
      <c r="F3734">
        <v>7.609756</v>
      </c>
      <c r="G3734">
        <v>14</v>
      </c>
      <c r="H3734">
        <v>0.75</v>
      </c>
      <c r="I3734">
        <v>1</v>
      </c>
      <c r="J3734">
        <v>1</v>
      </c>
      <c r="K3734">
        <v>6</v>
      </c>
      <c r="L3734">
        <v>12</v>
      </c>
      <c r="M3734">
        <v>23</v>
      </c>
      <c r="N3734">
        <v>34</v>
      </c>
      <c r="P3734">
        <v>0</v>
      </c>
      <c r="Q3734">
        <v>1</v>
      </c>
      <c r="R3734">
        <v>2</v>
      </c>
      <c r="S3734">
        <v>4</v>
      </c>
    </row>
    <row r="3735" spans="1:19" hidden="1" x14ac:dyDescent="0.35">
      <c r="A3735">
        <v>56368204000</v>
      </c>
      <c r="B3735" t="s">
        <v>3736</v>
      </c>
      <c r="C3735" t="str">
        <f>_xlfn.XLOOKUP(A3735,[1]Affiliations!$J$2:$J$5328,[1]Affiliations!$K$2:$K$5328,0)</f>
        <v>Instituto de Pesquisas Tecnologicas</v>
      </c>
      <c r="D3735">
        <v>6</v>
      </c>
      <c r="E3735">
        <v>12</v>
      </c>
      <c r="F3735">
        <v>2</v>
      </c>
      <c r="G3735">
        <v>2</v>
      </c>
      <c r="H3735">
        <v>0.12</v>
      </c>
      <c r="I3735">
        <v>0</v>
      </c>
      <c r="J3735">
        <v>0</v>
      </c>
      <c r="K3735">
        <v>0</v>
      </c>
      <c r="L3735">
        <v>0</v>
      </c>
      <c r="M3735">
        <v>1</v>
      </c>
      <c r="N3735">
        <v>2</v>
      </c>
      <c r="P3735">
        <v>0</v>
      </c>
      <c r="Q3735">
        <v>0</v>
      </c>
      <c r="R3735">
        <v>0</v>
      </c>
      <c r="S3735">
        <v>0</v>
      </c>
    </row>
    <row r="3736" spans="1:19" hidden="1" x14ac:dyDescent="0.35">
      <c r="A3736">
        <v>57274610300</v>
      </c>
      <c r="B3736" t="s">
        <v>3737</v>
      </c>
      <c r="C3736" t="str">
        <f>_xlfn.XLOOKUP(A3736,[1]Affiliations!$J$2:$J$5328,[1]Affiliations!$K$2:$K$5328,0)</f>
        <v>Universidade Federal de Itajubá</v>
      </c>
      <c r="D3736">
        <v>1</v>
      </c>
      <c r="E3736">
        <v>5</v>
      </c>
      <c r="F3736">
        <v>5</v>
      </c>
      <c r="G3736">
        <v>1</v>
      </c>
      <c r="H3736">
        <v>1.1399999999999999</v>
      </c>
      <c r="P3736">
        <v>0</v>
      </c>
      <c r="Q3736">
        <v>0</v>
      </c>
      <c r="R3736">
        <v>0</v>
      </c>
      <c r="S3736">
        <v>0</v>
      </c>
    </row>
    <row r="3737" spans="1:19" hidden="1" x14ac:dyDescent="0.35">
      <c r="A3737">
        <v>58689405400</v>
      </c>
      <c r="B3737" t="s">
        <v>3738</v>
      </c>
      <c r="C3737" t="str">
        <f>_xlfn.XLOOKUP(A3737,[1]Affiliations!$J$2:$J$5328,[1]Affiliations!$K$2:$K$5328,0)</f>
        <v>Serviço Nacional de Aprendizagem Industrial</v>
      </c>
      <c r="D3737">
        <v>1</v>
      </c>
      <c r="E3737">
        <v>2</v>
      </c>
      <c r="F3737">
        <v>2</v>
      </c>
      <c r="G3737">
        <v>1</v>
      </c>
      <c r="H3737">
        <v>0.17</v>
      </c>
      <c r="I3737">
        <v>0</v>
      </c>
      <c r="J3737">
        <v>0</v>
      </c>
      <c r="K3737">
        <v>0</v>
      </c>
      <c r="L3737">
        <v>1</v>
      </c>
      <c r="M3737">
        <v>1</v>
      </c>
      <c r="N3737">
        <v>1</v>
      </c>
      <c r="P3737">
        <v>0</v>
      </c>
      <c r="Q3737">
        <v>0</v>
      </c>
      <c r="R3737">
        <v>0</v>
      </c>
      <c r="S3737">
        <v>0</v>
      </c>
    </row>
    <row r="3738" spans="1:19" hidden="1" x14ac:dyDescent="0.35">
      <c r="A3738">
        <v>58722570600</v>
      </c>
      <c r="B3738" t="s">
        <v>3739</v>
      </c>
      <c r="C3738" t="str">
        <f>_xlfn.XLOOKUP(A3738,[1]Affiliations!$J$2:$J$5328,[1]Affiliations!$K$2:$K$5328,0)</f>
        <v>Pontifical Catholic University of Rio de Janeiro</v>
      </c>
      <c r="D3738">
        <v>1</v>
      </c>
      <c r="E3738">
        <v>3</v>
      </c>
      <c r="F3738">
        <v>3</v>
      </c>
      <c r="G3738">
        <v>1</v>
      </c>
      <c r="H3738">
        <v>1.17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P3738">
        <v>0</v>
      </c>
      <c r="Q3738">
        <v>0</v>
      </c>
      <c r="R3738">
        <v>0</v>
      </c>
      <c r="S3738">
        <v>0</v>
      </c>
    </row>
    <row r="3739" spans="1:19" hidden="1" x14ac:dyDescent="0.35">
      <c r="A3739">
        <v>57188555435</v>
      </c>
      <c r="B3739" t="s">
        <v>3740</v>
      </c>
      <c r="C3739" t="str">
        <f>_xlfn.XLOOKUP(A3739,[1]Affiliations!$J$2:$J$5328,[1]Affiliations!$K$2:$K$5328,0)</f>
        <v>Federal University of Rio de Janeiro</v>
      </c>
      <c r="D3739">
        <v>15</v>
      </c>
      <c r="E3739">
        <v>72</v>
      </c>
      <c r="F3739">
        <v>4.8</v>
      </c>
      <c r="G3739">
        <v>5</v>
      </c>
      <c r="H3739">
        <v>0.3</v>
      </c>
      <c r="I3739">
        <v>0</v>
      </c>
      <c r="J3739">
        <v>0</v>
      </c>
      <c r="K3739">
        <v>2</v>
      </c>
      <c r="L3739">
        <v>7</v>
      </c>
      <c r="M3739">
        <v>10</v>
      </c>
      <c r="N3739">
        <v>14</v>
      </c>
      <c r="P3739">
        <v>0</v>
      </c>
      <c r="Q3739">
        <v>0</v>
      </c>
      <c r="R3739">
        <v>0</v>
      </c>
      <c r="S3739">
        <v>0</v>
      </c>
    </row>
    <row r="3740" spans="1:19" x14ac:dyDescent="0.35">
      <c r="A3740">
        <v>57193120301</v>
      </c>
      <c r="B3740" t="s">
        <v>4561</v>
      </c>
      <c r="C3740" t="str">
        <f>_xlfn.XLOOKUP(A3740,[1]Affiliations!$J$2:$J$5328,[1]Affiliations!$K$2:$K$5328,0)</f>
        <v>Universidade Federal do Paraná</v>
      </c>
      <c r="D3740">
        <v>20</v>
      </c>
      <c r="E3740">
        <v>333</v>
      </c>
      <c r="F3740">
        <v>16.649999999999999</v>
      </c>
      <c r="G3740">
        <v>9</v>
      </c>
      <c r="H3740">
        <v>0.75</v>
      </c>
      <c r="I3740">
        <v>0</v>
      </c>
      <c r="J3740">
        <v>3</v>
      </c>
      <c r="K3740">
        <v>3</v>
      </c>
      <c r="L3740">
        <v>9</v>
      </c>
      <c r="M3740">
        <v>13</v>
      </c>
      <c r="N3740">
        <v>13</v>
      </c>
      <c r="P3740">
        <v>0</v>
      </c>
      <c r="Q3740">
        <v>2</v>
      </c>
      <c r="R3740">
        <v>2</v>
      </c>
      <c r="S3740">
        <v>8</v>
      </c>
    </row>
    <row r="3741" spans="1:19" hidden="1" x14ac:dyDescent="0.35">
      <c r="A3741">
        <v>60089525200</v>
      </c>
      <c r="B3741" t="s">
        <v>3742</v>
      </c>
      <c r="C3741" t="str">
        <f>_xlfn.XLOOKUP(A3741,[1]Affiliations!$J$2:$J$5328,[1]Affiliations!$K$2:$K$5328,0)</f>
        <v>Federal University of Rio de Janeiro</v>
      </c>
      <c r="D3741">
        <v>0</v>
      </c>
      <c r="G3741">
        <v>0</v>
      </c>
    </row>
    <row r="3742" spans="1:19" hidden="1" x14ac:dyDescent="0.35">
      <c r="A3742">
        <v>57189906239</v>
      </c>
      <c r="B3742" t="s">
        <v>3743</v>
      </c>
      <c r="C3742" t="str">
        <f>_xlfn.XLOOKUP(A3742,[1]Affiliations!$J$2:$J$5328,[1]Affiliations!$K$2:$K$5328,0)</f>
        <v>Universidade de São Paulo (+1 more)</v>
      </c>
      <c r="D3742">
        <v>14</v>
      </c>
      <c r="E3742">
        <v>173</v>
      </c>
      <c r="F3742">
        <v>12.357142</v>
      </c>
      <c r="G3742">
        <v>9</v>
      </c>
      <c r="H3742">
        <v>0.62</v>
      </c>
      <c r="I3742">
        <v>0</v>
      </c>
      <c r="J3742">
        <v>4</v>
      </c>
      <c r="K3742">
        <v>4</v>
      </c>
      <c r="L3742">
        <v>8</v>
      </c>
      <c r="M3742">
        <v>12</v>
      </c>
      <c r="N3742">
        <v>14</v>
      </c>
      <c r="P3742">
        <v>0</v>
      </c>
      <c r="Q3742">
        <v>0</v>
      </c>
      <c r="R3742">
        <v>0</v>
      </c>
      <c r="S3742">
        <v>6</v>
      </c>
    </row>
    <row r="3743" spans="1:19" hidden="1" x14ac:dyDescent="0.35">
      <c r="A3743">
        <v>57223136152</v>
      </c>
      <c r="B3743" t="s">
        <v>3744</v>
      </c>
      <c r="C3743" t="str">
        <f>_xlfn.XLOOKUP(A3743,[1]Affiliations!$J$2:$J$5328,[1]Affiliations!$K$2:$K$5328,0)</f>
        <v>Federal University of Rio de Janeiro</v>
      </c>
      <c r="D3743">
        <v>2</v>
      </c>
      <c r="E3743">
        <v>26</v>
      </c>
      <c r="F3743">
        <v>13</v>
      </c>
      <c r="G3743">
        <v>2</v>
      </c>
      <c r="H3743">
        <v>0.88</v>
      </c>
      <c r="I3743">
        <v>0</v>
      </c>
      <c r="J3743">
        <v>0</v>
      </c>
      <c r="K3743">
        <v>0</v>
      </c>
      <c r="L3743">
        <v>1</v>
      </c>
      <c r="M3743">
        <v>2</v>
      </c>
      <c r="N3743">
        <v>2</v>
      </c>
      <c r="P3743">
        <v>0</v>
      </c>
      <c r="Q3743">
        <v>0</v>
      </c>
      <c r="R3743">
        <v>0</v>
      </c>
      <c r="S3743">
        <v>1</v>
      </c>
    </row>
    <row r="3744" spans="1:19" hidden="1" x14ac:dyDescent="0.35">
      <c r="A3744">
        <v>55967371500</v>
      </c>
      <c r="B3744" t="s">
        <v>3745</v>
      </c>
      <c r="C3744" t="str">
        <f>_xlfn.XLOOKUP(A3744,[1]Affiliations!$J$2:$J$5328,[1]Affiliations!$K$2:$K$5328,0)</f>
        <v>Universidade Federal do Rio Grande do Sul</v>
      </c>
      <c r="D3744">
        <v>3</v>
      </c>
      <c r="E3744">
        <v>57</v>
      </c>
      <c r="F3744">
        <v>19</v>
      </c>
      <c r="G3744">
        <v>4</v>
      </c>
      <c r="H3744">
        <v>0.66</v>
      </c>
      <c r="I3744">
        <v>0</v>
      </c>
      <c r="J3744">
        <v>0</v>
      </c>
      <c r="K3744">
        <v>1</v>
      </c>
      <c r="L3744">
        <v>1</v>
      </c>
      <c r="M3744">
        <v>3</v>
      </c>
      <c r="N3744">
        <v>3</v>
      </c>
      <c r="P3744">
        <v>0</v>
      </c>
      <c r="Q3744">
        <v>0</v>
      </c>
      <c r="R3744">
        <v>0</v>
      </c>
      <c r="S3744">
        <v>1</v>
      </c>
    </row>
    <row r="3745" spans="1:19" hidden="1" x14ac:dyDescent="0.35">
      <c r="A3745">
        <v>57221338070</v>
      </c>
      <c r="B3745" t="s">
        <v>3746</v>
      </c>
      <c r="C3745" t="str">
        <f>_xlfn.XLOOKUP(A3745,[1]Affiliations!$J$2:$J$5328,[1]Affiliations!$K$2:$K$5328,0)</f>
        <v>Federal University of Rio de Janeiro</v>
      </c>
      <c r="D3745">
        <v>8</v>
      </c>
      <c r="E3745">
        <v>20</v>
      </c>
      <c r="F3745">
        <v>2.5</v>
      </c>
      <c r="G3745">
        <v>2</v>
      </c>
      <c r="H3745">
        <v>0.21</v>
      </c>
      <c r="I3745">
        <v>0</v>
      </c>
      <c r="J3745">
        <v>0</v>
      </c>
      <c r="K3745">
        <v>0</v>
      </c>
      <c r="L3745">
        <v>3</v>
      </c>
      <c r="M3745">
        <v>4</v>
      </c>
      <c r="N3745">
        <v>4</v>
      </c>
      <c r="P3745">
        <v>0</v>
      </c>
      <c r="Q3745">
        <v>0</v>
      </c>
      <c r="R3745">
        <v>0</v>
      </c>
      <c r="S3745">
        <v>0</v>
      </c>
    </row>
    <row r="3746" spans="1:19" hidden="1" x14ac:dyDescent="0.35">
      <c r="A3746">
        <v>56667749600</v>
      </c>
      <c r="B3746" t="s">
        <v>3747</v>
      </c>
      <c r="C3746" t="str">
        <f>_xlfn.XLOOKUP(A3746,[1]Affiliations!$J$2:$J$5328,[1]Affiliations!$K$2:$K$5328,0)</f>
        <v>DEMa</v>
      </c>
      <c r="D3746">
        <v>1</v>
      </c>
      <c r="E3746">
        <v>8</v>
      </c>
      <c r="F3746">
        <v>8</v>
      </c>
      <c r="G3746">
        <v>2</v>
      </c>
      <c r="H3746">
        <v>0.43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1</v>
      </c>
      <c r="P3746">
        <v>0</v>
      </c>
      <c r="Q3746">
        <v>0</v>
      </c>
      <c r="R3746">
        <v>0</v>
      </c>
      <c r="S3746">
        <v>0</v>
      </c>
    </row>
    <row r="3747" spans="1:19" hidden="1" x14ac:dyDescent="0.35">
      <c r="A3747">
        <v>23390585200</v>
      </c>
      <c r="B3747" t="s">
        <v>3748</v>
      </c>
      <c r="C3747" t="str">
        <f>_xlfn.XLOOKUP(A3747,[1]Affiliations!$J$2:$J$5328,[1]Affiliations!$K$2:$K$5328,0)</f>
        <v>Grupo de Estudos de Mamíferos Aquáticos Do RS (GEMARS)</v>
      </c>
      <c r="D3747">
        <v>49</v>
      </c>
      <c r="E3747">
        <v>628</v>
      </c>
      <c r="F3747">
        <v>12.816326</v>
      </c>
      <c r="G3747">
        <v>19</v>
      </c>
      <c r="H3747">
        <v>0.84</v>
      </c>
      <c r="I3747">
        <v>0</v>
      </c>
      <c r="J3747">
        <v>4</v>
      </c>
      <c r="K3747">
        <v>7</v>
      </c>
      <c r="L3747">
        <v>24</v>
      </c>
      <c r="M3747">
        <v>36</v>
      </c>
      <c r="N3747">
        <v>43</v>
      </c>
      <c r="P3747">
        <v>0</v>
      </c>
      <c r="Q3747">
        <v>0</v>
      </c>
      <c r="R3747">
        <v>0</v>
      </c>
      <c r="S3747">
        <v>14</v>
      </c>
    </row>
    <row r="3748" spans="1:19" hidden="1" x14ac:dyDescent="0.35">
      <c r="A3748">
        <v>59655255700</v>
      </c>
      <c r="B3748" t="s">
        <v>3749</v>
      </c>
      <c r="C3748" t="str">
        <f>_xlfn.XLOOKUP(A3748,[1]Affiliations!$J$2:$J$5328,[1]Affiliations!$K$2:$K$5328,0)</f>
        <v>Universidade Federal de Juiz de Fora</v>
      </c>
      <c r="D3748">
        <v>0</v>
      </c>
      <c r="G3748">
        <v>1</v>
      </c>
    </row>
    <row r="3749" spans="1:19" x14ac:dyDescent="0.35">
      <c r="A3749">
        <v>7004251372</v>
      </c>
      <c r="B3749" t="s">
        <v>5045</v>
      </c>
      <c r="C3749" t="str">
        <f>_xlfn.XLOOKUP(A3749,[1]Affiliations!$J$2:$J$5328,[1]Affiliations!$K$2:$K$5328,0)</f>
        <v>Universidade de São Paulo (+1 more)</v>
      </c>
      <c r="D3749">
        <v>66</v>
      </c>
      <c r="E3749">
        <v>1300</v>
      </c>
      <c r="F3749">
        <v>19.69697</v>
      </c>
      <c r="G3749">
        <v>36</v>
      </c>
      <c r="H3749">
        <v>0.75</v>
      </c>
      <c r="I3749">
        <v>0</v>
      </c>
      <c r="J3749">
        <v>2</v>
      </c>
      <c r="K3749">
        <v>12</v>
      </c>
      <c r="L3749">
        <v>45</v>
      </c>
      <c r="M3749">
        <v>62</v>
      </c>
      <c r="N3749">
        <v>64</v>
      </c>
      <c r="P3749">
        <v>0</v>
      </c>
      <c r="Q3749">
        <v>1</v>
      </c>
      <c r="R3749">
        <v>3</v>
      </c>
      <c r="S3749">
        <v>31</v>
      </c>
    </row>
    <row r="3750" spans="1:19" hidden="1" x14ac:dyDescent="0.35">
      <c r="A3750">
        <v>57327621000</v>
      </c>
      <c r="B3750" t="s">
        <v>3751</v>
      </c>
      <c r="C3750" t="str">
        <f>_xlfn.XLOOKUP(A3750,[1]Affiliations!$J$2:$J$5328,[1]Affiliations!$K$2:$K$5328,0)</f>
        <v>Pontifical Catholic University of Rio de Janeiro</v>
      </c>
      <c r="D3750">
        <v>1</v>
      </c>
      <c r="E3750">
        <v>14</v>
      </c>
      <c r="F3750">
        <v>14</v>
      </c>
      <c r="G3750">
        <v>1</v>
      </c>
      <c r="H3750">
        <v>0.77</v>
      </c>
      <c r="I3750">
        <v>0</v>
      </c>
      <c r="J3750">
        <v>0</v>
      </c>
      <c r="K3750">
        <v>0</v>
      </c>
      <c r="L3750">
        <v>1</v>
      </c>
      <c r="M3750">
        <v>1</v>
      </c>
      <c r="N3750">
        <v>1</v>
      </c>
      <c r="P3750">
        <v>0</v>
      </c>
      <c r="Q3750">
        <v>0</v>
      </c>
      <c r="R3750">
        <v>0</v>
      </c>
      <c r="S3750">
        <v>0</v>
      </c>
    </row>
    <row r="3751" spans="1:19" hidden="1" x14ac:dyDescent="0.35">
      <c r="A3751">
        <v>56556210800</v>
      </c>
      <c r="B3751" t="s">
        <v>3752</v>
      </c>
      <c r="C3751" t="str">
        <f>_xlfn.XLOOKUP(A3751,[1]Affiliations!$J$2:$J$5328,[1]Affiliations!$K$2:$K$5328,0)</f>
        <v>Universidade de Brasília</v>
      </c>
      <c r="D3751">
        <v>8</v>
      </c>
      <c r="E3751">
        <v>49</v>
      </c>
      <c r="F3751">
        <v>6.125</v>
      </c>
      <c r="G3751">
        <v>4</v>
      </c>
      <c r="H3751">
        <v>0.32</v>
      </c>
      <c r="I3751">
        <v>0</v>
      </c>
      <c r="J3751">
        <v>0</v>
      </c>
      <c r="K3751">
        <v>0</v>
      </c>
      <c r="L3751">
        <v>1</v>
      </c>
      <c r="M3751">
        <v>3</v>
      </c>
      <c r="N3751">
        <v>6</v>
      </c>
      <c r="P3751">
        <v>0</v>
      </c>
      <c r="Q3751">
        <v>0</v>
      </c>
      <c r="R3751">
        <v>0</v>
      </c>
      <c r="S3751">
        <v>1</v>
      </c>
    </row>
    <row r="3752" spans="1:19" hidden="1" x14ac:dyDescent="0.35">
      <c r="A3752">
        <v>57195966880</v>
      </c>
      <c r="B3752" t="s">
        <v>3753</v>
      </c>
      <c r="C3752" t="str">
        <f>_xlfn.XLOOKUP(A3752,[1]Affiliations!$J$2:$J$5328,[1]Affiliations!$K$2:$K$5328,0)</f>
        <v>Federal University of Santa Catarina</v>
      </c>
      <c r="D3752">
        <v>1</v>
      </c>
      <c r="E3752">
        <v>16</v>
      </c>
      <c r="F3752">
        <v>16</v>
      </c>
      <c r="G3752">
        <v>1</v>
      </c>
      <c r="H3752">
        <v>0.94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1</v>
      </c>
      <c r="P3752">
        <v>0</v>
      </c>
      <c r="Q3752">
        <v>0</v>
      </c>
      <c r="R3752">
        <v>0</v>
      </c>
      <c r="S3752">
        <v>0</v>
      </c>
    </row>
    <row r="3753" spans="1:19" hidden="1" x14ac:dyDescent="0.35">
      <c r="A3753">
        <v>58028225700</v>
      </c>
      <c r="B3753" t="s">
        <v>3754</v>
      </c>
      <c r="C3753" t="str">
        <f>_xlfn.XLOOKUP(A3753,[1]Affiliations!$J$2:$J$5328,[1]Affiliations!$K$2:$K$5328,0)</f>
        <v>Federal University of Santa Catarina</v>
      </c>
      <c r="D3753">
        <v>5</v>
      </c>
      <c r="E3753">
        <v>71</v>
      </c>
      <c r="F3753">
        <v>14.2</v>
      </c>
      <c r="G3753">
        <v>3</v>
      </c>
      <c r="H3753">
        <v>2.78</v>
      </c>
      <c r="I3753">
        <v>0</v>
      </c>
      <c r="J3753">
        <v>0</v>
      </c>
      <c r="K3753">
        <v>0</v>
      </c>
      <c r="L3753">
        <v>2</v>
      </c>
      <c r="M3753">
        <v>3</v>
      </c>
      <c r="N3753">
        <v>5</v>
      </c>
      <c r="P3753">
        <v>0</v>
      </c>
      <c r="Q3753">
        <v>0</v>
      </c>
      <c r="R3753">
        <v>1</v>
      </c>
      <c r="S3753">
        <v>2</v>
      </c>
    </row>
    <row r="3754" spans="1:19" hidden="1" x14ac:dyDescent="0.35">
      <c r="A3754">
        <v>56694119600</v>
      </c>
      <c r="B3754" t="s">
        <v>3755</v>
      </c>
      <c r="C3754" t="str">
        <f>_xlfn.XLOOKUP(A3754,[1]Affiliations!$J$2:$J$5328,[1]Affiliations!$K$2:$K$5328,0)</f>
        <v>Universidade Federal Fluminense (+1 more)</v>
      </c>
      <c r="D3754">
        <v>20</v>
      </c>
      <c r="E3754">
        <v>200</v>
      </c>
      <c r="F3754">
        <v>10</v>
      </c>
      <c r="G3754">
        <v>10</v>
      </c>
      <c r="H3754">
        <v>0.87</v>
      </c>
      <c r="I3754">
        <v>1</v>
      </c>
      <c r="J3754">
        <v>2</v>
      </c>
      <c r="K3754">
        <v>4</v>
      </c>
      <c r="L3754">
        <v>9</v>
      </c>
      <c r="M3754">
        <v>13</v>
      </c>
      <c r="N3754">
        <v>14</v>
      </c>
      <c r="P3754">
        <v>0</v>
      </c>
      <c r="Q3754">
        <v>0</v>
      </c>
      <c r="R3754">
        <v>0</v>
      </c>
      <c r="S3754">
        <v>5</v>
      </c>
    </row>
    <row r="3755" spans="1:19" hidden="1" x14ac:dyDescent="0.35">
      <c r="A3755">
        <v>36093343200</v>
      </c>
      <c r="B3755" t="s">
        <v>3756</v>
      </c>
      <c r="C3755" t="str">
        <f>_xlfn.XLOOKUP(A3755,[1]Affiliations!$J$2:$J$5328,[1]Affiliations!$K$2:$K$5328,0)</f>
        <v>Universidade do Estado do Rio de Janeiro (+2 more)</v>
      </c>
      <c r="D3755">
        <v>16</v>
      </c>
      <c r="E3755">
        <v>109</v>
      </c>
      <c r="F3755">
        <v>6.8125</v>
      </c>
      <c r="G3755">
        <v>7</v>
      </c>
      <c r="H3755">
        <v>0.28999999999999998</v>
      </c>
      <c r="I3755">
        <v>0</v>
      </c>
      <c r="J3755">
        <v>0</v>
      </c>
      <c r="K3755">
        <v>1</v>
      </c>
      <c r="L3755">
        <v>12</v>
      </c>
      <c r="M3755">
        <v>12</v>
      </c>
      <c r="N3755">
        <v>13</v>
      </c>
      <c r="P3755">
        <v>0</v>
      </c>
      <c r="Q3755">
        <v>0</v>
      </c>
      <c r="R3755">
        <v>0</v>
      </c>
      <c r="S3755">
        <v>1</v>
      </c>
    </row>
    <row r="3756" spans="1:19" hidden="1" x14ac:dyDescent="0.35">
      <c r="A3756">
        <v>13204456400</v>
      </c>
      <c r="B3756" t="s">
        <v>3757</v>
      </c>
      <c r="C3756" t="str">
        <f>_xlfn.XLOOKUP(A3756,[1]Affiliations!$J$2:$J$5328,[1]Affiliations!$K$2:$K$5328,0)</f>
        <v>Empresa Brasileira de Pesquisa Agropecuária</v>
      </c>
      <c r="D3756">
        <v>13</v>
      </c>
      <c r="E3756">
        <v>95</v>
      </c>
      <c r="F3756">
        <v>7.3076924999999999</v>
      </c>
      <c r="G3756">
        <v>8</v>
      </c>
      <c r="H3756">
        <v>0.63</v>
      </c>
      <c r="I3756">
        <v>1</v>
      </c>
      <c r="J3756">
        <v>2</v>
      </c>
      <c r="K3756">
        <v>4</v>
      </c>
      <c r="L3756">
        <v>6</v>
      </c>
      <c r="M3756">
        <v>9</v>
      </c>
      <c r="N3756">
        <v>11</v>
      </c>
      <c r="P3756">
        <v>0</v>
      </c>
      <c r="Q3756">
        <v>0</v>
      </c>
      <c r="R3756">
        <v>0</v>
      </c>
      <c r="S3756">
        <v>2</v>
      </c>
    </row>
    <row r="3757" spans="1:19" x14ac:dyDescent="0.35">
      <c r="A3757">
        <v>26642750100</v>
      </c>
      <c r="B3757" t="s">
        <v>5069</v>
      </c>
      <c r="C3757" t="str">
        <f>_xlfn.XLOOKUP(A3757,[1]Affiliations!$J$2:$J$5328,[1]Affiliations!$K$2:$K$5328,0)</f>
        <v>Universidade Federal de Juiz de Fora</v>
      </c>
      <c r="D3757">
        <v>19</v>
      </c>
      <c r="E3757">
        <v>335</v>
      </c>
      <c r="F3757">
        <v>17.631578000000001</v>
      </c>
      <c r="G3757">
        <v>13</v>
      </c>
      <c r="H3757">
        <v>0.75</v>
      </c>
      <c r="I3757">
        <v>0</v>
      </c>
      <c r="J3757">
        <v>2</v>
      </c>
      <c r="K3757">
        <v>6</v>
      </c>
      <c r="L3757">
        <v>13</v>
      </c>
      <c r="M3757">
        <v>17</v>
      </c>
      <c r="N3757">
        <v>18</v>
      </c>
      <c r="P3757">
        <v>0</v>
      </c>
      <c r="Q3757">
        <v>0</v>
      </c>
      <c r="R3757">
        <v>1</v>
      </c>
      <c r="S3757">
        <v>8</v>
      </c>
    </row>
    <row r="3758" spans="1:19" x14ac:dyDescent="0.35">
      <c r="A3758">
        <v>25923216600</v>
      </c>
      <c r="B3758" t="s">
        <v>5177</v>
      </c>
      <c r="C3758" t="str">
        <f>_xlfn.XLOOKUP(A3758,[1]Affiliations!$J$2:$J$5328,[1]Affiliations!$K$2:$K$5328,0)</f>
        <v>Universidade Federal de Viçosa</v>
      </c>
      <c r="D3758">
        <v>84</v>
      </c>
      <c r="E3758">
        <v>1066</v>
      </c>
      <c r="F3758">
        <v>12.690476</v>
      </c>
      <c r="G3758">
        <v>22</v>
      </c>
      <c r="H3758">
        <v>0.75</v>
      </c>
      <c r="I3758">
        <v>1</v>
      </c>
      <c r="J3758">
        <v>6</v>
      </c>
      <c r="K3758">
        <v>22</v>
      </c>
      <c r="L3758">
        <v>45</v>
      </c>
      <c r="M3758">
        <v>63</v>
      </c>
      <c r="N3758">
        <v>76</v>
      </c>
      <c r="P3758">
        <v>0</v>
      </c>
      <c r="Q3758">
        <v>0</v>
      </c>
      <c r="R3758">
        <v>2</v>
      </c>
      <c r="S3758">
        <v>23</v>
      </c>
    </row>
    <row r="3759" spans="1:19" x14ac:dyDescent="0.35">
      <c r="A3759">
        <v>57204395620</v>
      </c>
      <c r="B3759" t="s">
        <v>120</v>
      </c>
      <c r="C3759" t="str">
        <f>_xlfn.XLOOKUP(A3759,[1]Affiliations!$J$2:$J$5328,[1]Affiliations!$K$2:$K$5328,0)</f>
        <v>University of Campinas</v>
      </c>
      <c r="D3759">
        <v>19</v>
      </c>
      <c r="E3759">
        <v>298</v>
      </c>
      <c r="F3759">
        <v>15.684210999999999</v>
      </c>
      <c r="G3759">
        <v>11</v>
      </c>
      <c r="H3759">
        <v>0.74</v>
      </c>
      <c r="I3759">
        <v>0</v>
      </c>
      <c r="J3759">
        <v>0</v>
      </c>
      <c r="K3759">
        <v>3</v>
      </c>
      <c r="L3759">
        <v>7</v>
      </c>
      <c r="M3759">
        <v>15</v>
      </c>
      <c r="N3759">
        <v>17</v>
      </c>
      <c r="P3759">
        <v>0</v>
      </c>
      <c r="Q3759">
        <v>0</v>
      </c>
      <c r="R3759">
        <v>1</v>
      </c>
      <c r="S3759">
        <v>8</v>
      </c>
    </row>
    <row r="3760" spans="1:19" x14ac:dyDescent="0.35">
      <c r="A3760">
        <v>35271059700</v>
      </c>
      <c r="B3760" t="s">
        <v>200</v>
      </c>
      <c r="C3760" t="str">
        <f>_xlfn.XLOOKUP(A3760,[1]Affiliations!$J$2:$J$5328,[1]Affiliations!$K$2:$K$5328,0)</f>
        <v>Universidade Federal de Santa Maria (+2 more)</v>
      </c>
      <c r="D3760">
        <v>28</v>
      </c>
      <c r="E3760">
        <v>585</v>
      </c>
      <c r="F3760">
        <v>20.892856999999999</v>
      </c>
      <c r="G3760">
        <v>26</v>
      </c>
      <c r="H3760">
        <v>0.74</v>
      </c>
      <c r="I3760">
        <v>0</v>
      </c>
      <c r="J3760">
        <v>8</v>
      </c>
      <c r="K3760">
        <v>8</v>
      </c>
      <c r="L3760">
        <v>17</v>
      </c>
      <c r="M3760">
        <v>21</v>
      </c>
      <c r="N3760">
        <v>26</v>
      </c>
      <c r="P3760">
        <v>0</v>
      </c>
      <c r="Q3760">
        <v>3</v>
      </c>
      <c r="R3760">
        <v>8</v>
      </c>
      <c r="S3760">
        <v>13</v>
      </c>
    </row>
    <row r="3761" spans="1:19" hidden="1" x14ac:dyDescent="0.35">
      <c r="A3761">
        <v>57218417083</v>
      </c>
      <c r="B3761" t="s">
        <v>3762</v>
      </c>
      <c r="C3761" t="str">
        <f>_xlfn.XLOOKUP(A3761,[1]Affiliations!$J$2:$J$5328,[1]Affiliations!$K$2:$K$5328,0)</f>
        <v>Federal University of Rio de Janeiro</v>
      </c>
      <c r="D3761">
        <v>4</v>
      </c>
      <c r="E3761">
        <v>1997</v>
      </c>
      <c r="F3761">
        <v>499.25</v>
      </c>
      <c r="G3761">
        <v>3</v>
      </c>
      <c r="H3761">
        <v>24.66</v>
      </c>
      <c r="I3761">
        <v>0</v>
      </c>
      <c r="J3761">
        <v>1</v>
      </c>
      <c r="K3761">
        <v>1</v>
      </c>
      <c r="L3761">
        <v>2</v>
      </c>
      <c r="M3761">
        <v>3</v>
      </c>
      <c r="N3761">
        <v>3</v>
      </c>
      <c r="P3761">
        <v>2</v>
      </c>
      <c r="Q3761">
        <v>2</v>
      </c>
      <c r="R3761">
        <v>2</v>
      </c>
      <c r="S3761">
        <v>3</v>
      </c>
    </row>
    <row r="3762" spans="1:19" x14ac:dyDescent="0.35">
      <c r="A3762">
        <v>16030669600</v>
      </c>
      <c r="B3762" t="s">
        <v>280</v>
      </c>
      <c r="C3762" t="str">
        <f>_xlfn.XLOOKUP(A3762,[1]Affiliations!$J$2:$J$5328,[1]Affiliations!$K$2:$K$5328,0)</f>
        <v>Federal University of Rio de Janeiro</v>
      </c>
      <c r="D3762">
        <v>28</v>
      </c>
      <c r="E3762">
        <v>326</v>
      </c>
      <c r="F3762">
        <v>11.642858</v>
      </c>
      <c r="G3762">
        <v>11</v>
      </c>
      <c r="H3762">
        <v>0.74</v>
      </c>
      <c r="I3762">
        <v>1</v>
      </c>
      <c r="J3762">
        <v>3</v>
      </c>
      <c r="K3762">
        <v>7</v>
      </c>
      <c r="L3762">
        <v>12</v>
      </c>
      <c r="M3762">
        <v>14</v>
      </c>
      <c r="N3762">
        <v>16</v>
      </c>
      <c r="P3762">
        <v>0</v>
      </c>
      <c r="Q3762">
        <v>1</v>
      </c>
      <c r="R3762">
        <v>1</v>
      </c>
      <c r="S3762">
        <v>5</v>
      </c>
    </row>
    <row r="3763" spans="1:19" hidden="1" x14ac:dyDescent="0.35">
      <c r="A3763">
        <v>8068566100</v>
      </c>
      <c r="B3763" t="s">
        <v>3764</v>
      </c>
      <c r="C3763" t="str">
        <f>_xlfn.XLOOKUP(A3763,[1]Affiliations!$J$2:$J$5328,[1]Affiliations!$K$2:$K$5328,0)</f>
        <v>Universidade Federal Rural da Amazônia</v>
      </c>
      <c r="D3763">
        <v>13</v>
      </c>
      <c r="E3763">
        <v>141</v>
      </c>
      <c r="F3763">
        <v>10.846154</v>
      </c>
      <c r="G3763">
        <v>14</v>
      </c>
      <c r="H3763">
        <v>0.61</v>
      </c>
      <c r="I3763">
        <v>0</v>
      </c>
      <c r="J3763">
        <v>1</v>
      </c>
      <c r="K3763">
        <v>2</v>
      </c>
      <c r="L3763">
        <v>3</v>
      </c>
      <c r="M3763">
        <v>9</v>
      </c>
      <c r="N3763">
        <v>10</v>
      </c>
      <c r="P3763">
        <v>0</v>
      </c>
      <c r="Q3763">
        <v>0</v>
      </c>
      <c r="R3763">
        <v>0</v>
      </c>
      <c r="S3763">
        <v>2</v>
      </c>
    </row>
    <row r="3764" spans="1:19" hidden="1" x14ac:dyDescent="0.35">
      <c r="A3764">
        <v>57274923800</v>
      </c>
      <c r="B3764" t="s">
        <v>3765</v>
      </c>
      <c r="C3764" t="str">
        <f>_xlfn.XLOOKUP(A3764,[1]Affiliations!$J$2:$J$5328,[1]Affiliations!$K$2:$K$5328,0)</f>
        <v>Science and Technology of Sao Paulo (IFSP)</v>
      </c>
      <c r="D3764">
        <v>4</v>
      </c>
      <c r="E3764">
        <v>3</v>
      </c>
      <c r="F3764">
        <v>0.75</v>
      </c>
      <c r="G3764">
        <v>1</v>
      </c>
      <c r="H3764">
        <v>0.43</v>
      </c>
      <c r="P3764">
        <v>0</v>
      </c>
      <c r="Q3764">
        <v>0</v>
      </c>
      <c r="R3764">
        <v>0</v>
      </c>
      <c r="S3764">
        <v>0</v>
      </c>
    </row>
    <row r="3765" spans="1:19" hidden="1" x14ac:dyDescent="0.35">
      <c r="A3765">
        <v>58117435500</v>
      </c>
      <c r="B3765" t="s">
        <v>3766</v>
      </c>
      <c r="C3765" t="str">
        <f>_xlfn.XLOOKUP(A3765,[1]Affiliations!$J$2:$J$5328,[1]Affiliations!$K$2:$K$5328,0)</f>
        <v>Universidade Federal da Bahia</v>
      </c>
      <c r="D3765">
        <v>4</v>
      </c>
      <c r="E3765">
        <v>7</v>
      </c>
      <c r="F3765">
        <v>1.75</v>
      </c>
      <c r="G3765">
        <v>1</v>
      </c>
      <c r="H3765">
        <v>0.17</v>
      </c>
      <c r="I3765">
        <v>0</v>
      </c>
      <c r="J3765">
        <v>0</v>
      </c>
      <c r="K3765">
        <v>0</v>
      </c>
      <c r="L3765">
        <v>1</v>
      </c>
      <c r="M3765">
        <v>1</v>
      </c>
      <c r="N3765">
        <v>1</v>
      </c>
      <c r="P3765">
        <v>0</v>
      </c>
      <c r="Q3765">
        <v>0</v>
      </c>
      <c r="R3765">
        <v>0</v>
      </c>
      <c r="S3765">
        <v>0</v>
      </c>
    </row>
    <row r="3766" spans="1:19" x14ac:dyDescent="0.35">
      <c r="A3766">
        <v>57191774255</v>
      </c>
      <c r="B3766" t="s">
        <v>338</v>
      </c>
      <c r="C3766" t="str">
        <f>_xlfn.XLOOKUP(A3766,[1]Affiliations!$J$2:$J$5328,[1]Affiliations!$K$2:$K$5328,0)</f>
        <v>Empresa Brasileira de Pesquisa Agropecuária</v>
      </c>
      <c r="D3766">
        <v>45</v>
      </c>
      <c r="E3766">
        <v>898</v>
      </c>
      <c r="F3766">
        <v>19.955555</v>
      </c>
      <c r="G3766">
        <v>22</v>
      </c>
      <c r="H3766">
        <v>0.74</v>
      </c>
      <c r="I3766">
        <v>1</v>
      </c>
      <c r="J3766">
        <v>5</v>
      </c>
      <c r="K3766">
        <v>12</v>
      </c>
      <c r="L3766">
        <v>19</v>
      </c>
      <c r="M3766">
        <v>26</v>
      </c>
      <c r="N3766">
        <v>38</v>
      </c>
      <c r="P3766">
        <v>0</v>
      </c>
      <c r="Q3766">
        <v>4</v>
      </c>
      <c r="R3766">
        <v>5</v>
      </c>
      <c r="S3766">
        <v>15</v>
      </c>
    </row>
    <row r="3767" spans="1:19" hidden="1" x14ac:dyDescent="0.35">
      <c r="A3767">
        <v>54780364100</v>
      </c>
      <c r="B3767" t="s">
        <v>3768</v>
      </c>
      <c r="C3767" t="str">
        <f>_xlfn.XLOOKUP(A3767,[1]Affiliations!$J$2:$J$5328,[1]Affiliations!$K$2:$K$5328,0)</f>
        <v>Universidade Federal Fluminense (+1 more)</v>
      </c>
      <c r="D3767">
        <v>1</v>
      </c>
      <c r="E3767">
        <v>92</v>
      </c>
      <c r="F3767">
        <v>92</v>
      </c>
      <c r="G3767">
        <v>3</v>
      </c>
      <c r="H3767">
        <v>4.2</v>
      </c>
      <c r="I3767">
        <v>0</v>
      </c>
      <c r="J3767">
        <v>0</v>
      </c>
      <c r="K3767">
        <v>0</v>
      </c>
      <c r="L3767">
        <v>1</v>
      </c>
      <c r="M3767">
        <v>1</v>
      </c>
      <c r="N3767">
        <v>1</v>
      </c>
      <c r="P3767">
        <v>0</v>
      </c>
      <c r="Q3767">
        <v>1</v>
      </c>
      <c r="R3767">
        <v>1</v>
      </c>
      <c r="S3767">
        <v>1</v>
      </c>
    </row>
    <row r="3768" spans="1:19" x14ac:dyDescent="0.35">
      <c r="A3768">
        <v>60106470500</v>
      </c>
      <c r="B3768" t="s">
        <v>468</v>
      </c>
      <c r="C3768" t="str">
        <f>_xlfn.XLOOKUP(A3768,[1]Affiliations!$J$2:$J$5328,[1]Affiliations!$K$2:$K$5328,0)</f>
        <v>Universidade Federal do Ceará</v>
      </c>
      <c r="D3768">
        <v>25</v>
      </c>
      <c r="E3768">
        <v>368</v>
      </c>
      <c r="F3768">
        <v>14.72</v>
      </c>
      <c r="G3768">
        <v>9</v>
      </c>
      <c r="H3768">
        <v>0.74</v>
      </c>
      <c r="I3768">
        <v>0</v>
      </c>
      <c r="J3768">
        <v>3</v>
      </c>
      <c r="K3768">
        <v>8</v>
      </c>
      <c r="L3768">
        <v>14</v>
      </c>
      <c r="M3768">
        <v>21</v>
      </c>
      <c r="N3768">
        <v>22</v>
      </c>
      <c r="P3768">
        <v>0</v>
      </c>
      <c r="Q3768">
        <v>0</v>
      </c>
      <c r="R3768">
        <v>2</v>
      </c>
      <c r="S3768">
        <v>12</v>
      </c>
    </row>
    <row r="3769" spans="1:19" hidden="1" x14ac:dyDescent="0.35">
      <c r="A3769">
        <v>7102683785</v>
      </c>
      <c r="B3769" t="s">
        <v>3770</v>
      </c>
      <c r="C3769" t="str">
        <f>_xlfn.XLOOKUP(A3769,[1]Affiliations!$J$2:$J$5328,[1]Affiliations!$K$2:$K$5328,0)</f>
        <v>Oceanographic Modeling and Observation Network (REMO) (+1 more)</v>
      </c>
      <c r="D3769">
        <v>13</v>
      </c>
      <c r="E3769">
        <v>205</v>
      </c>
      <c r="F3769">
        <v>15.769231</v>
      </c>
      <c r="G3769">
        <v>17</v>
      </c>
      <c r="H3769">
        <v>0.84</v>
      </c>
      <c r="I3769">
        <v>0</v>
      </c>
      <c r="J3769">
        <v>0</v>
      </c>
      <c r="K3769">
        <v>1</v>
      </c>
      <c r="L3769">
        <v>10</v>
      </c>
      <c r="M3769">
        <v>11</v>
      </c>
      <c r="N3769">
        <v>11</v>
      </c>
      <c r="P3769">
        <v>0</v>
      </c>
      <c r="Q3769">
        <v>0</v>
      </c>
      <c r="R3769">
        <v>0</v>
      </c>
      <c r="S3769">
        <v>6</v>
      </c>
    </row>
    <row r="3770" spans="1:19" hidden="1" x14ac:dyDescent="0.35">
      <c r="A3770">
        <v>57203136193</v>
      </c>
      <c r="B3770" t="s">
        <v>3771</v>
      </c>
      <c r="C3770" t="str">
        <f>_xlfn.XLOOKUP(A3770,[1]Affiliations!$J$2:$J$5328,[1]Affiliations!$K$2:$K$5328,0)</f>
        <v>Federal University of Rio de Janeiro</v>
      </c>
      <c r="D3770">
        <v>3</v>
      </c>
      <c r="E3770">
        <v>13</v>
      </c>
      <c r="F3770">
        <v>4.3333335000000002</v>
      </c>
      <c r="G3770">
        <v>2</v>
      </c>
      <c r="H3770">
        <v>0.7</v>
      </c>
      <c r="I3770">
        <v>0</v>
      </c>
      <c r="J3770">
        <v>0</v>
      </c>
      <c r="K3770">
        <v>0</v>
      </c>
      <c r="L3770">
        <v>0</v>
      </c>
      <c r="M3770">
        <v>1</v>
      </c>
      <c r="N3770">
        <v>2</v>
      </c>
      <c r="P3770">
        <v>0</v>
      </c>
      <c r="Q3770">
        <v>0</v>
      </c>
      <c r="R3770">
        <v>0</v>
      </c>
      <c r="S3770">
        <v>0</v>
      </c>
    </row>
    <row r="3771" spans="1:19" x14ac:dyDescent="0.35">
      <c r="A3771">
        <v>16315182000</v>
      </c>
      <c r="B3771" t="s">
        <v>715</v>
      </c>
      <c r="C3771" t="str">
        <f>_xlfn.XLOOKUP(A3771,[1]Affiliations!$J$2:$J$5328,[1]Affiliations!$K$2:$K$5328,0)</f>
        <v>Federal University of Rio de Janeiro</v>
      </c>
      <c r="D3771">
        <v>55</v>
      </c>
      <c r="E3771">
        <v>1438</v>
      </c>
      <c r="F3771">
        <v>26.145454000000001</v>
      </c>
      <c r="G3771">
        <v>21</v>
      </c>
      <c r="H3771">
        <v>0.74</v>
      </c>
      <c r="I3771">
        <v>0</v>
      </c>
      <c r="J3771">
        <v>7</v>
      </c>
      <c r="K3771">
        <v>10</v>
      </c>
      <c r="L3771">
        <v>20</v>
      </c>
      <c r="M3771">
        <v>38</v>
      </c>
      <c r="N3771">
        <v>48</v>
      </c>
      <c r="P3771">
        <v>1</v>
      </c>
      <c r="Q3771">
        <v>5</v>
      </c>
      <c r="R3771">
        <v>10</v>
      </c>
      <c r="S3771">
        <v>19</v>
      </c>
    </row>
    <row r="3772" spans="1:19" hidden="1" x14ac:dyDescent="0.35">
      <c r="A3772">
        <v>57188015800</v>
      </c>
      <c r="B3772" t="s">
        <v>3773</v>
      </c>
      <c r="C3772" t="str">
        <f>_xlfn.XLOOKUP(A3772,[1]Affiliations!$J$2:$J$5328,[1]Affiliations!$K$2:$K$5328,0)</f>
        <v>Pontifical Catholic University of Rio de Janeiro (+1 more)</v>
      </c>
      <c r="D3772">
        <v>15</v>
      </c>
      <c r="E3772">
        <v>45</v>
      </c>
      <c r="F3772">
        <v>3</v>
      </c>
      <c r="G3772">
        <v>4</v>
      </c>
      <c r="H3772">
        <v>1.06</v>
      </c>
      <c r="I3772">
        <v>0</v>
      </c>
      <c r="J3772">
        <v>0</v>
      </c>
      <c r="K3772">
        <v>0</v>
      </c>
      <c r="L3772">
        <v>1</v>
      </c>
      <c r="M3772">
        <v>1</v>
      </c>
      <c r="N3772">
        <v>4</v>
      </c>
      <c r="P3772">
        <v>0</v>
      </c>
      <c r="Q3772">
        <v>0</v>
      </c>
      <c r="R3772">
        <v>0</v>
      </c>
      <c r="S3772">
        <v>0</v>
      </c>
    </row>
    <row r="3773" spans="1:19" hidden="1" x14ac:dyDescent="0.35">
      <c r="A3773">
        <v>57513292900</v>
      </c>
      <c r="B3773" t="s">
        <v>3774</v>
      </c>
      <c r="C3773" t="str">
        <f>_xlfn.XLOOKUP(A3773,[1]Affiliations!$J$2:$J$5328,[1]Affiliations!$K$2:$K$5328,0)</f>
        <v>Umicore</v>
      </c>
      <c r="D3773">
        <v>1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P3773">
        <v>0</v>
      </c>
      <c r="Q3773">
        <v>0</v>
      </c>
      <c r="R3773">
        <v>0</v>
      </c>
      <c r="S3773">
        <v>0</v>
      </c>
    </row>
    <row r="3774" spans="1:19" hidden="1" x14ac:dyDescent="0.35">
      <c r="A3774">
        <v>58904279700</v>
      </c>
      <c r="B3774" t="s">
        <v>3775</v>
      </c>
      <c r="C3774" t="str">
        <f>_xlfn.XLOOKUP(A3774,[1]Affiliations!$J$2:$J$5328,[1]Affiliations!$K$2:$K$5328,0)</f>
        <v>SENAI Innovation Institute for Embedded Systems</v>
      </c>
      <c r="D3774">
        <v>1</v>
      </c>
      <c r="E3774">
        <v>0</v>
      </c>
      <c r="F3774">
        <v>0</v>
      </c>
      <c r="G3774">
        <v>0</v>
      </c>
      <c r="H3774">
        <v>0</v>
      </c>
      <c r="P3774">
        <v>0</v>
      </c>
      <c r="Q3774">
        <v>0</v>
      </c>
      <c r="R3774">
        <v>0</v>
      </c>
      <c r="S3774">
        <v>0</v>
      </c>
    </row>
    <row r="3775" spans="1:19" hidden="1" x14ac:dyDescent="0.35">
      <c r="A3775">
        <v>57932690400</v>
      </c>
      <c r="B3775" t="s">
        <v>3776</v>
      </c>
      <c r="C3775" t="str">
        <f>_xlfn.XLOOKUP(A3775,[1]Affiliations!$J$2:$J$5328,[1]Affiliations!$K$2:$K$5328,0)</f>
        <v>Universidade Tecnológica Federal do Paraná</v>
      </c>
      <c r="D3775">
        <v>1</v>
      </c>
      <c r="E3775">
        <v>11</v>
      </c>
      <c r="F3775">
        <v>11</v>
      </c>
      <c r="G3775">
        <v>1</v>
      </c>
      <c r="H3775">
        <v>0.7</v>
      </c>
      <c r="I3775">
        <v>0</v>
      </c>
      <c r="J3775">
        <v>0</v>
      </c>
      <c r="K3775">
        <v>1</v>
      </c>
      <c r="L3775">
        <v>1</v>
      </c>
      <c r="M3775">
        <v>1</v>
      </c>
      <c r="N3775">
        <v>1</v>
      </c>
      <c r="P3775">
        <v>0</v>
      </c>
      <c r="Q3775">
        <v>0</v>
      </c>
      <c r="R3775">
        <v>0</v>
      </c>
      <c r="S3775">
        <v>0</v>
      </c>
    </row>
    <row r="3776" spans="1:19" hidden="1" x14ac:dyDescent="0.35">
      <c r="A3776">
        <v>57205732434</v>
      </c>
      <c r="B3776" t="s">
        <v>3777</v>
      </c>
      <c r="C3776" t="str">
        <f>_xlfn.XLOOKUP(A3776,[1]Affiliations!$J$2:$J$5328,[1]Affiliations!$K$2:$K$5328,0)</f>
        <v>Universidade Tecnológica Federal do Paraná (+1 more)</v>
      </c>
      <c r="D3776">
        <v>5</v>
      </c>
      <c r="E3776">
        <v>7</v>
      </c>
      <c r="F3776">
        <v>1.4</v>
      </c>
      <c r="G3776">
        <v>2</v>
      </c>
      <c r="H3776">
        <v>0.13</v>
      </c>
      <c r="I3776">
        <v>0</v>
      </c>
      <c r="J3776">
        <v>0</v>
      </c>
      <c r="K3776">
        <v>1</v>
      </c>
      <c r="L3776">
        <v>1</v>
      </c>
      <c r="M3776">
        <v>1</v>
      </c>
      <c r="N3776">
        <v>1</v>
      </c>
      <c r="P3776">
        <v>0</v>
      </c>
      <c r="Q3776">
        <v>0</v>
      </c>
      <c r="R3776">
        <v>0</v>
      </c>
      <c r="S3776">
        <v>0</v>
      </c>
    </row>
    <row r="3777" spans="1:19" hidden="1" x14ac:dyDescent="0.35">
      <c r="A3777">
        <v>58024189000</v>
      </c>
      <c r="B3777" t="s">
        <v>3778</v>
      </c>
      <c r="C3777" t="str">
        <f>_xlfn.XLOOKUP(A3777,[1]Affiliations!$J$2:$J$5328,[1]Affiliations!$K$2:$K$5328,0)</f>
        <v>Universidade Federal do Rio Grande do Norte (+1 more)</v>
      </c>
      <c r="D3777">
        <v>2</v>
      </c>
      <c r="E3777">
        <v>20</v>
      </c>
      <c r="F3777">
        <v>10</v>
      </c>
      <c r="G3777">
        <v>2</v>
      </c>
      <c r="H3777">
        <v>1.63</v>
      </c>
      <c r="I3777">
        <v>0</v>
      </c>
      <c r="J3777">
        <v>1</v>
      </c>
      <c r="K3777">
        <v>1</v>
      </c>
      <c r="L3777">
        <v>2</v>
      </c>
      <c r="M3777">
        <v>2</v>
      </c>
      <c r="N3777">
        <v>2</v>
      </c>
      <c r="P3777">
        <v>0</v>
      </c>
      <c r="Q3777">
        <v>0</v>
      </c>
      <c r="R3777">
        <v>0</v>
      </c>
      <c r="S3777">
        <v>1</v>
      </c>
    </row>
    <row r="3778" spans="1:19" x14ac:dyDescent="0.35">
      <c r="A3778">
        <v>56418590500</v>
      </c>
      <c r="B3778" t="s">
        <v>913</v>
      </c>
      <c r="C3778" t="str">
        <f>_xlfn.XLOOKUP(A3778,[1]Affiliations!$J$2:$J$5328,[1]Affiliations!$K$2:$K$5328,0)</f>
        <v>Federal University of Rio de Janeiro</v>
      </c>
      <c r="D3778">
        <v>14</v>
      </c>
      <c r="E3778">
        <v>190</v>
      </c>
      <c r="F3778">
        <v>13.571427999999999</v>
      </c>
      <c r="G3778">
        <v>8</v>
      </c>
      <c r="H3778">
        <v>0.74</v>
      </c>
      <c r="I3778">
        <v>0</v>
      </c>
      <c r="J3778">
        <v>1</v>
      </c>
      <c r="K3778">
        <v>2</v>
      </c>
      <c r="L3778">
        <v>6</v>
      </c>
      <c r="M3778">
        <v>8</v>
      </c>
      <c r="N3778">
        <v>12</v>
      </c>
      <c r="P3778">
        <v>0</v>
      </c>
      <c r="Q3778">
        <v>1</v>
      </c>
      <c r="R3778">
        <v>1</v>
      </c>
      <c r="S3778">
        <v>4</v>
      </c>
    </row>
    <row r="3779" spans="1:19" hidden="1" x14ac:dyDescent="0.35">
      <c r="A3779">
        <v>56530638800</v>
      </c>
      <c r="B3779" t="s">
        <v>3780</v>
      </c>
      <c r="C3779" t="str">
        <f>_xlfn.XLOOKUP(A3779,[1]Affiliations!$J$2:$J$5328,[1]Affiliations!$K$2:$K$5328,0)</f>
        <v>Universidade de São Paulo</v>
      </c>
      <c r="D3779">
        <v>6</v>
      </c>
      <c r="E3779">
        <v>23</v>
      </c>
      <c r="F3779">
        <v>3.8333333000000001</v>
      </c>
      <c r="G3779">
        <v>3</v>
      </c>
      <c r="H3779">
        <v>0.34</v>
      </c>
      <c r="I3779">
        <v>0</v>
      </c>
      <c r="J3779">
        <v>0</v>
      </c>
      <c r="K3779">
        <v>0</v>
      </c>
      <c r="L3779">
        <v>1</v>
      </c>
      <c r="M3779">
        <v>3</v>
      </c>
      <c r="N3779">
        <v>3</v>
      </c>
      <c r="P3779">
        <v>0</v>
      </c>
      <c r="Q3779">
        <v>0</v>
      </c>
      <c r="R3779">
        <v>0</v>
      </c>
      <c r="S3779">
        <v>1</v>
      </c>
    </row>
    <row r="3780" spans="1:19" hidden="1" x14ac:dyDescent="0.35">
      <c r="A3780">
        <v>55982915300</v>
      </c>
      <c r="B3780" t="s">
        <v>3781</v>
      </c>
      <c r="C3780" t="str">
        <f>_xlfn.XLOOKUP(A3780,[1]Affiliations!$J$2:$J$5328,[1]Affiliations!$K$2:$K$5328,0)</f>
        <v>Instituto SENAI de Inovação em Engenharia de Superfícies – Centro de Inovação e Tecnologia CIT SENAI</v>
      </c>
      <c r="D3780">
        <v>8</v>
      </c>
      <c r="E3780">
        <v>105</v>
      </c>
      <c r="F3780">
        <v>13.125</v>
      </c>
      <c r="G3780">
        <v>6</v>
      </c>
      <c r="H3780">
        <v>0.55000000000000004</v>
      </c>
      <c r="I3780">
        <v>0</v>
      </c>
      <c r="J3780">
        <v>2</v>
      </c>
      <c r="K3780">
        <v>2</v>
      </c>
      <c r="L3780">
        <v>6</v>
      </c>
      <c r="M3780">
        <v>7</v>
      </c>
      <c r="N3780">
        <v>8</v>
      </c>
      <c r="P3780">
        <v>0</v>
      </c>
      <c r="Q3780">
        <v>0</v>
      </c>
      <c r="R3780">
        <v>0</v>
      </c>
      <c r="S3780">
        <v>1</v>
      </c>
    </row>
    <row r="3781" spans="1:19" x14ac:dyDescent="0.35">
      <c r="A3781">
        <v>56024985800</v>
      </c>
      <c r="B3781" t="s">
        <v>1328</v>
      </c>
      <c r="C3781" t="str">
        <f>_xlfn.XLOOKUP(A3781,[1]Affiliations!$J$2:$J$5328,[1]Affiliations!$K$2:$K$5328,0)</f>
        <v>Federal University of Rio de Janeiro</v>
      </c>
      <c r="D3781">
        <v>40</v>
      </c>
      <c r="E3781">
        <v>367</v>
      </c>
      <c r="F3781">
        <v>9.1750000000000007</v>
      </c>
      <c r="G3781">
        <v>11</v>
      </c>
      <c r="H3781">
        <v>0.74</v>
      </c>
      <c r="I3781">
        <v>0</v>
      </c>
      <c r="J3781">
        <v>3</v>
      </c>
      <c r="K3781">
        <v>6</v>
      </c>
      <c r="L3781">
        <v>15</v>
      </c>
      <c r="M3781">
        <v>16</v>
      </c>
      <c r="N3781">
        <v>19</v>
      </c>
      <c r="P3781">
        <v>0</v>
      </c>
      <c r="Q3781">
        <v>1</v>
      </c>
      <c r="R3781">
        <v>3</v>
      </c>
      <c r="S3781">
        <v>11</v>
      </c>
    </row>
    <row r="3782" spans="1:19" x14ac:dyDescent="0.35">
      <c r="A3782">
        <v>55355112800</v>
      </c>
      <c r="B3782" t="s">
        <v>1476</v>
      </c>
      <c r="C3782" t="str">
        <f>_xlfn.XLOOKUP(A3782,[1]Affiliations!$J$2:$J$5328,[1]Affiliations!$K$2:$K$5328,0)</f>
        <v>DEMa</v>
      </c>
      <c r="D3782">
        <v>34</v>
      </c>
      <c r="E3782">
        <v>482</v>
      </c>
      <c r="F3782">
        <v>14.176470999999999</v>
      </c>
      <c r="G3782">
        <v>14</v>
      </c>
      <c r="H3782">
        <v>0.74</v>
      </c>
      <c r="I3782">
        <v>0</v>
      </c>
      <c r="J3782">
        <v>1</v>
      </c>
      <c r="K3782">
        <v>3</v>
      </c>
      <c r="L3782">
        <v>12</v>
      </c>
      <c r="M3782">
        <v>27</v>
      </c>
      <c r="N3782">
        <v>32</v>
      </c>
      <c r="P3782">
        <v>0</v>
      </c>
      <c r="Q3782">
        <v>1</v>
      </c>
      <c r="R3782">
        <v>2</v>
      </c>
      <c r="S3782">
        <v>8</v>
      </c>
    </row>
    <row r="3783" spans="1:19" hidden="1" x14ac:dyDescent="0.35">
      <c r="A3783">
        <v>59199694600</v>
      </c>
      <c r="B3783" t="s">
        <v>3784</v>
      </c>
      <c r="C3783" t="str">
        <f>_xlfn.XLOOKUP(A3783,[1]Affiliations!$J$2:$J$5328,[1]Affiliations!$K$2:$K$5328,0)</f>
        <v>Universidade Estadual Paulista “Júlio de Mesquita Filho”</v>
      </c>
      <c r="D3783">
        <v>1</v>
      </c>
      <c r="E3783">
        <v>2</v>
      </c>
      <c r="F3783">
        <v>2</v>
      </c>
      <c r="G3783">
        <v>1</v>
      </c>
      <c r="H3783">
        <v>0.33</v>
      </c>
      <c r="I3783">
        <v>0</v>
      </c>
      <c r="J3783">
        <v>0</v>
      </c>
      <c r="K3783">
        <v>0</v>
      </c>
      <c r="L3783">
        <v>1</v>
      </c>
      <c r="M3783">
        <v>1</v>
      </c>
      <c r="N3783">
        <v>1</v>
      </c>
      <c r="P3783">
        <v>0</v>
      </c>
      <c r="Q3783">
        <v>0</v>
      </c>
      <c r="R3783">
        <v>0</v>
      </c>
      <c r="S3783">
        <v>0</v>
      </c>
    </row>
    <row r="3784" spans="1:19" x14ac:dyDescent="0.35">
      <c r="A3784">
        <v>56884865100</v>
      </c>
      <c r="B3784" t="s">
        <v>1515</v>
      </c>
      <c r="C3784" t="str">
        <f>_xlfn.XLOOKUP(A3784,[1]Affiliations!$J$2:$J$5328,[1]Affiliations!$K$2:$K$5328,0)</f>
        <v>DEMa</v>
      </c>
      <c r="D3784">
        <v>12</v>
      </c>
      <c r="E3784">
        <v>247</v>
      </c>
      <c r="F3784">
        <v>20.583334000000001</v>
      </c>
      <c r="G3784">
        <v>7</v>
      </c>
      <c r="H3784">
        <v>0.74</v>
      </c>
      <c r="I3784">
        <v>0</v>
      </c>
      <c r="J3784">
        <v>1</v>
      </c>
      <c r="K3784">
        <v>6</v>
      </c>
      <c r="L3784">
        <v>9</v>
      </c>
      <c r="M3784">
        <v>12</v>
      </c>
      <c r="N3784">
        <v>12</v>
      </c>
      <c r="P3784">
        <v>0</v>
      </c>
      <c r="Q3784">
        <v>1</v>
      </c>
      <c r="R3784">
        <v>1</v>
      </c>
      <c r="S3784">
        <v>4</v>
      </c>
    </row>
    <row r="3785" spans="1:19" x14ac:dyDescent="0.35">
      <c r="A3785">
        <v>7101828170</v>
      </c>
      <c r="B3785" t="s">
        <v>1729</v>
      </c>
      <c r="C3785" t="str">
        <f>_xlfn.XLOOKUP(A3785,[1]Affiliations!$J$2:$J$5328,[1]Affiliations!$K$2:$K$5328,0)</f>
        <v>University of Campinas</v>
      </c>
      <c r="D3785">
        <v>137</v>
      </c>
      <c r="E3785">
        <v>2099</v>
      </c>
      <c r="F3785">
        <v>15.321168</v>
      </c>
      <c r="G3785">
        <v>43</v>
      </c>
      <c r="H3785">
        <v>0.74</v>
      </c>
      <c r="I3785">
        <v>1</v>
      </c>
      <c r="J3785">
        <v>15</v>
      </c>
      <c r="K3785">
        <v>53</v>
      </c>
      <c r="L3785">
        <v>87</v>
      </c>
      <c r="M3785">
        <v>121</v>
      </c>
      <c r="N3785">
        <v>129</v>
      </c>
      <c r="P3785">
        <v>0</v>
      </c>
      <c r="Q3785">
        <v>2</v>
      </c>
      <c r="R3785">
        <v>5</v>
      </c>
      <c r="S3785">
        <v>40</v>
      </c>
    </row>
    <row r="3786" spans="1:19" hidden="1" x14ac:dyDescent="0.35">
      <c r="A3786">
        <v>6507296308</v>
      </c>
      <c r="B3786" t="s">
        <v>3787</v>
      </c>
      <c r="C3786" t="str">
        <f>_xlfn.XLOOKUP(A3786,[1]Affiliations!$J$2:$J$5328,[1]Affiliations!$K$2:$K$5328,0)</f>
        <v>Leopoldo Américo Miguez de Mello (+1 more)</v>
      </c>
      <c r="D3786">
        <v>9</v>
      </c>
      <c r="E3786">
        <v>40</v>
      </c>
      <c r="F3786">
        <v>4.4444447</v>
      </c>
      <c r="G3786">
        <v>5</v>
      </c>
      <c r="H3786">
        <v>0.44</v>
      </c>
      <c r="I3786">
        <v>0</v>
      </c>
      <c r="J3786">
        <v>0</v>
      </c>
      <c r="K3786">
        <v>1</v>
      </c>
      <c r="L3786">
        <v>5</v>
      </c>
      <c r="M3786">
        <v>5</v>
      </c>
      <c r="N3786">
        <v>5</v>
      </c>
      <c r="P3786">
        <v>0</v>
      </c>
      <c r="Q3786">
        <v>0</v>
      </c>
      <c r="R3786">
        <v>0</v>
      </c>
      <c r="S3786">
        <v>0</v>
      </c>
    </row>
    <row r="3787" spans="1:19" x14ac:dyDescent="0.35">
      <c r="A3787">
        <v>35263590100</v>
      </c>
      <c r="B3787" t="s">
        <v>1797</v>
      </c>
      <c r="C3787" t="str">
        <f>_xlfn.XLOOKUP(A3787,[1]Affiliations!$J$2:$J$5328,[1]Affiliations!$K$2:$K$5328,0)</f>
        <v>Universidade de São Paulo</v>
      </c>
      <c r="D3787">
        <v>30</v>
      </c>
      <c r="E3787">
        <v>400</v>
      </c>
      <c r="F3787">
        <v>13.333333</v>
      </c>
      <c r="G3787">
        <v>23</v>
      </c>
      <c r="H3787">
        <v>0.74</v>
      </c>
      <c r="I3787">
        <v>0</v>
      </c>
      <c r="J3787">
        <v>5</v>
      </c>
      <c r="K3787">
        <v>10</v>
      </c>
      <c r="L3787">
        <v>17</v>
      </c>
      <c r="M3787">
        <v>27</v>
      </c>
      <c r="N3787">
        <v>28</v>
      </c>
      <c r="P3787">
        <v>0</v>
      </c>
      <c r="Q3787">
        <v>0</v>
      </c>
      <c r="R3787">
        <v>2</v>
      </c>
      <c r="S3787">
        <v>5</v>
      </c>
    </row>
    <row r="3788" spans="1:19" x14ac:dyDescent="0.35">
      <c r="A3788">
        <v>7006818287</v>
      </c>
      <c r="B3788" t="s">
        <v>1957</v>
      </c>
      <c r="C3788" t="str">
        <f>_xlfn.XLOOKUP(A3788,[1]Affiliations!$J$2:$J$5328,[1]Affiliations!$K$2:$K$5328,0)</f>
        <v>Universidade Federal Fluminense</v>
      </c>
      <c r="D3788">
        <v>46</v>
      </c>
      <c r="E3788">
        <v>324</v>
      </c>
      <c r="F3788">
        <v>7.0434785</v>
      </c>
      <c r="G3788">
        <v>15</v>
      </c>
      <c r="H3788">
        <v>0.74</v>
      </c>
      <c r="I3788">
        <v>0</v>
      </c>
      <c r="J3788">
        <v>3</v>
      </c>
      <c r="K3788">
        <v>4</v>
      </c>
      <c r="L3788">
        <v>10</v>
      </c>
      <c r="M3788">
        <v>21</v>
      </c>
      <c r="N3788">
        <v>27</v>
      </c>
      <c r="P3788">
        <v>0</v>
      </c>
      <c r="Q3788">
        <v>0</v>
      </c>
      <c r="R3788">
        <v>2</v>
      </c>
      <c r="S3788">
        <v>4</v>
      </c>
    </row>
    <row r="3789" spans="1:19" hidden="1" x14ac:dyDescent="0.35">
      <c r="A3789">
        <v>57221599903</v>
      </c>
      <c r="B3789" t="s">
        <v>3790</v>
      </c>
      <c r="C3789" t="str">
        <f>_xlfn.XLOOKUP(A3789,[1]Affiliations!$J$2:$J$5328,[1]Affiliations!$K$2:$K$5328,0)</f>
        <v>Saaõ Paulo State University</v>
      </c>
      <c r="D3789">
        <v>1</v>
      </c>
      <c r="E3789">
        <v>3</v>
      </c>
      <c r="F3789">
        <v>3</v>
      </c>
      <c r="G3789">
        <v>1</v>
      </c>
      <c r="H3789">
        <v>0.35</v>
      </c>
      <c r="P3789">
        <v>0</v>
      </c>
      <c r="Q3789">
        <v>0</v>
      </c>
      <c r="R3789">
        <v>0</v>
      </c>
      <c r="S3789">
        <v>0</v>
      </c>
    </row>
    <row r="3790" spans="1:19" x14ac:dyDescent="0.35">
      <c r="A3790">
        <v>6505919097</v>
      </c>
      <c r="B3790" t="s">
        <v>2265</v>
      </c>
      <c r="C3790" t="str">
        <f>_xlfn.XLOOKUP(A3790,[1]Affiliations!$J$2:$J$5328,[1]Affiliations!$K$2:$K$5328,0)</f>
        <v>Universidade de São Paulo</v>
      </c>
      <c r="D3790">
        <v>95</v>
      </c>
      <c r="E3790">
        <v>1272</v>
      </c>
      <c r="F3790">
        <v>13.389474</v>
      </c>
      <c r="G3790">
        <v>21</v>
      </c>
      <c r="H3790">
        <v>0.74</v>
      </c>
      <c r="I3790">
        <v>0</v>
      </c>
      <c r="J3790">
        <v>5</v>
      </c>
      <c r="K3790">
        <v>12</v>
      </c>
      <c r="L3790">
        <v>41</v>
      </c>
      <c r="M3790">
        <v>69</v>
      </c>
      <c r="N3790">
        <v>79</v>
      </c>
      <c r="P3790">
        <v>1</v>
      </c>
      <c r="Q3790">
        <v>2</v>
      </c>
      <c r="R3790">
        <v>5</v>
      </c>
      <c r="S3790">
        <v>26</v>
      </c>
    </row>
    <row r="3791" spans="1:19" hidden="1" x14ac:dyDescent="0.35">
      <c r="A3791">
        <v>57203415976</v>
      </c>
      <c r="B3791" t="s">
        <v>3792</v>
      </c>
      <c r="C3791" t="str">
        <f>_xlfn.XLOOKUP(A3791,[1]Affiliations!$J$2:$J$5328,[1]Affiliations!$K$2:$K$5328,0)</f>
        <v>Universidade Federal Rural do Rio de Janeiro (+1 more)</v>
      </c>
      <c r="D3791">
        <v>6</v>
      </c>
      <c r="E3791">
        <v>39</v>
      </c>
      <c r="F3791">
        <v>6.5</v>
      </c>
      <c r="G3791">
        <v>4</v>
      </c>
      <c r="H3791">
        <v>0.81</v>
      </c>
      <c r="I3791">
        <v>0</v>
      </c>
      <c r="J3791">
        <v>1</v>
      </c>
      <c r="K3791">
        <v>2</v>
      </c>
      <c r="L3791">
        <v>3</v>
      </c>
      <c r="M3791">
        <v>3</v>
      </c>
      <c r="N3791">
        <v>3</v>
      </c>
      <c r="P3791">
        <v>0</v>
      </c>
      <c r="Q3791">
        <v>0</v>
      </c>
      <c r="R3791">
        <v>0</v>
      </c>
      <c r="S3791">
        <v>0</v>
      </c>
    </row>
    <row r="3792" spans="1:19" x14ac:dyDescent="0.35">
      <c r="A3792">
        <v>57190258871</v>
      </c>
      <c r="B3792" t="s">
        <v>2465</v>
      </c>
      <c r="C3792" t="str">
        <f>_xlfn.XLOOKUP(A3792,[1]Affiliations!$J$2:$J$5328,[1]Affiliations!$K$2:$K$5328,0)</f>
        <v>Federal University of Santa Catarina</v>
      </c>
      <c r="D3792">
        <v>17</v>
      </c>
      <c r="E3792">
        <v>239</v>
      </c>
      <c r="F3792">
        <v>14.058824</v>
      </c>
      <c r="G3792">
        <v>12</v>
      </c>
      <c r="H3792">
        <v>0.74</v>
      </c>
      <c r="I3792">
        <v>0</v>
      </c>
      <c r="J3792">
        <v>3</v>
      </c>
      <c r="K3792">
        <v>6</v>
      </c>
      <c r="L3792">
        <v>8</v>
      </c>
      <c r="M3792">
        <v>13</v>
      </c>
      <c r="N3792">
        <v>13</v>
      </c>
      <c r="P3792">
        <v>0</v>
      </c>
      <c r="Q3792">
        <v>0</v>
      </c>
      <c r="R3792">
        <v>1</v>
      </c>
      <c r="S3792">
        <v>5</v>
      </c>
    </row>
    <row r="3793" spans="1:19" hidden="1" x14ac:dyDescent="0.35">
      <c r="A3793">
        <v>59654444600</v>
      </c>
      <c r="B3793" t="s">
        <v>3794</v>
      </c>
      <c r="C3793" t="str">
        <f>_xlfn.XLOOKUP(A3793,[1]Affiliations!$J$2:$J$5328,[1]Affiliations!$K$2:$K$5328,0)</f>
        <v>Universidade Federal de Juiz de Fora</v>
      </c>
      <c r="D3793">
        <v>0</v>
      </c>
      <c r="G3793">
        <v>1</v>
      </c>
    </row>
    <row r="3794" spans="1:19" hidden="1" x14ac:dyDescent="0.35">
      <c r="A3794">
        <v>7006957860</v>
      </c>
      <c r="B3794" t="s">
        <v>3795</v>
      </c>
      <c r="C3794" t="str">
        <f>_xlfn.XLOOKUP(A3794,[1]Affiliations!$J$2:$J$5328,[1]Affiliations!$K$2:$K$5328,0)</f>
        <v>Universidade do Estado do Rio de Janeiro (+1 more)</v>
      </c>
      <c r="D3794">
        <v>34</v>
      </c>
      <c r="E3794">
        <v>360</v>
      </c>
      <c r="F3794">
        <v>10.588234999999999</v>
      </c>
      <c r="G3794">
        <v>22</v>
      </c>
      <c r="H3794">
        <v>0.47</v>
      </c>
      <c r="I3794">
        <v>0</v>
      </c>
      <c r="J3794">
        <v>3</v>
      </c>
      <c r="K3794">
        <v>3</v>
      </c>
      <c r="L3794">
        <v>17</v>
      </c>
      <c r="M3794">
        <v>28</v>
      </c>
      <c r="N3794">
        <v>33</v>
      </c>
      <c r="P3794">
        <v>0</v>
      </c>
      <c r="Q3794">
        <v>0</v>
      </c>
      <c r="R3794">
        <v>0</v>
      </c>
      <c r="S3794">
        <v>6</v>
      </c>
    </row>
    <row r="3795" spans="1:19" x14ac:dyDescent="0.35">
      <c r="A3795">
        <v>56071435800</v>
      </c>
      <c r="B3795" t="s">
        <v>2493</v>
      </c>
      <c r="C3795" t="str">
        <f>_xlfn.XLOOKUP(A3795,[1]Affiliations!$J$2:$J$5328,[1]Affiliations!$K$2:$K$5328,0)</f>
        <v>Vizlab - X-Reality and GeoInformatics Lab (+1 more)</v>
      </c>
      <c r="D3795">
        <v>91</v>
      </c>
      <c r="E3795">
        <v>888</v>
      </c>
      <c r="F3795">
        <v>9.7582419999999992</v>
      </c>
      <c r="G3795">
        <v>19</v>
      </c>
      <c r="H3795">
        <v>0.74</v>
      </c>
      <c r="I3795">
        <v>3</v>
      </c>
      <c r="J3795">
        <v>8</v>
      </c>
      <c r="K3795">
        <v>26</v>
      </c>
      <c r="L3795">
        <v>41</v>
      </c>
      <c r="M3795">
        <v>48</v>
      </c>
      <c r="N3795">
        <v>80</v>
      </c>
      <c r="P3795">
        <v>0</v>
      </c>
      <c r="Q3795">
        <v>0</v>
      </c>
      <c r="R3795">
        <v>6</v>
      </c>
      <c r="S3795">
        <v>17</v>
      </c>
    </row>
    <row r="3796" spans="1:19" x14ac:dyDescent="0.35">
      <c r="A3796">
        <v>8605965900</v>
      </c>
      <c r="B3796" t="s">
        <v>2624</v>
      </c>
      <c r="C3796" t="str">
        <f>_xlfn.XLOOKUP(A3796,[1]Affiliations!$J$2:$J$5328,[1]Affiliations!$K$2:$K$5328,0)</f>
        <v>Federal University of Rio de Janeiro</v>
      </c>
      <c r="D3796">
        <v>45</v>
      </c>
      <c r="E3796">
        <v>818</v>
      </c>
      <c r="F3796">
        <v>18.177778</v>
      </c>
      <c r="G3796">
        <v>21</v>
      </c>
      <c r="H3796">
        <v>0.74</v>
      </c>
      <c r="I3796">
        <v>0</v>
      </c>
      <c r="J3796">
        <v>3</v>
      </c>
      <c r="K3796">
        <v>19</v>
      </c>
      <c r="L3796">
        <v>33</v>
      </c>
      <c r="M3796">
        <v>41</v>
      </c>
      <c r="N3796">
        <v>43</v>
      </c>
      <c r="P3796">
        <v>0</v>
      </c>
      <c r="Q3796">
        <v>1</v>
      </c>
      <c r="R3796">
        <v>3</v>
      </c>
      <c r="S3796">
        <v>14</v>
      </c>
    </row>
    <row r="3797" spans="1:19" hidden="1" x14ac:dyDescent="0.35">
      <c r="A3797">
        <v>57407553500</v>
      </c>
      <c r="B3797" t="s">
        <v>3798</v>
      </c>
      <c r="C3797" t="str">
        <f>_xlfn.XLOOKUP(A3797,[1]Affiliations!$J$2:$J$5328,[1]Affiliations!$K$2:$K$5328,0)</f>
        <v>Universidade de São Paulo</v>
      </c>
      <c r="D3797">
        <v>1</v>
      </c>
      <c r="E3797">
        <v>1</v>
      </c>
      <c r="F3797">
        <v>1</v>
      </c>
      <c r="G3797">
        <v>1</v>
      </c>
      <c r="H3797">
        <v>0.12</v>
      </c>
      <c r="I3797">
        <v>0</v>
      </c>
      <c r="J3797">
        <v>0</v>
      </c>
      <c r="K3797">
        <v>0</v>
      </c>
      <c r="L3797">
        <v>0</v>
      </c>
      <c r="M3797">
        <v>1</v>
      </c>
      <c r="N3797">
        <v>1</v>
      </c>
      <c r="P3797">
        <v>0</v>
      </c>
      <c r="Q3797">
        <v>0</v>
      </c>
      <c r="R3797">
        <v>0</v>
      </c>
      <c r="S3797">
        <v>0</v>
      </c>
    </row>
    <row r="3798" spans="1:19" hidden="1" x14ac:dyDescent="0.35">
      <c r="A3798">
        <v>58573986800</v>
      </c>
      <c r="B3798" t="s">
        <v>3799</v>
      </c>
      <c r="C3798" t="str">
        <f>_xlfn.XLOOKUP(A3798,[1]Affiliations!$J$2:$J$5328,[1]Affiliations!$K$2:$K$5328,0)</f>
        <v>SENAI Innovation Institute for Embedded Systems</v>
      </c>
      <c r="D3798">
        <v>2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1</v>
      </c>
      <c r="P3798">
        <v>0</v>
      </c>
      <c r="Q3798">
        <v>0</v>
      </c>
      <c r="R3798">
        <v>0</v>
      </c>
      <c r="S3798">
        <v>0</v>
      </c>
    </row>
    <row r="3799" spans="1:19" hidden="1" x14ac:dyDescent="0.35">
      <c r="A3799">
        <v>36198519900</v>
      </c>
      <c r="B3799" t="s">
        <v>3800</v>
      </c>
      <c r="C3799" t="str">
        <f>_xlfn.XLOOKUP(A3799,[1]Affiliations!$J$2:$J$5328,[1]Affiliations!$K$2:$K$5328,0)</f>
        <v>Federal University of Santa Catarina</v>
      </c>
      <c r="D3799">
        <v>2</v>
      </c>
      <c r="E3799">
        <v>20</v>
      </c>
      <c r="F3799">
        <v>10</v>
      </c>
      <c r="G3799">
        <v>4</v>
      </c>
      <c r="H3799">
        <v>0.44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2</v>
      </c>
      <c r="P3799">
        <v>0</v>
      </c>
      <c r="Q3799">
        <v>0</v>
      </c>
      <c r="R3799">
        <v>0</v>
      </c>
      <c r="S3799">
        <v>0</v>
      </c>
    </row>
    <row r="3800" spans="1:19" x14ac:dyDescent="0.35">
      <c r="A3800">
        <v>13205614400</v>
      </c>
      <c r="B3800" t="s">
        <v>2994</v>
      </c>
      <c r="C3800" t="str">
        <f>_xlfn.XLOOKUP(A3800,[1]Affiliations!$J$2:$J$5328,[1]Affiliations!$K$2:$K$5328,0)</f>
        <v>Universidade de São Paulo</v>
      </c>
      <c r="D3800">
        <v>112</v>
      </c>
      <c r="E3800">
        <v>1745</v>
      </c>
      <c r="F3800">
        <v>15.580358</v>
      </c>
      <c r="G3800">
        <v>24</v>
      </c>
      <c r="H3800">
        <v>0.74</v>
      </c>
      <c r="I3800">
        <v>0</v>
      </c>
      <c r="J3800">
        <v>8</v>
      </c>
      <c r="K3800">
        <v>17</v>
      </c>
      <c r="L3800">
        <v>59</v>
      </c>
      <c r="M3800">
        <v>92</v>
      </c>
      <c r="N3800">
        <v>105</v>
      </c>
      <c r="P3800">
        <v>1</v>
      </c>
      <c r="Q3800">
        <v>3</v>
      </c>
      <c r="R3800">
        <v>9</v>
      </c>
      <c r="S3800">
        <v>39</v>
      </c>
    </row>
    <row r="3801" spans="1:19" hidden="1" x14ac:dyDescent="0.35">
      <c r="A3801">
        <v>57221221146</v>
      </c>
      <c r="B3801" t="s">
        <v>3802</v>
      </c>
      <c r="C3801" t="str">
        <f>_xlfn.XLOOKUP(A3801,[1]Affiliations!$J$2:$J$5328,[1]Affiliations!$K$2:$K$5328,0)</f>
        <v>Federal University of Santa Catarina</v>
      </c>
      <c r="D3801">
        <v>1</v>
      </c>
      <c r="E3801">
        <v>58</v>
      </c>
      <c r="F3801">
        <v>58</v>
      </c>
      <c r="G3801">
        <v>1</v>
      </c>
      <c r="H3801">
        <v>1.37</v>
      </c>
      <c r="I3801">
        <v>0</v>
      </c>
      <c r="J3801">
        <v>1</v>
      </c>
      <c r="K3801">
        <v>1</v>
      </c>
      <c r="L3801">
        <v>1</v>
      </c>
      <c r="M3801">
        <v>1</v>
      </c>
      <c r="N3801">
        <v>1</v>
      </c>
      <c r="P3801">
        <v>0</v>
      </c>
      <c r="Q3801">
        <v>1</v>
      </c>
      <c r="R3801">
        <v>1</v>
      </c>
      <c r="S3801">
        <v>1</v>
      </c>
    </row>
    <row r="3802" spans="1:19" hidden="1" x14ac:dyDescent="0.35">
      <c r="A3802">
        <v>57219131711</v>
      </c>
      <c r="B3802" t="s">
        <v>3803</v>
      </c>
      <c r="C3802" t="str">
        <f>_xlfn.XLOOKUP(A3802,[1]Affiliations!$J$2:$J$5328,[1]Affiliations!$K$2:$K$5328,0)</f>
        <v>Pontifical Catholic University of Rio de Janeiro</v>
      </c>
      <c r="D3802">
        <v>2</v>
      </c>
      <c r="E3802">
        <v>18</v>
      </c>
      <c r="F3802">
        <v>9</v>
      </c>
      <c r="G3802">
        <v>2</v>
      </c>
      <c r="H3802">
        <v>1.37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1</v>
      </c>
      <c r="P3802">
        <v>0</v>
      </c>
      <c r="Q3802">
        <v>0</v>
      </c>
      <c r="R3802">
        <v>0</v>
      </c>
      <c r="S3802">
        <v>0</v>
      </c>
    </row>
    <row r="3803" spans="1:19" x14ac:dyDescent="0.35">
      <c r="A3803">
        <v>57967259000</v>
      </c>
      <c r="B3803" t="s">
        <v>3001</v>
      </c>
      <c r="C3803" t="str">
        <f>_xlfn.XLOOKUP(A3803,[1]Affiliations!$J$2:$J$5328,[1]Affiliations!$K$2:$K$5328,0)</f>
        <v>Federal University of Pará</v>
      </c>
      <c r="D3803">
        <v>11</v>
      </c>
      <c r="E3803">
        <v>177</v>
      </c>
      <c r="F3803">
        <v>16.090910000000001</v>
      </c>
      <c r="G3803">
        <v>7</v>
      </c>
      <c r="H3803">
        <v>0.74</v>
      </c>
      <c r="I3803">
        <v>0</v>
      </c>
      <c r="J3803">
        <v>3</v>
      </c>
      <c r="K3803">
        <v>3</v>
      </c>
      <c r="L3803">
        <v>7</v>
      </c>
      <c r="M3803">
        <v>9</v>
      </c>
      <c r="N3803">
        <v>9</v>
      </c>
      <c r="P3803">
        <v>0</v>
      </c>
      <c r="Q3803">
        <v>1</v>
      </c>
      <c r="R3803">
        <v>1</v>
      </c>
      <c r="S3803">
        <v>5</v>
      </c>
    </row>
    <row r="3804" spans="1:19" hidden="1" x14ac:dyDescent="0.35">
      <c r="A3804">
        <v>57188994657</v>
      </c>
      <c r="B3804" t="s">
        <v>3805</v>
      </c>
      <c r="C3804" t="str">
        <f>_xlfn.XLOOKUP(A3804,[1]Affiliations!$J$2:$J$5328,[1]Affiliations!$K$2:$K$5328,0)</f>
        <v>SINTEF (+3 more)</v>
      </c>
      <c r="D3804">
        <v>10</v>
      </c>
      <c r="E3804">
        <v>64</v>
      </c>
      <c r="F3804">
        <v>6.4</v>
      </c>
      <c r="G3804">
        <v>6</v>
      </c>
      <c r="H3804">
        <v>0.77</v>
      </c>
      <c r="I3804">
        <v>0</v>
      </c>
      <c r="J3804">
        <v>0</v>
      </c>
      <c r="K3804">
        <v>1</v>
      </c>
      <c r="L3804">
        <v>2</v>
      </c>
      <c r="M3804">
        <v>4</v>
      </c>
      <c r="N3804">
        <v>5</v>
      </c>
      <c r="P3804">
        <v>0</v>
      </c>
      <c r="Q3804">
        <v>0</v>
      </c>
      <c r="R3804">
        <v>0</v>
      </c>
      <c r="S3804">
        <v>0</v>
      </c>
    </row>
    <row r="3805" spans="1:19" x14ac:dyDescent="0.35">
      <c r="A3805">
        <v>7005513969</v>
      </c>
      <c r="B3805" t="s">
        <v>3082</v>
      </c>
      <c r="C3805" t="str">
        <f>_xlfn.XLOOKUP(A3805,[1]Affiliations!$J$2:$J$5328,[1]Affiliations!$K$2:$K$5328,0)</f>
        <v>Universidade Federal de Juiz de Fora</v>
      </c>
      <c r="D3805">
        <v>18</v>
      </c>
      <c r="E3805">
        <v>301</v>
      </c>
      <c r="F3805">
        <v>16.722221000000001</v>
      </c>
      <c r="G3805">
        <v>19</v>
      </c>
      <c r="H3805">
        <v>0.74</v>
      </c>
      <c r="I3805">
        <v>0</v>
      </c>
      <c r="J3805">
        <v>1</v>
      </c>
      <c r="K3805">
        <v>4</v>
      </c>
      <c r="L3805">
        <v>9</v>
      </c>
      <c r="M3805">
        <v>15</v>
      </c>
      <c r="N3805">
        <v>18</v>
      </c>
      <c r="P3805">
        <v>0</v>
      </c>
      <c r="Q3805">
        <v>0</v>
      </c>
      <c r="R3805">
        <v>2</v>
      </c>
      <c r="S3805">
        <v>8</v>
      </c>
    </row>
    <row r="3806" spans="1:19" hidden="1" x14ac:dyDescent="0.35">
      <c r="A3806">
        <v>57200514708</v>
      </c>
      <c r="B3806" t="s">
        <v>3807</v>
      </c>
      <c r="C3806" t="str">
        <f>_xlfn.XLOOKUP(A3806,[1]Affiliations!$J$2:$J$5328,[1]Affiliations!$K$2:$K$5328,0)</f>
        <v>Universidade Tecnológica Federal do Paraná</v>
      </c>
      <c r="D3806">
        <v>11</v>
      </c>
      <c r="E3806">
        <v>52</v>
      </c>
      <c r="F3806">
        <v>4.7272724999999998</v>
      </c>
      <c r="G3806">
        <v>4</v>
      </c>
      <c r="H3806">
        <v>0.55000000000000004</v>
      </c>
      <c r="I3806">
        <v>0</v>
      </c>
      <c r="J3806">
        <v>0</v>
      </c>
      <c r="K3806">
        <v>2</v>
      </c>
      <c r="L3806">
        <v>5</v>
      </c>
      <c r="M3806">
        <v>5</v>
      </c>
      <c r="N3806">
        <v>5</v>
      </c>
      <c r="P3806">
        <v>0</v>
      </c>
      <c r="Q3806">
        <v>0</v>
      </c>
      <c r="R3806">
        <v>0</v>
      </c>
      <c r="S3806">
        <v>2</v>
      </c>
    </row>
    <row r="3807" spans="1:19" hidden="1" x14ac:dyDescent="0.35">
      <c r="A3807">
        <v>58334711500</v>
      </c>
      <c r="B3807" t="s">
        <v>3808</v>
      </c>
      <c r="C3807" t="str">
        <f>_xlfn.XLOOKUP(A3807,[1]Affiliations!$J$2:$J$5328,[1]Affiliations!$K$2:$K$5328,0)</f>
        <v>Federal University of Rio de Janeiro</v>
      </c>
      <c r="D3807">
        <v>4</v>
      </c>
      <c r="E3807">
        <v>95</v>
      </c>
      <c r="F3807">
        <v>23.75</v>
      </c>
      <c r="G3807">
        <v>2</v>
      </c>
      <c r="H3807">
        <v>0.3</v>
      </c>
      <c r="I3807">
        <v>0</v>
      </c>
      <c r="J3807">
        <v>0</v>
      </c>
      <c r="K3807">
        <v>0</v>
      </c>
      <c r="L3807">
        <v>0</v>
      </c>
      <c r="M3807">
        <v>4</v>
      </c>
      <c r="N3807">
        <v>4</v>
      </c>
      <c r="P3807">
        <v>0</v>
      </c>
      <c r="Q3807">
        <v>0</v>
      </c>
      <c r="R3807">
        <v>1</v>
      </c>
      <c r="S3807">
        <v>2</v>
      </c>
    </row>
    <row r="3808" spans="1:19" hidden="1" x14ac:dyDescent="0.35">
      <c r="A3808">
        <v>56272300200</v>
      </c>
      <c r="B3808" t="s">
        <v>3809</v>
      </c>
      <c r="C3808" t="str">
        <f>_xlfn.XLOOKUP(A3808,[1]Affiliations!$J$2:$J$5328,[1]Affiliations!$K$2:$K$5328,0)</f>
        <v>Universidade Federal de Itajubá</v>
      </c>
      <c r="D3808">
        <v>7</v>
      </c>
      <c r="E3808">
        <v>33</v>
      </c>
      <c r="F3808">
        <v>4.7142860000000004</v>
      </c>
      <c r="G3808">
        <v>3</v>
      </c>
      <c r="H3808">
        <v>0.44</v>
      </c>
      <c r="I3808">
        <v>0</v>
      </c>
      <c r="J3808">
        <v>0</v>
      </c>
      <c r="K3808">
        <v>0</v>
      </c>
      <c r="L3808">
        <v>1</v>
      </c>
      <c r="M3808">
        <v>1</v>
      </c>
      <c r="N3808">
        <v>2</v>
      </c>
      <c r="P3808">
        <v>0</v>
      </c>
      <c r="Q3808">
        <v>0</v>
      </c>
      <c r="R3808">
        <v>0</v>
      </c>
      <c r="S3808">
        <v>0</v>
      </c>
    </row>
    <row r="3809" spans="1:19" x14ac:dyDescent="0.35">
      <c r="A3809">
        <v>24544477400</v>
      </c>
      <c r="B3809" t="s">
        <v>3083</v>
      </c>
      <c r="C3809" t="str">
        <f>_xlfn.XLOOKUP(A3809,[1]Affiliations!$J$2:$J$5328,[1]Affiliations!$K$2:$K$5328,0)</f>
        <v>Universidade Federal de Pelotas</v>
      </c>
      <c r="D3809">
        <v>81</v>
      </c>
      <c r="E3809">
        <v>1678</v>
      </c>
      <c r="F3809">
        <v>20.716049999999999</v>
      </c>
      <c r="G3809">
        <v>22</v>
      </c>
      <c r="H3809">
        <v>0.74</v>
      </c>
      <c r="I3809">
        <v>2</v>
      </c>
      <c r="J3809">
        <v>5</v>
      </c>
      <c r="K3809">
        <v>8</v>
      </c>
      <c r="L3809">
        <v>18</v>
      </c>
      <c r="M3809">
        <v>43</v>
      </c>
      <c r="N3809">
        <v>68</v>
      </c>
      <c r="P3809">
        <v>1</v>
      </c>
      <c r="Q3809">
        <v>5</v>
      </c>
      <c r="R3809">
        <v>7</v>
      </c>
      <c r="S3809">
        <v>21</v>
      </c>
    </row>
    <row r="3810" spans="1:19" x14ac:dyDescent="0.35">
      <c r="A3810">
        <v>56020673400</v>
      </c>
      <c r="B3810" t="s">
        <v>3313</v>
      </c>
      <c r="C3810" t="str">
        <f>_xlfn.XLOOKUP(A3810,[1]Affiliations!$J$2:$J$5328,[1]Affiliations!$K$2:$K$5328,0)</f>
        <v>Federal Center of Technological Education (+1 more)</v>
      </c>
      <c r="D3810">
        <v>33</v>
      </c>
      <c r="E3810">
        <v>526</v>
      </c>
      <c r="F3810">
        <v>15.939394</v>
      </c>
      <c r="G3810">
        <v>13</v>
      </c>
      <c r="H3810">
        <v>0.74</v>
      </c>
      <c r="I3810">
        <v>0</v>
      </c>
      <c r="J3810">
        <v>0</v>
      </c>
      <c r="K3810">
        <v>2</v>
      </c>
      <c r="L3810">
        <v>14</v>
      </c>
      <c r="M3810">
        <v>24</v>
      </c>
      <c r="N3810">
        <v>28</v>
      </c>
      <c r="P3810">
        <v>0</v>
      </c>
      <c r="Q3810">
        <v>1</v>
      </c>
      <c r="R3810">
        <v>3</v>
      </c>
      <c r="S3810">
        <v>16</v>
      </c>
    </row>
    <row r="3811" spans="1:19" hidden="1" x14ac:dyDescent="0.35">
      <c r="A3811">
        <v>57200281531</v>
      </c>
      <c r="B3811" t="s">
        <v>3812</v>
      </c>
      <c r="C3811" t="str">
        <f>_xlfn.XLOOKUP(A3811,[1]Affiliations!$J$2:$J$5328,[1]Affiliations!$K$2:$K$5328,0)</f>
        <v>University of Campinas</v>
      </c>
      <c r="D3811">
        <v>8</v>
      </c>
      <c r="E3811">
        <v>51</v>
      </c>
      <c r="F3811">
        <v>6.375</v>
      </c>
      <c r="G3811">
        <v>5</v>
      </c>
      <c r="H3811">
        <v>1.69</v>
      </c>
      <c r="I3811">
        <v>0</v>
      </c>
      <c r="J3811">
        <v>0</v>
      </c>
      <c r="K3811">
        <v>1</v>
      </c>
      <c r="L3811">
        <v>1</v>
      </c>
      <c r="M3811">
        <v>1</v>
      </c>
      <c r="N3811">
        <v>2</v>
      </c>
      <c r="P3811">
        <v>0</v>
      </c>
      <c r="Q3811">
        <v>0</v>
      </c>
      <c r="R3811">
        <v>0</v>
      </c>
      <c r="S3811">
        <v>2</v>
      </c>
    </row>
    <row r="3812" spans="1:19" hidden="1" x14ac:dyDescent="0.35">
      <c r="A3812">
        <v>58024848800</v>
      </c>
      <c r="B3812" t="s">
        <v>3813</v>
      </c>
      <c r="C3812" t="str">
        <f>_xlfn.XLOOKUP(A3812,[1]Affiliations!$J$2:$J$5328,[1]Affiliations!$K$2:$K$5328,0)</f>
        <v>Comissão Nacional de Energia Nuclear</v>
      </c>
      <c r="D3812">
        <v>1</v>
      </c>
      <c r="E3812">
        <v>5</v>
      </c>
      <c r="F3812">
        <v>5</v>
      </c>
      <c r="G3812">
        <v>1</v>
      </c>
      <c r="H3812">
        <v>0.8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1</v>
      </c>
      <c r="P3812">
        <v>0</v>
      </c>
      <c r="Q3812">
        <v>0</v>
      </c>
      <c r="R3812">
        <v>0</v>
      </c>
      <c r="S3812">
        <v>0</v>
      </c>
    </row>
    <row r="3813" spans="1:19" hidden="1" x14ac:dyDescent="0.35">
      <c r="A3813">
        <v>57203925735</v>
      </c>
      <c r="B3813" t="s">
        <v>3814</v>
      </c>
      <c r="C3813" t="str">
        <f>_xlfn.XLOOKUP(A3813,[1]Affiliations!$J$2:$J$5328,[1]Affiliations!$K$2:$K$5328,0)</f>
        <v>Universidade Federal Rural do Rio de Janeiro</v>
      </c>
      <c r="D3813">
        <v>1</v>
      </c>
      <c r="E3813">
        <v>15</v>
      </c>
      <c r="F3813">
        <v>15</v>
      </c>
      <c r="G3813">
        <v>1</v>
      </c>
      <c r="H3813">
        <v>0.64</v>
      </c>
      <c r="I3813">
        <v>0</v>
      </c>
      <c r="J3813">
        <v>0</v>
      </c>
      <c r="K3813">
        <v>0</v>
      </c>
      <c r="L3813">
        <v>1</v>
      </c>
      <c r="M3813">
        <v>1</v>
      </c>
      <c r="N3813">
        <v>1</v>
      </c>
      <c r="P3813">
        <v>0</v>
      </c>
      <c r="Q3813">
        <v>0</v>
      </c>
      <c r="R3813">
        <v>0</v>
      </c>
      <c r="S3813">
        <v>0</v>
      </c>
    </row>
    <row r="3814" spans="1:19" hidden="1" x14ac:dyDescent="0.35">
      <c r="A3814">
        <v>57190757764</v>
      </c>
      <c r="B3814" t="s">
        <v>3815</v>
      </c>
      <c r="C3814" t="str">
        <f>_xlfn.XLOOKUP(A3814,[1]Affiliations!$J$2:$J$5328,[1]Affiliations!$K$2:$K$5328,0)</f>
        <v>Federal University of Rio de Janeiro</v>
      </c>
      <c r="D3814">
        <v>12</v>
      </c>
      <c r="E3814">
        <v>46</v>
      </c>
      <c r="F3814">
        <v>3.8333333000000001</v>
      </c>
      <c r="G3814">
        <v>3</v>
      </c>
      <c r="H3814">
        <v>0.4</v>
      </c>
      <c r="I3814">
        <v>0</v>
      </c>
      <c r="J3814">
        <v>0</v>
      </c>
      <c r="K3814">
        <v>1</v>
      </c>
      <c r="L3814">
        <v>1</v>
      </c>
      <c r="M3814">
        <v>1</v>
      </c>
      <c r="N3814">
        <v>1</v>
      </c>
      <c r="P3814">
        <v>0</v>
      </c>
      <c r="Q3814">
        <v>0</v>
      </c>
      <c r="R3814">
        <v>0</v>
      </c>
      <c r="S3814">
        <v>1</v>
      </c>
    </row>
    <row r="3815" spans="1:19" hidden="1" x14ac:dyDescent="0.35">
      <c r="A3815">
        <v>58865731900</v>
      </c>
      <c r="B3815" t="s">
        <v>3816</v>
      </c>
      <c r="C3815" t="str">
        <f>_xlfn.XLOOKUP(A3815,[1]Affiliations!$J$2:$J$5328,[1]Affiliations!$K$2:$K$5328,0)</f>
        <v>Federal University of Rio de Janeiro</v>
      </c>
      <c r="D3815">
        <v>1</v>
      </c>
      <c r="E3815">
        <v>1</v>
      </c>
      <c r="F3815">
        <v>1</v>
      </c>
      <c r="G3815">
        <v>1</v>
      </c>
      <c r="H3815">
        <v>0.13</v>
      </c>
      <c r="I3815">
        <v>0</v>
      </c>
      <c r="J3815">
        <v>0</v>
      </c>
      <c r="K3815">
        <v>1</v>
      </c>
      <c r="L3815">
        <v>1</v>
      </c>
      <c r="M3815">
        <v>1</v>
      </c>
      <c r="N3815">
        <v>1</v>
      </c>
      <c r="P3815">
        <v>0</v>
      </c>
      <c r="Q3815">
        <v>0</v>
      </c>
      <c r="R3815">
        <v>0</v>
      </c>
      <c r="S3815">
        <v>0</v>
      </c>
    </row>
    <row r="3816" spans="1:19" hidden="1" x14ac:dyDescent="0.35">
      <c r="A3816">
        <v>57209718337</v>
      </c>
      <c r="B3816" t="s">
        <v>3817</v>
      </c>
      <c r="C3816" t="str">
        <f>_xlfn.XLOOKUP(A3816,[1]Affiliations!$J$2:$J$5328,[1]Affiliations!$K$2:$K$5328,0)</f>
        <v>Universidade Federal de Minas Gerais</v>
      </c>
      <c r="D3816">
        <v>1</v>
      </c>
      <c r="E3816">
        <v>40</v>
      </c>
      <c r="F3816">
        <v>40</v>
      </c>
      <c r="G3816">
        <v>1</v>
      </c>
      <c r="H3816">
        <v>1.25</v>
      </c>
      <c r="I3816">
        <v>1</v>
      </c>
      <c r="J3816">
        <v>1</v>
      </c>
      <c r="K3816">
        <v>1</v>
      </c>
      <c r="L3816">
        <v>1</v>
      </c>
      <c r="M3816">
        <v>1</v>
      </c>
      <c r="N3816">
        <v>1</v>
      </c>
      <c r="P3816">
        <v>0</v>
      </c>
      <c r="Q3816">
        <v>0</v>
      </c>
      <c r="R3816">
        <v>0</v>
      </c>
      <c r="S3816">
        <v>1</v>
      </c>
    </row>
    <row r="3817" spans="1:19" x14ac:dyDescent="0.35">
      <c r="A3817">
        <v>7404135290</v>
      </c>
      <c r="B3817" t="s">
        <v>3516</v>
      </c>
      <c r="C3817" t="str">
        <f>_xlfn.XLOOKUP(A3817,[1]Affiliations!$J$2:$J$5328,[1]Affiliations!$K$2:$K$5328,0)</f>
        <v>Centro Nacional de Pesquisa em Energia e Materiais</v>
      </c>
      <c r="D3817">
        <v>78</v>
      </c>
      <c r="E3817">
        <v>1619</v>
      </c>
      <c r="F3817">
        <v>20.756409999999999</v>
      </c>
      <c r="G3817">
        <v>39</v>
      </c>
      <c r="H3817">
        <v>0.74</v>
      </c>
      <c r="I3817">
        <v>0</v>
      </c>
      <c r="J3817">
        <v>14</v>
      </c>
      <c r="K3817">
        <v>30</v>
      </c>
      <c r="L3817">
        <v>53</v>
      </c>
      <c r="M3817">
        <v>70</v>
      </c>
      <c r="N3817">
        <v>77</v>
      </c>
      <c r="P3817">
        <v>0</v>
      </c>
      <c r="Q3817">
        <v>2</v>
      </c>
      <c r="R3817">
        <v>9</v>
      </c>
      <c r="S3817">
        <v>33</v>
      </c>
    </row>
    <row r="3818" spans="1:19" x14ac:dyDescent="0.35">
      <c r="A3818">
        <v>57800177700</v>
      </c>
      <c r="B3818" t="s">
        <v>3554</v>
      </c>
      <c r="C3818" t="str">
        <f>_xlfn.XLOOKUP(A3818,[1]Affiliations!$J$2:$J$5328,[1]Affiliations!$K$2:$K$5328,0)</f>
        <v>Vizlab - X-Reality and GeoInformatics Lab</v>
      </c>
      <c r="D3818">
        <v>5</v>
      </c>
      <c r="E3818">
        <v>51</v>
      </c>
      <c r="F3818">
        <v>10.199999999999999</v>
      </c>
      <c r="G3818">
        <v>4</v>
      </c>
      <c r="H3818">
        <v>0.74</v>
      </c>
      <c r="I3818">
        <v>1</v>
      </c>
      <c r="J3818">
        <v>2</v>
      </c>
      <c r="K3818">
        <v>4</v>
      </c>
      <c r="L3818">
        <v>5</v>
      </c>
      <c r="M3818">
        <v>5</v>
      </c>
      <c r="N3818">
        <v>5</v>
      </c>
      <c r="P3818">
        <v>0</v>
      </c>
      <c r="Q3818">
        <v>1</v>
      </c>
      <c r="R3818">
        <v>1</v>
      </c>
      <c r="S3818">
        <v>1</v>
      </c>
    </row>
    <row r="3819" spans="1:19" hidden="1" x14ac:dyDescent="0.35">
      <c r="A3819">
        <v>57189053361</v>
      </c>
      <c r="B3819" t="s">
        <v>3820</v>
      </c>
      <c r="C3819" t="str">
        <f>_xlfn.XLOOKUP(A3819,[1]Affiliations!$J$2:$J$5328,[1]Affiliations!$K$2:$K$5328,0)</f>
        <v>Pontifical Catholic University of Rio de Janeiro</v>
      </c>
      <c r="D3819">
        <v>2</v>
      </c>
      <c r="E3819">
        <v>6</v>
      </c>
      <c r="F3819">
        <v>3</v>
      </c>
      <c r="G3819">
        <v>2</v>
      </c>
      <c r="H3819">
        <v>1.33</v>
      </c>
      <c r="P3819">
        <v>0</v>
      </c>
      <c r="Q3819">
        <v>0</v>
      </c>
      <c r="R3819">
        <v>0</v>
      </c>
      <c r="S3819">
        <v>0</v>
      </c>
    </row>
    <row r="3820" spans="1:19" hidden="1" x14ac:dyDescent="0.35">
      <c r="A3820">
        <v>57219632480</v>
      </c>
      <c r="B3820" t="s">
        <v>3821</v>
      </c>
      <c r="C3820" t="str">
        <f>_xlfn.XLOOKUP(A3820,[1]Affiliations!$J$2:$J$5328,[1]Affiliations!$K$2:$K$5328,0)</f>
        <v>Universidade Estadual Paulista “Júlio de Mesquita Filho”</v>
      </c>
      <c r="D3820">
        <v>4</v>
      </c>
      <c r="E3820">
        <v>86</v>
      </c>
      <c r="F3820">
        <v>21.5</v>
      </c>
      <c r="G3820">
        <v>3</v>
      </c>
      <c r="H3820">
        <v>0.6</v>
      </c>
      <c r="I3820">
        <v>1</v>
      </c>
      <c r="J3820">
        <v>1</v>
      </c>
      <c r="K3820">
        <v>1</v>
      </c>
      <c r="L3820">
        <v>1</v>
      </c>
      <c r="M3820">
        <v>1</v>
      </c>
      <c r="N3820">
        <v>1</v>
      </c>
      <c r="P3820">
        <v>1</v>
      </c>
      <c r="Q3820">
        <v>1</v>
      </c>
      <c r="R3820">
        <v>1</v>
      </c>
      <c r="S3820">
        <v>1</v>
      </c>
    </row>
    <row r="3821" spans="1:19" hidden="1" x14ac:dyDescent="0.35">
      <c r="A3821">
        <v>59397019700</v>
      </c>
      <c r="B3821" t="s">
        <v>3822</v>
      </c>
      <c r="C3821" t="str">
        <f>_xlfn.XLOOKUP(A3821,[1]Affiliations!$J$2:$J$5328,[1]Affiliations!$K$2:$K$5328,0)</f>
        <v>Federal University of Rio de Janeiro</v>
      </c>
      <c r="D3821">
        <v>1</v>
      </c>
      <c r="E3821">
        <v>0</v>
      </c>
      <c r="F3821">
        <v>0</v>
      </c>
      <c r="G3821">
        <v>0</v>
      </c>
      <c r="H3821">
        <v>0</v>
      </c>
      <c r="P3821">
        <v>0</v>
      </c>
      <c r="Q3821">
        <v>0</v>
      </c>
      <c r="R3821">
        <v>0</v>
      </c>
      <c r="S3821">
        <v>0</v>
      </c>
    </row>
    <row r="3822" spans="1:19" hidden="1" x14ac:dyDescent="0.35">
      <c r="A3822">
        <v>57205120089</v>
      </c>
      <c r="B3822" t="s">
        <v>3823</v>
      </c>
      <c r="C3822" t="str">
        <f>_xlfn.XLOOKUP(A3822,[1]Affiliations!$J$2:$J$5328,[1]Affiliations!$K$2:$K$5328,0)</f>
        <v>Universidade de São Paulo</v>
      </c>
      <c r="D3822">
        <v>1</v>
      </c>
      <c r="E3822">
        <v>9</v>
      </c>
      <c r="F3822">
        <v>9</v>
      </c>
      <c r="G3822">
        <v>1</v>
      </c>
      <c r="H3822">
        <v>0.35</v>
      </c>
      <c r="I3822">
        <v>0</v>
      </c>
      <c r="J3822">
        <v>0</v>
      </c>
      <c r="K3822">
        <v>0</v>
      </c>
      <c r="L3822">
        <v>1</v>
      </c>
      <c r="M3822">
        <v>1</v>
      </c>
      <c r="N3822">
        <v>1</v>
      </c>
      <c r="P3822">
        <v>0</v>
      </c>
      <c r="Q3822">
        <v>0</v>
      </c>
      <c r="R3822">
        <v>0</v>
      </c>
      <c r="S3822">
        <v>0</v>
      </c>
    </row>
    <row r="3823" spans="1:19" hidden="1" x14ac:dyDescent="0.35">
      <c r="A3823">
        <v>57207984261</v>
      </c>
      <c r="B3823" t="s">
        <v>3824</v>
      </c>
      <c r="C3823" t="str">
        <f>_xlfn.XLOOKUP(A3823,[1]Affiliations!$J$2:$J$5328,[1]Affiliations!$K$2:$K$5328,0)</f>
        <v>Federal University of Rio de Janeiro</v>
      </c>
      <c r="D3823">
        <v>1</v>
      </c>
      <c r="E3823">
        <v>103</v>
      </c>
      <c r="F3823">
        <v>103</v>
      </c>
      <c r="G3823">
        <v>1</v>
      </c>
      <c r="H3823">
        <v>4.3099999999999996</v>
      </c>
      <c r="I3823">
        <v>0</v>
      </c>
      <c r="J3823">
        <v>1</v>
      </c>
      <c r="K3823">
        <v>1</v>
      </c>
      <c r="L3823">
        <v>1</v>
      </c>
      <c r="M3823">
        <v>1</v>
      </c>
      <c r="N3823">
        <v>1</v>
      </c>
      <c r="P3823">
        <v>0</v>
      </c>
      <c r="Q3823">
        <v>1</v>
      </c>
      <c r="R3823">
        <v>1</v>
      </c>
      <c r="S3823">
        <v>1</v>
      </c>
    </row>
    <row r="3824" spans="1:19" x14ac:dyDescent="0.35">
      <c r="A3824">
        <v>36458826900</v>
      </c>
      <c r="B3824" t="s">
        <v>3597</v>
      </c>
      <c r="C3824" t="str">
        <f>_xlfn.XLOOKUP(A3824,[1]Affiliations!$J$2:$J$5328,[1]Affiliations!$K$2:$K$5328,0)</f>
        <v>Federal University of Rio de Janeiro</v>
      </c>
      <c r="D3824">
        <v>13</v>
      </c>
      <c r="E3824">
        <v>138</v>
      </c>
      <c r="F3824">
        <v>10.615385</v>
      </c>
      <c r="G3824">
        <v>8</v>
      </c>
      <c r="H3824">
        <v>0.74</v>
      </c>
      <c r="I3824">
        <v>0</v>
      </c>
      <c r="J3824">
        <v>0</v>
      </c>
      <c r="K3824">
        <v>1</v>
      </c>
      <c r="L3824">
        <v>3</v>
      </c>
      <c r="M3824">
        <v>10</v>
      </c>
      <c r="N3824">
        <v>10</v>
      </c>
      <c r="P3824">
        <v>0</v>
      </c>
      <c r="Q3824">
        <v>0</v>
      </c>
      <c r="R3824">
        <v>2</v>
      </c>
      <c r="S3824">
        <v>5</v>
      </c>
    </row>
    <row r="3825" spans="1:19" x14ac:dyDescent="0.35">
      <c r="A3825">
        <v>8356316900</v>
      </c>
      <c r="B3825" t="s">
        <v>4162</v>
      </c>
      <c r="C3825" t="str">
        <f>_xlfn.XLOOKUP(A3825,[1]Affiliations!$J$2:$J$5328,[1]Affiliations!$K$2:$K$5328,0)</f>
        <v>Pontifical Catholic University of Rio de Janeiro</v>
      </c>
      <c r="D3825">
        <v>30</v>
      </c>
      <c r="E3825">
        <v>507</v>
      </c>
      <c r="F3825">
        <v>16.899999999999999</v>
      </c>
      <c r="G3825">
        <v>19</v>
      </c>
      <c r="H3825">
        <v>0.74</v>
      </c>
      <c r="I3825">
        <v>0</v>
      </c>
      <c r="J3825">
        <v>3</v>
      </c>
      <c r="K3825">
        <v>5</v>
      </c>
      <c r="L3825">
        <v>16</v>
      </c>
      <c r="M3825">
        <v>26</v>
      </c>
      <c r="N3825">
        <v>30</v>
      </c>
      <c r="P3825">
        <v>0</v>
      </c>
      <c r="Q3825">
        <v>0</v>
      </c>
      <c r="R3825">
        <v>2</v>
      </c>
      <c r="S3825">
        <v>11</v>
      </c>
    </row>
    <row r="3826" spans="1:19" x14ac:dyDescent="0.35">
      <c r="A3826">
        <v>7404423519</v>
      </c>
      <c r="B3826" t="s">
        <v>4567</v>
      </c>
      <c r="C3826" t="str">
        <f>_xlfn.XLOOKUP(A3826,[1]Affiliations!$J$2:$J$5328,[1]Affiliations!$K$2:$K$5328,0)</f>
        <v>Universidade de São Paulo</v>
      </c>
      <c r="D3826">
        <v>26</v>
      </c>
      <c r="E3826">
        <v>508</v>
      </c>
      <c r="F3826">
        <v>19.538461999999999</v>
      </c>
      <c r="G3826">
        <v>24</v>
      </c>
      <c r="H3826">
        <v>0.74</v>
      </c>
      <c r="I3826">
        <v>0</v>
      </c>
      <c r="J3826">
        <v>2</v>
      </c>
      <c r="K3826">
        <v>5</v>
      </c>
      <c r="L3826">
        <v>19</v>
      </c>
      <c r="M3826">
        <v>24</v>
      </c>
      <c r="N3826">
        <v>26</v>
      </c>
      <c r="P3826">
        <v>0</v>
      </c>
      <c r="Q3826">
        <v>0</v>
      </c>
      <c r="R3826">
        <v>3</v>
      </c>
      <c r="S3826">
        <v>10</v>
      </c>
    </row>
    <row r="3827" spans="1:19" hidden="1" x14ac:dyDescent="0.35">
      <c r="A3827">
        <v>56735826400</v>
      </c>
      <c r="B3827" t="s">
        <v>3828</v>
      </c>
      <c r="C3827" t="str">
        <f>_xlfn.XLOOKUP(A3827,[1]Affiliations!$J$2:$J$5328,[1]Affiliations!$K$2:$K$5328,0)</f>
        <v>Federal University of Rio de Janeiro</v>
      </c>
      <c r="D3827">
        <v>2</v>
      </c>
      <c r="E3827">
        <v>90</v>
      </c>
      <c r="F3827">
        <v>45</v>
      </c>
      <c r="G3827">
        <v>2</v>
      </c>
      <c r="H3827">
        <v>1.1100000000000001</v>
      </c>
      <c r="I3827">
        <v>0</v>
      </c>
      <c r="J3827">
        <v>0</v>
      </c>
      <c r="K3827">
        <v>1</v>
      </c>
      <c r="L3827">
        <v>2</v>
      </c>
      <c r="M3827">
        <v>2</v>
      </c>
      <c r="N3827">
        <v>2</v>
      </c>
      <c r="P3827">
        <v>0</v>
      </c>
      <c r="Q3827">
        <v>0</v>
      </c>
      <c r="R3827">
        <v>1</v>
      </c>
      <c r="S3827">
        <v>1</v>
      </c>
    </row>
    <row r="3828" spans="1:19" hidden="1" x14ac:dyDescent="0.35">
      <c r="A3828">
        <v>6603137799</v>
      </c>
      <c r="B3828" t="s">
        <v>3829</v>
      </c>
      <c r="C3828" t="str">
        <f>_xlfn.XLOOKUP(A3828,[1]Affiliations!$J$2:$J$5328,[1]Affiliations!$K$2:$K$5328,0)</f>
        <v>Federal University of Rio de Janeiro</v>
      </c>
      <c r="D3828">
        <v>4</v>
      </c>
      <c r="E3828">
        <v>50</v>
      </c>
      <c r="F3828">
        <v>12.5</v>
      </c>
      <c r="G3828">
        <v>5</v>
      </c>
      <c r="H3828">
        <v>0.59</v>
      </c>
      <c r="I3828">
        <v>0</v>
      </c>
      <c r="J3828">
        <v>0</v>
      </c>
      <c r="K3828">
        <v>2</v>
      </c>
      <c r="L3828">
        <v>2</v>
      </c>
      <c r="M3828">
        <v>2</v>
      </c>
      <c r="N3828">
        <v>3</v>
      </c>
      <c r="P3828">
        <v>0</v>
      </c>
      <c r="Q3828">
        <v>0</v>
      </c>
      <c r="R3828">
        <v>0</v>
      </c>
      <c r="S3828">
        <v>1</v>
      </c>
    </row>
    <row r="3829" spans="1:19" hidden="1" x14ac:dyDescent="0.35">
      <c r="A3829">
        <v>55982475300</v>
      </c>
      <c r="B3829" t="s">
        <v>3830</v>
      </c>
      <c r="C3829" t="str">
        <f>_xlfn.XLOOKUP(A3829,[1]Affiliations!$J$2:$J$5328,[1]Affiliations!$K$2:$K$5328,0)</f>
        <v>Pontifical Catholic University of Rio de Janeiro</v>
      </c>
      <c r="D3829">
        <v>1</v>
      </c>
      <c r="E3829">
        <v>0</v>
      </c>
      <c r="F3829">
        <v>0</v>
      </c>
      <c r="G3829">
        <v>1</v>
      </c>
      <c r="H3829">
        <v>0</v>
      </c>
      <c r="P3829">
        <v>0</v>
      </c>
      <c r="Q3829">
        <v>0</v>
      </c>
      <c r="R3829">
        <v>0</v>
      </c>
      <c r="S3829">
        <v>0</v>
      </c>
    </row>
    <row r="3830" spans="1:19" x14ac:dyDescent="0.35">
      <c r="A3830">
        <v>55438002400</v>
      </c>
      <c r="B3830" t="s">
        <v>4704</v>
      </c>
      <c r="C3830" t="str">
        <f>_xlfn.XLOOKUP(A3830,[1]Affiliations!$J$2:$J$5328,[1]Affiliations!$K$2:$K$5328,0)</f>
        <v>Federal University of Santa Catarina</v>
      </c>
      <c r="D3830">
        <v>28</v>
      </c>
      <c r="E3830">
        <v>284</v>
      </c>
      <c r="F3830">
        <v>10.142858</v>
      </c>
      <c r="G3830">
        <v>11</v>
      </c>
      <c r="H3830">
        <v>0.74</v>
      </c>
      <c r="I3830">
        <v>0</v>
      </c>
      <c r="J3830">
        <v>4</v>
      </c>
      <c r="K3830">
        <v>15</v>
      </c>
      <c r="L3830">
        <v>16</v>
      </c>
      <c r="M3830">
        <v>21</v>
      </c>
      <c r="N3830">
        <v>24</v>
      </c>
      <c r="P3830">
        <v>0</v>
      </c>
      <c r="Q3830">
        <v>0</v>
      </c>
      <c r="R3830">
        <v>2</v>
      </c>
      <c r="S3830">
        <v>5</v>
      </c>
    </row>
    <row r="3831" spans="1:19" x14ac:dyDescent="0.35">
      <c r="A3831">
        <v>7102762372</v>
      </c>
      <c r="B3831" t="s">
        <v>4785</v>
      </c>
      <c r="C3831" t="str">
        <f>_xlfn.XLOOKUP(A3831,[1]Affiliations!$J$2:$J$5328,[1]Affiliations!$K$2:$K$5328,0)</f>
        <v>Universidade de Lisboa (+2 more)</v>
      </c>
      <c r="D3831">
        <v>95</v>
      </c>
      <c r="E3831">
        <v>946</v>
      </c>
      <c r="F3831">
        <v>9.9578939999999996</v>
      </c>
      <c r="G3831">
        <v>30</v>
      </c>
      <c r="H3831">
        <v>0.74</v>
      </c>
      <c r="I3831">
        <v>1</v>
      </c>
      <c r="J3831">
        <v>11</v>
      </c>
      <c r="K3831">
        <v>24</v>
      </c>
      <c r="L3831">
        <v>40</v>
      </c>
      <c r="M3831">
        <v>52</v>
      </c>
      <c r="N3831">
        <v>52</v>
      </c>
      <c r="P3831">
        <v>0</v>
      </c>
      <c r="Q3831">
        <v>3</v>
      </c>
      <c r="R3831">
        <v>6</v>
      </c>
      <c r="S3831">
        <v>16</v>
      </c>
    </row>
    <row r="3832" spans="1:19" hidden="1" x14ac:dyDescent="0.35">
      <c r="A3832">
        <v>57201858199</v>
      </c>
      <c r="B3832" t="s">
        <v>3833</v>
      </c>
      <c r="C3832" t="str">
        <f>_xlfn.XLOOKUP(A3832,[1]Affiliations!$J$2:$J$5328,[1]Affiliations!$K$2:$K$5328,0)</f>
        <v>Universidade do Estado do Rio de Janeiro (+1 more)</v>
      </c>
      <c r="D3832">
        <v>4</v>
      </c>
      <c r="E3832">
        <v>73</v>
      </c>
      <c r="F3832">
        <v>18.25</v>
      </c>
      <c r="G3832">
        <v>7</v>
      </c>
      <c r="H3832">
        <v>0.98</v>
      </c>
      <c r="I3832">
        <v>0</v>
      </c>
      <c r="J3832">
        <v>0</v>
      </c>
      <c r="K3832">
        <v>1</v>
      </c>
      <c r="L3832">
        <v>1</v>
      </c>
      <c r="M3832">
        <v>3</v>
      </c>
      <c r="N3832">
        <v>4</v>
      </c>
      <c r="P3832">
        <v>0</v>
      </c>
      <c r="Q3832">
        <v>0</v>
      </c>
      <c r="R3832">
        <v>0</v>
      </c>
      <c r="S3832">
        <v>3</v>
      </c>
    </row>
    <row r="3833" spans="1:19" x14ac:dyDescent="0.35">
      <c r="A3833">
        <v>8938680200</v>
      </c>
      <c r="B3833" t="s">
        <v>5236</v>
      </c>
      <c r="C3833" t="str">
        <f>_xlfn.XLOOKUP(A3833,[1]Affiliations!$J$2:$J$5328,[1]Affiliations!$K$2:$K$5328,0)</f>
        <v>Federal University of Santa Catarina</v>
      </c>
      <c r="D3833">
        <v>17</v>
      </c>
      <c r="E3833">
        <v>301</v>
      </c>
      <c r="F3833">
        <v>17.705883</v>
      </c>
      <c r="G3833">
        <v>13</v>
      </c>
      <c r="H3833">
        <v>0.74</v>
      </c>
      <c r="I3833">
        <v>0</v>
      </c>
      <c r="J3833">
        <v>3</v>
      </c>
      <c r="K3833">
        <v>5</v>
      </c>
      <c r="L3833">
        <v>9</v>
      </c>
      <c r="M3833">
        <v>16</v>
      </c>
      <c r="N3833">
        <v>17</v>
      </c>
      <c r="P3833">
        <v>0</v>
      </c>
      <c r="Q3833">
        <v>1</v>
      </c>
      <c r="R3833">
        <v>1</v>
      </c>
      <c r="S3833">
        <v>3</v>
      </c>
    </row>
    <row r="3834" spans="1:19" hidden="1" x14ac:dyDescent="0.35">
      <c r="A3834">
        <v>59158417300</v>
      </c>
      <c r="B3834" t="s">
        <v>3835</v>
      </c>
      <c r="C3834" t="str">
        <f>_xlfn.XLOOKUP(A3834,[1]Affiliations!$J$2:$J$5328,[1]Affiliations!$K$2:$K$5328,0)</f>
        <v>Universidade Federal de Pernambuco</v>
      </c>
      <c r="D3834">
        <v>3</v>
      </c>
      <c r="E3834">
        <v>20</v>
      </c>
      <c r="F3834">
        <v>6.6666664999999998</v>
      </c>
      <c r="G3834">
        <v>2</v>
      </c>
      <c r="H3834">
        <v>0.71</v>
      </c>
      <c r="I3834">
        <v>0</v>
      </c>
      <c r="J3834">
        <v>0</v>
      </c>
      <c r="K3834">
        <v>0</v>
      </c>
      <c r="L3834">
        <v>0</v>
      </c>
      <c r="M3834">
        <v>1</v>
      </c>
      <c r="N3834">
        <v>1</v>
      </c>
      <c r="P3834">
        <v>0</v>
      </c>
      <c r="Q3834">
        <v>0</v>
      </c>
      <c r="R3834">
        <v>0</v>
      </c>
      <c r="S3834">
        <v>1</v>
      </c>
    </row>
    <row r="3835" spans="1:19" x14ac:dyDescent="0.35">
      <c r="A3835">
        <v>8842522300</v>
      </c>
      <c r="B3835" t="s">
        <v>5248</v>
      </c>
      <c r="C3835" t="str">
        <f>_xlfn.XLOOKUP(A3835,[1]Affiliations!$J$2:$J$5328,[1]Affiliations!$K$2:$K$5328,0)</f>
        <v>Contestado University</v>
      </c>
      <c r="D3835">
        <v>27</v>
      </c>
      <c r="E3835">
        <v>406</v>
      </c>
      <c r="F3835">
        <v>15.037037</v>
      </c>
      <c r="G3835">
        <v>12</v>
      </c>
      <c r="H3835">
        <v>0.74</v>
      </c>
      <c r="I3835">
        <v>0</v>
      </c>
      <c r="J3835">
        <v>3</v>
      </c>
      <c r="K3835">
        <v>6</v>
      </c>
      <c r="L3835">
        <v>12</v>
      </c>
      <c r="M3835">
        <v>20</v>
      </c>
      <c r="N3835">
        <v>24</v>
      </c>
      <c r="P3835">
        <v>0</v>
      </c>
      <c r="Q3835">
        <v>0</v>
      </c>
      <c r="R3835">
        <v>2</v>
      </c>
      <c r="S3835">
        <v>8</v>
      </c>
    </row>
    <row r="3836" spans="1:19" x14ac:dyDescent="0.35">
      <c r="A3836">
        <v>8291099000</v>
      </c>
      <c r="B3836" t="s">
        <v>5273</v>
      </c>
      <c r="C3836" t="str">
        <f>_xlfn.XLOOKUP(A3836,[1]Affiliations!$J$2:$J$5328,[1]Affiliations!$K$2:$K$5328,0)</f>
        <v>Universidade Federal do Paraná</v>
      </c>
      <c r="D3836">
        <v>60</v>
      </c>
      <c r="E3836">
        <v>1182</v>
      </c>
      <c r="F3836">
        <v>19.7</v>
      </c>
      <c r="G3836">
        <v>23</v>
      </c>
      <c r="H3836">
        <v>0.74</v>
      </c>
      <c r="I3836">
        <v>2</v>
      </c>
      <c r="J3836">
        <v>7</v>
      </c>
      <c r="K3836">
        <v>22</v>
      </c>
      <c r="L3836">
        <v>42</v>
      </c>
      <c r="M3836">
        <v>52</v>
      </c>
      <c r="N3836">
        <v>57</v>
      </c>
      <c r="P3836">
        <v>0</v>
      </c>
      <c r="Q3836">
        <v>1</v>
      </c>
      <c r="R3836">
        <v>7</v>
      </c>
      <c r="S3836">
        <v>22</v>
      </c>
    </row>
    <row r="3837" spans="1:19" x14ac:dyDescent="0.35">
      <c r="A3837">
        <v>53165456900</v>
      </c>
      <c r="B3837" t="s">
        <v>5294</v>
      </c>
      <c r="C3837" t="str">
        <f>_xlfn.XLOOKUP(A3837,[1]Affiliations!$J$2:$J$5328,[1]Affiliations!$K$2:$K$5328,0)</f>
        <v>Vizlab - X-Reality and GeoInformatics Lab (+1 more)</v>
      </c>
      <c r="D3837">
        <v>36</v>
      </c>
      <c r="E3837">
        <v>404</v>
      </c>
      <c r="F3837">
        <v>11.222222</v>
      </c>
      <c r="G3837">
        <v>11</v>
      </c>
      <c r="H3837">
        <v>0.74</v>
      </c>
      <c r="I3837">
        <v>1</v>
      </c>
      <c r="J3837">
        <v>4</v>
      </c>
      <c r="K3837">
        <v>9</v>
      </c>
      <c r="L3837">
        <v>14</v>
      </c>
      <c r="M3837">
        <v>16</v>
      </c>
      <c r="N3837">
        <v>33</v>
      </c>
      <c r="P3837">
        <v>0</v>
      </c>
      <c r="Q3837">
        <v>1</v>
      </c>
      <c r="R3837">
        <v>2</v>
      </c>
      <c r="S3837">
        <v>6</v>
      </c>
    </row>
    <row r="3838" spans="1:19" hidden="1" x14ac:dyDescent="0.35">
      <c r="A3838">
        <v>56227180600</v>
      </c>
      <c r="B3838" t="s">
        <v>3839</v>
      </c>
      <c r="C3838" t="str">
        <f>_xlfn.XLOOKUP(A3838,[1]Affiliations!$J$2:$J$5328,[1]Affiliations!$K$2:$K$5328,0)</f>
        <v>Universidade Tecnológica Federal do Paraná</v>
      </c>
      <c r="D3838">
        <v>9</v>
      </c>
      <c r="E3838">
        <v>71</v>
      </c>
      <c r="F3838">
        <v>7.8888889999999998</v>
      </c>
      <c r="G3838">
        <v>5</v>
      </c>
      <c r="H3838">
        <v>0.57999999999999996</v>
      </c>
      <c r="I3838">
        <v>0</v>
      </c>
      <c r="J3838">
        <v>0</v>
      </c>
      <c r="K3838">
        <v>1</v>
      </c>
      <c r="L3838">
        <v>2</v>
      </c>
      <c r="M3838">
        <v>3</v>
      </c>
      <c r="N3838">
        <v>6</v>
      </c>
      <c r="P3838">
        <v>0</v>
      </c>
      <c r="Q3838">
        <v>0</v>
      </c>
      <c r="R3838">
        <v>0</v>
      </c>
      <c r="S3838">
        <v>2</v>
      </c>
    </row>
    <row r="3839" spans="1:19" hidden="1" x14ac:dyDescent="0.35">
      <c r="A3839">
        <v>37075414300</v>
      </c>
      <c r="B3839" t="s">
        <v>3840</v>
      </c>
      <c r="C3839" t="str">
        <f>_xlfn.XLOOKUP(A3839,[1]Affiliations!$J$2:$J$5328,[1]Affiliations!$K$2:$K$5328,0)</f>
        <v>Pontifical Catholic University of Rio de Janeiro</v>
      </c>
      <c r="D3839">
        <v>1</v>
      </c>
      <c r="E3839">
        <v>2</v>
      </c>
      <c r="F3839">
        <v>2</v>
      </c>
      <c r="G3839">
        <v>2</v>
      </c>
      <c r="H3839">
        <v>0.1</v>
      </c>
      <c r="I3839">
        <v>0</v>
      </c>
      <c r="J3839">
        <v>0</v>
      </c>
      <c r="K3839">
        <v>0</v>
      </c>
      <c r="L3839">
        <v>1</v>
      </c>
      <c r="M3839">
        <v>1</v>
      </c>
      <c r="N3839">
        <v>1</v>
      </c>
      <c r="P3839">
        <v>0</v>
      </c>
      <c r="Q3839">
        <v>0</v>
      </c>
      <c r="R3839">
        <v>0</v>
      </c>
      <c r="S3839">
        <v>0</v>
      </c>
    </row>
    <row r="3840" spans="1:19" hidden="1" x14ac:dyDescent="0.35">
      <c r="A3840">
        <v>7005594417</v>
      </c>
      <c r="B3840" t="s">
        <v>3841</v>
      </c>
      <c r="C3840" t="str">
        <f>_xlfn.XLOOKUP(A3840,[1]Affiliations!$J$2:$J$5328,[1]Affiliations!$K$2:$K$5328,0)</f>
        <v>Federal University of Rio de Janeiro</v>
      </c>
      <c r="D3840">
        <v>23</v>
      </c>
      <c r="E3840">
        <v>150</v>
      </c>
      <c r="F3840">
        <v>6.5217390000000002</v>
      </c>
      <c r="G3840">
        <v>13</v>
      </c>
      <c r="H3840">
        <v>0.66</v>
      </c>
      <c r="I3840">
        <v>0</v>
      </c>
      <c r="J3840">
        <v>1</v>
      </c>
      <c r="K3840">
        <v>3</v>
      </c>
      <c r="L3840">
        <v>7</v>
      </c>
      <c r="M3840">
        <v>13</v>
      </c>
      <c r="N3840">
        <v>19</v>
      </c>
      <c r="P3840">
        <v>0</v>
      </c>
      <c r="Q3840">
        <v>0</v>
      </c>
      <c r="R3840">
        <v>0</v>
      </c>
      <c r="S3840">
        <v>5</v>
      </c>
    </row>
    <row r="3841" spans="1:19" hidden="1" x14ac:dyDescent="0.35">
      <c r="A3841">
        <v>54983584500</v>
      </c>
      <c r="B3841" t="s">
        <v>3842</v>
      </c>
      <c r="C3841" t="str">
        <f>_xlfn.XLOOKUP(A3841,[1]Affiliations!$J$2:$J$5328,[1]Affiliations!$K$2:$K$5328,0)</f>
        <v>Universidade Federal do Ceará</v>
      </c>
      <c r="D3841">
        <v>4</v>
      </c>
      <c r="E3841">
        <v>140</v>
      </c>
      <c r="F3841">
        <v>35</v>
      </c>
      <c r="G3841">
        <v>6</v>
      </c>
      <c r="H3841">
        <v>1.45</v>
      </c>
      <c r="I3841">
        <v>1</v>
      </c>
      <c r="J3841">
        <v>1</v>
      </c>
      <c r="K3841">
        <v>1</v>
      </c>
      <c r="L3841">
        <v>2</v>
      </c>
      <c r="M3841">
        <v>4</v>
      </c>
      <c r="N3841">
        <v>4</v>
      </c>
      <c r="P3841">
        <v>0</v>
      </c>
      <c r="Q3841">
        <v>1</v>
      </c>
      <c r="R3841">
        <v>1</v>
      </c>
      <c r="S3841">
        <v>1</v>
      </c>
    </row>
    <row r="3842" spans="1:19" hidden="1" x14ac:dyDescent="0.35">
      <c r="A3842">
        <v>57214947122</v>
      </c>
      <c r="B3842" t="s">
        <v>3843</v>
      </c>
      <c r="C3842" t="str">
        <f>_xlfn.XLOOKUP(A3842,[1]Affiliations!$J$2:$J$5328,[1]Affiliations!$K$2:$K$5328,0)</f>
        <v>Pontifical Catholic University of Rio de Janeiro</v>
      </c>
      <c r="D3842">
        <v>6</v>
      </c>
      <c r="E3842">
        <v>0</v>
      </c>
      <c r="F3842">
        <v>0</v>
      </c>
      <c r="G3842">
        <v>0</v>
      </c>
      <c r="H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35">
      <c r="A3843">
        <v>7003458138</v>
      </c>
      <c r="B3843" t="s">
        <v>184</v>
      </c>
      <c r="C3843" t="str">
        <f>_xlfn.XLOOKUP(A3843,[1]Affiliations!$J$2:$J$5328,[1]Affiliations!$K$2:$K$5328,0)</f>
        <v>Universidade Federal de Juiz de Fora</v>
      </c>
      <c r="D3843">
        <v>43</v>
      </c>
      <c r="E3843">
        <v>1022</v>
      </c>
      <c r="F3843">
        <v>23.767443</v>
      </c>
      <c r="G3843">
        <v>22</v>
      </c>
      <c r="H3843">
        <v>0.73</v>
      </c>
      <c r="I3843">
        <v>0</v>
      </c>
      <c r="J3843">
        <v>3</v>
      </c>
      <c r="K3843">
        <v>9</v>
      </c>
      <c r="L3843">
        <v>21</v>
      </c>
      <c r="M3843">
        <v>31</v>
      </c>
      <c r="N3843">
        <v>39</v>
      </c>
      <c r="P3843">
        <v>1</v>
      </c>
      <c r="Q3843">
        <v>1</v>
      </c>
      <c r="R3843">
        <v>2</v>
      </c>
      <c r="S3843">
        <v>13</v>
      </c>
    </row>
    <row r="3844" spans="1:19" hidden="1" x14ac:dyDescent="0.35">
      <c r="A3844">
        <v>59863871800</v>
      </c>
      <c r="B3844" t="s">
        <v>3844</v>
      </c>
      <c r="C3844" t="str">
        <f>_xlfn.XLOOKUP(A3844,[1]Affiliations!$J$2:$J$5328,[1]Affiliations!$K$2:$K$5328,0)</f>
        <v>Universidade Federal de Minas Gerais (+2 more)</v>
      </c>
      <c r="D3844">
        <v>0</v>
      </c>
      <c r="G3844">
        <v>1</v>
      </c>
    </row>
    <row r="3845" spans="1:19" x14ac:dyDescent="0.35">
      <c r="A3845">
        <v>54384884900</v>
      </c>
      <c r="B3845" t="s">
        <v>469</v>
      </c>
      <c r="C3845" t="str">
        <f>_xlfn.XLOOKUP(A3845,[1]Affiliations!$J$2:$J$5328,[1]Affiliations!$K$2:$K$5328,0)</f>
        <v>Universidade Federal Fluminense</v>
      </c>
      <c r="D3845">
        <v>13</v>
      </c>
      <c r="E3845">
        <v>149</v>
      </c>
      <c r="F3845">
        <v>11.461537999999999</v>
      </c>
      <c r="G3845">
        <v>6</v>
      </c>
      <c r="H3845">
        <v>0.73</v>
      </c>
      <c r="I3845">
        <v>0</v>
      </c>
      <c r="J3845">
        <v>3</v>
      </c>
      <c r="K3845">
        <v>3</v>
      </c>
      <c r="L3845">
        <v>6</v>
      </c>
      <c r="M3845">
        <v>6</v>
      </c>
      <c r="N3845">
        <v>7</v>
      </c>
      <c r="P3845">
        <v>0</v>
      </c>
      <c r="Q3845">
        <v>2</v>
      </c>
      <c r="R3845">
        <v>2</v>
      </c>
      <c r="S3845">
        <v>3</v>
      </c>
    </row>
    <row r="3846" spans="1:19" hidden="1" x14ac:dyDescent="0.35">
      <c r="A3846">
        <v>56940804000</v>
      </c>
      <c r="B3846" t="s">
        <v>3846</v>
      </c>
      <c r="C3846" t="str">
        <f>_xlfn.XLOOKUP(A3846,[1]Affiliations!$J$2:$J$5328,[1]Affiliations!$K$2:$K$5328,0)</f>
        <v>University of Campinas</v>
      </c>
      <c r="D3846">
        <v>3</v>
      </c>
      <c r="E3846">
        <v>18</v>
      </c>
      <c r="F3846">
        <v>6</v>
      </c>
      <c r="G3846">
        <v>2</v>
      </c>
      <c r="H3846">
        <v>0.16</v>
      </c>
      <c r="I3846">
        <v>0</v>
      </c>
      <c r="J3846">
        <v>0</v>
      </c>
      <c r="K3846">
        <v>0</v>
      </c>
      <c r="L3846">
        <v>1</v>
      </c>
      <c r="M3846">
        <v>3</v>
      </c>
      <c r="N3846">
        <v>3</v>
      </c>
      <c r="P3846">
        <v>0</v>
      </c>
      <c r="Q3846">
        <v>0</v>
      </c>
      <c r="R3846">
        <v>0</v>
      </c>
      <c r="S3846">
        <v>0</v>
      </c>
    </row>
    <row r="3847" spans="1:19" hidden="1" x14ac:dyDescent="0.35">
      <c r="A3847">
        <v>57219597144</v>
      </c>
      <c r="B3847" t="s">
        <v>3847</v>
      </c>
      <c r="C3847" t="str">
        <f>_xlfn.XLOOKUP(A3847,[1]Affiliations!$J$2:$J$5328,[1]Affiliations!$K$2:$K$5328,0)</f>
        <v>Federal University of Rio de Janeiro</v>
      </c>
      <c r="D3847">
        <v>8</v>
      </c>
      <c r="E3847">
        <v>45</v>
      </c>
      <c r="F3847">
        <v>5.625</v>
      </c>
      <c r="G3847">
        <v>4</v>
      </c>
      <c r="H3847">
        <v>0.59</v>
      </c>
      <c r="I3847">
        <v>0</v>
      </c>
      <c r="J3847">
        <v>0</v>
      </c>
      <c r="K3847">
        <v>0</v>
      </c>
      <c r="L3847">
        <v>3</v>
      </c>
      <c r="M3847">
        <v>5</v>
      </c>
      <c r="N3847">
        <v>5</v>
      </c>
      <c r="P3847">
        <v>0</v>
      </c>
      <c r="Q3847">
        <v>0</v>
      </c>
      <c r="R3847">
        <v>1</v>
      </c>
      <c r="S3847">
        <v>2</v>
      </c>
    </row>
    <row r="3848" spans="1:19" hidden="1" x14ac:dyDescent="0.35">
      <c r="A3848">
        <v>58724542800</v>
      </c>
      <c r="B3848" t="s">
        <v>3848</v>
      </c>
      <c r="C3848" t="str">
        <f>_xlfn.XLOOKUP(A3848,[1]Affiliations!$J$2:$J$5328,[1]Affiliations!$K$2:$K$5328,0)</f>
        <v>Serviço Nacional de Aprendizagem Industrial</v>
      </c>
      <c r="D3848">
        <v>1</v>
      </c>
      <c r="E3848">
        <v>4</v>
      </c>
      <c r="F3848">
        <v>4</v>
      </c>
      <c r="G3848">
        <v>1</v>
      </c>
      <c r="H3848">
        <v>0.68</v>
      </c>
      <c r="I3848">
        <v>0</v>
      </c>
      <c r="J3848">
        <v>0</v>
      </c>
      <c r="K3848">
        <v>0</v>
      </c>
      <c r="L3848">
        <v>0</v>
      </c>
      <c r="M3848">
        <v>1</v>
      </c>
      <c r="N3848">
        <v>1</v>
      </c>
      <c r="P3848">
        <v>0</v>
      </c>
      <c r="Q3848">
        <v>0</v>
      </c>
      <c r="R3848">
        <v>0</v>
      </c>
      <c r="S3848">
        <v>0</v>
      </c>
    </row>
    <row r="3849" spans="1:19" hidden="1" x14ac:dyDescent="0.35">
      <c r="A3849">
        <v>36608957000</v>
      </c>
      <c r="B3849" t="s">
        <v>3849</v>
      </c>
      <c r="C3849" t="str">
        <f>_xlfn.XLOOKUP(A3849,[1]Affiliations!$J$2:$J$5328,[1]Affiliations!$K$2:$K$5328,0)</f>
        <v>Prooceano</v>
      </c>
      <c r="D3849">
        <v>4</v>
      </c>
      <c r="E3849">
        <v>55</v>
      </c>
      <c r="F3849">
        <v>13.75</v>
      </c>
      <c r="G3849">
        <v>3</v>
      </c>
      <c r="H3849">
        <v>0.67</v>
      </c>
      <c r="I3849">
        <v>0</v>
      </c>
      <c r="J3849">
        <v>0</v>
      </c>
      <c r="K3849">
        <v>0</v>
      </c>
      <c r="L3849">
        <v>2</v>
      </c>
      <c r="M3849">
        <v>2</v>
      </c>
      <c r="N3849">
        <v>3</v>
      </c>
      <c r="P3849">
        <v>0</v>
      </c>
      <c r="Q3849">
        <v>0</v>
      </c>
      <c r="R3849">
        <v>0</v>
      </c>
      <c r="S3849">
        <v>2</v>
      </c>
    </row>
    <row r="3850" spans="1:19" x14ac:dyDescent="0.35">
      <c r="A3850">
        <v>57212314332</v>
      </c>
      <c r="B3850" t="s">
        <v>667</v>
      </c>
      <c r="C3850" t="str">
        <f>_xlfn.XLOOKUP(A3850,[1]Affiliations!$J$2:$J$5328,[1]Affiliations!$K$2:$K$5328,0)</f>
        <v>University of State of Santa Catarina (UDESC)</v>
      </c>
      <c r="D3850">
        <v>25</v>
      </c>
      <c r="E3850">
        <v>317</v>
      </c>
      <c r="F3850">
        <v>12.68</v>
      </c>
      <c r="G3850">
        <v>9</v>
      </c>
      <c r="H3850">
        <v>0.73</v>
      </c>
      <c r="I3850">
        <v>0</v>
      </c>
      <c r="J3850">
        <v>0</v>
      </c>
      <c r="K3850">
        <v>5</v>
      </c>
      <c r="L3850">
        <v>10</v>
      </c>
      <c r="M3850">
        <v>14</v>
      </c>
      <c r="N3850">
        <v>17</v>
      </c>
      <c r="P3850">
        <v>0</v>
      </c>
      <c r="Q3850">
        <v>1</v>
      </c>
      <c r="R3850">
        <v>4</v>
      </c>
      <c r="S3850">
        <v>8</v>
      </c>
    </row>
    <row r="3851" spans="1:19" x14ac:dyDescent="0.35">
      <c r="A3851">
        <v>22233809000</v>
      </c>
      <c r="B3851" t="s">
        <v>895</v>
      </c>
      <c r="C3851" t="str">
        <f>_xlfn.XLOOKUP(A3851,[1]Affiliations!$J$2:$J$5328,[1]Affiliations!$K$2:$K$5328,0)</f>
        <v>Federal University of Santa Catarina</v>
      </c>
      <c r="D3851">
        <v>34</v>
      </c>
      <c r="E3851">
        <v>582</v>
      </c>
      <c r="F3851">
        <v>17.117647000000002</v>
      </c>
      <c r="G3851">
        <v>20</v>
      </c>
      <c r="H3851">
        <v>0.73</v>
      </c>
      <c r="I3851">
        <v>0</v>
      </c>
      <c r="J3851">
        <v>2</v>
      </c>
      <c r="K3851">
        <v>8</v>
      </c>
      <c r="L3851">
        <v>16</v>
      </c>
      <c r="M3851">
        <v>25</v>
      </c>
      <c r="N3851">
        <v>33</v>
      </c>
      <c r="P3851">
        <v>0</v>
      </c>
      <c r="Q3851">
        <v>3</v>
      </c>
      <c r="R3851">
        <v>3</v>
      </c>
      <c r="S3851">
        <v>9</v>
      </c>
    </row>
    <row r="3852" spans="1:19" hidden="1" x14ac:dyDescent="0.35">
      <c r="A3852">
        <v>57211471371</v>
      </c>
      <c r="B3852" t="s">
        <v>3852</v>
      </c>
      <c r="C3852" t="str">
        <f>_xlfn.XLOOKUP(A3852,[1]Affiliations!$J$2:$J$5328,[1]Affiliations!$K$2:$K$5328,0)</f>
        <v>Pontifical Catholic University of Rio de Janeiro</v>
      </c>
      <c r="D3852">
        <v>1</v>
      </c>
      <c r="E3852">
        <v>2</v>
      </c>
      <c r="F3852">
        <v>2</v>
      </c>
      <c r="G3852">
        <v>1</v>
      </c>
      <c r="H3852">
        <v>1.42</v>
      </c>
      <c r="P3852">
        <v>0</v>
      </c>
      <c r="Q3852">
        <v>0</v>
      </c>
      <c r="R3852">
        <v>0</v>
      </c>
      <c r="S3852">
        <v>0</v>
      </c>
    </row>
    <row r="3853" spans="1:19" hidden="1" x14ac:dyDescent="0.35">
      <c r="A3853">
        <v>57204519422</v>
      </c>
      <c r="B3853" t="s">
        <v>3853</v>
      </c>
      <c r="C3853" t="str">
        <f>_xlfn.XLOOKUP(A3853,[1]Affiliations!$J$2:$J$5328,[1]Affiliations!$K$2:$K$5328,0)</f>
        <v>Federal University of Rio de Janeiro</v>
      </c>
      <c r="D3853">
        <v>2</v>
      </c>
      <c r="E3853">
        <v>36</v>
      </c>
      <c r="F3853">
        <v>18</v>
      </c>
      <c r="G3853">
        <v>2</v>
      </c>
      <c r="H3853">
        <v>0.77</v>
      </c>
      <c r="I3853">
        <v>0</v>
      </c>
      <c r="J3853">
        <v>0</v>
      </c>
      <c r="K3853">
        <v>0</v>
      </c>
      <c r="L3853">
        <v>2</v>
      </c>
      <c r="M3853">
        <v>2</v>
      </c>
      <c r="N3853">
        <v>2</v>
      </c>
      <c r="P3853">
        <v>0</v>
      </c>
      <c r="Q3853">
        <v>0</v>
      </c>
      <c r="R3853">
        <v>0</v>
      </c>
      <c r="S3853">
        <v>1</v>
      </c>
    </row>
    <row r="3854" spans="1:19" hidden="1" x14ac:dyDescent="0.35">
      <c r="A3854">
        <v>59654414000</v>
      </c>
      <c r="B3854" t="s">
        <v>3854</v>
      </c>
      <c r="C3854" t="str">
        <f>_xlfn.XLOOKUP(A3854,[1]Affiliations!$J$2:$J$5328,[1]Affiliations!$K$2:$K$5328,0)</f>
        <v>Universidade Federal do Rio Grande do Norte</v>
      </c>
      <c r="D3854">
        <v>0</v>
      </c>
      <c r="G3854">
        <v>1</v>
      </c>
    </row>
    <row r="3855" spans="1:19" hidden="1" x14ac:dyDescent="0.35">
      <c r="A3855">
        <v>35211389100</v>
      </c>
      <c r="B3855" t="s">
        <v>3855</v>
      </c>
      <c r="C3855" t="str">
        <f>_xlfn.XLOOKUP(A3855,[1]Affiliations!$J$2:$J$5328,[1]Affiliations!$K$2:$K$5328,0)</f>
        <v>Universidade Estadual Paulista “Júlio de Mesquita Filho”</v>
      </c>
      <c r="D3855">
        <v>18</v>
      </c>
      <c r="E3855">
        <v>74</v>
      </c>
      <c r="F3855">
        <v>4.1111110000000002</v>
      </c>
      <c r="G3855">
        <v>6</v>
      </c>
      <c r="H3855">
        <v>0.53</v>
      </c>
      <c r="I3855">
        <v>0</v>
      </c>
      <c r="J3855">
        <v>0</v>
      </c>
      <c r="K3855">
        <v>0</v>
      </c>
      <c r="L3855">
        <v>1</v>
      </c>
      <c r="M3855">
        <v>7</v>
      </c>
      <c r="N3855">
        <v>9</v>
      </c>
      <c r="P3855">
        <v>0</v>
      </c>
      <c r="Q3855">
        <v>0</v>
      </c>
      <c r="R3855">
        <v>0</v>
      </c>
      <c r="S3855">
        <v>1</v>
      </c>
    </row>
    <row r="3856" spans="1:19" hidden="1" x14ac:dyDescent="0.35">
      <c r="A3856">
        <v>57189870236</v>
      </c>
      <c r="B3856" t="s">
        <v>3856</v>
      </c>
      <c r="C3856" t="str">
        <f>_xlfn.XLOOKUP(A3856,[1]Affiliations!$J$2:$J$5328,[1]Affiliations!$K$2:$K$5328,0)</f>
        <v>University of Campinas</v>
      </c>
      <c r="D3856">
        <v>4</v>
      </c>
      <c r="E3856">
        <v>14</v>
      </c>
      <c r="F3856">
        <v>3.5</v>
      </c>
      <c r="G3856">
        <v>2</v>
      </c>
      <c r="H3856">
        <v>0.19</v>
      </c>
      <c r="I3856">
        <v>0</v>
      </c>
      <c r="J3856">
        <v>1</v>
      </c>
      <c r="K3856">
        <v>1</v>
      </c>
      <c r="L3856">
        <v>4</v>
      </c>
      <c r="M3856">
        <v>4</v>
      </c>
      <c r="N3856">
        <v>4</v>
      </c>
      <c r="P3856">
        <v>0</v>
      </c>
      <c r="Q3856">
        <v>0</v>
      </c>
      <c r="R3856">
        <v>0</v>
      </c>
      <c r="S3856">
        <v>0</v>
      </c>
    </row>
    <row r="3857" spans="1:19" x14ac:dyDescent="0.35">
      <c r="A3857">
        <v>34876441100</v>
      </c>
      <c r="B3857" t="s">
        <v>1021</v>
      </c>
      <c r="C3857" t="str">
        <f>_xlfn.XLOOKUP(A3857,[1]Affiliations!$J$2:$J$5328,[1]Affiliations!$K$2:$K$5328,0)</f>
        <v>Universidade Federal Rural do Rio de Janeiro</v>
      </c>
      <c r="D3857">
        <v>18</v>
      </c>
      <c r="E3857">
        <v>257</v>
      </c>
      <c r="F3857">
        <v>14.277778</v>
      </c>
      <c r="G3857">
        <v>8</v>
      </c>
      <c r="H3857">
        <v>0.73</v>
      </c>
      <c r="I3857">
        <v>0</v>
      </c>
      <c r="J3857">
        <v>1</v>
      </c>
      <c r="K3857">
        <v>4</v>
      </c>
      <c r="L3857">
        <v>7</v>
      </c>
      <c r="M3857">
        <v>8</v>
      </c>
      <c r="N3857">
        <v>10</v>
      </c>
      <c r="P3857">
        <v>0</v>
      </c>
      <c r="Q3857">
        <v>1</v>
      </c>
      <c r="R3857">
        <v>1</v>
      </c>
      <c r="S3857">
        <v>4</v>
      </c>
    </row>
    <row r="3858" spans="1:19" x14ac:dyDescent="0.35">
      <c r="A3858">
        <v>55724033500</v>
      </c>
      <c r="B3858" t="s">
        <v>1094</v>
      </c>
      <c r="C3858" t="str">
        <f>_xlfn.XLOOKUP(A3858,[1]Affiliations!$J$2:$J$5328,[1]Affiliations!$K$2:$K$5328,0)</f>
        <v>Universidade Federal do Espírito Santo</v>
      </c>
      <c r="D3858">
        <v>20</v>
      </c>
      <c r="E3858">
        <v>431</v>
      </c>
      <c r="F3858">
        <v>21.55</v>
      </c>
      <c r="G3858">
        <v>18</v>
      </c>
      <c r="H3858">
        <v>0.73</v>
      </c>
      <c r="I3858">
        <v>0</v>
      </c>
      <c r="J3858">
        <v>2</v>
      </c>
      <c r="K3858">
        <v>5</v>
      </c>
      <c r="L3858">
        <v>14</v>
      </c>
      <c r="M3858">
        <v>17</v>
      </c>
      <c r="N3858">
        <v>20</v>
      </c>
      <c r="P3858">
        <v>0</v>
      </c>
      <c r="Q3858">
        <v>1</v>
      </c>
      <c r="R3858">
        <v>2</v>
      </c>
      <c r="S3858">
        <v>8</v>
      </c>
    </row>
    <row r="3859" spans="1:19" x14ac:dyDescent="0.35">
      <c r="A3859">
        <v>6603011411</v>
      </c>
      <c r="B3859" t="s">
        <v>1671</v>
      </c>
      <c r="C3859" t="str">
        <f>_xlfn.XLOOKUP(A3859,[1]Affiliations!$J$2:$J$5328,[1]Affiliations!$K$2:$K$5328,0)</f>
        <v>Universidade Federal de Viçosa</v>
      </c>
      <c r="D3859">
        <v>68</v>
      </c>
      <c r="E3859">
        <v>1275</v>
      </c>
      <c r="F3859">
        <v>18.75</v>
      </c>
      <c r="G3859">
        <v>26</v>
      </c>
      <c r="H3859">
        <v>0.73</v>
      </c>
      <c r="I3859">
        <v>0</v>
      </c>
      <c r="J3859">
        <v>8</v>
      </c>
      <c r="K3859">
        <v>22</v>
      </c>
      <c r="L3859">
        <v>43</v>
      </c>
      <c r="M3859">
        <v>53</v>
      </c>
      <c r="N3859">
        <v>62</v>
      </c>
      <c r="P3859">
        <v>1</v>
      </c>
      <c r="Q3859">
        <v>1</v>
      </c>
      <c r="R3859">
        <v>6</v>
      </c>
      <c r="S3859">
        <v>25</v>
      </c>
    </row>
    <row r="3860" spans="1:19" x14ac:dyDescent="0.35">
      <c r="A3860">
        <v>8856356500</v>
      </c>
      <c r="B3860" t="s">
        <v>2012</v>
      </c>
      <c r="C3860" t="str">
        <f>_xlfn.XLOOKUP(A3860,[1]Affiliations!$J$2:$J$5328,[1]Affiliations!$K$2:$K$5328,0)</f>
        <v>Universidade Tiradentes (+2 more)</v>
      </c>
      <c r="D3860">
        <v>24</v>
      </c>
      <c r="E3860">
        <v>423</v>
      </c>
      <c r="F3860">
        <v>17.625</v>
      </c>
      <c r="G3860">
        <v>17</v>
      </c>
      <c r="H3860">
        <v>0.73</v>
      </c>
      <c r="I3860">
        <v>0</v>
      </c>
      <c r="J3860">
        <v>2</v>
      </c>
      <c r="K3860">
        <v>5</v>
      </c>
      <c r="L3860">
        <v>16</v>
      </c>
      <c r="M3860">
        <v>22</v>
      </c>
      <c r="N3860">
        <v>23</v>
      </c>
      <c r="P3860">
        <v>0</v>
      </c>
      <c r="Q3860">
        <v>1</v>
      </c>
      <c r="R3860">
        <v>3</v>
      </c>
      <c r="S3860">
        <v>12</v>
      </c>
    </row>
    <row r="3861" spans="1:19" hidden="1" x14ac:dyDescent="0.35">
      <c r="A3861">
        <v>57202310066</v>
      </c>
      <c r="B3861" t="s">
        <v>3861</v>
      </c>
      <c r="C3861" t="str">
        <f>_xlfn.XLOOKUP(A3861,[1]Affiliations!$J$2:$J$5328,[1]Affiliations!$K$2:$K$5328,0)</f>
        <v>Institute of Technology and Research</v>
      </c>
      <c r="D3861">
        <v>2</v>
      </c>
      <c r="E3861">
        <v>37</v>
      </c>
      <c r="F3861">
        <v>18.5</v>
      </c>
      <c r="G3861">
        <v>2</v>
      </c>
      <c r="H3861">
        <v>0.6</v>
      </c>
      <c r="I3861">
        <v>0</v>
      </c>
      <c r="J3861">
        <v>0</v>
      </c>
      <c r="K3861">
        <v>0</v>
      </c>
      <c r="L3861">
        <v>2</v>
      </c>
      <c r="M3861">
        <v>2</v>
      </c>
      <c r="N3861">
        <v>2</v>
      </c>
      <c r="P3861">
        <v>0</v>
      </c>
      <c r="Q3861">
        <v>0</v>
      </c>
      <c r="R3861">
        <v>0</v>
      </c>
      <c r="S3861">
        <v>1</v>
      </c>
    </row>
    <row r="3862" spans="1:19" hidden="1" x14ac:dyDescent="0.35">
      <c r="A3862">
        <v>58654420100</v>
      </c>
      <c r="B3862" t="s">
        <v>3862</v>
      </c>
      <c r="C3862" t="str">
        <f>_xlfn.XLOOKUP(A3862,[1]Affiliations!$J$2:$J$5328,[1]Affiliations!$K$2:$K$5328,0)</f>
        <v>Universidade de São Paulo</v>
      </c>
      <c r="D3862">
        <v>1</v>
      </c>
      <c r="E3862">
        <v>3</v>
      </c>
      <c r="F3862">
        <v>3</v>
      </c>
      <c r="G3862">
        <v>1</v>
      </c>
      <c r="H3862">
        <v>0.43</v>
      </c>
      <c r="I3862">
        <v>0</v>
      </c>
      <c r="J3862">
        <v>1</v>
      </c>
      <c r="K3862">
        <v>1</v>
      </c>
      <c r="L3862">
        <v>1</v>
      </c>
      <c r="M3862">
        <v>1</v>
      </c>
      <c r="N3862">
        <v>1</v>
      </c>
      <c r="P3862">
        <v>0</v>
      </c>
      <c r="Q3862">
        <v>0</v>
      </c>
      <c r="R3862">
        <v>0</v>
      </c>
      <c r="S3862">
        <v>0</v>
      </c>
    </row>
    <row r="3863" spans="1:19" hidden="1" x14ac:dyDescent="0.35">
      <c r="A3863">
        <v>57208544936</v>
      </c>
      <c r="B3863" t="s">
        <v>3863</v>
      </c>
      <c r="C3863" t="str">
        <f>_xlfn.XLOOKUP(A3863,[1]Affiliations!$J$2:$J$5328,[1]Affiliations!$K$2:$K$5328,0)</f>
        <v>Universidade Federal Rural do Rio de Janeiro</v>
      </c>
      <c r="D3863">
        <v>2</v>
      </c>
      <c r="E3863">
        <v>21</v>
      </c>
      <c r="F3863">
        <v>10.5</v>
      </c>
      <c r="G3863">
        <v>2</v>
      </c>
      <c r="H3863">
        <v>0.64</v>
      </c>
      <c r="I3863">
        <v>0</v>
      </c>
      <c r="J3863">
        <v>1</v>
      </c>
      <c r="K3863">
        <v>1</v>
      </c>
      <c r="L3863">
        <v>2</v>
      </c>
      <c r="M3863">
        <v>2</v>
      </c>
      <c r="N3863">
        <v>2</v>
      </c>
      <c r="P3863">
        <v>0</v>
      </c>
      <c r="Q3863">
        <v>0</v>
      </c>
      <c r="R3863">
        <v>0</v>
      </c>
      <c r="S3863">
        <v>0</v>
      </c>
    </row>
    <row r="3864" spans="1:19" hidden="1" x14ac:dyDescent="0.35">
      <c r="A3864">
        <v>57221872358</v>
      </c>
      <c r="B3864" t="s">
        <v>3864</v>
      </c>
      <c r="C3864" t="str">
        <f>_xlfn.XLOOKUP(A3864,[1]Affiliations!$J$2:$J$5328,[1]Affiliations!$K$2:$K$5328,0)</f>
        <v>Federal University of Rio de Janeiro</v>
      </c>
      <c r="D3864">
        <v>1</v>
      </c>
      <c r="E3864">
        <v>46</v>
      </c>
      <c r="F3864">
        <v>46</v>
      </c>
      <c r="G3864">
        <v>1</v>
      </c>
      <c r="H3864">
        <v>2.21</v>
      </c>
      <c r="I3864">
        <v>0</v>
      </c>
      <c r="J3864">
        <v>0</v>
      </c>
      <c r="K3864">
        <v>0</v>
      </c>
      <c r="L3864">
        <v>1</v>
      </c>
      <c r="M3864">
        <v>1</v>
      </c>
      <c r="N3864">
        <v>1</v>
      </c>
      <c r="P3864">
        <v>0</v>
      </c>
      <c r="Q3864">
        <v>0</v>
      </c>
      <c r="R3864">
        <v>1</v>
      </c>
      <c r="S3864">
        <v>1</v>
      </c>
    </row>
    <row r="3865" spans="1:19" hidden="1" x14ac:dyDescent="0.35">
      <c r="A3865">
        <v>59403821300</v>
      </c>
      <c r="B3865" t="s">
        <v>3865</v>
      </c>
      <c r="C3865" t="str">
        <f>_xlfn.XLOOKUP(A3865,[1]Affiliations!$J$2:$J$5328,[1]Affiliations!$K$2:$K$5328,0)</f>
        <v>Federal University of Rio de Janeiro</v>
      </c>
      <c r="D3865">
        <v>1</v>
      </c>
      <c r="E3865">
        <v>2</v>
      </c>
      <c r="F3865">
        <v>2</v>
      </c>
      <c r="G3865">
        <v>1</v>
      </c>
      <c r="H3865">
        <v>0.3</v>
      </c>
      <c r="I3865">
        <v>0</v>
      </c>
      <c r="J3865">
        <v>0</v>
      </c>
      <c r="K3865">
        <v>0</v>
      </c>
      <c r="L3865">
        <v>1</v>
      </c>
      <c r="M3865">
        <v>1</v>
      </c>
      <c r="N3865">
        <v>1</v>
      </c>
      <c r="P3865">
        <v>0</v>
      </c>
      <c r="Q3865">
        <v>0</v>
      </c>
      <c r="R3865">
        <v>0</v>
      </c>
      <c r="S3865">
        <v>0</v>
      </c>
    </row>
    <row r="3866" spans="1:19" x14ac:dyDescent="0.35">
      <c r="A3866">
        <v>55761795900</v>
      </c>
      <c r="B3866" t="s">
        <v>2248</v>
      </c>
      <c r="C3866" t="str">
        <f>_xlfn.XLOOKUP(A3866,[1]Affiliations!$J$2:$J$5328,[1]Affiliations!$K$2:$K$5328,0)</f>
        <v>Federal University of Santa Catarina</v>
      </c>
      <c r="D3866">
        <v>11</v>
      </c>
      <c r="E3866">
        <v>228</v>
      </c>
      <c r="F3866">
        <v>20.727271999999999</v>
      </c>
      <c r="G3866">
        <v>8</v>
      </c>
      <c r="H3866">
        <v>0.73</v>
      </c>
      <c r="I3866">
        <v>0</v>
      </c>
      <c r="J3866">
        <v>1</v>
      </c>
      <c r="K3866">
        <v>4</v>
      </c>
      <c r="L3866">
        <v>5</v>
      </c>
      <c r="M3866">
        <v>8</v>
      </c>
      <c r="N3866">
        <v>11</v>
      </c>
      <c r="P3866">
        <v>0</v>
      </c>
      <c r="Q3866">
        <v>1</v>
      </c>
      <c r="R3866">
        <v>1</v>
      </c>
      <c r="S3866">
        <v>2</v>
      </c>
    </row>
    <row r="3867" spans="1:19" hidden="1" x14ac:dyDescent="0.35">
      <c r="A3867">
        <v>36452482500</v>
      </c>
      <c r="B3867" t="s">
        <v>3867</v>
      </c>
      <c r="C3867" t="str">
        <f>_xlfn.XLOOKUP(A3867,[1]Affiliations!$J$2:$J$5328,[1]Affiliations!$K$2:$K$5328,0)</f>
        <v>DEMa</v>
      </c>
      <c r="D3867">
        <v>1</v>
      </c>
      <c r="E3867">
        <v>8</v>
      </c>
      <c r="F3867">
        <v>8</v>
      </c>
      <c r="G3867">
        <v>6</v>
      </c>
      <c r="H3867">
        <v>0.43</v>
      </c>
      <c r="I3867">
        <v>0</v>
      </c>
      <c r="J3867">
        <v>0</v>
      </c>
      <c r="K3867">
        <v>0</v>
      </c>
      <c r="L3867">
        <v>0</v>
      </c>
      <c r="M3867">
        <v>1</v>
      </c>
      <c r="N3867">
        <v>1</v>
      </c>
      <c r="P3867">
        <v>0</v>
      </c>
      <c r="Q3867">
        <v>0</v>
      </c>
      <c r="R3867">
        <v>0</v>
      </c>
      <c r="S3867">
        <v>0</v>
      </c>
    </row>
    <row r="3868" spans="1:19" x14ac:dyDescent="0.35">
      <c r="A3868">
        <v>54984675200</v>
      </c>
      <c r="B3868" t="s">
        <v>2445</v>
      </c>
      <c r="C3868" t="str">
        <f>_xlfn.XLOOKUP(A3868,[1]Affiliations!$J$2:$J$5328,[1]Affiliations!$K$2:$K$5328,0)</f>
        <v>Universidade Federal de Ouro Preto</v>
      </c>
      <c r="D3868">
        <v>20</v>
      </c>
      <c r="E3868">
        <v>213</v>
      </c>
      <c r="F3868">
        <v>10.65</v>
      </c>
      <c r="G3868">
        <v>9</v>
      </c>
      <c r="H3868">
        <v>0.73</v>
      </c>
      <c r="I3868">
        <v>2</v>
      </c>
      <c r="J3868">
        <v>6</v>
      </c>
      <c r="K3868">
        <v>9</v>
      </c>
      <c r="L3868">
        <v>15</v>
      </c>
      <c r="M3868">
        <v>19</v>
      </c>
      <c r="N3868">
        <v>19</v>
      </c>
      <c r="P3868">
        <v>0</v>
      </c>
      <c r="Q3868">
        <v>0</v>
      </c>
      <c r="R3868">
        <v>1</v>
      </c>
      <c r="S3868">
        <v>8</v>
      </c>
    </row>
    <row r="3869" spans="1:19" hidden="1" x14ac:dyDescent="0.35">
      <c r="A3869">
        <v>57203412486</v>
      </c>
      <c r="B3869" t="s">
        <v>3869</v>
      </c>
      <c r="C3869" t="str">
        <f>_xlfn.XLOOKUP(A3869,[1]Affiliations!$J$2:$J$5328,[1]Affiliations!$K$2:$K$5328,0)</f>
        <v>Universidade Federal Rural do Rio de Janeiro</v>
      </c>
      <c r="D3869">
        <v>2</v>
      </c>
      <c r="E3869">
        <v>10</v>
      </c>
      <c r="F3869">
        <v>5</v>
      </c>
      <c r="G3869">
        <v>1</v>
      </c>
      <c r="H3869">
        <v>0.28000000000000003</v>
      </c>
      <c r="I3869">
        <v>0</v>
      </c>
      <c r="J3869">
        <v>0</v>
      </c>
      <c r="K3869">
        <v>0</v>
      </c>
      <c r="L3869">
        <v>1</v>
      </c>
      <c r="M3869">
        <v>1</v>
      </c>
      <c r="N3869">
        <v>1</v>
      </c>
      <c r="P3869">
        <v>0</v>
      </c>
      <c r="Q3869">
        <v>0</v>
      </c>
      <c r="R3869">
        <v>0</v>
      </c>
      <c r="S3869">
        <v>0</v>
      </c>
    </row>
    <row r="3870" spans="1:19" hidden="1" x14ac:dyDescent="0.35">
      <c r="A3870">
        <v>57211792589</v>
      </c>
      <c r="B3870" t="s">
        <v>3870</v>
      </c>
      <c r="C3870" t="str">
        <f>_xlfn.XLOOKUP(A3870,[1]Affiliations!$J$2:$J$5328,[1]Affiliations!$K$2:$K$5328,0)</f>
        <v>Federal University of Rio de Janeiro</v>
      </c>
      <c r="D3870">
        <v>7</v>
      </c>
      <c r="E3870">
        <v>86</v>
      </c>
      <c r="F3870">
        <v>12.285714</v>
      </c>
      <c r="G3870">
        <v>12</v>
      </c>
      <c r="H3870">
        <v>0.36</v>
      </c>
      <c r="I3870">
        <v>0</v>
      </c>
      <c r="J3870">
        <v>0</v>
      </c>
      <c r="K3870">
        <v>0</v>
      </c>
      <c r="L3870">
        <v>4</v>
      </c>
      <c r="M3870">
        <v>5</v>
      </c>
      <c r="N3870">
        <v>7</v>
      </c>
      <c r="P3870">
        <v>0</v>
      </c>
      <c r="Q3870">
        <v>0</v>
      </c>
      <c r="R3870">
        <v>0</v>
      </c>
      <c r="S3870">
        <v>1</v>
      </c>
    </row>
    <row r="3871" spans="1:19" hidden="1" x14ac:dyDescent="0.35">
      <c r="A3871">
        <v>56735566900</v>
      </c>
      <c r="B3871" t="s">
        <v>3871</v>
      </c>
      <c r="C3871" t="str">
        <f>_xlfn.XLOOKUP(A3871,[1]Affiliations!$J$2:$J$5328,[1]Affiliations!$K$2:$K$5328,0)</f>
        <v>Forza Composites</v>
      </c>
      <c r="D3871">
        <v>19</v>
      </c>
      <c r="E3871">
        <v>285</v>
      </c>
      <c r="F3871">
        <v>15</v>
      </c>
      <c r="G3871">
        <v>10</v>
      </c>
      <c r="H3871">
        <v>0.91</v>
      </c>
      <c r="I3871">
        <v>0</v>
      </c>
      <c r="J3871">
        <v>4</v>
      </c>
      <c r="K3871">
        <v>7</v>
      </c>
      <c r="L3871">
        <v>11</v>
      </c>
      <c r="M3871">
        <v>13</v>
      </c>
      <c r="N3871">
        <v>14</v>
      </c>
      <c r="P3871">
        <v>0</v>
      </c>
      <c r="Q3871">
        <v>0</v>
      </c>
      <c r="R3871">
        <v>0</v>
      </c>
      <c r="S3871">
        <v>7</v>
      </c>
    </row>
    <row r="3872" spans="1:19" x14ac:dyDescent="0.35">
      <c r="A3872">
        <v>57201531267</v>
      </c>
      <c r="B3872" t="s">
        <v>2459</v>
      </c>
      <c r="C3872" t="str">
        <f>_xlfn.XLOOKUP(A3872,[1]Affiliations!$J$2:$J$5328,[1]Affiliations!$K$2:$K$5328,0)</f>
        <v>Universidade Federal de Minas Gerais</v>
      </c>
      <c r="D3872">
        <v>7</v>
      </c>
      <c r="E3872">
        <v>88</v>
      </c>
      <c r="F3872">
        <v>12.571427999999999</v>
      </c>
      <c r="G3872">
        <v>6</v>
      </c>
      <c r="H3872">
        <v>0.73</v>
      </c>
      <c r="I3872">
        <v>0</v>
      </c>
      <c r="J3872">
        <v>0</v>
      </c>
      <c r="K3872">
        <v>1</v>
      </c>
      <c r="L3872">
        <v>4</v>
      </c>
      <c r="M3872">
        <v>6</v>
      </c>
      <c r="N3872">
        <v>6</v>
      </c>
      <c r="P3872">
        <v>0</v>
      </c>
      <c r="Q3872">
        <v>0</v>
      </c>
      <c r="R3872">
        <v>1</v>
      </c>
      <c r="S3872">
        <v>3</v>
      </c>
    </row>
    <row r="3873" spans="1:19" x14ac:dyDescent="0.35">
      <c r="A3873">
        <v>23992092500</v>
      </c>
      <c r="B3873" t="s">
        <v>2505</v>
      </c>
      <c r="C3873" t="str">
        <f>_xlfn.XLOOKUP(A3873,[1]Affiliations!$J$2:$J$5328,[1]Affiliations!$K$2:$K$5328,0)</f>
        <v>Universidade Federal de São João del-Rei</v>
      </c>
      <c r="D3873">
        <v>16</v>
      </c>
      <c r="E3873">
        <v>328</v>
      </c>
      <c r="F3873">
        <v>20.5</v>
      </c>
      <c r="G3873">
        <v>16</v>
      </c>
      <c r="H3873">
        <v>0.73</v>
      </c>
      <c r="I3873">
        <v>1</v>
      </c>
      <c r="J3873">
        <v>3</v>
      </c>
      <c r="K3873">
        <v>6</v>
      </c>
      <c r="L3873">
        <v>10</v>
      </c>
      <c r="M3873">
        <v>12</v>
      </c>
      <c r="N3873">
        <v>14</v>
      </c>
      <c r="P3873">
        <v>0</v>
      </c>
      <c r="Q3873">
        <v>0</v>
      </c>
      <c r="R3873">
        <v>2</v>
      </c>
      <c r="S3873">
        <v>8</v>
      </c>
    </row>
    <row r="3874" spans="1:19" hidden="1" x14ac:dyDescent="0.35">
      <c r="A3874">
        <v>57195455785</v>
      </c>
      <c r="B3874" t="s">
        <v>3874</v>
      </c>
      <c r="C3874" t="str">
        <f>_xlfn.XLOOKUP(A3874,[1]Affiliations!$J$2:$J$5328,[1]Affiliations!$K$2:$K$5328,0)</f>
        <v>Universidade Federal de Uberlândia</v>
      </c>
      <c r="D3874">
        <v>1</v>
      </c>
      <c r="E3874">
        <v>9</v>
      </c>
      <c r="F3874">
        <v>9</v>
      </c>
      <c r="G3874">
        <v>1</v>
      </c>
      <c r="H3874">
        <v>0.37</v>
      </c>
      <c r="I3874">
        <v>0</v>
      </c>
      <c r="J3874">
        <v>0</v>
      </c>
      <c r="K3874">
        <v>1</v>
      </c>
      <c r="L3874">
        <v>1</v>
      </c>
      <c r="M3874">
        <v>1</v>
      </c>
      <c r="N3874">
        <v>1</v>
      </c>
      <c r="P3874">
        <v>0</v>
      </c>
      <c r="Q3874">
        <v>0</v>
      </c>
      <c r="R3874">
        <v>0</v>
      </c>
      <c r="S3874">
        <v>0</v>
      </c>
    </row>
    <row r="3875" spans="1:19" x14ac:dyDescent="0.35">
      <c r="A3875">
        <v>7006381779</v>
      </c>
      <c r="B3875" t="s">
        <v>2555</v>
      </c>
      <c r="C3875" t="str">
        <f>_xlfn.XLOOKUP(A3875,[1]Affiliations!$J$2:$J$5328,[1]Affiliations!$K$2:$K$5328,0)</f>
        <v>Universidade de Brasília</v>
      </c>
      <c r="D3875">
        <v>22</v>
      </c>
      <c r="E3875">
        <v>381</v>
      </c>
      <c r="F3875">
        <v>17.318182</v>
      </c>
      <c r="G3875">
        <v>16</v>
      </c>
      <c r="H3875">
        <v>0.73</v>
      </c>
      <c r="I3875">
        <v>0</v>
      </c>
      <c r="J3875">
        <v>2</v>
      </c>
      <c r="K3875">
        <v>6</v>
      </c>
      <c r="L3875">
        <v>9</v>
      </c>
      <c r="M3875">
        <v>16</v>
      </c>
      <c r="N3875">
        <v>21</v>
      </c>
      <c r="P3875">
        <v>0</v>
      </c>
      <c r="Q3875">
        <v>1</v>
      </c>
      <c r="R3875">
        <v>1</v>
      </c>
      <c r="S3875">
        <v>6</v>
      </c>
    </row>
    <row r="3876" spans="1:19" hidden="1" x14ac:dyDescent="0.35">
      <c r="A3876">
        <v>57201135068</v>
      </c>
      <c r="B3876" t="s">
        <v>3876</v>
      </c>
      <c r="C3876" t="str">
        <f>_xlfn.XLOOKUP(A3876,[1]Affiliations!$J$2:$J$5328,[1]Affiliations!$K$2:$K$5328,0)</f>
        <v>Universidade Federal do Rio Grande</v>
      </c>
      <c r="D3876">
        <v>3</v>
      </c>
      <c r="E3876">
        <v>57</v>
      </c>
      <c r="F3876">
        <v>19</v>
      </c>
      <c r="G3876">
        <v>3</v>
      </c>
      <c r="H3876">
        <v>0.96</v>
      </c>
      <c r="I3876">
        <v>0</v>
      </c>
      <c r="J3876">
        <v>1</v>
      </c>
      <c r="K3876">
        <v>2</v>
      </c>
      <c r="L3876">
        <v>3</v>
      </c>
      <c r="M3876">
        <v>3</v>
      </c>
      <c r="N3876">
        <v>3</v>
      </c>
      <c r="P3876">
        <v>0</v>
      </c>
      <c r="Q3876">
        <v>0</v>
      </c>
      <c r="R3876">
        <v>0</v>
      </c>
      <c r="S3876">
        <v>1</v>
      </c>
    </row>
    <row r="3877" spans="1:19" x14ac:dyDescent="0.35">
      <c r="A3877">
        <v>57193846221</v>
      </c>
      <c r="B3877" t="s">
        <v>2921</v>
      </c>
      <c r="C3877" t="str">
        <f>_xlfn.XLOOKUP(A3877,[1]Affiliations!$J$2:$J$5328,[1]Affiliations!$K$2:$K$5328,0)</f>
        <v>Vizlab - X-Reality and GeoInformatics Lab (+1 more)</v>
      </c>
      <c r="D3877">
        <v>9</v>
      </c>
      <c r="E3877">
        <v>59</v>
      </c>
      <c r="F3877">
        <v>6.5555553</v>
      </c>
      <c r="G3877">
        <v>5</v>
      </c>
      <c r="H3877">
        <v>0.73</v>
      </c>
      <c r="I3877">
        <v>0</v>
      </c>
      <c r="J3877">
        <v>1</v>
      </c>
      <c r="K3877">
        <v>2</v>
      </c>
      <c r="L3877">
        <v>3</v>
      </c>
      <c r="M3877">
        <v>4</v>
      </c>
      <c r="N3877">
        <v>7</v>
      </c>
      <c r="P3877">
        <v>0</v>
      </c>
      <c r="Q3877">
        <v>0</v>
      </c>
      <c r="R3877">
        <v>1</v>
      </c>
      <c r="S3877">
        <v>2</v>
      </c>
    </row>
    <row r="3878" spans="1:19" hidden="1" x14ac:dyDescent="0.35">
      <c r="A3878">
        <v>57196679835</v>
      </c>
      <c r="B3878" t="s">
        <v>3878</v>
      </c>
      <c r="C3878" t="str">
        <f>_xlfn.XLOOKUP(A3878,[1]Affiliations!$J$2:$J$5328,[1]Affiliations!$K$2:$K$5328,0)</f>
        <v>Universidade Federal do Espírito Santo</v>
      </c>
      <c r="D3878">
        <v>6</v>
      </c>
      <c r="E3878">
        <v>18</v>
      </c>
      <c r="F3878">
        <v>3</v>
      </c>
      <c r="G3878">
        <v>5</v>
      </c>
      <c r="H3878">
        <v>0.47</v>
      </c>
      <c r="I3878">
        <v>0</v>
      </c>
      <c r="J3878">
        <v>0</v>
      </c>
      <c r="K3878">
        <v>0</v>
      </c>
      <c r="L3878">
        <v>1</v>
      </c>
      <c r="M3878">
        <v>1</v>
      </c>
      <c r="N3878">
        <v>2</v>
      </c>
      <c r="P3878">
        <v>0</v>
      </c>
      <c r="Q3878">
        <v>0</v>
      </c>
      <c r="R3878">
        <v>0</v>
      </c>
      <c r="S3878">
        <v>0</v>
      </c>
    </row>
    <row r="3879" spans="1:19" x14ac:dyDescent="0.35">
      <c r="A3879">
        <v>57201406177</v>
      </c>
      <c r="B3879" t="s">
        <v>3155</v>
      </c>
      <c r="C3879" t="str">
        <f>_xlfn.XLOOKUP(A3879,[1]Affiliations!$J$2:$J$5328,[1]Affiliations!$K$2:$K$5328,0)</f>
        <v>Universidade Federal de Pernambuco</v>
      </c>
      <c r="D3879">
        <v>10</v>
      </c>
      <c r="E3879">
        <v>105</v>
      </c>
      <c r="F3879">
        <v>10.5</v>
      </c>
      <c r="G3879">
        <v>6</v>
      </c>
      <c r="H3879">
        <v>0.73</v>
      </c>
      <c r="I3879">
        <v>0</v>
      </c>
      <c r="J3879">
        <v>1</v>
      </c>
      <c r="K3879">
        <v>6</v>
      </c>
      <c r="L3879">
        <v>7</v>
      </c>
      <c r="M3879">
        <v>7</v>
      </c>
      <c r="N3879">
        <v>7</v>
      </c>
      <c r="P3879">
        <v>0</v>
      </c>
      <c r="Q3879">
        <v>0</v>
      </c>
      <c r="R3879">
        <v>1</v>
      </c>
      <c r="S3879">
        <v>4</v>
      </c>
    </row>
    <row r="3880" spans="1:19" x14ac:dyDescent="0.35">
      <c r="A3880">
        <v>55944578200</v>
      </c>
      <c r="B3880" t="s">
        <v>3235</v>
      </c>
      <c r="C3880" t="str">
        <f>_xlfn.XLOOKUP(A3880,[1]Affiliations!$J$2:$J$5328,[1]Affiliations!$K$2:$K$5328,0)</f>
        <v>Universidade de São Paulo</v>
      </c>
      <c r="D3880">
        <v>44</v>
      </c>
      <c r="E3880">
        <v>550</v>
      </c>
      <c r="F3880">
        <v>12.5</v>
      </c>
      <c r="G3880">
        <v>13</v>
      </c>
      <c r="H3880">
        <v>0.73</v>
      </c>
      <c r="I3880">
        <v>1</v>
      </c>
      <c r="J3880">
        <v>4</v>
      </c>
      <c r="K3880">
        <v>9</v>
      </c>
      <c r="L3880">
        <v>19</v>
      </c>
      <c r="M3880">
        <v>26</v>
      </c>
      <c r="N3880">
        <v>35</v>
      </c>
      <c r="P3880">
        <v>0</v>
      </c>
      <c r="Q3880">
        <v>0</v>
      </c>
      <c r="R3880">
        <v>4</v>
      </c>
      <c r="S3880">
        <v>11</v>
      </c>
    </row>
    <row r="3881" spans="1:19" hidden="1" x14ac:dyDescent="0.35">
      <c r="A3881">
        <v>55574495100</v>
      </c>
      <c r="B3881" t="s">
        <v>3881</v>
      </c>
      <c r="C3881" t="str">
        <f>_xlfn.XLOOKUP(A3881,[1]Affiliations!$J$2:$J$5328,[1]Affiliations!$K$2:$K$5328,0)</f>
        <v>Pontifical Catholic University of Rio de Janeiro</v>
      </c>
      <c r="D3881">
        <v>6</v>
      </c>
      <c r="E3881">
        <v>65</v>
      </c>
      <c r="F3881">
        <v>10.833333</v>
      </c>
      <c r="G3881">
        <v>3</v>
      </c>
      <c r="H3881">
        <v>0.95</v>
      </c>
      <c r="I3881">
        <v>0</v>
      </c>
      <c r="J3881">
        <v>1</v>
      </c>
      <c r="K3881">
        <v>1</v>
      </c>
      <c r="L3881">
        <v>2</v>
      </c>
      <c r="M3881">
        <v>2</v>
      </c>
      <c r="N3881">
        <v>2</v>
      </c>
      <c r="P3881">
        <v>0</v>
      </c>
      <c r="Q3881">
        <v>0</v>
      </c>
      <c r="R3881">
        <v>0</v>
      </c>
      <c r="S3881">
        <v>1</v>
      </c>
    </row>
    <row r="3882" spans="1:19" hidden="1" x14ac:dyDescent="0.35">
      <c r="A3882">
        <v>7201690356</v>
      </c>
      <c r="B3882" t="s">
        <v>3882</v>
      </c>
      <c r="C3882" t="str">
        <f>_xlfn.XLOOKUP(A3882,[1]Affiliations!$J$2:$J$5328,[1]Affiliations!$K$2:$K$5328,0)</f>
        <v>Universidade do Estado do Rio de Janeiro</v>
      </c>
      <c r="D3882">
        <v>1</v>
      </c>
      <c r="E3882">
        <v>3</v>
      </c>
      <c r="F3882">
        <v>3</v>
      </c>
      <c r="G3882">
        <v>3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</v>
      </c>
      <c r="N3882">
        <v>1</v>
      </c>
      <c r="P3882">
        <v>0</v>
      </c>
      <c r="Q3882">
        <v>0</v>
      </c>
      <c r="R3882">
        <v>0</v>
      </c>
      <c r="S3882">
        <v>0</v>
      </c>
    </row>
    <row r="3883" spans="1:19" x14ac:dyDescent="0.35">
      <c r="A3883">
        <v>35240846800</v>
      </c>
      <c r="B3883" t="s">
        <v>3307</v>
      </c>
      <c r="C3883" t="str">
        <f>_xlfn.XLOOKUP(A3883,[1]Affiliations!$J$2:$J$5328,[1]Affiliations!$K$2:$K$5328,0)</f>
        <v>Universidade Federal de Minas Gerais</v>
      </c>
      <c r="D3883">
        <v>63</v>
      </c>
      <c r="E3883">
        <v>726</v>
      </c>
      <c r="F3883">
        <v>11.523809</v>
      </c>
      <c r="G3883">
        <v>21</v>
      </c>
      <c r="H3883">
        <v>0.73</v>
      </c>
      <c r="I3883">
        <v>0</v>
      </c>
      <c r="J3883">
        <v>4</v>
      </c>
      <c r="K3883">
        <v>19</v>
      </c>
      <c r="L3883">
        <v>36</v>
      </c>
      <c r="M3883">
        <v>52</v>
      </c>
      <c r="N3883">
        <v>57</v>
      </c>
      <c r="P3883">
        <v>0</v>
      </c>
      <c r="Q3883">
        <v>1</v>
      </c>
      <c r="R3883">
        <v>2</v>
      </c>
      <c r="S3883">
        <v>12</v>
      </c>
    </row>
    <row r="3884" spans="1:19" hidden="1" x14ac:dyDescent="0.35">
      <c r="A3884">
        <v>57222666358</v>
      </c>
      <c r="B3884" t="s">
        <v>3884</v>
      </c>
      <c r="C3884" t="str">
        <f>_xlfn.XLOOKUP(A3884,[1]Affiliations!$J$2:$J$5328,[1]Affiliations!$K$2:$K$5328,0)</f>
        <v>Universidade Federal de Itajubá</v>
      </c>
      <c r="D3884">
        <v>1</v>
      </c>
      <c r="E3884">
        <v>3</v>
      </c>
      <c r="F3884">
        <v>3</v>
      </c>
      <c r="G3884">
        <v>1</v>
      </c>
      <c r="H3884">
        <v>7.0000000000000007E-2</v>
      </c>
      <c r="I3884">
        <v>0</v>
      </c>
      <c r="J3884">
        <v>0</v>
      </c>
      <c r="K3884">
        <v>0</v>
      </c>
      <c r="L3884">
        <v>1</v>
      </c>
      <c r="M3884">
        <v>1</v>
      </c>
      <c r="N3884">
        <v>1</v>
      </c>
      <c r="P3884">
        <v>0</v>
      </c>
      <c r="Q3884">
        <v>0</v>
      </c>
      <c r="R3884">
        <v>0</v>
      </c>
      <c r="S3884">
        <v>0</v>
      </c>
    </row>
    <row r="3885" spans="1:19" hidden="1" x14ac:dyDescent="0.35">
      <c r="A3885">
        <v>15030411500</v>
      </c>
      <c r="B3885" t="s">
        <v>3885</v>
      </c>
      <c r="C3885" t="str">
        <f>_xlfn.XLOOKUP(A3885,[1]Affiliations!$J$2:$J$5328,[1]Affiliations!$K$2:$K$5328,0)</f>
        <v>Laboratory of Nondestructive Testing (+1 more)</v>
      </c>
      <c r="D3885">
        <v>43</v>
      </c>
      <c r="E3885">
        <v>342</v>
      </c>
      <c r="F3885">
        <v>7.9534883000000001</v>
      </c>
      <c r="G3885">
        <v>14</v>
      </c>
      <c r="H3885">
        <v>0.32</v>
      </c>
      <c r="I3885">
        <v>0</v>
      </c>
      <c r="J3885">
        <v>2</v>
      </c>
      <c r="K3885">
        <v>2</v>
      </c>
      <c r="L3885">
        <v>23</v>
      </c>
      <c r="M3885">
        <v>30</v>
      </c>
      <c r="N3885">
        <v>34</v>
      </c>
      <c r="P3885">
        <v>0</v>
      </c>
      <c r="Q3885">
        <v>0</v>
      </c>
      <c r="R3885">
        <v>0</v>
      </c>
      <c r="S3885">
        <v>6</v>
      </c>
    </row>
    <row r="3886" spans="1:19" x14ac:dyDescent="0.35">
      <c r="A3886">
        <v>6602264637</v>
      </c>
      <c r="B3886" t="s">
        <v>3331</v>
      </c>
      <c r="C3886" t="str">
        <f>_xlfn.XLOOKUP(A3886,[1]Affiliations!$J$2:$J$5328,[1]Affiliations!$K$2:$K$5328,0)</f>
        <v>Laboratório Nacional de Luz Síncrotron (LNLS)</v>
      </c>
      <c r="D3886">
        <v>31</v>
      </c>
      <c r="E3886">
        <v>543</v>
      </c>
      <c r="F3886">
        <v>17.516128999999999</v>
      </c>
      <c r="G3886">
        <v>31</v>
      </c>
      <c r="H3886">
        <v>0.73</v>
      </c>
      <c r="I3886">
        <v>0</v>
      </c>
      <c r="J3886">
        <v>4</v>
      </c>
      <c r="K3886">
        <v>17</v>
      </c>
      <c r="L3886">
        <v>25</v>
      </c>
      <c r="M3886">
        <v>28</v>
      </c>
      <c r="N3886">
        <v>29</v>
      </c>
      <c r="P3886">
        <v>0</v>
      </c>
      <c r="Q3886">
        <v>1</v>
      </c>
      <c r="R3886">
        <v>3</v>
      </c>
      <c r="S3886">
        <v>11</v>
      </c>
    </row>
    <row r="3887" spans="1:19" x14ac:dyDescent="0.35">
      <c r="A3887">
        <v>10640600000</v>
      </c>
      <c r="B3887" t="s">
        <v>3369</v>
      </c>
      <c r="C3887" t="str">
        <f>_xlfn.XLOOKUP(A3887,[1]Affiliations!$J$2:$J$5328,[1]Affiliations!$K$2:$K$5328,0)</f>
        <v>Federal University of Rio de Janeiro</v>
      </c>
      <c r="D3887">
        <v>8</v>
      </c>
      <c r="E3887">
        <v>228</v>
      </c>
      <c r="F3887">
        <v>28.5</v>
      </c>
      <c r="G3887">
        <v>9</v>
      </c>
      <c r="H3887">
        <v>0.73</v>
      </c>
      <c r="I3887">
        <v>0</v>
      </c>
      <c r="J3887">
        <v>0</v>
      </c>
      <c r="K3887">
        <v>2</v>
      </c>
      <c r="L3887">
        <v>4</v>
      </c>
      <c r="M3887">
        <v>4</v>
      </c>
      <c r="N3887">
        <v>5</v>
      </c>
      <c r="P3887">
        <v>0</v>
      </c>
      <c r="Q3887">
        <v>1</v>
      </c>
      <c r="R3887">
        <v>1</v>
      </c>
      <c r="S3887">
        <v>3</v>
      </c>
    </row>
    <row r="3888" spans="1:19" hidden="1" x14ac:dyDescent="0.35">
      <c r="A3888">
        <v>57205657248</v>
      </c>
      <c r="B3888" t="s">
        <v>3888</v>
      </c>
      <c r="C3888" t="str">
        <f>_xlfn.XLOOKUP(A3888,[1]Affiliations!$J$2:$J$5328,[1]Affiliations!$K$2:$K$5328,0)</f>
        <v>Federal University of Rio de Janeiro</v>
      </c>
      <c r="D3888">
        <v>7</v>
      </c>
      <c r="E3888">
        <v>85</v>
      </c>
      <c r="F3888">
        <v>12.142858</v>
      </c>
      <c r="G3888">
        <v>3</v>
      </c>
      <c r="H3888">
        <v>0.64</v>
      </c>
      <c r="I3888">
        <v>0</v>
      </c>
      <c r="J3888">
        <v>0</v>
      </c>
      <c r="K3888">
        <v>0</v>
      </c>
      <c r="L3888">
        <v>2</v>
      </c>
      <c r="M3888">
        <v>4</v>
      </c>
      <c r="N3888">
        <v>7</v>
      </c>
      <c r="P3888">
        <v>0</v>
      </c>
      <c r="Q3888">
        <v>0</v>
      </c>
      <c r="R3888">
        <v>1</v>
      </c>
      <c r="S3888">
        <v>2</v>
      </c>
    </row>
    <row r="3889" spans="1:19" hidden="1" x14ac:dyDescent="0.35">
      <c r="A3889">
        <v>55426278300</v>
      </c>
      <c r="B3889" t="s">
        <v>3889</v>
      </c>
      <c r="C3889" t="str">
        <f>_xlfn.XLOOKUP(A3889,[1]Affiliations!$J$2:$J$5328,[1]Affiliations!$K$2:$K$5328,0)</f>
        <v>Universidade Federal da Bahia (+1 more)</v>
      </c>
      <c r="D3889">
        <v>8</v>
      </c>
      <c r="E3889">
        <v>91</v>
      </c>
      <c r="F3889">
        <v>11.375</v>
      </c>
      <c r="G3889">
        <v>9</v>
      </c>
      <c r="H3889">
        <v>0.91</v>
      </c>
      <c r="I3889">
        <v>0</v>
      </c>
      <c r="J3889">
        <v>1</v>
      </c>
      <c r="K3889">
        <v>2</v>
      </c>
      <c r="L3889">
        <v>4</v>
      </c>
      <c r="M3889">
        <v>6</v>
      </c>
      <c r="N3889">
        <v>8</v>
      </c>
      <c r="P3889">
        <v>0</v>
      </c>
      <c r="Q3889">
        <v>0</v>
      </c>
      <c r="R3889">
        <v>0</v>
      </c>
      <c r="S3889">
        <v>3</v>
      </c>
    </row>
    <row r="3890" spans="1:19" hidden="1" x14ac:dyDescent="0.35">
      <c r="A3890">
        <v>57191536997</v>
      </c>
      <c r="B3890" t="s">
        <v>3890</v>
      </c>
      <c r="C3890" t="str">
        <f>_xlfn.XLOOKUP(A3890,[1]Affiliations!$J$2:$J$5328,[1]Affiliations!$K$2:$K$5328,0)</f>
        <v>Federal University of Rio de Janeiro</v>
      </c>
      <c r="D3890">
        <v>6</v>
      </c>
      <c r="E3890">
        <v>86</v>
      </c>
      <c r="F3890">
        <v>14.333333</v>
      </c>
      <c r="G3890">
        <v>5</v>
      </c>
      <c r="H3890">
        <v>0.75</v>
      </c>
      <c r="I3890">
        <v>0</v>
      </c>
      <c r="J3890">
        <v>1</v>
      </c>
      <c r="K3890">
        <v>2</v>
      </c>
      <c r="L3890">
        <v>5</v>
      </c>
      <c r="M3890">
        <v>6</v>
      </c>
      <c r="N3890">
        <v>6</v>
      </c>
      <c r="P3890">
        <v>0</v>
      </c>
      <c r="Q3890">
        <v>0</v>
      </c>
      <c r="R3890">
        <v>0</v>
      </c>
      <c r="S3890">
        <v>2</v>
      </c>
    </row>
    <row r="3891" spans="1:19" x14ac:dyDescent="0.35">
      <c r="A3891">
        <v>7005511944</v>
      </c>
      <c r="B3891" t="s">
        <v>3535</v>
      </c>
      <c r="C3891" t="str">
        <f>_xlfn.XLOOKUP(A3891,[1]Affiliations!$J$2:$J$5328,[1]Affiliations!$K$2:$K$5328,0)</f>
        <v>Universidade de São Paulo</v>
      </c>
      <c r="D3891">
        <v>96</v>
      </c>
      <c r="E3891">
        <v>1732</v>
      </c>
      <c r="F3891">
        <v>18.041665999999999</v>
      </c>
      <c r="G3891">
        <v>35</v>
      </c>
      <c r="H3891">
        <v>0.73</v>
      </c>
      <c r="I3891">
        <v>3</v>
      </c>
      <c r="J3891">
        <v>16</v>
      </c>
      <c r="K3891">
        <v>25</v>
      </c>
      <c r="L3891">
        <v>52</v>
      </c>
      <c r="M3891">
        <v>73</v>
      </c>
      <c r="N3891">
        <v>84</v>
      </c>
      <c r="P3891">
        <v>1</v>
      </c>
      <c r="Q3891">
        <v>3</v>
      </c>
      <c r="R3891">
        <v>8</v>
      </c>
      <c r="S3891">
        <v>39</v>
      </c>
    </row>
    <row r="3892" spans="1:19" x14ac:dyDescent="0.35">
      <c r="A3892">
        <v>55314519400</v>
      </c>
      <c r="B3892" t="s">
        <v>3719</v>
      </c>
      <c r="C3892" t="str">
        <f>_xlfn.XLOOKUP(A3892,[1]Affiliations!$J$2:$J$5328,[1]Affiliations!$K$2:$K$5328,0)</f>
        <v>Federal University of Rio de Janeiro</v>
      </c>
      <c r="D3892">
        <v>23</v>
      </c>
      <c r="E3892">
        <v>444</v>
      </c>
      <c r="F3892">
        <v>19.304348000000001</v>
      </c>
      <c r="G3892">
        <v>14</v>
      </c>
      <c r="H3892">
        <v>0.73</v>
      </c>
      <c r="I3892">
        <v>0</v>
      </c>
      <c r="J3892">
        <v>4</v>
      </c>
      <c r="K3892">
        <v>6</v>
      </c>
      <c r="L3892">
        <v>12</v>
      </c>
      <c r="M3892">
        <v>21</v>
      </c>
      <c r="N3892">
        <v>22</v>
      </c>
      <c r="P3892">
        <v>0</v>
      </c>
      <c r="Q3892">
        <v>0</v>
      </c>
      <c r="R3892">
        <v>3</v>
      </c>
      <c r="S3892">
        <v>10</v>
      </c>
    </row>
    <row r="3893" spans="1:19" x14ac:dyDescent="0.35">
      <c r="A3893">
        <v>55260249800</v>
      </c>
      <c r="B3893" t="s">
        <v>3877</v>
      </c>
      <c r="C3893" t="str">
        <f>_xlfn.XLOOKUP(A3893,[1]Affiliations!$J$2:$J$5328,[1]Affiliations!$K$2:$K$5328,0)</f>
        <v>Universidade Federal de Viçosa</v>
      </c>
      <c r="D3893">
        <v>12</v>
      </c>
      <c r="E3893">
        <v>188</v>
      </c>
      <c r="F3893">
        <v>15.666667</v>
      </c>
      <c r="G3893">
        <v>8</v>
      </c>
      <c r="H3893">
        <v>0.73</v>
      </c>
      <c r="I3893">
        <v>0</v>
      </c>
      <c r="J3893">
        <v>2</v>
      </c>
      <c r="K3893">
        <v>2</v>
      </c>
      <c r="L3893">
        <v>5</v>
      </c>
      <c r="M3893">
        <v>6</v>
      </c>
      <c r="N3893">
        <v>11</v>
      </c>
      <c r="P3893">
        <v>0</v>
      </c>
      <c r="Q3893">
        <v>0</v>
      </c>
      <c r="R3893">
        <v>1</v>
      </c>
      <c r="S3893">
        <v>4</v>
      </c>
    </row>
    <row r="3894" spans="1:19" hidden="1" x14ac:dyDescent="0.35">
      <c r="A3894">
        <v>57215696150</v>
      </c>
      <c r="B3894" t="s">
        <v>3894</v>
      </c>
      <c r="C3894" t="str">
        <f>_xlfn.XLOOKUP(A3894,[1]Affiliations!$J$2:$J$5328,[1]Affiliations!$K$2:$K$5328,0)</f>
        <v>Federal University of Rio de Janeiro</v>
      </c>
      <c r="D3894">
        <v>4</v>
      </c>
      <c r="E3894">
        <v>104</v>
      </c>
      <c r="F3894">
        <v>26</v>
      </c>
      <c r="G3894">
        <v>4</v>
      </c>
      <c r="H3894">
        <v>1.01</v>
      </c>
      <c r="I3894">
        <v>0</v>
      </c>
      <c r="J3894">
        <v>0</v>
      </c>
      <c r="K3894">
        <v>1</v>
      </c>
      <c r="L3894">
        <v>2</v>
      </c>
      <c r="M3894">
        <v>4</v>
      </c>
      <c r="N3894">
        <v>4</v>
      </c>
      <c r="P3894">
        <v>0</v>
      </c>
      <c r="Q3894">
        <v>0</v>
      </c>
      <c r="R3894">
        <v>1</v>
      </c>
      <c r="S3894">
        <v>3</v>
      </c>
    </row>
    <row r="3895" spans="1:19" x14ac:dyDescent="0.35">
      <c r="A3895">
        <v>56281452000</v>
      </c>
      <c r="B3895" t="s">
        <v>4013</v>
      </c>
      <c r="C3895" t="str">
        <f>_xlfn.XLOOKUP(A3895,[1]Affiliations!$J$2:$J$5328,[1]Affiliations!$K$2:$K$5328,0)</f>
        <v>Universidade Tiradentes</v>
      </c>
      <c r="D3895">
        <v>15</v>
      </c>
      <c r="E3895">
        <v>245</v>
      </c>
      <c r="F3895">
        <v>16.333334000000001</v>
      </c>
      <c r="G3895">
        <v>9</v>
      </c>
      <c r="H3895">
        <v>0.73</v>
      </c>
      <c r="I3895">
        <v>0</v>
      </c>
      <c r="J3895">
        <v>1</v>
      </c>
      <c r="K3895">
        <v>2</v>
      </c>
      <c r="L3895">
        <v>9</v>
      </c>
      <c r="M3895">
        <v>13</v>
      </c>
      <c r="N3895">
        <v>15</v>
      </c>
      <c r="P3895">
        <v>0</v>
      </c>
      <c r="Q3895">
        <v>0</v>
      </c>
      <c r="R3895">
        <v>2</v>
      </c>
      <c r="S3895">
        <v>4</v>
      </c>
    </row>
    <row r="3896" spans="1:19" hidden="1" x14ac:dyDescent="0.35">
      <c r="A3896">
        <v>58496877500</v>
      </c>
      <c r="B3896" t="s">
        <v>3896</v>
      </c>
      <c r="C3896" t="str">
        <f>_xlfn.XLOOKUP(A3896,[1]Affiliations!$J$2:$J$5328,[1]Affiliations!$K$2:$K$5328,0)</f>
        <v>Pontifícia Universidade Católica do Rio Grande do Sul</v>
      </c>
      <c r="D3896">
        <v>4</v>
      </c>
      <c r="E3896">
        <v>40</v>
      </c>
      <c r="F3896">
        <v>10</v>
      </c>
      <c r="G3896">
        <v>3</v>
      </c>
      <c r="H3896">
        <v>0.3</v>
      </c>
      <c r="I3896">
        <v>0</v>
      </c>
      <c r="J3896">
        <v>0</v>
      </c>
      <c r="K3896">
        <v>1</v>
      </c>
      <c r="L3896">
        <v>1</v>
      </c>
      <c r="M3896">
        <v>3</v>
      </c>
      <c r="N3896">
        <v>4</v>
      </c>
      <c r="P3896">
        <v>0</v>
      </c>
      <c r="Q3896">
        <v>0</v>
      </c>
      <c r="R3896">
        <v>0</v>
      </c>
      <c r="S3896">
        <v>0</v>
      </c>
    </row>
    <row r="3897" spans="1:19" hidden="1" x14ac:dyDescent="0.35">
      <c r="A3897">
        <v>57245777900</v>
      </c>
      <c r="B3897" t="s">
        <v>3897</v>
      </c>
      <c r="C3897" t="str">
        <f>_xlfn.XLOOKUP(A3897,[1]Affiliations!$J$2:$J$5328,[1]Affiliations!$K$2:$K$5328,0)</f>
        <v>Universidade Federal do Rio Grande do Sul</v>
      </c>
      <c r="D3897">
        <v>1</v>
      </c>
      <c r="E3897">
        <v>5</v>
      </c>
      <c r="F3897">
        <v>5</v>
      </c>
      <c r="G3897">
        <v>1</v>
      </c>
      <c r="H3897">
        <v>0.36</v>
      </c>
      <c r="I3897">
        <v>0</v>
      </c>
      <c r="J3897">
        <v>0</v>
      </c>
      <c r="K3897">
        <v>1</v>
      </c>
      <c r="L3897">
        <v>1</v>
      </c>
      <c r="M3897">
        <v>1</v>
      </c>
      <c r="N3897">
        <v>1</v>
      </c>
      <c r="P3897">
        <v>0</v>
      </c>
      <c r="Q3897">
        <v>0</v>
      </c>
      <c r="R3897">
        <v>0</v>
      </c>
      <c r="S3897">
        <v>0</v>
      </c>
    </row>
    <row r="3898" spans="1:19" hidden="1" x14ac:dyDescent="0.35">
      <c r="A3898">
        <v>57206584762</v>
      </c>
      <c r="B3898" t="s">
        <v>3898</v>
      </c>
      <c r="C3898" t="str">
        <f>_xlfn.XLOOKUP(A3898,[1]Affiliations!$J$2:$J$5328,[1]Affiliations!$K$2:$K$5328,0)</f>
        <v>Universidade Federal da Bahia</v>
      </c>
      <c r="D3898">
        <v>5</v>
      </c>
      <c r="E3898">
        <v>23</v>
      </c>
      <c r="F3898">
        <v>4.5999999999999996</v>
      </c>
      <c r="G3898">
        <v>3</v>
      </c>
      <c r="H3898">
        <v>0.25</v>
      </c>
      <c r="I3898">
        <v>0</v>
      </c>
      <c r="J3898">
        <v>0</v>
      </c>
      <c r="K3898">
        <v>0</v>
      </c>
      <c r="L3898">
        <v>2</v>
      </c>
      <c r="M3898">
        <v>3</v>
      </c>
      <c r="N3898">
        <v>4</v>
      </c>
      <c r="P3898">
        <v>0</v>
      </c>
      <c r="Q3898">
        <v>0</v>
      </c>
      <c r="R3898">
        <v>0</v>
      </c>
      <c r="S3898">
        <v>0</v>
      </c>
    </row>
    <row r="3899" spans="1:19" x14ac:dyDescent="0.35">
      <c r="A3899">
        <v>36905262800</v>
      </c>
      <c r="B3899" t="s">
        <v>4184</v>
      </c>
      <c r="C3899" t="str">
        <f>_xlfn.XLOOKUP(A3899,[1]Affiliations!$J$2:$J$5328,[1]Affiliations!$K$2:$K$5328,0)</f>
        <v>Instituto Tecnológico da Aeronáutica</v>
      </c>
      <c r="D3899">
        <v>26</v>
      </c>
      <c r="E3899">
        <v>335</v>
      </c>
      <c r="F3899">
        <v>12.884615</v>
      </c>
      <c r="G3899">
        <v>13</v>
      </c>
      <c r="H3899">
        <v>0.73</v>
      </c>
      <c r="I3899">
        <v>0</v>
      </c>
      <c r="J3899">
        <v>0</v>
      </c>
      <c r="K3899">
        <v>6</v>
      </c>
      <c r="L3899">
        <v>18</v>
      </c>
      <c r="M3899">
        <v>21</v>
      </c>
      <c r="N3899">
        <v>22</v>
      </c>
      <c r="P3899">
        <v>0</v>
      </c>
      <c r="Q3899">
        <v>0</v>
      </c>
      <c r="R3899">
        <v>1</v>
      </c>
      <c r="S3899">
        <v>9</v>
      </c>
    </row>
    <row r="3900" spans="1:19" hidden="1" x14ac:dyDescent="0.35">
      <c r="A3900">
        <v>7401842607</v>
      </c>
      <c r="B3900" t="s">
        <v>3900</v>
      </c>
      <c r="C3900" t="str">
        <f>_xlfn.XLOOKUP(A3900,[1]Affiliations!$J$2:$J$5328,[1]Affiliations!$K$2:$K$5328,0)</f>
        <v>Federal University of Rio de Janeiro (+1 more)</v>
      </c>
      <c r="D3900">
        <v>39</v>
      </c>
      <c r="E3900">
        <v>380</v>
      </c>
      <c r="F3900">
        <v>9.7435890000000001</v>
      </c>
      <c r="G3900">
        <v>21</v>
      </c>
      <c r="H3900">
        <v>0.3</v>
      </c>
      <c r="I3900">
        <v>2</v>
      </c>
      <c r="J3900">
        <v>4</v>
      </c>
      <c r="K3900">
        <v>14</v>
      </c>
      <c r="L3900">
        <v>27</v>
      </c>
      <c r="M3900">
        <v>34</v>
      </c>
      <c r="N3900">
        <v>36</v>
      </c>
      <c r="P3900">
        <v>0</v>
      </c>
      <c r="Q3900">
        <v>0</v>
      </c>
      <c r="R3900">
        <v>0</v>
      </c>
      <c r="S3900">
        <v>2</v>
      </c>
    </row>
    <row r="3901" spans="1:19" hidden="1" x14ac:dyDescent="0.35">
      <c r="A3901">
        <v>56155076300</v>
      </c>
      <c r="B3901" t="s">
        <v>3901</v>
      </c>
      <c r="C3901" t="str">
        <f>_xlfn.XLOOKUP(A3901,[1]Affiliations!$J$2:$J$5328,[1]Affiliations!$K$2:$K$5328,0)</f>
        <v>University of Campinas</v>
      </c>
      <c r="D3901">
        <v>20</v>
      </c>
      <c r="E3901">
        <v>114</v>
      </c>
      <c r="F3901">
        <v>5.7</v>
      </c>
      <c r="G3901">
        <v>5</v>
      </c>
      <c r="H3901">
        <v>0.61</v>
      </c>
      <c r="I3901">
        <v>0</v>
      </c>
      <c r="J3901">
        <v>0</v>
      </c>
      <c r="K3901">
        <v>1</v>
      </c>
      <c r="L3901">
        <v>2</v>
      </c>
      <c r="M3901">
        <v>6</v>
      </c>
      <c r="N3901">
        <v>9</v>
      </c>
      <c r="P3901">
        <v>0</v>
      </c>
      <c r="Q3901">
        <v>0</v>
      </c>
      <c r="R3901">
        <v>0</v>
      </c>
      <c r="S3901">
        <v>3</v>
      </c>
    </row>
    <row r="3902" spans="1:19" hidden="1" x14ac:dyDescent="0.35">
      <c r="A3902">
        <v>56403864900</v>
      </c>
      <c r="B3902" t="s">
        <v>3902</v>
      </c>
      <c r="C3902" t="str">
        <f>_xlfn.XLOOKUP(A3902,[1]Affiliations!$J$2:$J$5328,[1]Affiliations!$K$2:$K$5328,0)</f>
        <v>Federal University of Santa Catarina</v>
      </c>
      <c r="D3902">
        <v>0</v>
      </c>
      <c r="G3902">
        <v>1</v>
      </c>
    </row>
    <row r="3903" spans="1:19" x14ac:dyDescent="0.35">
      <c r="A3903">
        <v>56113385300</v>
      </c>
      <c r="B3903" t="s">
        <v>4257</v>
      </c>
      <c r="C3903" t="str">
        <f>_xlfn.XLOOKUP(A3903,[1]Affiliations!$J$2:$J$5328,[1]Affiliations!$K$2:$K$5328,0)</f>
        <v>DEMa</v>
      </c>
      <c r="D3903">
        <v>16</v>
      </c>
      <c r="E3903">
        <v>176</v>
      </c>
      <c r="F3903">
        <v>11</v>
      </c>
      <c r="G3903">
        <v>8</v>
      </c>
      <c r="H3903">
        <v>0.73</v>
      </c>
      <c r="I3903">
        <v>0</v>
      </c>
      <c r="J3903">
        <v>2</v>
      </c>
      <c r="K3903">
        <v>6</v>
      </c>
      <c r="L3903">
        <v>9</v>
      </c>
      <c r="M3903">
        <v>15</v>
      </c>
      <c r="N3903">
        <v>16</v>
      </c>
      <c r="P3903">
        <v>0</v>
      </c>
      <c r="Q3903">
        <v>0</v>
      </c>
      <c r="R3903">
        <v>1</v>
      </c>
      <c r="S3903">
        <v>4</v>
      </c>
    </row>
    <row r="3904" spans="1:19" x14ac:dyDescent="0.35">
      <c r="A3904">
        <v>57189576681</v>
      </c>
      <c r="B3904" t="s">
        <v>4309</v>
      </c>
      <c r="C3904" t="str">
        <f>_xlfn.XLOOKUP(A3904,[1]Affiliations!$J$2:$J$5328,[1]Affiliations!$K$2:$K$5328,0)</f>
        <v>Fluminense Federal Institute - IFF</v>
      </c>
      <c r="D3904">
        <v>10</v>
      </c>
      <c r="E3904">
        <v>201</v>
      </c>
      <c r="F3904">
        <v>20.100000000000001</v>
      </c>
      <c r="G3904">
        <v>9</v>
      </c>
      <c r="H3904">
        <v>0.73</v>
      </c>
      <c r="I3904">
        <v>0</v>
      </c>
      <c r="J3904">
        <v>2</v>
      </c>
      <c r="K3904">
        <v>2</v>
      </c>
      <c r="L3904">
        <v>5</v>
      </c>
      <c r="M3904">
        <v>7</v>
      </c>
      <c r="N3904">
        <v>9</v>
      </c>
      <c r="P3904">
        <v>0</v>
      </c>
      <c r="Q3904">
        <v>0</v>
      </c>
      <c r="R3904">
        <v>1</v>
      </c>
      <c r="S3904">
        <v>4</v>
      </c>
    </row>
    <row r="3905" spans="1:19" hidden="1" x14ac:dyDescent="0.35">
      <c r="A3905">
        <v>59234253400</v>
      </c>
      <c r="B3905" t="s">
        <v>3905</v>
      </c>
      <c r="C3905" t="str">
        <f>_xlfn.XLOOKUP(A3905,[1]Affiliations!$J$2:$J$5328,[1]Affiliations!$K$2:$K$5328,0)</f>
        <v>Universidade Federal do Ceará</v>
      </c>
      <c r="D3905">
        <v>1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1</v>
      </c>
      <c r="N3905">
        <v>1</v>
      </c>
      <c r="P3905">
        <v>0</v>
      </c>
      <c r="Q3905">
        <v>0</v>
      </c>
      <c r="R3905">
        <v>0</v>
      </c>
      <c r="S3905">
        <v>0</v>
      </c>
    </row>
    <row r="3906" spans="1:19" hidden="1" x14ac:dyDescent="0.35">
      <c r="A3906">
        <v>57219613120</v>
      </c>
      <c r="B3906" t="s">
        <v>3906</v>
      </c>
      <c r="C3906" t="str">
        <f>_xlfn.XLOOKUP(A3906,[1]Affiliations!$J$2:$J$5328,[1]Affiliations!$K$2:$K$5328,0)</f>
        <v>Universidade Tecnológica Federal do Paraná</v>
      </c>
      <c r="D3906">
        <v>4</v>
      </c>
      <c r="E3906">
        <v>6</v>
      </c>
      <c r="F3906">
        <v>1.5</v>
      </c>
      <c r="G3906">
        <v>1</v>
      </c>
      <c r="H3906">
        <v>0.06</v>
      </c>
      <c r="I3906">
        <v>0</v>
      </c>
      <c r="J3906">
        <v>0</v>
      </c>
      <c r="K3906">
        <v>1</v>
      </c>
      <c r="L3906">
        <v>2</v>
      </c>
      <c r="M3906">
        <v>2</v>
      </c>
      <c r="N3906">
        <v>2</v>
      </c>
      <c r="P3906">
        <v>0</v>
      </c>
      <c r="Q3906">
        <v>0</v>
      </c>
      <c r="R3906">
        <v>0</v>
      </c>
      <c r="S3906">
        <v>0</v>
      </c>
    </row>
    <row r="3907" spans="1:19" x14ac:dyDescent="0.35">
      <c r="A3907">
        <v>6602901601</v>
      </c>
      <c r="B3907" t="s">
        <v>4393</v>
      </c>
      <c r="C3907" t="str">
        <f>_xlfn.XLOOKUP(A3907,[1]Affiliations!$J$2:$J$5328,[1]Affiliations!$K$2:$K$5328,0)</f>
        <v>Pontifical Catholic University of Rio de Janeiro</v>
      </c>
      <c r="D3907">
        <v>91</v>
      </c>
      <c r="E3907">
        <v>1420</v>
      </c>
      <c r="F3907">
        <v>15.604395999999999</v>
      </c>
      <c r="G3907">
        <v>29</v>
      </c>
      <c r="H3907">
        <v>0.73</v>
      </c>
      <c r="I3907">
        <v>0</v>
      </c>
      <c r="J3907">
        <v>25</v>
      </c>
      <c r="K3907">
        <v>37</v>
      </c>
      <c r="L3907">
        <v>61</v>
      </c>
      <c r="M3907">
        <v>85</v>
      </c>
      <c r="N3907">
        <v>86</v>
      </c>
      <c r="P3907">
        <v>0</v>
      </c>
      <c r="Q3907">
        <v>2</v>
      </c>
      <c r="R3907">
        <v>5</v>
      </c>
      <c r="S3907">
        <v>35</v>
      </c>
    </row>
    <row r="3908" spans="1:19" hidden="1" x14ac:dyDescent="0.35">
      <c r="A3908">
        <v>56393836600</v>
      </c>
      <c r="B3908" t="s">
        <v>3908</v>
      </c>
      <c r="C3908" t="str">
        <f>_xlfn.XLOOKUP(A3908,[1]Affiliations!$J$2:$J$5328,[1]Affiliations!$K$2:$K$5328,0)</f>
        <v>Universidade Federal do Rio Grande do Norte (+2 more)</v>
      </c>
      <c r="D3908">
        <v>12</v>
      </c>
      <c r="E3908">
        <v>110</v>
      </c>
      <c r="F3908">
        <v>9.1666670000000003</v>
      </c>
      <c r="G3908">
        <v>7</v>
      </c>
      <c r="H3908">
        <v>1.1100000000000001</v>
      </c>
      <c r="I3908">
        <v>0</v>
      </c>
      <c r="J3908">
        <v>0</v>
      </c>
      <c r="K3908">
        <v>5</v>
      </c>
      <c r="L3908">
        <v>8</v>
      </c>
      <c r="M3908">
        <v>8</v>
      </c>
      <c r="N3908">
        <v>8</v>
      </c>
      <c r="P3908">
        <v>0</v>
      </c>
      <c r="Q3908">
        <v>0</v>
      </c>
      <c r="R3908">
        <v>0</v>
      </c>
      <c r="S3908">
        <v>1</v>
      </c>
    </row>
    <row r="3909" spans="1:19" hidden="1" x14ac:dyDescent="0.35">
      <c r="A3909">
        <v>56708094900</v>
      </c>
      <c r="B3909" t="s">
        <v>3909</v>
      </c>
      <c r="C3909" t="str">
        <f>_xlfn.XLOOKUP(A3909,[1]Affiliations!$J$2:$J$5328,[1]Affiliations!$K$2:$K$5328,0)</f>
        <v>Universidade Federal Rural de Pernambuco</v>
      </c>
      <c r="D3909">
        <v>12</v>
      </c>
      <c r="E3909">
        <v>213</v>
      </c>
      <c r="F3909">
        <v>17.75</v>
      </c>
      <c r="G3909">
        <v>8</v>
      </c>
      <c r="H3909">
        <v>1.18</v>
      </c>
      <c r="I3909">
        <v>0</v>
      </c>
      <c r="J3909">
        <v>0</v>
      </c>
      <c r="K3909">
        <v>0</v>
      </c>
      <c r="L3909">
        <v>0</v>
      </c>
      <c r="M3909">
        <v>5</v>
      </c>
      <c r="N3909">
        <v>6</v>
      </c>
      <c r="P3909">
        <v>0</v>
      </c>
      <c r="Q3909">
        <v>0</v>
      </c>
      <c r="R3909">
        <v>1</v>
      </c>
      <c r="S3909">
        <v>6</v>
      </c>
    </row>
    <row r="3910" spans="1:19" hidden="1" x14ac:dyDescent="0.35">
      <c r="A3910">
        <v>57220035301</v>
      </c>
      <c r="B3910" t="s">
        <v>3910</v>
      </c>
      <c r="C3910" t="str">
        <f>_xlfn.XLOOKUP(A3910,[1]Affiliations!$J$2:$J$5328,[1]Affiliations!$K$2:$K$5328,0)</f>
        <v>Universidade Federal Fluminense (+1 more)</v>
      </c>
      <c r="D3910">
        <v>1</v>
      </c>
      <c r="E3910">
        <v>10</v>
      </c>
      <c r="F3910">
        <v>10</v>
      </c>
      <c r="G3910">
        <v>1</v>
      </c>
      <c r="H3910">
        <v>0.35</v>
      </c>
      <c r="I3910">
        <v>0</v>
      </c>
      <c r="J3910">
        <v>1</v>
      </c>
      <c r="K3910">
        <v>1</v>
      </c>
      <c r="L3910">
        <v>1</v>
      </c>
      <c r="M3910">
        <v>1</v>
      </c>
      <c r="N3910">
        <v>1</v>
      </c>
      <c r="P3910">
        <v>0</v>
      </c>
      <c r="Q3910">
        <v>0</v>
      </c>
      <c r="R3910">
        <v>0</v>
      </c>
      <c r="S3910">
        <v>0</v>
      </c>
    </row>
    <row r="3911" spans="1:19" hidden="1" x14ac:dyDescent="0.35">
      <c r="A3911">
        <v>55536967400</v>
      </c>
      <c r="B3911" t="s">
        <v>3911</v>
      </c>
      <c r="C3911" t="str">
        <f>_xlfn.XLOOKUP(A3911,[1]Affiliations!$J$2:$J$5328,[1]Affiliations!$K$2:$K$5328,0)</f>
        <v>Universidade Federal do Espírito Santo</v>
      </c>
      <c r="D3911">
        <v>5</v>
      </c>
      <c r="E3911">
        <v>30</v>
      </c>
      <c r="F3911">
        <v>6</v>
      </c>
      <c r="G3911">
        <v>10</v>
      </c>
      <c r="H3911">
        <v>0.56999999999999995</v>
      </c>
      <c r="I3911">
        <v>0</v>
      </c>
      <c r="J3911">
        <v>2</v>
      </c>
      <c r="K3911">
        <v>2</v>
      </c>
      <c r="L3911">
        <v>3</v>
      </c>
      <c r="M3911">
        <v>3</v>
      </c>
      <c r="N3911">
        <v>4</v>
      </c>
      <c r="P3911">
        <v>0</v>
      </c>
      <c r="Q3911">
        <v>0</v>
      </c>
      <c r="R3911">
        <v>0</v>
      </c>
      <c r="S3911">
        <v>0</v>
      </c>
    </row>
    <row r="3912" spans="1:19" x14ac:dyDescent="0.35">
      <c r="A3912">
        <v>55486051100</v>
      </c>
      <c r="B3912" t="s">
        <v>4477</v>
      </c>
      <c r="C3912" t="str">
        <f>_xlfn.XLOOKUP(A3912,[1]Affiliations!$J$2:$J$5328,[1]Affiliations!$K$2:$K$5328,0)</f>
        <v>Universidade Tecnológica Federal do Paraná</v>
      </c>
      <c r="D3912">
        <v>34</v>
      </c>
      <c r="E3912">
        <v>494</v>
      </c>
      <c r="F3912">
        <v>14.529411</v>
      </c>
      <c r="G3912">
        <v>14</v>
      </c>
      <c r="H3912">
        <v>0.73</v>
      </c>
      <c r="I3912">
        <v>0</v>
      </c>
      <c r="J3912">
        <v>2</v>
      </c>
      <c r="K3912">
        <v>9</v>
      </c>
      <c r="L3912">
        <v>21</v>
      </c>
      <c r="M3912">
        <v>23</v>
      </c>
      <c r="N3912">
        <v>25</v>
      </c>
      <c r="P3912">
        <v>0</v>
      </c>
      <c r="Q3912">
        <v>3</v>
      </c>
      <c r="R3912">
        <v>3</v>
      </c>
      <c r="S3912">
        <v>12</v>
      </c>
    </row>
    <row r="3913" spans="1:19" x14ac:dyDescent="0.35">
      <c r="A3913">
        <v>6603358696</v>
      </c>
      <c r="B3913" t="s">
        <v>4936</v>
      </c>
      <c r="C3913" t="str">
        <f>_xlfn.XLOOKUP(A3913,[1]Affiliations!$J$2:$J$5328,[1]Affiliations!$K$2:$K$5328,0)</f>
        <v>Universidade de São Paulo (+1 more)</v>
      </c>
      <c r="D3913">
        <v>80</v>
      </c>
      <c r="E3913">
        <v>484</v>
      </c>
      <c r="F3913">
        <v>6.05</v>
      </c>
      <c r="G3913">
        <v>19</v>
      </c>
      <c r="H3913">
        <v>0.73</v>
      </c>
      <c r="I3913">
        <v>0</v>
      </c>
      <c r="J3913">
        <v>0</v>
      </c>
      <c r="K3913">
        <v>4</v>
      </c>
      <c r="L3913">
        <v>19</v>
      </c>
      <c r="M3913">
        <v>31</v>
      </c>
      <c r="N3913">
        <v>63</v>
      </c>
      <c r="P3913">
        <v>0</v>
      </c>
      <c r="Q3913">
        <v>0</v>
      </c>
      <c r="R3913">
        <v>1</v>
      </c>
      <c r="S3913">
        <v>6</v>
      </c>
    </row>
    <row r="3914" spans="1:19" hidden="1" x14ac:dyDescent="0.35">
      <c r="A3914">
        <v>58729006000</v>
      </c>
      <c r="B3914" t="s">
        <v>3914</v>
      </c>
      <c r="C3914" t="str">
        <f>_xlfn.XLOOKUP(A3914,[1]Affiliations!$J$2:$J$5328,[1]Affiliations!$K$2:$K$5328,0)</f>
        <v>Radiopharmacy Committee</v>
      </c>
      <c r="D3914">
        <v>1</v>
      </c>
      <c r="E3914">
        <v>2</v>
      </c>
      <c r="F3914">
        <v>2</v>
      </c>
      <c r="G3914">
        <v>1</v>
      </c>
      <c r="H3914">
        <v>0.15</v>
      </c>
      <c r="I3914">
        <v>0</v>
      </c>
      <c r="J3914">
        <v>0</v>
      </c>
      <c r="K3914">
        <v>0</v>
      </c>
      <c r="L3914">
        <v>1</v>
      </c>
      <c r="M3914">
        <v>1</v>
      </c>
      <c r="N3914">
        <v>1</v>
      </c>
      <c r="P3914">
        <v>0</v>
      </c>
      <c r="Q3914">
        <v>0</v>
      </c>
      <c r="R3914">
        <v>0</v>
      </c>
      <c r="S3914">
        <v>0</v>
      </c>
    </row>
    <row r="3915" spans="1:19" hidden="1" x14ac:dyDescent="0.35">
      <c r="A3915">
        <v>55256877200</v>
      </c>
      <c r="B3915" t="s">
        <v>3915</v>
      </c>
      <c r="C3915" t="str">
        <f>_xlfn.XLOOKUP(A3915,[1]Affiliations!$J$2:$J$5328,[1]Affiliations!$K$2:$K$5328,0)</f>
        <v>Universidade Federal Rural do Rio de Janeiro</v>
      </c>
      <c r="D3915">
        <v>12</v>
      </c>
      <c r="E3915">
        <v>284</v>
      </c>
      <c r="F3915">
        <v>23.666665999999999</v>
      </c>
      <c r="G3915">
        <v>13</v>
      </c>
      <c r="H3915">
        <v>1.1100000000000001</v>
      </c>
      <c r="I3915">
        <v>1</v>
      </c>
      <c r="J3915">
        <v>1</v>
      </c>
      <c r="K3915">
        <v>2</v>
      </c>
      <c r="L3915">
        <v>4</v>
      </c>
      <c r="M3915">
        <v>9</v>
      </c>
      <c r="N3915">
        <v>12</v>
      </c>
      <c r="P3915">
        <v>0</v>
      </c>
      <c r="Q3915">
        <v>0</v>
      </c>
      <c r="R3915">
        <v>0</v>
      </c>
      <c r="S3915">
        <v>6</v>
      </c>
    </row>
    <row r="3916" spans="1:19" hidden="1" x14ac:dyDescent="0.35">
      <c r="A3916">
        <v>57221280437</v>
      </c>
      <c r="B3916" t="s">
        <v>3916</v>
      </c>
      <c r="C3916" t="str">
        <f>_xlfn.XLOOKUP(A3916,[1]Affiliations!$J$2:$J$5328,[1]Affiliations!$K$2:$K$5328,0)</f>
        <v>Pontifical Catholic University of Rio de Janeiro</v>
      </c>
      <c r="D3916">
        <v>1</v>
      </c>
      <c r="E3916">
        <v>35</v>
      </c>
      <c r="F3916">
        <v>35</v>
      </c>
      <c r="G3916">
        <v>1</v>
      </c>
      <c r="H3916">
        <v>2.14</v>
      </c>
      <c r="I3916">
        <v>0</v>
      </c>
      <c r="J3916">
        <v>1</v>
      </c>
      <c r="K3916">
        <v>1</v>
      </c>
      <c r="L3916">
        <v>1</v>
      </c>
      <c r="M3916">
        <v>1</v>
      </c>
      <c r="N3916">
        <v>1</v>
      </c>
      <c r="P3916">
        <v>0</v>
      </c>
      <c r="Q3916">
        <v>0</v>
      </c>
      <c r="R3916">
        <v>1</v>
      </c>
      <c r="S3916">
        <v>1</v>
      </c>
    </row>
    <row r="3917" spans="1:19" hidden="1" x14ac:dyDescent="0.35">
      <c r="A3917">
        <v>56902644700</v>
      </c>
      <c r="B3917" t="s">
        <v>3917</v>
      </c>
      <c r="C3917" t="str">
        <f>_xlfn.XLOOKUP(A3917,[1]Affiliations!$J$2:$J$5328,[1]Affiliations!$K$2:$K$5328,0)</f>
        <v>Universidade Federal do Amazonas</v>
      </c>
      <c r="D3917">
        <v>1</v>
      </c>
      <c r="E3917">
        <v>19</v>
      </c>
      <c r="F3917">
        <v>19</v>
      </c>
      <c r="G3917">
        <v>1</v>
      </c>
      <c r="H3917">
        <v>0.59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</v>
      </c>
      <c r="P3917">
        <v>0</v>
      </c>
      <c r="Q3917">
        <v>0</v>
      </c>
      <c r="R3917">
        <v>0</v>
      </c>
      <c r="S3917">
        <v>0</v>
      </c>
    </row>
    <row r="3918" spans="1:19" hidden="1" x14ac:dyDescent="0.35">
      <c r="A3918">
        <v>57253862000</v>
      </c>
      <c r="B3918" t="s">
        <v>3918</v>
      </c>
      <c r="C3918" t="str">
        <f>_xlfn.XLOOKUP(A3918,[1]Affiliations!$J$2:$J$5328,[1]Affiliations!$K$2:$K$5328,0)</f>
        <v>Federal University of Rio de Janeiro</v>
      </c>
      <c r="D3918">
        <v>1</v>
      </c>
      <c r="E3918">
        <v>18</v>
      </c>
      <c r="F3918">
        <v>18</v>
      </c>
      <c r="G3918">
        <v>1</v>
      </c>
      <c r="H3918">
        <v>1.1100000000000001</v>
      </c>
      <c r="I3918">
        <v>0</v>
      </c>
      <c r="J3918">
        <v>1</v>
      </c>
      <c r="K3918">
        <v>1</v>
      </c>
      <c r="L3918">
        <v>1</v>
      </c>
      <c r="M3918">
        <v>1</v>
      </c>
      <c r="N3918">
        <v>1</v>
      </c>
      <c r="P3918">
        <v>0</v>
      </c>
      <c r="Q3918">
        <v>0</v>
      </c>
      <c r="R3918">
        <v>0</v>
      </c>
      <c r="S3918">
        <v>1</v>
      </c>
    </row>
    <row r="3919" spans="1:19" hidden="1" x14ac:dyDescent="0.35">
      <c r="A3919">
        <v>57201673227</v>
      </c>
      <c r="B3919" t="s">
        <v>3919</v>
      </c>
      <c r="C3919" t="str">
        <f>_xlfn.XLOOKUP(A3919,[1]Affiliations!$J$2:$J$5328,[1]Affiliations!$K$2:$K$5328,0)</f>
        <v>Federal University of Rio de Janeiro</v>
      </c>
      <c r="D3919">
        <v>3</v>
      </c>
      <c r="E3919">
        <v>15</v>
      </c>
      <c r="F3919">
        <v>5</v>
      </c>
      <c r="G3919">
        <v>2</v>
      </c>
      <c r="H3919">
        <v>0.22</v>
      </c>
      <c r="I3919">
        <v>0</v>
      </c>
      <c r="J3919">
        <v>0</v>
      </c>
      <c r="K3919">
        <v>0</v>
      </c>
      <c r="L3919">
        <v>3</v>
      </c>
      <c r="M3919">
        <v>3</v>
      </c>
      <c r="N3919">
        <v>3</v>
      </c>
      <c r="P3919">
        <v>0</v>
      </c>
      <c r="Q3919">
        <v>0</v>
      </c>
      <c r="R3919">
        <v>0</v>
      </c>
      <c r="S3919">
        <v>0</v>
      </c>
    </row>
    <row r="3920" spans="1:19" hidden="1" x14ac:dyDescent="0.35">
      <c r="A3920">
        <v>11739727400</v>
      </c>
      <c r="B3920" t="s">
        <v>3920</v>
      </c>
      <c r="C3920" t="str">
        <f>_xlfn.XLOOKUP(A3920,[1]Affiliations!$J$2:$J$5328,[1]Affiliations!$K$2:$K$5328,0)</f>
        <v>Universidade Federal de Ciências da Saúde de Porto Alegre</v>
      </c>
      <c r="D3920">
        <v>4</v>
      </c>
      <c r="E3920">
        <v>127</v>
      </c>
      <c r="F3920">
        <v>31.75</v>
      </c>
      <c r="G3920">
        <v>12</v>
      </c>
      <c r="H3920">
        <v>1.32</v>
      </c>
      <c r="I3920">
        <v>0</v>
      </c>
      <c r="J3920">
        <v>0</v>
      </c>
      <c r="K3920">
        <v>0</v>
      </c>
      <c r="L3920">
        <v>3</v>
      </c>
      <c r="M3920">
        <v>4</v>
      </c>
      <c r="N3920">
        <v>4</v>
      </c>
      <c r="P3920">
        <v>0</v>
      </c>
      <c r="Q3920">
        <v>0</v>
      </c>
      <c r="R3920">
        <v>1</v>
      </c>
      <c r="S3920">
        <v>3</v>
      </c>
    </row>
    <row r="3921" spans="1:19" hidden="1" x14ac:dyDescent="0.35">
      <c r="A3921">
        <v>57212440123</v>
      </c>
      <c r="B3921" t="s">
        <v>3921</v>
      </c>
      <c r="C3921" t="str">
        <f>_xlfn.XLOOKUP(A3921,[1]Affiliations!$J$2:$J$5328,[1]Affiliations!$K$2:$K$5328,0)</f>
        <v>Universidade Federal do Rio Grande do Sul</v>
      </c>
      <c r="D3921">
        <v>2</v>
      </c>
      <c r="E3921">
        <v>31</v>
      </c>
      <c r="F3921">
        <v>15.5</v>
      </c>
      <c r="G3921">
        <v>3</v>
      </c>
      <c r="H3921">
        <v>0.76</v>
      </c>
      <c r="I3921">
        <v>0</v>
      </c>
      <c r="J3921">
        <v>0</v>
      </c>
      <c r="K3921">
        <v>1</v>
      </c>
      <c r="L3921">
        <v>1</v>
      </c>
      <c r="M3921">
        <v>2</v>
      </c>
      <c r="N3921">
        <v>2</v>
      </c>
      <c r="P3921">
        <v>0</v>
      </c>
      <c r="Q3921">
        <v>0</v>
      </c>
      <c r="R3921">
        <v>0</v>
      </c>
      <c r="S3921">
        <v>0</v>
      </c>
    </row>
    <row r="3922" spans="1:19" hidden="1" x14ac:dyDescent="0.35">
      <c r="A3922">
        <v>57804799100</v>
      </c>
      <c r="B3922" t="s">
        <v>3922</v>
      </c>
      <c r="C3922" t="str">
        <f>_xlfn.XLOOKUP(A3922,[1]Affiliations!$J$2:$J$5328,[1]Affiliations!$K$2:$K$5328,0)</f>
        <v>Universidade Federal de Minas Gerais</v>
      </c>
      <c r="D3922">
        <v>1</v>
      </c>
      <c r="E3922">
        <v>4</v>
      </c>
      <c r="F3922">
        <v>4</v>
      </c>
      <c r="G3922">
        <v>2</v>
      </c>
      <c r="H3922">
        <v>0.55000000000000004</v>
      </c>
      <c r="P3922">
        <v>0</v>
      </c>
      <c r="Q3922">
        <v>0</v>
      </c>
      <c r="R3922">
        <v>0</v>
      </c>
      <c r="S3922">
        <v>0</v>
      </c>
    </row>
    <row r="3923" spans="1:19" hidden="1" x14ac:dyDescent="0.35">
      <c r="A3923">
        <v>57729518300</v>
      </c>
      <c r="B3923" t="s">
        <v>3923</v>
      </c>
      <c r="C3923" t="str">
        <f>_xlfn.XLOOKUP(A3923,[1]Affiliations!$J$2:$J$5328,[1]Affiliations!$K$2:$K$5328,0)</f>
        <v>Universidade de São Paulo (+1 more)</v>
      </c>
      <c r="D3923">
        <v>1</v>
      </c>
      <c r="E3923">
        <v>7</v>
      </c>
      <c r="F3923">
        <v>7</v>
      </c>
      <c r="G3923">
        <v>1</v>
      </c>
      <c r="H3923">
        <v>0.45</v>
      </c>
      <c r="I3923">
        <v>0</v>
      </c>
      <c r="J3923">
        <v>0</v>
      </c>
      <c r="K3923">
        <v>1</v>
      </c>
      <c r="L3923">
        <v>1</v>
      </c>
      <c r="M3923">
        <v>1</v>
      </c>
      <c r="N3923">
        <v>1</v>
      </c>
      <c r="P3923">
        <v>0</v>
      </c>
      <c r="Q3923">
        <v>0</v>
      </c>
      <c r="R3923">
        <v>0</v>
      </c>
      <c r="S3923">
        <v>0</v>
      </c>
    </row>
    <row r="3924" spans="1:19" x14ac:dyDescent="0.35">
      <c r="A3924">
        <v>6603306417</v>
      </c>
      <c r="B3924" t="s">
        <v>5225</v>
      </c>
      <c r="C3924" t="str">
        <f>_xlfn.XLOOKUP(A3924,[1]Affiliations!$J$2:$J$5328,[1]Affiliations!$K$2:$K$5328,0)</f>
        <v>Federal University of Rio de Janeiro</v>
      </c>
      <c r="D3924">
        <v>15</v>
      </c>
      <c r="E3924">
        <v>221</v>
      </c>
      <c r="F3924">
        <v>14.733333999999999</v>
      </c>
      <c r="G3924">
        <v>9</v>
      </c>
      <c r="H3924">
        <v>0.73</v>
      </c>
      <c r="I3924">
        <v>2</v>
      </c>
      <c r="J3924">
        <v>2</v>
      </c>
      <c r="K3924">
        <v>3</v>
      </c>
      <c r="L3924">
        <v>7</v>
      </c>
      <c r="M3924">
        <v>12</v>
      </c>
      <c r="N3924">
        <v>14</v>
      </c>
      <c r="P3924">
        <v>0</v>
      </c>
      <c r="Q3924">
        <v>0</v>
      </c>
      <c r="R3924">
        <v>2</v>
      </c>
      <c r="S3924">
        <v>3</v>
      </c>
    </row>
    <row r="3925" spans="1:19" x14ac:dyDescent="0.35">
      <c r="A3925">
        <v>57199500636</v>
      </c>
      <c r="B3925" t="s">
        <v>1286</v>
      </c>
      <c r="C3925" t="str">
        <f>_xlfn.XLOOKUP(A3925,[1]Affiliations!$J$2:$J$5328,[1]Affiliations!$K$2:$K$5328,0)</f>
        <v>Federal University of Santa Catarina</v>
      </c>
      <c r="D3925">
        <v>23</v>
      </c>
      <c r="E3925">
        <v>401</v>
      </c>
      <c r="F3925">
        <v>17.434781999999998</v>
      </c>
      <c r="G3925">
        <v>11</v>
      </c>
      <c r="H3925">
        <v>0.72</v>
      </c>
      <c r="I3925">
        <v>0</v>
      </c>
      <c r="J3925">
        <v>0</v>
      </c>
      <c r="K3925">
        <v>1</v>
      </c>
      <c r="L3925">
        <v>14</v>
      </c>
      <c r="M3925">
        <v>21</v>
      </c>
      <c r="N3925">
        <v>21</v>
      </c>
      <c r="P3925">
        <v>0</v>
      </c>
      <c r="Q3925">
        <v>0</v>
      </c>
      <c r="R3925">
        <v>3</v>
      </c>
      <c r="S3925">
        <v>10</v>
      </c>
    </row>
    <row r="3926" spans="1:19" x14ac:dyDescent="0.35">
      <c r="A3926">
        <v>35326504600</v>
      </c>
      <c r="B3926" t="s">
        <v>1484</v>
      </c>
      <c r="C3926" t="str">
        <f>_xlfn.XLOOKUP(A3926,[1]Affiliations!$J$2:$J$5328,[1]Affiliations!$K$2:$K$5328,0)</f>
        <v>Universidade Tiradentes (+2 more)</v>
      </c>
      <c r="D3926">
        <v>16</v>
      </c>
      <c r="E3926">
        <v>280</v>
      </c>
      <c r="F3926">
        <v>17.5</v>
      </c>
      <c r="G3926">
        <v>12</v>
      </c>
      <c r="H3926">
        <v>0.72</v>
      </c>
      <c r="I3926">
        <v>0</v>
      </c>
      <c r="J3926">
        <v>0</v>
      </c>
      <c r="K3926">
        <v>3</v>
      </c>
      <c r="L3926">
        <v>11</v>
      </c>
      <c r="M3926">
        <v>16</v>
      </c>
      <c r="N3926">
        <v>16</v>
      </c>
      <c r="P3926">
        <v>0</v>
      </c>
      <c r="Q3926">
        <v>1</v>
      </c>
      <c r="R3926">
        <v>2</v>
      </c>
      <c r="S3926">
        <v>9</v>
      </c>
    </row>
    <row r="3927" spans="1:19" hidden="1" x14ac:dyDescent="0.35">
      <c r="A3927">
        <v>57214139761</v>
      </c>
      <c r="B3927" t="s">
        <v>3927</v>
      </c>
      <c r="C3927" t="str">
        <f>_xlfn.XLOOKUP(A3927,[1]Affiliations!$J$2:$J$5328,[1]Affiliations!$K$2:$K$5328,0)</f>
        <v>Universidade de São Paulo (+1 more)</v>
      </c>
      <c r="D3927">
        <v>3</v>
      </c>
      <c r="E3927">
        <v>17</v>
      </c>
      <c r="F3927">
        <v>5.6666664999999998</v>
      </c>
      <c r="G3927">
        <v>2</v>
      </c>
      <c r="H3927">
        <v>0.34</v>
      </c>
      <c r="I3927">
        <v>0</v>
      </c>
      <c r="J3927">
        <v>0</v>
      </c>
      <c r="K3927">
        <v>0</v>
      </c>
      <c r="L3927">
        <v>3</v>
      </c>
      <c r="M3927">
        <v>3</v>
      </c>
      <c r="N3927">
        <v>3</v>
      </c>
      <c r="P3927">
        <v>0</v>
      </c>
      <c r="Q3927">
        <v>0</v>
      </c>
      <c r="R3927">
        <v>0</v>
      </c>
      <c r="S3927">
        <v>0</v>
      </c>
    </row>
    <row r="3928" spans="1:19" x14ac:dyDescent="0.35">
      <c r="A3928">
        <v>7006105992</v>
      </c>
      <c r="B3928" t="s">
        <v>1681</v>
      </c>
      <c r="C3928" t="str">
        <f>_xlfn.XLOOKUP(A3928,[1]Affiliations!$J$2:$J$5328,[1]Affiliations!$K$2:$K$5328,0)</f>
        <v>Federal University of Santa Catarina</v>
      </c>
      <c r="D3928">
        <v>20</v>
      </c>
      <c r="E3928">
        <v>185</v>
      </c>
      <c r="F3928">
        <v>9.25</v>
      </c>
      <c r="G3928">
        <v>12</v>
      </c>
      <c r="H3928">
        <v>0.72</v>
      </c>
      <c r="I3928">
        <v>0</v>
      </c>
      <c r="J3928">
        <v>5</v>
      </c>
      <c r="K3928">
        <v>7</v>
      </c>
      <c r="L3928">
        <v>7</v>
      </c>
      <c r="M3928">
        <v>9</v>
      </c>
      <c r="N3928">
        <v>12</v>
      </c>
      <c r="P3928">
        <v>0</v>
      </c>
      <c r="Q3928">
        <v>0</v>
      </c>
      <c r="R3928">
        <v>1</v>
      </c>
      <c r="S3928">
        <v>4</v>
      </c>
    </row>
    <row r="3929" spans="1:19" hidden="1" x14ac:dyDescent="0.35">
      <c r="A3929">
        <v>57204799069</v>
      </c>
      <c r="B3929" t="s">
        <v>3929</v>
      </c>
      <c r="C3929" t="str">
        <f>_xlfn.XLOOKUP(A3929,[1]Affiliations!$J$2:$J$5328,[1]Affiliations!$K$2:$K$5328,0)</f>
        <v>Federal University of Santa Catarina</v>
      </c>
      <c r="D3929">
        <v>3</v>
      </c>
      <c r="E3929">
        <v>28</v>
      </c>
      <c r="F3929">
        <v>9.3333329999999997</v>
      </c>
      <c r="G3929">
        <v>3</v>
      </c>
      <c r="H3929">
        <v>0.45</v>
      </c>
      <c r="I3929">
        <v>0</v>
      </c>
      <c r="J3929">
        <v>0</v>
      </c>
      <c r="K3929">
        <v>0</v>
      </c>
      <c r="L3929">
        <v>1</v>
      </c>
      <c r="M3929">
        <v>2</v>
      </c>
      <c r="N3929">
        <v>3</v>
      </c>
      <c r="P3929">
        <v>0</v>
      </c>
      <c r="Q3929">
        <v>0</v>
      </c>
      <c r="R3929">
        <v>0</v>
      </c>
      <c r="S3929">
        <v>0</v>
      </c>
    </row>
    <row r="3930" spans="1:19" hidden="1" x14ac:dyDescent="0.35">
      <c r="A3930">
        <v>57339078800</v>
      </c>
      <c r="B3930" t="s">
        <v>3930</v>
      </c>
      <c r="C3930" t="str">
        <f>_xlfn.XLOOKUP(A3930,[1]Affiliations!$J$2:$J$5328,[1]Affiliations!$K$2:$K$5328,0)</f>
        <v>Universidade de Caxias do Sul</v>
      </c>
      <c r="D3930">
        <v>1</v>
      </c>
      <c r="E3930">
        <v>18</v>
      </c>
      <c r="F3930">
        <v>18</v>
      </c>
      <c r="G3930">
        <v>1</v>
      </c>
      <c r="H3930">
        <v>0.95</v>
      </c>
      <c r="I3930">
        <v>0</v>
      </c>
      <c r="J3930">
        <v>0</v>
      </c>
      <c r="K3930">
        <v>0</v>
      </c>
      <c r="L3930">
        <v>0</v>
      </c>
      <c r="M3930">
        <v>1</v>
      </c>
      <c r="N3930">
        <v>1</v>
      </c>
      <c r="P3930">
        <v>0</v>
      </c>
      <c r="Q3930">
        <v>0</v>
      </c>
      <c r="R3930">
        <v>0</v>
      </c>
      <c r="S3930">
        <v>1</v>
      </c>
    </row>
    <row r="3931" spans="1:19" x14ac:dyDescent="0.35">
      <c r="A3931">
        <v>54779747300</v>
      </c>
      <c r="B3931" t="s">
        <v>2021</v>
      </c>
      <c r="C3931" t="str">
        <f>_xlfn.XLOOKUP(A3931,[1]Affiliations!$J$2:$J$5328,[1]Affiliations!$K$2:$K$5328,0)</f>
        <v>Universidade Federal de Santa Maria</v>
      </c>
      <c r="D3931">
        <v>18</v>
      </c>
      <c r="E3931">
        <v>375</v>
      </c>
      <c r="F3931">
        <v>20.833334000000001</v>
      </c>
      <c r="G3931">
        <v>12</v>
      </c>
      <c r="H3931">
        <v>0.72</v>
      </c>
      <c r="I3931">
        <v>0</v>
      </c>
      <c r="J3931">
        <v>2</v>
      </c>
      <c r="K3931">
        <v>6</v>
      </c>
      <c r="L3931">
        <v>13</v>
      </c>
      <c r="M3931">
        <v>16</v>
      </c>
      <c r="N3931">
        <v>17</v>
      </c>
      <c r="P3931">
        <v>0</v>
      </c>
      <c r="Q3931">
        <v>0</v>
      </c>
      <c r="R3931">
        <v>1</v>
      </c>
      <c r="S3931">
        <v>8</v>
      </c>
    </row>
    <row r="3932" spans="1:19" hidden="1" x14ac:dyDescent="0.35">
      <c r="A3932">
        <v>8359703100</v>
      </c>
      <c r="B3932" t="s">
        <v>3932</v>
      </c>
      <c r="C3932" t="str">
        <f>_xlfn.XLOOKUP(A3932,[1]Affiliations!$J$2:$J$5328,[1]Affiliations!$K$2:$K$5328,0)</f>
        <v>Pontifical Catholic University of Rio de Janeiro</v>
      </c>
      <c r="D3932">
        <v>29</v>
      </c>
      <c r="E3932">
        <v>132</v>
      </c>
      <c r="F3932">
        <v>4.5517240000000001</v>
      </c>
      <c r="G3932">
        <v>10</v>
      </c>
      <c r="H3932">
        <v>0.34</v>
      </c>
      <c r="I3932">
        <v>0</v>
      </c>
      <c r="J3932">
        <v>5</v>
      </c>
      <c r="K3932">
        <v>10</v>
      </c>
      <c r="L3932">
        <v>17</v>
      </c>
      <c r="M3932">
        <v>23</v>
      </c>
      <c r="N3932">
        <v>23</v>
      </c>
      <c r="P3932">
        <v>0</v>
      </c>
      <c r="Q3932">
        <v>0</v>
      </c>
      <c r="R3932">
        <v>0</v>
      </c>
      <c r="S3932">
        <v>1</v>
      </c>
    </row>
    <row r="3933" spans="1:19" x14ac:dyDescent="0.35">
      <c r="A3933">
        <v>6603903472</v>
      </c>
      <c r="B3933" t="s">
        <v>2363</v>
      </c>
      <c r="C3933" t="str">
        <f>_xlfn.XLOOKUP(A3933,[1]Affiliations!$J$2:$J$5328,[1]Affiliations!$K$2:$K$5328,0)</f>
        <v>Instituto Nacional de Pesquisas Espaciais</v>
      </c>
      <c r="D3933">
        <v>29</v>
      </c>
      <c r="E3933">
        <v>402</v>
      </c>
      <c r="F3933">
        <v>13.862069</v>
      </c>
      <c r="G3933">
        <v>11</v>
      </c>
      <c r="H3933">
        <v>0.72</v>
      </c>
      <c r="I3933">
        <v>0</v>
      </c>
      <c r="J3933">
        <v>2</v>
      </c>
      <c r="K3933">
        <v>9</v>
      </c>
      <c r="L3933">
        <v>13</v>
      </c>
      <c r="M3933">
        <v>22</v>
      </c>
      <c r="N3933">
        <v>25</v>
      </c>
      <c r="P3933">
        <v>0</v>
      </c>
      <c r="Q3933">
        <v>1</v>
      </c>
      <c r="R3933">
        <v>2</v>
      </c>
      <c r="S3933">
        <v>8</v>
      </c>
    </row>
    <row r="3934" spans="1:19" x14ac:dyDescent="0.35">
      <c r="A3934">
        <v>7003428679</v>
      </c>
      <c r="B3934" t="s">
        <v>2479</v>
      </c>
      <c r="C3934" t="str">
        <f>_xlfn.XLOOKUP(A3934,[1]Affiliations!$J$2:$J$5328,[1]Affiliations!$K$2:$K$5328,0)</f>
        <v>Universidade Federal do Espírito Santo</v>
      </c>
      <c r="D3934">
        <v>27</v>
      </c>
      <c r="E3934">
        <v>513</v>
      </c>
      <c r="F3934">
        <v>19</v>
      </c>
      <c r="G3934">
        <v>15</v>
      </c>
      <c r="H3934">
        <v>0.72</v>
      </c>
      <c r="I3934">
        <v>0</v>
      </c>
      <c r="J3934">
        <v>3</v>
      </c>
      <c r="K3934">
        <v>6</v>
      </c>
      <c r="L3934">
        <v>18</v>
      </c>
      <c r="M3934">
        <v>21</v>
      </c>
      <c r="N3934">
        <v>24</v>
      </c>
      <c r="P3934">
        <v>0</v>
      </c>
      <c r="Q3934">
        <v>0</v>
      </c>
      <c r="R3934">
        <v>2</v>
      </c>
      <c r="S3934">
        <v>12</v>
      </c>
    </row>
    <row r="3935" spans="1:19" hidden="1" x14ac:dyDescent="0.35">
      <c r="A3935">
        <v>57208214044</v>
      </c>
      <c r="B3935" t="s">
        <v>3935</v>
      </c>
      <c r="C3935" t="str">
        <f>_xlfn.XLOOKUP(A3935,[1]Affiliations!$J$2:$J$5328,[1]Affiliations!$K$2:$K$5328,0)</f>
        <v>Federal University of Rio de Janeiro</v>
      </c>
      <c r="D3935">
        <v>2</v>
      </c>
      <c r="E3935">
        <v>22</v>
      </c>
      <c r="F3935">
        <v>11</v>
      </c>
      <c r="G3935">
        <v>2</v>
      </c>
      <c r="H3935">
        <v>0.53</v>
      </c>
      <c r="I3935">
        <v>0</v>
      </c>
      <c r="J3935">
        <v>0</v>
      </c>
      <c r="K3935">
        <v>0</v>
      </c>
      <c r="L3935">
        <v>1</v>
      </c>
      <c r="M3935">
        <v>1</v>
      </c>
      <c r="N3935">
        <v>2</v>
      </c>
      <c r="P3935">
        <v>0</v>
      </c>
      <c r="Q3935">
        <v>0</v>
      </c>
      <c r="R3935">
        <v>0</v>
      </c>
      <c r="S3935">
        <v>0</v>
      </c>
    </row>
    <row r="3936" spans="1:19" hidden="1" x14ac:dyDescent="0.35">
      <c r="A3936">
        <v>57190867379</v>
      </c>
      <c r="B3936" t="s">
        <v>3936</v>
      </c>
      <c r="C3936" t="str">
        <f>_xlfn.XLOOKUP(A3936,[1]Affiliations!$J$2:$J$5328,[1]Affiliations!$K$2:$K$5328,0)</f>
        <v>Universidade de São Paulo</v>
      </c>
      <c r="D3936">
        <v>12</v>
      </c>
      <c r="E3936">
        <v>58</v>
      </c>
      <c r="F3936">
        <v>4.8333335000000002</v>
      </c>
      <c r="G3936">
        <v>3</v>
      </c>
      <c r="H3936">
        <v>0.56000000000000005</v>
      </c>
      <c r="I3936">
        <v>0</v>
      </c>
      <c r="J3936">
        <v>0</v>
      </c>
      <c r="K3936">
        <v>0</v>
      </c>
      <c r="L3936">
        <v>2</v>
      </c>
      <c r="M3936">
        <v>2</v>
      </c>
      <c r="N3936">
        <v>3</v>
      </c>
      <c r="P3936">
        <v>0</v>
      </c>
      <c r="Q3936">
        <v>0</v>
      </c>
      <c r="R3936">
        <v>0</v>
      </c>
      <c r="S3936">
        <v>1</v>
      </c>
    </row>
    <row r="3937" spans="1:19" hidden="1" x14ac:dyDescent="0.35">
      <c r="A3937">
        <v>6506678393</v>
      </c>
      <c r="B3937" t="s">
        <v>3937</v>
      </c>
      <c r="C3937" t="str">
        <f>_xlfn.XLOOKUP(A3937,[1]Affiliations!$J$2:$J$5328,[1]Affiliations!$K$2:$K$5328,0)</f>
        <v>Universidade Federal da Bahia (+2 more)</v>
      </c>
      <c r="D3937">
        <v>48</v>
      </c>
      <c r="E3937">
        <v>155</v>
      </c>
      <c r="F3937">
        <v>3.2291666999999999</v>
      </c>
      <c r="G3937">
        <v>14</v>
      </c>
      <c r="H3937">
        <v>0.31</v>
      </c>
      <c r="I3937">
        <v>0</v>
      </c>
      <c r="J3937">
        <v>0</v>
      </c>
      <c r="K3937">
        <v>0</v>
      </c>
      <c r="L3937">
        <v>8</v>
      </c>
      <c r="M3937">
        <v>17</v>
      </c>
      <c r="N3937">
        <v>22</v>
      </c>
      <c r="P3937">
        <v>0</v>
      </c>
      <c r="Q3937">
        <v>0</v>
      </c>
      <c r="R3937">
        <v>0</v>
      </c>
      <c r="S3937">
        <v>1</v>
      </c>
    </row>
    <row r="3938" spans="1:19" x14ac:dyDescent="0.35">
      <c r="A3938">
        <v>57210707090</v>
      </c>
      <c r="B3938" t="s">
        <v>2606</v>
      </c>
      <c r="C3938" t="str">
        <f>_xlfn.XLOOKUP(A3938,[1]Affiliations!$J$2:$J$5328,[1]Affiliations!$K$2:$K$5328,0)</f>
        <v>University of Campinas</v>
      </c>
      <c r="D3938">
        <v>10</v>
      </c>
      <c r="E3938">
        <v>203</v>
      </c>
      <c r="F3938">
        <v>20.3</v>
      </c>
      <c r="G3938">
        <v>8</v>
      </c>
      <c r="H3938">
        <v>0.72</v>
      </c>
      <c r="I3938">
        <v>0</v>
      </c>
      <c r="J3938">
        <v>1</v>
      </c>
      <c r="K3938">
        <v>1</v>
      </c>
      <c r="L3938">
        <v>7</v>
      </c>
      <c r="M3938">
        <v>8</v>
      </c>
      <c r="N3938">
        <v>10</v>
      </c>
      <c r="P3938">
        <v>0</v>
      </c>
      <c r="Q3938">
        <v>0</v>
      </c>
      <c r="R3938">
        <v>1</v>
      </c>
      <c r="S3938">
        <v>6</v>
      </c>
    </row>
    <row r="3939" spans="1:19" x14ac:dyDescent="0.35">
      <c r="A3939">
        <v>8505775600</v>
      </c>
      <c r="B3939" t="s">
        <v>2617</v>
      </c>
      <c r="C3939" t="str">
        <f>_xlfn.XLOOKUP(A3939,[1]Affiliations!$J$2:$J$5328,[1]Affiliations!$K$2:$K$5328,0)</f>
        <v>Universidade Federal do ABC</v>
      </c>
      <c r="D3939">
        <v>44</v>
      </c>
      <c r="E3939">
        <v>670</v>
      </c>
      <c r="F3939">
        <v>15.227273</v>
      </c>
      <c r="G3939">
        <v>20</v>
      </c>
      <c r="H3939">
        <v>0.72</v>
      </c>
      <c r="I3939">
        <v>3</v>
      </c>
      <c r="J3939">
        <v>5</v>
      </c>
      <c r="K3939">
        <v>13</v>
      </c>
      <c r="L3939">
        <v>22</v>
      </c>
      <c r="M3939">
        <v>37</v>
      </c>
      <c r="N3939">
        <v>41</v>
      </c>
      <c r="P3939">
        <v>0</v>
      </c>
      <c r="Q3939">
        <v>1</v>
      </c>
      <c r="R3939">
        <v>3</v>
      </c>
      <c r="S3939">
        <v>11</v>
      </c>
    </row>
    <row r="3940" spans="1:19" hidden="1" x14ac:dyDescent="0.35">
      <c r="A3940">
        <v>59132946800</v>
      </c>
      <c r="B3940" t="s">
        <v>3940</v>
      </c>
      <c r="C3940" t="str">
        <f>_xlfn.XLOOKUP(A3940,[1]Affiliations!$J$2:$J$5328,[1]Affiliations!$K$2:$K$5328,0)</f>
        <v>Universidade Federal do Espírito Santo</v>
      </c>
      <c r="D3940">
        <v>1</v>
      </c>
      <c r="E3940">
        <v>25</v>
      </c>
      <c r="F3940">
        <v>25</v>
      </c>
      <c r="G3940">
        <v>1</v>
      </c>
      <c r="H3940">
        <v>1.2</v>
      </c>
      <c r="I3940">
        <v>0</v>
      </c>
      <c r="J3940">
        <v>0</v>
      </c>
      <c r="K3940">
        <v>1</v>
      </c>
      <c r="L3940">
        <v>1</v>
      </c>
      <c r="M3940">
        <v>1</v>
      </c>
      <c r="N3940">
        <v>1</v>
      </c>
      <c r="P3940">
        <v>0</v>
      </c>
      <c r="Q3940">
        <v>1</v>
      </c>
      <c r="R3940">
        <v>1</v>
      </c>
      <c r="S3940">
        <v>1</v>
      </c>
    </row>
    <row r="3941" spans="1:19" x14ac:dyDescent="0.35">
      <c r="A3941">
        <v>24537399200</v>
      </c>
      <c r="B3941" t="s">
        <v>2774</v>
      </c>
      <c r="C3941" t="str">
        <f>_xlfn.XLOOKUP(A3941,[1]Affiliations!$J$2:$J$5328,[1]Affiliations!$K$2:$K$5328,0)</f>
        <v>Universidade Federal do Espírito Santo</v>
      </c>
      <c r="D3941">
        <v>50</v>
      </c>
      <c r="E3941">
        <v>853</v>
      </c>
      <c r="F3941">
        <v>17.059999999999999</v>
      </c>
      <c r="G3941">
        <v>28</v>
      </c>
      <c r="H3941">
        <v>0.72</v>
      </c>
      <c r="I3941">
        <v>0</v>
      </c>
      <c r="J3941">
        <v>5</v>
      </c>
      <c r="K3941">
        <v>12</v>
      </c>
      <c r="L3941">
        <v>27</v>
      </c>
      <c r="M3941">
        <v>41</v>
      </c>
      <c r="N3941">
        <v>46</v>
      </c>
      <c r="P3941">
        <v>0</v>
      </c>
      <c r="Q3941">
        <v>1</v>
      </c>
      <c r="R3941">
        <v>3</v>
      </c>
      <c r="S3941">
        <v>19</v>
      </c>
    </row>
    <row r="3942" spans="1:19" x14ac:dyDescent="0.35">
      <c r="A3942">
        <v>6508084716</v>
      </c>
      <c r="B3942" t="s">
        <v>2851</v>
      </c>
      <c r="C3942" t="str">
        <f>_xlfn.XLOOKUP(A3942,[1]Affiliations!$J$2:$J$5328,[1]Affiliations!$K$2:$K$5328,0)</f>
        <v>Universidade Federal da Bahia</v>
      </c>
      <c r="D3942">
        <v>25</v>
      </c>
      <c r="E3942">
        <v>274</v>
      </c>
      <c r="F3942">
        <v>10.96</v>
      </c>
      <c r="G3942">
        <v>14</v>
      </c>
      <c r="H3942">
        <v>0.72</v>
      </c>
      <c r="I3942">
        <v>0</v>
      </c>
      <c r="J3942">
        <v>2</v>
      </c>
      <c r="K3942">
        <v>10</v>
      </c>
      <c r="L3942">
        <v>15</v>
      </c>
      <c r="M3942">
        <v>22</v>
      </c>
      <c r="N3942">
        <v>24</v>
      </c>
      <c r="P3942">
        <v>0</v>
      </c>
      <c r="Q3942">
        <v>2</v>
      </c>
      <c r="R3942">
        <v>3</v>
      </c>
      <c r="S3942">
        <v>7</v>
      </c>
    </row>
    <row r="3943" spans="1:19" x14ac:dyDescent="0.35">
      <c r="A3943">
        <v>6506843926</v>
      </c>
      <c r="B3943" t="s">
        <v>2908</v>
      </c>
      <c r="C3943" t="str">
        <f>_xlfn.XLOOKUP(A3943,[1]Affiliations!$J$2:$J$5328,[1]Affiliations!$K$2:$K$5328,0)</f>
        <v>Universidade Federal do Rio Grande do Norte</v>
      </c>
      <c r="D3943">
        <v>33</v>
      </c>
      <c r="E3943">
        <v>344</v>
      </c>
      <c r="F3943">
        <v>10.424242</v>
      </c>
      <c r="G3943">
        <v>15</v>
      </c>
      <c r="H3943">
        <v>0.72</v>
      </c>
      <c r="I3943">
        <v>0</v>
      </c>
      <c r="J3943">
        <v>5</v>
      </c>
      <c r="K3943">
        <v>7</v>
      </c>
      <c r="L3943">
        <v>17</v>
      </c>
      <c r="M3943">
        <v>23</v>
      </c>
      <c r="N3943">
        <v>27</v>
      </c>
      <c r="P3943">
        <v>0</v>
      </c>
      <c r="Q3943">
        <v>0</v>
      </c>
      <c r="R3943">
        <v>1</v>
      </c>
      <c r="S3943">
        <v>8</v>
      </c>
    </row>
    <row r="3944" spans="1:19" hidden="1" x14ac:dyDescent="0.35">
      <c r="A3944">
        <v>55220031900</v>
      </c>
      <c r="B3944" t="s">
        <v>3944</v>
      </c>
      <c r="C3944" t="str">
        <f>_xlfn.XLOOKUP(A3944,[1]Affiliations!$J$2:$J$5328,[1]Affiliations!$K$2:$K$5328,0)</f>
        <v>Federal University of Rio de Janeiro</v>
      </c>
      <c r="D3944">
        <v>1</v>
      </c>
      <c r="E3944">
        <v>52</v>
      </c>
      <c r="F3944">
        <v>52</v>
      </c>
      <c r="G3944">
        <v>2</v>
      </c>
      <c r="H3944">
        <v>0.59</v>
      </c>
      <c r="I3944">
        <v>0</v>
      </c>
      <c r="J3944">
        <v>0</v>
      </c>
      <c r="K3944">
        <v>1</v>
      </c>
      <c r="L3944">
        <v>1</v>
      </c>
      <c r="M3944">
        <v>1</v>
      </c>
      <c r="N3944">
        <v>1</v>
      </c>
      <c r="P3944">
        <v>0</v>
      </c>
      <c r="Q3944">
        <v>0</v>
      </c>
      <c r="R3944">
        <v>0</v>
      </c>
      <c r="S3944">
        <v>1</v>
      </c>
    </row>
    <row r="3945" spans="1:19" x14ac:dyDescent="0.35">
      <c r="A3945">
        <v>16480835400</v>
      </c>
      <c r="B3945" t="s">
        <v>3080</v>
      </c>
      <c r="C3945" t="str">
        <f>_xlfn.XLOOKUP(A3945,[1]Affiliations!$J$2:$J$5328,[1]Affiliations!$K$2:$K$5328,0)</f>
        <v>Universidade Federal do Ceará</v>
      </c>
      <c r="D3945">
        <v>14</v>
      </c>
      <c r="E3945">
        <v>239</v>
      </c>
      <c r="F3945">
        <v>17.071428000000001</v>
      </c>
      <c r="G3945">
        <v>10</v>
      </c>
      <c r="H3945">
        <v>0.72</v>
      </c>
      <c r="I3945">
        <v>0</v>
      </c>
      <c r="J3945">
        <v>0</v>
      </c>
      <c r="K3945">
        <v>2</v>
      </c>
      <c r="L3945">
        <v>6</v>
      </c>
      <c r="M3945">
        <v>14</v>
      </c>
      <c r="N3945">
        <v>14</v>
      </c>
      <c r="P3945">
        <v>0</v>
      </c>
      <c r="Q3945">
        <v>0</v>
      </c>
      <c r="R3945">
        <v>2</v>
      </c>
      <c r="S3945">
        <v>8</v>
      </c>
    </row>
    <row r="3946" spans="1:19" hidden="1" x14ac:dyDescent="0.35">
      <c r="A3946">
        <v>55303761600</v>
      </c>
      <c r="B3946" t="s">
        <v>3946</v>
      </c>
      <c r="C3946" t="str">
        <f>_xlfn.XLOOKUP(A3946,[1]Affiliations!$J$2:$J$5328,[1]Affiliations!$K$2:$K$5328,0)</f>
        <v>University of Campinas</v>
      </c>
      <c r="D3946">
        <v>2</v>
      </c>
      <c r="E3946">
        <v>22</v>
      </c>
      <c r="F3946">
        <v>11</v>
      </c>
      <c r="G3946">
        <v>5</v>
      </c>
      <c r="H3946">
        <v>0.5</v>
      </c>
      <c r="I3946">
        <v>0</v>
      </c>
      <c r="J3946">
        <v>0</v>
      </c>
      <c r="K3946">
        <v>0</v>
      </c>
      <c r="L3946">
        <v>1</v>
      </c>
      <c r="M3946">
        <v>1</v>
      </c>
      <c r="N3946">
        <v>2</v>
      </c>
      <c r="P3946">
        <v>0</v>
      </c>
      <c r="Q3946">
        <v>0</v>
      </c>
      <c r="R3946">
        <v>0</v>
      </c>
      <c r="S3946">
        <v>0</v>
      </c>
    </row>
    <row r="3947" spans="1:19" hidden="1" x14ac:dyDescent="0.35">
      <c r="A3947">
        <v>17346579100</v>
      </c>
      <c r="B3947" t="s">
        <v>3947</v>
      </c>
      <c r="C3947" t="str">
        <f>_xlfn.XLOOKUP(A3947,[1]Affiliations!$J$2:$J$5328,[1]Affiliations!$K$2:$K$5328,0)</f>
        <v>Universidade Estadual do Norte Fluminense (+1 more)</v>
      </c>
      <c r="D3947">
        <v>2</v>
      </c>
      <c r="E3947">
        <v>43</v>
      </c>
      <c r="F3947">
        <v>21.5</v>
      </c>
      <c r="G3947">
        <v>5</v>
      </c>
      <c r="H3947">
        <v>1.04</v>
      </c>
      <c r="I3947">
        <v>0</v>
      </c>
      <c r="J3947">
        <v>1</v>
      </c>
      <c r="K3947">
        <v>1</v>
      </c>
      <c r="L3947">
        <v>2</v>
      </c>
      <c r="M3947">
        <v>2</v>
      </c>
      <c r="N3947">
        <v>2</v>
      </c>
      <c r="P3947">
        <v>0</v>
      </c>
      <c r="Q3947">
        <v>0</v>
      </c>
      <c r="R3947">
        <v>0</v>
      </c>
      <c r="S3947">
        <v>1</v>
      </c>
    </row>
    <row r="3948" spans="1:19" hidden="1" x14ac:dyDescent="0.35">
      <c r="A3948">
        <v>57742955700</v>
      </c>
      <c r="B3948" t="s">
        <v>3948</v>
      </c>
      <c r="C3948" t="str">
        <f>_xlfn.XLOOKUP(A3948,[1]Affiliations!$J$2:$J$5328,[1]Affiliations!$K$2:$K$5328,0)</f>
        <v>NIDF</v>
      </c>
      <c r="D3948">
        <v>1</v>
      </c>
      <c r="E3948">
        <v>0</v>
      </c>
      <c r="F3948">
        <v>0</v>
      </c>
      <c r="G3948">
        <v>0</v>
      </c>
      <c r="H3948">
        <v>0</v>
      </c>
      <c r="P3948">
        <v>0</v>
      </c>
      <c r="Q3948">
        <v>0</v>
      </c>
      <c r="R3948">
        <v>0</v>
      </c>
      <c r="S3948">
        <v>0</v>
      </c>
    </row>
    <row r="3949" spans="1:19" hidden="1" x14ac:dyDescent="0.35">
      <c r="A3949">
        <v>57481614500</v>
      </c>
      <c r="B3949" t="s">
        <v>3949</v>
      </c>
      <c r="C3949" t="str">
        <f>_xlfn.XLOOKUP(A3949,[1]Affiliations!$J$2:$J$5328,[1]Affiliations!$K$2:$K$5328,0)</f>
        <v>Pontifical Catholic University of Rio de Janeiro</v>
      </c>
      <c r="D3949">
        <v>1</v>
      </c>
      <c r="E3949">
        <v>36</v>
      </c>
      <c r="F3949">
        <v>36</v>
      </c>
      <c r="G3949">
        <v>1</v>
      </c>
      <c r="H3949">
        <v>2.37</v>
      </c>
      <c r="I3949">
        <v>0</v>
      </c>
      <c r="J3949">
        <v>0</v>
      </c>
      <c r="K3949">
        <v>1</v>
      </c>
      <c r="L3949">
        <v>1</v>
      </c>
      <c r="M3949">
        <v>1</v>
      </c>
      <c r="N3949">
        <v>1</v>
      </c>
      <c r="P3949">
        <v>0</v>
      </c>
      <c r="Q3949">
        <v>0</v>
      </c>
      <c r="R3949">
        <v>1</v>
      </c>
      <c r="S3949">
        <v>1</v>
      </c>
    </row>
    <row r="3950" spans="1:19" hidden="1" x14ac:dyDescent="0.35">
      <c r="A3950">
        <v>57216782345</v>
      </c>
      <c r="B3950" t="s">
        <v>3950</v>
      </c>
      <c r="C3950" t="str">
        <f>_xlfn.XLOOKUP(A3950,[1]Affiliations!$J$2:$J$5328,[1]Affiliations!$K$2:$K$5328,0)</f>
        <v>Pontifical Catholic University of Rio de Janeiro</v>
      </c>
      <c r="D3950">
        <v>1</v>
      </c>
      <c r="E3950">
        <v>0</v>
      </c>
      <c r="F3950">
        <v>0</v>
      </c>
      <c r="G3950">
        <v>0</v>
      </c>
      <c r="H3950">
        <v>0</v>
      </c>
      <c r="P3950">
        <v>0</v>
      </c>
      <c r="Q3950">
        <v>0</v>
      </c>
      <c r="R3950">
        <v>0</v>
      </c>
      <c r="S3950">
        <v>0</v>
      </c>
    </row>
    <row r="3951" spans="1:19" hidden="1" x14ac:dyDescent="0.35">
      <c r="A3951">
        <v>25929524400</v>
      </c>
      <c r="B3951" t="s">
        <v>3951</v>
      </c>
      <c r="C3951" t="str">
        <f>_xlfn.XLOOKUP(A3951,[1]Affiliations!$J$2:$J$5328,[1]Affiliations!$K$2:$K$5328,0)</f>
        <v>Pontifical Catholic University of Rio de Janeiro</v>
      </c>
      <c r="D3951">
        <v>7</v>
      </c>
      <c r="E3951">
        <v>4</v>
      </c>
      <c r="F3951">
        <v>0.57142859999999995</v>
      </c>
      <c r="G3951">
        <v>2</v>
      </c>
      <c r="H3951">
        <v>0.06</v>
      </c>
      <c r="I3951">
        <v>0</v>
      </c>
      <c r="J3951">
        <v>0</v>
      </c>
      <c r="K3951">
        <v>0</v>
      </c>
      <c r="L3951">
        <v>1</v>
      </c>
      <c r="M3951">
        <v>1</v>
      </c>
      <c r="N3951">
        <v>1</v>
      </c>
      <c r="P3951">
        <v>0</v>
      </c>
      <c r="Q3951">
        <v>0</v>
      </c>
      <c r="R3951">
        <v>0</v>
      </c>
      <c r="S3951">
        <v>0</v>
      </c>
    </row>
    <row r="3952" spans="1:19" hidden="1" x14ac:dyDescent="0.35">
      <c r="A3952">
        <v>56332634700</v>
      </c>
      <c r="B3952" t="s">
        <v>3952</v>
      </c>
      <c r="C3952" t="str">
        <f>_xlfn.XLOOKUP(A3952,[1]Affiliations!$J$2:$J$5328,[1]Affiliations!$K$2:$K$5328,0)</f>
        <v>Universidade Federal de Minas Gerais</v>
      </c>
      <c r="D3952">
        <v>0</v>
      </c>
      <c r="G3952">
        <v>1</v>
      </c>
    </row>
    <row r="3953" spans="1:19" hidden="1" x14ac:dyDescent="0.35">
      <c r="A3953">
        <v>57200734539</v>
      </c>
      <c r="B3953" t="s">
        <v>3953</v>
      </c>
      <c r="C3953" t="str">
        <f>_xlfn.XLOOKUP(A3953,[1]Affiliations!$J$2:$J$5328,[1]Affiliations!$K$2:$K$5328,0)</f>
        <v>Petróleo Brasileiro S.A. (+1 more)</v>
      </c>
      <c r="D3953">
        <v>5</v>
      </c>
      <c r="E3953">
        <v>9</v>
      </c>
      <c r="F3953">
        <v>1.8</v>
      </c>
      <c r="G3953">
        <v>5</v>
      </c>
      <c r="H3953">
        <v>0.73</v>
      </c>
      <c r="I3953">
        <v>0</v>
      </c>
      <c r="J3953">
        <v>0</v>
      </c>
      <c r="K3953">
        <v>0</v>
      </c>
      <c r="L3953">
        <v>0</v>
      </c>
      <c r="M3953">
        <v>1</v>
      </c>
      <c r="N3953">
        <v>2</v>
      </c>
      <c r="P3953">
        <v>0</v>
      </c>
      <c r="Q3953">
        <v>0</v>
      </c>
      <c r="R3953">
        <v>0</v>
      </c>
      <c r="S3953">
        <v>0</v>
      </c>
    </row>
    <row r="3954" spans="1:19" x14ac:dyDescent="0.35">
      <c r="A3954">
        <v>7004264550</v>
      </c>
      <c r="B3954" t="s">
        <v>3110</v>
      </c>
      <c r="C3954" t="str">
        <f>_xlfn.XLOOKUP(A3954,[1]Affiliations!$J$2:$J$5328,[1]Affiliations!$K$2:$K$5328,0)</f>
        <v>Federal University of Rio de Janeiro</v>
      </c>
      <c r="D3954">
        <v>68</v>
      </c>
      <c r="E3954">
        <v>1438</v>
      </c>
      <c r="F3954">
        <v>21.147058000000001</v>
      </c>
      <c r="G3954">
        <v>29</v>
      </c>
      <c r="H3954">
        <v>0.72</v>
      </c>
      <c r="I3954">
        <v>0</v>
      </c>
      <c r="J3954">
        <v>8</v>
      </c>
      <c r="K3954">
        <v>13</v>
      </c>
      <c r="L3954">
        <v>34</v>
      </c>
      <c r="M3954">
        <v>56</v>
      </c>
      <c r="N3954">
        <v>62</v>
      </c>
      <c r="P3954">
        <v>0</v>
      </c>
      <c r="Q3954">
        <v>1</v>
      </c>
      <c r="R3954">
        <v>8</v>
      </c>
      <c r="S3954">
        <v>30</v>
      </c>
    </row>
    <row r="3955" spans="1:19" hidden="1" x14ac:dyDescent="0.35">
      <c r="A3955">
        <v>59674309100</v>
      </c>
      <c r="B3955" t="s">
        <v>3955</v>
      </c>
      <c r="C3955" t="str">
        <f>_xlfn.XLOOKUP(A3955,[1]Affiliations!$J$2:$J$5328,[1]Affiliations!$K$2:$K$5328,0)</f>
        <v>Universidade Federal do Rio Grande do Sul</v>
      </c>
      <c r="D3955">
        <v>0</v>
      </c>
      <c r="G3955">
        <v>1</v>
      </c>
    </row>
    <row r="3956" spans="1:19" hidden="1" x14ac:dyDescent="0.35">
      <c r="A3956">
        <v>60166359700</v>
      </c>
      <c r="B3956" t="s">
        <v>3956</v>
      </c>
      <c r="C3956" t="str">
        <f>_xlfn.XLOOKUP(A3956,[1]Affiliations!$J$2:$J$5328,[1]Affiliations!$K$2:$K$5328,0)</f>
        <v>Universidade Federal de Goiás</v>
      </c>
      <c r="D3956">
        <v>0</v>
      </c>
      <c r="G3956">
        <v>0</v>
      </c>
    </row>
    <row r="3957" spans="1:19" hidden="1" x14ac:dyDescent="0.35">
      <c r="A3957">
        <v>57216790749</v>
      </c>
      <c r="B3957" t="s">
        <v>3957</v>
      </c>
      <c r="C3957" t="str">
        <f>_xlfn.XLOOKUP(A3957,[1]Affiliations!$J$2:$J$5328,[1]Affiliations!$K$2:$K$5328,0)</f>
        <v>Pontifical Catholic University of Rio de Janeiro</v>
      </c>
      <c r="D3957">
        <v>3</v>
      </c>
      <c r="E3957">
        <v>1</v>
      </c>
      <c r="F3957">
        <v>0.33333333999999998</v>
      </c>
      <c r="G3957">
        <v>1</v>
      </c>
      <c r="H3957">
        <v>0.28000000000000003</v>
      </c>
      <c r="P3957">
        <v>0</v>
      </c>
      <c r="Q3957">
        <v>0</v>
      </c>
      <c r="R3957">
        <v>0</v>
      </c>
      <c r="S3957">
        <v>0</v>
      </c>
    </row>
    <row r="3958" spans="1:19" hidden="1" x14ac:dyDescent="0.35">
      <c r="A3958">
        <v>23980839500</v>
      </c>
      <c r="B3958" t="s">
        <v>3958</v>
      </c>
      <c r="C3958" t="str">
        <f>_xlfn.XLOOKUP(A3958,[1]Affiliations!$J$2:$J$5328,[1]Affiliations!$K$2:$K$5328,0)</f>
        <v>Universidade Federal de Pernambuco</v>
      </c>
      <c r="D3958">
        <v>5</v>
      </c>
      <c r="E3958">
        <v>36</v>
      </c>
      <c r="F3958">
        <v>7.2</v>
      </c>
      <c r="G3958">
        <v>3</v>
      </c>
      <c r="H3958">
        <v>0.55000000000000004</v>
      </c>
      <c r="I3958">
        <v>0</v>
      </c>
      <c r="J3958">
        <v>0</v>
      </c>
      <c r="K3958">
        <v>2</v>
      </c>
      <c r="L3958">
        <v>2</v>
      </c>
      <c r="M3958">
        <v>3</v>
      </c>
      <c r="N3958">
        <v>3</v>
      </c>
      <c r="P3958">
        <v>0</v>
      </c>
      <c r="Q3958">
        <v>0</v>
      </c>
      <c r="R3958">
        <v>0</v>
      </c>
      <c r="S3958">
        <v>1</v>
      </c>
    </row>
    <row r="3959" spans="1:19" x14ac:dyDescent="0.35">
      <c r="A3959">
        <v>15822407600</v>
      </c>
      <c r="B3959" t="s">
        <v>3115</v>
      </c>
      <c r="C3959" t="str">
        <f>_xlfn.XLOOKUP(A3959,[1]Affiliations!$J$2:$J$5328,[1]Affiliations!$K$2:$K$5328,0)</f>
        <v>Universidade do Estado do Rio de Janeiro (+1 more)</v>
      </c>
      <c r="D3959">
        <v>16</v>
      </c>
      <c r="E3959">
        <v>150</v>
      </c>
      <c r="F3959">
        <v>9.375</v>
      </c>
      <c r="G3959">
        <v>9</v>
      </c>
      <c r="H3959">
        <v>0.72</v>
      </c>
      <c r="I3959">
        <v>0</v>
      </c>
      <c r="J3959">
        <v>1</v>
      </c>
      <c r="K3959">
        <v>2</v>
      </c>
      <c r="L3959">
        <v>7</v>
      </c>
      <c r="M3959">
        <v>14</v>
      </c>
      <c r="N3959">
        <v>16</v>
      </c>
      <c r="P3959">
        <v>0</v>
      </c>
      <c r="Q3959">
        <v>0</v>
      </c>
      <c r="R3959">
        <v>1</v>
      </c>
      <c r="S3959">
        <v>5</v>
      </c>
    </row>
    <row r="3960" spans="1:19" x14ac:dyDescent="0.35">
      <c r="A3960">
        <v>15036059800</v>
      </c>
      <c r="B3960" t="s">
        <v>3433</v>
      </c>
      <c r="C3960" t="str">
        <f>_xlfn.XLOOKUP(A3960,[1]Affiliations!$J$2:$J$5328,[1]Affiliations!$K$2:$K$5328,0)</f>
        <v>Universidade Tecnológica Federal do Paraná (+1 more)</v>
      </c>
      <c r="D3960">
        <v>131</v>
      </c>
      <c r="E3960">
        <v>1838</v>
      </c>
      <c r="F3960">
        <v>14.030535</v>
      </c>
      <c r="G3960">
        <v>28</v>
      </c>
      <c r="H3960">
        <v>0.72</v>
      </c>
      <c r="I3960">
        <v>0</v>
      </c>
      <c r="J3960">
        <v>10</v>
      </c>
      <c r="K3960">
        <v>30</v>
      </c>
      <c r="L3960">
        <v>77</v>
      </c>
      <c r="M3960">
        <v>90</v>
      </c>
      <c r="N3960">
        <v>98</v>
      </c>
      <c r="P3960">
        <v>0</v>
      </c>
      <c r="Q3960">
        <v>3</v>
      </c>
      <c r="R3960">
        <v>5</v>
      </c>
      <c r="S3960">
        <v>40</v>
      </c>
    </row>
    <row r="3961" spans="1:19" hidden="1" x14ac:dyDescent="0.35">
      <c r="A3961">
        <v>60166390200</v>
      </c>
      <c r="B3961" t="s">
        <v>3961</v>
      </c>
      <c r="C3961" t="str">
        <f>_xlfn.XLOOKUP(A3961,[1]Affiliations!$J$2:$J$5328,[1]Affiliations!$K$2:$K$5328,0)</f>
        <v>Universidade Estadual do Oeste do Paraná</v>
      </c>
      <c r="D3961">
        <v>0</v>
      </c>
      <c r="G3961">
        <v>0</v>
      </c>
    </row>
    <row r="3962" spans="1:19" hidden="1" x14ac:dyDescent="0.35">
      <c r="A3962">
        <v>59210046600</v>
      </c>
      <c r="B3962" t="s">
        <v>3962</v>
      </c>
      <c r="C3962" t="str">
        <f>_xlfn.XLOOKUP(A3962,[1]Affiliations!$J$2:$J$5328,[1]Affiliations!$K$2:$K$5328,0)</f>
        <v>Pesquisador</v>
      </c>
      <c r="D3962">
        <v>1</v>
      </c>
      <c r="E3962">
        <v>0</v>
      </c>
      <c r="F3962">
        <v>0</v>
      </c>
      <c r="G3962">
        <v>0</v>
      </c>
      <c r="H3962">
        <v>0</v>
      </c>
      <c r="P3962">
        <v>0</v>
      </c>
      <c r="Q3962">
        <v>0</v>
      </c>
      <c r="R3962">
        <v>0</v>
      </c>
      <c r="S3962">
        <v>0</v>
      </c>
    </row>
    <row r="3963" spans="1:19" hidden="1" x14ac:dyDescent="0.35">
      <c r="A3963">
        <v>35956926200</v>
      </c>
      <c r="B3963" t="s">
        <v>3963</v>
      </c>
      <c r="C3963" t="str">
        <f>_xlfn.XLOOKUP(A3963,[1]Affiliations!$J$2:$J$5328,[1]Affiliations!$K$2:$K$5328,0)</f>
        <v>Universidade do Estado do Rio de Janeiro (+1 more)</v>
      </c>
      <c r="D3963">
        <v>5</v>
      </c>
      <c r="E3963">
        <v>108</v>
      </c>
      <c r="F3963">
        <v>21.6</v>
      </c>
      <c r="G3963">
        <v>6</v>
      </c>
      <c r="H3963">
        <v>1.57</v>
      </c>
      <c r="I3963">
        <v>0</v>
      </c>
      <c r="J3963">
        <v>0</v>
      </c>
      <c r="K3963">
        <v>0</v>
      </c>
      <c r="L3963">
        <v>2</v>
      </c>
      <c r="M3963">
        <v>5</v>
      </c>
      <c r="N3963">
        <v>5</v>
      </c>
      <c r="P3963">
        <v>0</v>
      </c>
      <c r="Q3963">
        <v>1</v>
      </c>
      <c r="R3963">
        <v>2</v>
      </c>
      <c r="S3963">
        <v>4</v>
      </c>
    </row>
    <row r="3964" spans="1:19" x14ac:dyDescent="0.35">
      <c r="A3964">
        <v>7003649931</v>
      </c>
      <c r="B3964" t="s">
        <v>3735</v>
      </c>
      <c r="C3964" t="str">
        <f>_xlfn.XLOOKUP(A3964,[1]Affiliations!$J$2:$J$5328,[1]Affiliations!$K$2:$K$5328,0)</f>
        <v>Federal University of Rio de Janeiro</v>
      </c>
      <c r="D3964">
        <v>101</v>
      </c>
      <c r="E3964">
        <v>1137</v>
      </c>
      <c r="F3964">
        <v>11.257425</v>
      </c>
      <c r="G3964">
        <v>29</v>
      </c>
      <c r="H3964">
        <v>0.72</v>
      </c>
      <c r="I3964">
        <v>2</v>
      </c>
      <c r="J3964">
        <v>12</v>
      </c>
      <c r="K3964">
        <v>20</v>
      </c>
      <c r="L3964">
        <v>45</v>
      </c>
      <c r="M3964">
        <v>65</v>
      </c>
      <c r="N3964">
        <v>73</v>
      </c>
      <c r="P3964">
        <v>0</v>
      </c>
      <c r="Q3964">
        <v>1</v>
      </c>
      <c r="R3964">
        <v>2</v>
      </c>
      <c r="S3964">
        <v>17</v>
      </c>
    </row>
    <row r="3965" spans="1:19" hidden="1" x14ac:dyDescent="0.35">
      <c r="A3965">
        <v>57205734324</v>
      </c>
      <c r="B3965" t="s">
        <v>3965</v>
      </c>
      <c r="C3965" t="str">
        <f>_xlfn.XLOOKUP(A3965,[1]Affiliations!$J$2:$J$5328,[1]Affiliations!$K$2:$K$5328,0)</f>
        <v>Federal University of Rio de Janeiro</v>
      </c>
      <c r="D3965">
        <v>6</v>
      </c>
      <c r="E3965">
        <v>3</v>
      </c>
      <c r="F3965">
        <v>0.5</v>
      </c>
      <c r="G3965">
        <v>1</v>
      </c>
      <c r="H3965">
        <v>0.09</v>
      </c>
      <c r="I3965">
        <v>0</v>
      </c>
      <c r="J3965">
        <v>1</v>
      </c>
      <c r="K3965">
        <v>1</v>
      </c>
      <c r="L3965">
        <v>1</v>
      </c>
      <c r="M3965">
        <v>2</v>
      </c>
      <c r="N3965">
        <v>3</v>
      </c>
      <c r="P3965">
        <v>0</v>
      </c>
      <c r="Q3965">
        <v>0</v>
      </c>
      <c r="R3965">
        <v>0</v>
      </c>
      <c r="S3965">
        <v>0</v>
      </c>
    </row>
    <row r="3966" spans="1:19" x14ac:dyDescent="0.35">
      <c r="A3966">
        <v>56018475800</v>
      </c>
      <c r="B3966" t="s">
        <v>3966</v>
      </c>
      <c r="C3966" t="str">
        <f>_xlfn.XLOOKUP(A3966,[1]Affiliations!$J$2:$J$5328,[1]Affiliations!$K$2:$K$5328,0)</f>
        <v>Federal University of Rio de Janeiro</v>
      </c>
      <c r="D3966">
        <v>14</v>
      </c>
      <c r="E3966">
        <v>311</v>
      </c>
      <c r="F3966">
        <v>22.214285</v>
      </c>
      <c r="G3966">
        <v>11</v>
      </c>
      <c r="H3966">
        <v>0.72</v>
      </c>
      <c r="I3966">
        <v>0</v>
      </c>
      <c r="J3966">
        <v>0</v>
      </c>
      <c r="K3966">
        <v>2</v>
      </c>
      <c r="L3966">
        <v>3</v>
      </c>
      <c r="M3966">
        <v>7</v>
      </c>
      <c r="N3966">
        <v>11</v>
      </c>
      <c r="P3966">
        <v>1</v>
      </c>
      <c r="Q3966">
        <v>1</v>
      </c>
      <c r="R3966">
        <v>1</v>
      </c>
      <c r="S3966">
        <v>4</v>
      </c>
    </row>
    <row r="3967" spans="1:19" hidden="1" x14ac:dyDescent="0.35">
      <c r="A3967">
        <v>57221201200</v>
      </c>
      <c r="B3967" t="s">
        <v>3967</v>
      </c>
      <c r="C3967" t="str">
        <f>_xlfn.XLOOKUP(A3967,[1]Affiliations!$J$2:$J$5328,[1]Affiliations!$K$2:$K$5328,0)</f>
        <v>Universidade do Estado do Rio de Janeiro</v>
      </c>
      <c r="D3967">
        <v>6</v>
      </c>
      <c r="E3967">
        <v>5</v>
      </c>
      <c r="F3967">
        <v>0.83333330000000005</v>
      </c>
      <c r="G3967">
        <v>2</v>
      </c>
      <c r="H3967">
        <v>0.14000000000000001</v>
      </c>
      <c r="I3967">
        <v>0</v>
      </c>
      <c r="J3967">
        <v>0</v>
      </c>
      <c r="K3967">
        <v>0</v>
      </c>
      <c r="L3967">
        <v>0</v>
      </c>
      <c r="M3967">
        <v>1</v>
      </c>
      <c r="N3967">
        <v>1</v>
      </c>
      <c r="P3967">
        <v>0</v>
      </c>
      <c r="Q3967">
        <v>0</v>
      </c>
      <c r="R3967">
        <v>0</v>
      </c>
      <c r="S3967">
        <v>0</v>
      </c>
    </row>
    <row r="3968" spans="1:19" hidden="1" x14ac:dyDescent="0.35">
      <c r="A3968">
        <v>57200374882</v>
      </c>
      <c r="B3968" t="s">
        <v>3968</v>
      </c>
      <c r="C3968" t="str">
        <f>_xlfn.XLOOKUP(A3968,[1]Affiliations!$J$2:$J$5328,[1]Affiliations!$K$2:$K$5328,0)</f>
        <v>Universidade Federal Fluminense</v>
      </c>
      <c r="D3968">
        <v>13</v>
      </c>
      <c r="E3968">
        <v>77</v>
      </c>
      <c r="F3968">
        <v>5.9230770000000001</v>
      </c>
      <c r="G3968">
        <v>6</v>
      </c>
      <c r="H3968">
        <v>0.53</v>
      </c>
      <c r="I3968">
        <v>1</v>
      </c>
      <c r="J3968">
        <v>4</v>
      </c>
      <c r="K3968">
        <v>8</v>
      </c>
      <c r="L3968">
        <v>9</v>
      </c>
      <c r="M3968">
        <v>12</v>
      </c>
      <c r="N3968">
        <v>12</v>
      </c>
      <c r="P3968">
        <v>0</v>
      </c>
      <c r="Q3968">
        <v>0</v>
      </c>
      <c r="R3968">
        <v>0</v>
      </c>
      <c r="S3968">
        <v>3</v>
      </c>
    </row>
    <row r="3969" spans="1:19" hidden="1" x14ac:dyDescent="0.35">
      <c r="A3969">
        <v>58296557900</v>
      </c>
      <c r="B3969" t="s">
        <v>3969</v>
      </c>
      <c r="C3969" t="str">
        <f>_xlfn.XLOOKUP(A3969,[1]Affiliations!$J$2:$J$5328,[1]Affiliations!$K$2:$K$5328,0)</f>
        <v>Pontifical Catholic University of Rio de Janeiro</v>
      </c>
      <c r="D3969">
        <v>4</v>
      </c>
      <c r="E3969">
        <v>19</v>
      </c>
      <c r="F3969">
        <v>4.75</v>
      </c>
      <c r="G3969">
        <v>3</v>
      </c>
      <c r="H3969">
        <v>1.87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2</v>
      </c>
      <c r="P3969">
        <v>0</v>
      </c>
      <c r="Q3969">
        <v>0</v>
      </c>
      <c r="R3969">
        <v>0</v>
      </c>
      <c r="S3969">
        <v>2</v>
      </c>
    </row>
    <row r="3970" spans="1:19" x14ac:dyDescent="0.35">
      <c r="A3970">
        <v>55367090400</v>
      </c>
      <c r="B3970" t="s">
        <v>4016</v>
      </c>
      <c r="C3970" t="str">
        <f>_xlfn.XLOOKUP(A3970,[1]Affiliations!$J$2:$J$5328,[1]Affiliations!$K$2:$K$5328,0)</f>
        <v>University of Campinas (+1 more)</v>
      </c>
      <c r="D3970">
        <v>7</v>
      </c>
      <c r="E3970">
        <v>118</v>
      </c>
      <c r="F3970">
        <v>16.857143000000001</v>
      </c>
      <c r="G3970">
        <v>9</v>
      </c>
      <c r="H3970">
        <v>0.72</v>
      </c>
      <c r="I3970">
        <v>0</v>
      </c>
      <c r="J3970">
        <v>0</v>
      </c>
      <c r="K3970">
        <v>4</v>
      </c>
      <c r="L3970">
        <v>4</v>
      </c>
      <c r="M3970">
        <v>4</v>
      </c>
      <c r="N3970">
        <v>6</v>
      </c>
      <c r="P3970">
        <v>0</v>
      </c>
      <c r="Q3970">
        <v>0</v>
      </c>
      <c r="R3970">
        <v>1</v>
      </c>
      <c r="S3970">
        <v>3</v>
      </c>
    </row>
    <row r="3971" spans="1:19" hidden="1" x14ac:dyDescent="0.35">
      <c r="A3971">
        <v>57304530100</v>
      </c>
      <c r="B3971" t="s">
        <v>3971</v>
      </c>
      <c r="C3971" t="str">
        <f>_xlfn.XLOOKUP(A3971,[1]Affiliations!$J$2:$J$5328,[1]Affiliations!$K$2:$K$5328,0)</f>
        <v>Universidade Federal Fluminense</v>
      </c>
      <c r="D3971">
        <v>5</v>
      </c>
      <c r="E3971">
        <v>15</v>
      </c>
      <c r="F3971">
        <v>3</v>
      </c>
      <c r="G3971">
        <v>2</v>
      </c>
      <c r="H3971">
        <v>0.18</v>
      </c>
      <c r="I3971">
        <v>0</v>
      </c>
      <c r="J3971">
        <v>0</v>
      </c>
      <c r="K3971">
        <v>0</v>
      </c>
      <c r="L3971">
        <v>3</v>
      </c>
      <c r="M3971">
        <v>3</v>
      </c>
      <c r="N3971">
        <v>3</v>
      </c>
      <c r="P3971">
        <v>0</v>
      </c>
      <c r="Q3971">
        <v>0</v>
      </c>
      <c r="R3971">
        <v>0</v>
      </c>
      <c r="S3971">
        <v>0</v>
      </c>
    </row>
    <row r="3972" spans="1:19" hidden="1" x14ac:dyDescent="0.35">
      <c r="A3972">
        <v>59188131900</v>
      </c>
      <c r="B3972" t="s">
        <v>3972</v>
      </c>
      <c r="C3972" t="str">
        <f>_xlfn.XLOOKUP(A3972,[1]Affiliations!$J$2:$J$5328,[1]Affiliations!$K$2:$K$5328,0)</f>
        <v>Federal University of Rio de Janeiro</v>
      </c>
      <c r="D3972">
        <v>1</v>
      </c>
      <c r="E3972">
        <v>1</v>
      </c>
      <c r="F3972">
        <v>1</v>
      </c>
      <c r="G3972">
        <v>1</v>
      </c>
      <c r="H3972">
        <v>0.13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P3972">
        <v>0</v>
      </c>
      <c r="Q3972">
        <v>0</v>
      </c>
      <c r="R3972">
        <v>0</v>
      </c>
      <c r="S3972">
        <v>0</v>
      </c>
    </row>
    <row r="3973" spans="1:19" hidden="1" x14ac:dyDescent="0.35">
      <c r="A3973">
        <v>58579789900</v>
      </c>
      <c r="B3973" t="s">
        <v>3973</v>
      </c>
      <c r="C3973" t="str">
        <f>_xlfn.XLOOKUP(A3973,[1]Affiliations!$J$2:$J$5328,[1]Affiliations!$K$2:$K$5328,0)</f>
        <v>Universidade Federal de Mato Grosso</v>
      </c>
      <c r="D3973">
        <v>3</v>
      </c>
      <c r="E3973">
        <v>51</v>
      </c>
      <c r="F3973">
        <v>17</v>
      </c>
      <c r="G3973">
        <v>2</v>
      </c>
      <c r="H3973">
        <v>0.72</v>
      </c>
      <c r="I3973">
        <v>0</v>
      </c>
      <c r="J3973">
        <v>1</v>
      </c>
      <c r="K3973">
        <v>1</v>
      </c>
      <c r="L3973">
        <v>1</v>
      </c>
      <c r="M3973">
        <v>2</v>
      </c>
      <c r="N3973">
        <v>2</v>
      </c>
      <c r="P3973">
        <v>0</v>
      </c>
      <c r="Q3973">
        <v>0</v>
      </c>
      <c r="R3973">
        <v>0</v>
      </c>
      <c r="S3973">
        <v>1</v>
      </c>
    </row>
    <row r="3974" spans="1:19" hidden="1" x14ac:dyDescent="0.35">
      <c r="A3974">
        <v>55625044700</v>
      </c>
      <c r="B3974" t="s">
        <v>3974</v>
      </c>
      <c r="C3974" t="str">
        <f>_xlfn.XLOOKUP(A3974,[1]Affiliations!$J$2:$J$5328,[1]Affiliations!$K$2:$K$5328,0)</f>
        <v>Federal University of Rio de Janeiro</v>
      </c>
      <c r="D3974">
        <v>1</v>
      </c>
      <c r="E3974">
        <v>0</v>
      </c>
      <c r="F3974">
        <v>0</v>
      </c>
      <c r="G3974">
        <v>1</v>
      </c>
      <c r="H3974">
        <v>0</v>
      </c>
      <c r="P3974">
        <v>0</v>
      </c>
      <c r="Q3974">
        <v>0</v>
      </c>
      <c r="R3974">
        <v>0</v>
      </c>
      <c r="S3974">
        <v>0</v>
      </c>
    </row>
    <row r="3975" spans="1:19" hidden="1" x14ac:dyDescent="0.35">
      <c r="A3975">
        <v>24461229500</v>
      </c>
      <c r="B3975" t="s">
        <v>3975</v>
      </c>
      <c r="C3975" t="str">
        <f>_xlfn.XLOOKUP(A3975,[1]Affiliations!$J$2:$J$5328,[1]Affiliations!$K$2:$K$5328,0)</f>
        <v>Universidade Federal Fluminense (+1 more)</v>
      </c>
      <c r="D3975">
        <v>15</v>
      </c>
      <c r="E3975">
        <v>129</v>
      </c>
      <c r="F3975">
        <v>8.6</v>
      </c>
      <c r="G3975">
        <v>12</v>
      </c>
      <c r="H3975">
        <v>0.41</v>
      </c>
      <c r="I3975">
        <v>0</v>
      </c>
      <c r="J3975">
        <v>2</v>
      </c>
      <c r="K3975">
        <v>3</v>
      </c>
      <c r="L3975">
        <v>9</v>
      </c>
      <c r="M3975">
        <v>11</v>
      </c>
      <c r="N3975">
        <v>13</v>
      </c>
      <c r="P3975">
        <v>0</v>
      </c>
      <c r="Q3975">
        <v>0</v>
      </c>
      <c r="R3975">
        <v>0</v>
      </c>
      <c r="S3975">
        <v>2</v>
      </c>
    </row>
    <row r="3976" spans="1:19" hidden="1" x14ac:dyDescent="0.35">
      <c r="A3976">
        <v>58692147900</v>
      </c>
      <c r="B3976" t="s">
        <v>3976</v>
      </c>
      <c r="C3976" t="str">
        <f>_xlfn.XLOOKUP(A3976,[1]Affiliations!$J$2:$J$5328,[1]Affiliations!$K$2:$K$5328,0)</f>
        <v>Federal University of Rio de Janeiro</v>
      </c>
      <c r="D3976">
        <v>2</v>
      </c>
      <c r="E3976">
        <v>6</v>
      </c>
      <c r="F3976">
        <v>3</v>
      </c>
      <c r="G3976">
        <v>1</v>
      </c>
      <c r="H3976">
        <v>0.37</v>
      </c>
      <c r="I3976">
        <v>0</v>
      </c>
      <c r="J3976">
        <v>0</v>
      </c>
      <c r="K3976">
        <v>0</v>
      </c>
      <c r="L3976">
        <v>1</v>
      </c>
      <c r="M3976">
        <v>1</v>
      </c>
      <c r="N3976">
        <v>1</v>
      </c>
      <c r="P3976">
        <v>0</v>
      </c>
      <c r="Q3976">
        <v>0</v>
      </c>
      <c r="R3976">
        <v>0</v>
      </c>
      <c r="S3976">
        <v>1</v>
      </c>
    </row>
    <row r="3977" spans="1:19" x14ac:dyDescent="0.35">
      <c r="A3977">
        <v>6603927489</v>
      </c>
      <c r="B3977" t="s">
        <v>4033</v>
      </c>
      <c r="C3977" t="str">
        <f>_xlfn.XLOOKUP(A3977,[1]Affiliations!$J$2:$J$5328,[1]Affiliations!$K$2:$K$5328,0)</f>
        <v>Universidade Federal da Bahia</v>
      </c>
      <c r="D3977">
        <v>61</v>
      </c>
      <c r="E3977">
        <v>390</v>
      </c>
      <c r="F3977">
        <v>6.3934426000000002</v>
      </c>
      <c r="G3977">
        <v>16</v>
      </c>
      <c r="H3977">
        <v>0.72</v>
      </c>
      <c r="I3977">
        <v>1</v>
      </c>
      <c r="J3977">
        <v>1</v>
      </c>
      <c r="K3977">
        <v>4</v>
      </c>
      <c r="L3977">
        <v>12</v>
      </c>
      <c r="M3977">
        <v>28</v>
      </c>
      <c r="N3977">
        <v>31</v>
      </c>
      <c r="P3977">
        <v>0</v>
      </c>
      <c r="Q3977">
        <v>1</v>
      </c>
      <c r="R3977">
        <v>2</v>
      </c>
      <c r="S3977">
        <v>6</v>
      </c>
    </row>
    <row r="3978" spans="1:19" hidden="1" x14ac:dyDescent="0.35">
      <c r="A3978">
        <v>57221193176</v>
      </c>
      <c r="B3978" t="s">
        <v>3978</v>
      </c>
      <c r="C3978" t="str">
        <f>_xlfn.XLOOKUP(A3978,[1]Affiliations!$J$2:$J$5328,[1]Affiliations!$K$2:$K$5328,0)</f>
        <v>Universidade do Estado do Rio de Janeiro</v>
      </c>
      <c r="D3978">
        <v>2</v>
      </c>
      <c r="E3978">
        <v>4</v>
      </c>
      <c r="F3978">
        <v>2</v>
      </c>
      <c r="G3978">
        <v>2</v>
      </c>
      <c r="H3978">
        <v>0.14000000000000001</v>
      </c>
      <c r="I3978">
        <v>0</v>
      </c>
      <c r="J3978">
        <v>0</v>
      </c>
      <c r="K3978">
        <v>0</v>
      </c>
      <c r="L3978">
        <v>0</v>
      </c>
      <c r="M3978">
        <v>1</v>
      </c>
      <c r="N3978">
        <v>1</v>
      </c>
      <c r="P3978">
        <v>0</v>
      </c>
      <c r="Q3978">
        <v>0</v>
      </c>
      <c r="R3978">
        <v>0</v>
      </c>
      <c r="S3978">
        <v>0</v>
      </c>
    </row>
    <row r="3979" spans="1:19" hidden="1" x14ac:dyDescent="0.35">
      <c r="A3979">
        <v>57197571181</v>
      </c>
      <c r="B3979" t="s">
        <v>3979</v>
      </c>
      <c r="C3979" t="str">
        <f>_xlfn.XLOOKUP(A3979,[1]Affiliations!$J$2:$J$5328,[1]Affiliations!$K$2:$K$5328,0)</f>
        <v>Universidade Federal de Pernambuco</v>
      </c>
      <c r="D3979">
        <v>3</v>
      </c>
      <c r="E3979">
        <v>31</v>
      </c>
      <c r="F3979">
        <v>10.333333</v>
      </c>
      <c r="G3979">
        <v>2</v>
      </c>
      <c r="H3979">
        <v>1.1399999999999999</v>
      </c>
      <c r="I3979">
        <v>0</v>
      </c>
      <c r="J3979">
        <v>0</v>
      </c>
      <c r="K3979">
        <v>0</v>
      </c>
      <c r="L3979">
        <v>1</v>
      </c>
      <c r="M3979">
        <v>2</v>
      </c>
      <c r="N3979">
        <v>2</v>
      </c>
      <c r="P3979">
        <v>0</v>
      </c>
      <c r="Q3979">
        <v>0</v>
      </c>
      <c r="R3979">
        <v>0</v>
      </c>
      <c r="S3979">
        <v>1</v>
      </c>
    </row>
    <row r="3980" spans="1:19" x14ac:dyDescent="0.35">
      <c r="A3980">
        <v>35146691800</v>
      </c>
      <c r="B3980" t="s">
        <v>4284</v>
      </c>
      <c r="C3980" t="str">
        <f>_xlfn.XLOOKUP(A3980,[1]Affiliations!$J$2:$J$5328,[1]Affiliations!$K$2:$K$5328,0)</f>
        <v>Universidade Federal do Rio Grande do Norte</v>
      </c>
      <c r="D3980">
        <v>22</v>
      </c>
      <c r="E3980">
        <v>231</v>
      </c>
      <c r="F3980">
        <v>10.5</v>
      </c>
      <c r="G3980">
        <v>9</v>
      </c>
      <c r="H3980">
        <v>0.72</v>
      </c>
      <c r="I3980">
        <v>0</v>
      </c>
      <c r="J3980">
        <v>3</v>
      </c>
      <c r="K3980">
        <v>5</v>
      </c>
      <c r="L3980">
        <v>10</v>
      </c>
      <c r="M3980">
        <v>15</v>
      </c>
      <c r="N3980">
        <v>20</v>
      </c>
      <c r="P3980">
        <v>0</v>
      </c>
      <c r="Q3980">
        <v>1</v>
      </c>
      <c r="R3980">
        <v>1</v>
      </c>
      <c r="S3980">
        <v>7</v>
      </c>
    </row>
    <row r="3981" spans="1:19" x14ac:dyDescent="0.35">
      <c r="A3981">
        <v>56363143000</v>
      </c>
      <c r="B3981" t="s">
        <v>4318</v>
      </c>
      <c r="C3981" t="str">
        <f>_xlfn.XLOOKUP(A3981,[1]Affiliations!$J$2:$J$5328,[1]Affiliations!$K$2:$K$5328,0)</f>
        <v>University of Liverpool (+1 more)</v>
      </c>
      <c r="D3981">
        <v>22</v>
      </c>
      <c r="E3981">
        <v>283</v>
      </c>
      <c r="F3981">
        <v>12.863636</v>
      </c>
      <c r="G3981">
        <v>9</v>
      </c>
      <c r="H3981">
        <v>0.72</v>
      </c>
      <c r="I3981">
        <v>0</v>
      </c>
      <c r="J3981">
        <v>5</v>
      </c>
      <c r="K3981">
        <v>7</v>
      </c>
      <c r="L3981">
        <v>13</v>
      </c>
      <c r="M3981">
        <v>19</v>
      </c>
      <c r="N3981">
        <v>20</v>
      </c>
      <c r="P3981">
        <v>0</v>
      </c>
      <c r="Q3981">
        <v>1</v>
      </c>
      <c r="R3981">
        <v>1</v>
      </c>
      <c r="S3981">
        <v>10</v>
      </c>
    </row>
    <row r="3982" spans="1:19" x14ac:dyDescent="0.35">
      <c r="A3982">
        <v>7004725516</v>
      </c>
      <c r="B3982" t="s">
        <v>4450</v>
      </c>
      <c r="C3982" t="str">
        <f>_xlfn.XLOOKUP(A3982,[1]Affiliations!$J$2:$J$5328,[1]Affiliations!$K$2:$K$5328,0)</f>
        <v>Universidade Federal Fluminense (+1 more)</v>
      </c>
      <c r="D3982">
        <v>78</v>
      </c>
      <c r="E3982">
        <v>1177</v>
      </c>
      <c r="F3982">
        <v>15.089744</v>
      </c>
      <c r="G3982">
        <v>37</v>
      </c>
      <c r="H3982">
        <v>0.72</v>
      </c>
      <c r="I3982">
        <v>2</v>
      </c>
      <c r="J3982">
        <v>11</v>
      </c>
      <c r="K3982">
        <v>19</v>
      </c>
      <c r="L3982">
        <v>35</v>
      </c>
      <c r="M3982">
        <v>56</v>
      </c>
      <c r="N3982">
        <v>61</v>
      </c>
      <c r="P3982">
        <v>0</v>
      </c>
      <c r="Q3982">
        <v>2</v>
      </c>
      <c r="R3982">
        <v>9</v>
      </c>
      <c r="S3982">
        <v>24</v>
      </c>
    </row>
    <row r="3983" spans="1:19" x14ac:dyDescent="0.35">
      <c r="A3983">
        <v>36081061300</v>
      </c>
      <c r="B3983" t="s">
        <v>4525</v>
      </c>
      <c r="C3983" t="str">
        <f>_xlfn.XLOOKUP(A3983,[1]Affiliations!$J$2:$J$5328,[1]Affiliations!$K$2:$K$5328,0)</f>
        <v>University of Campinas</v>
      </c>
      <c r="D3983">
        <v>9</v>
      </c>
      <c r="E3983">
        <v>163</v>
      </c>
      <c r="F3983">
        <v>18.11111</v>
      </c>
      <c r="G3983">
        <v>17</v>
      </c>
      <c r="H3983">
        <v>0.72</v>
      </c>
      <c r="I3983">
        <v>0</v>
      </c>
      <c r="J3983">
        <v>1</v>
      </c>
      <c r="K3983">
        <v>2</v>
      </c>
      <c r="L3983">
        <v>5</v>
      </c>
      <c r="M3983">
        <v>8</v>
      </c>
      <c r="N3983">
        <v>8</v>
      </c>
      <c r="P3983">
        <v>0</v>
      </c>
      <c r="Q3983">
        <v>0</v>
      </c>
      <c r="R3983">
        <v>1</v>
      </c>
      <c r="S3983">
        <v>2</v>
      </c>
    </row>
    <row r="3984" spans="1:19" hidden="1" x14ac:dyDescent="0.35">
      <c r="A3984">
        <v>57205473670</v>
      </c>
      <c r="B3984" t="s">
        <v>3984</v>
      </c>
      <c r="C3984" t="str">
        <f>_xlfn.XLOOKUP(A3984,[1]Affiliations!$J$2:$J$5328,[1]Affiliations!$K$2:$K$5328,0)</f>
        <v>Universidade de São Paulo</v>
      </c>
      <c r="D3984">
        <v>2</v>
      </c>
      <c r="E3984">
        <v>49</v>
      </c>
      <c r="F3984">
        <v>24.5</v>
      </c>
      <c r="G3984">
        <v>2</v>
      </c>
      <c r="H3984">
        <v>0.99</v>
      </c>
      <c r="I3984">
        <v>0</v>
      </c>
      <c r="J3984">
        <v>0</v>
      </c>
      <c r="K3984">
        <v>0</v>
      </c>
      <c r="L3984">
        <v>2</v>
      </c>
      <c r="M3984">
        <v>2</v>
      </c>
      <c r="N3984">
        <v>2</v>
      </c>
      <c r="P3984">
        <v>0</v>
      </c>
      <c r="Q3984">
        <v>0</v>
      </c>
      <c r="R3984">
        <v>0</v>
      </c>
      <c r="S3984">
        <v>2</v>
      </c>
    </row>
    <row r="3985" spans="1:19" x14ac:dyDescent="0.35">
      <c r="A3985">
        <v>56314981400</v>
      </c>
      <c r="B3985" t="s">
        <v>4646</v>
      </c>
      <c r="C3985" t="str">
        <f>_xlfn.XLOOKUP(A3985,[1]Affiliations!$J$2:$J$5328,[1]Affiliations!$K$2:$K$5328,0)</f>
        <v>Universidade Federal do Ceará (+1 more)</v>
      </c>
      <c r="D3985">
        <v>43</v>
      </c>
      <c r="E3985">
        <v>814</v>
      </c>
      <c r="F3985">
        <v>18.930233000000001</v>
      </c>
      <c r="G3985">
        <v>21</v>
      </c>
      <c r="H3985">
        <v>0.72</v>
      </c>
      <c r="I3985">
        <v>0</v>
      </c>
      <c r="J3985">
        <v>2</v>
      </c>
      <c r="K3985">
        <v>8</v>
      </c>
      <c r="L3985">
        <v>21</v>
      </c>
      <c r="M3985">
        <v>32</v>
      </c>
      <c r="N3985">
        <v>38</v>
      </c>
      <c r="P3985">
        <v>0</v>
      </c>
      <c r="Q3985">
        <v>1</v>
      </c>
      <c r="R3985">
        <v>6</v>
      </c>
      <c r="S3985">
        <v>14</v>
      </c>
    </row>
    <row r="3986" spans="1:19" hidden="1" x14ac:dyDescent="0.35">
      <c r="A3986">
        <v>26664975100</v>
      </c>
      <c r="B3986" t="s">
        <v>3986</v>
      </c>
      <c r="C3986" t="str">
        <f>_xlfn.XLOOKUP(A3986,[1]Affiliations!$J$2:$J$5328,[1]Affiliations!$K$2:$K$5328,0)</f>
        <v>Federal University of Rio de Janeiro</v>
      </c>
      <c r="D3986">
        <v>12</v>
      </c>
      <c r="E3986">
        <v>69</v>
      </c>
      <c r="F3986">
        <v>5.75</v>
      </c>
      <c r="G3986">
        <v>10</v>
      </c>
      <c r="H3986">
        <v>0.38</v>
      </c>
      <c r="I3986">
        <v>0</v>
      </c>
      <c r="J3986">
        <v>0</v>
      </c>
      <c r="K3986">
        <v>1</v>
      </c>
      <c r="L3986">
        <v>5</v>
      </c>
      <c r="M3986">
        <v>7</v>
      </c>
      <c r="N3986">
        <v>11</v>
      </c>
      <c r="P3986">
        <v>0</v>
      </c>
      <c r="Q3986">
        <v>0</v>
      </c>
      <c r="R3986">
        <v>0</v>
      </c>
      <c r="S3986">
        <v>1</v>
      </c>
    </row>
    <row r="3987" spans="1:19" hidden="1" x14ac:dyDescent="0.35">
      <c r="A3987">
        <v>23005818600</v>
      </c>
      <c r="B3987" t="s">
        <v>3987</v>
      </c>
      <c r="C3987" t="str">
        <f>_xlfn.XLOOKUP(A3987,[1]Affiliations!$J$2:$J$5328,[1]Affiliations!$K$2:$K$5328,0)</f>
        <v>Federal University of Santa Catarina</v>
      </c>
      <c r="D3987">
        <v>20</v>
      </c>
      <c r="E3987">
        <v>129</v>
      </c>
      <c r="F3987">
        <v>6.45</v>
      </c>
      <c r="G3987">
        <v>8</v>
      </c>
      <c r="H3987">
        <v>0.62</v>
      </c>
      <c r="I3987">
        <v>0</v>
      </c>
      <c r="J3987">
        <v>1</v>
      </c>
      <c r="K3987">
        <v>2</v>
      </c>
      <c r="L3987">
        <v>4</v>
      </c>
      <c r="M3987">
        <v>8</v>
      </c>
      <c r="N3987">
        <v>12</v>
      </c>
      <c r="P3987">
        <v>0</v>
      </c>
      <c r="Q3987">
        <v>0</v>
      </c>
      <c r="R3987">
        <v>0</v>
      </c>
      <c r="S3987">
        <v>2</v>
      </c>
    </row>
    <row r="3988" spans="1:19" hidden="1" x14ac:dyDescent="0.35">
      <c r="A3988">
        <v>57193205606</v>
      </c>
      <c r="B3988" t="s">
        <v>3988</v>
      </c>
      <c r="C3988" t="str">
        <f>_xlfn.XLOOKUP(A3988,[1]Affiliations!$J$2:$J$5328,[1]Affiliations!$K$2:$K$5328,0)</f>
        <v>Universidade Federal Fluminense</v>
      </c>
      <c r="D3988">
        <v>1</v>
      </c>
      <c r="E3988">
        <v>1</v>
      </c>
      <c r="F3988">
        <v>1</v>
      </c>
      <c r="G3988">
        <v>1</v>
      </c>
      <c r="H3988">
        <v>0.08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P3988">
        <v>0</v>
      </c>
      <c r="Q3988">
        <v>0</v>
      </c>
      <c r="R3988">
        <v>0</v>
      </c>
      <c r="S3988">
        <v>0</v>
      </c>
    </row>
    <row r="3989" spans="1:19" hidden="1" x14ac:dyDescent="0.35">
      <c r="A3989">
        <v>55269038500</v>
      </c>
      <c r="B3989" t="s">
        <v>3989</v>
      </c>
      <c r="C3989" t="str">
        <f>_xlfn.XLOOKUP(A3989,[1]Affiliations!$J$2:$J$5328,[1]Affiliations!$K$2:$K$5328,0)</f>
        <v>Universidade Federal do Paraná</v>
      </c>
      <c r="D3989">
        <v>6</v>
      </c>
      <c r="E3989">
        <v>22</v>
      </c>
      <c r="F3989">
        <v>3.6666666999999999</v>
      </c>
      <c r="G3989">
        <v>5</v>
      </c>
      <c r="H3989">
        <v>0.3</v>
      </c>
      <c r="I3989">
        <v>0</v>
      </c>
      <c r="J3989">
        <v>0</v>
      </c>
      <c r="K3989">
        <v>0</v>
      </c>
      <c r="L3989">
        <v>0</v>
      </c>
      <c r="M3989">
        <v>2</v>
      </c>
      <c r="N3989">
        <v>5</v>
      </c>
      <c r="P3989">
        <v>0</v>
      </c>
      <c r="Q3989">
        <v>0</v>
      </c>
      <c r="R3989">
        <v>0</v>
      </c>
      <c r="S3989">
        <v>0</v>
      </c>
    </row>
    <row r="3990" spans="1:19" hidden="1" x14ac:dyDescent="0.35">
      <c r="A3990">
        <v>57200397028</v>
      </c>
      <c r="B3990" t="s">
        <v>3990</v>
      </c>
      <c r="C3990" t="str">
        <f>_xlfn.XLOOKUP(A3990,[1]Affiliations!$J$2:$J$5328,[1]Affiliations!$K$2:$K$5328,0)</f>
        <v>Universidade Estadual de Maringá</v>
      </c>
      <c r="D3990">
        <v>2</v>
      </c>
      <c r="E3990">
        <v>13</v>
      </c>
      <c r="F3990">
        <v>6.5</v>
      </c>
      <c r="G3990">
        <v>2</v>
      </c>
      <c r="H3990">
        <v>0.21</v>
      </c>
      <c r="I3990">
        <v>0</v>
      </c>
      <c r="J3990">
        <v>0</v>
      </c>
      <c r="K3990">
        <v>0</v>
      </c>
      <c r="L3990">
        <v>1</v>
      </c>
      <c r="M3990">
        <v>1</v>
      </c>
      <c r="N3990">
        <v>2</v>
      </c>
      <c r="P3990">
        <v>0</v>
      </c>
      <c r="Q3990">
        <v>0</v>
      </c>
      <c r="R3990">
        <v>0</v>
      </c>
      <c r="S3990">
        <v>0</v>
      </c>
    </row>
    <row r="3991" spans="1:19" x14ac:dyDescent="0.35">
      <c r="A3991">
        <v>56227443700</v>
      </c>
      <c r="B3991" t="s">
        <v>4821</v>
      </c>
      <c r="C3991" t="str">
        <f>_xlfn.XLOOKUP(A3991,[1]Affiliations!$J$2:$J$5328,[1]Affiliations!$K$2:$K$5328,0)</f>
        <v>Universidade do Estado do Rio de Janeiro (+2 more)</v>
      </c>
      <c r="D3991">
        <v>59</v>
      </c>
      <c r="E3991">
        <v>825</v>
      </c>
      <c r="F3991">
        <v>13.983051</v>
      </c>
      <c r="G3991">
        <v>17</v>
      </c>
      <c r="H3991">
        <v>0.72</v>
      </c>
      <c r="I3991">
        <v>1</v>
      </c>
      <c r="J3991">
        <v>4</v>
      </c>
      <c r="K3991">
        <v>10</v>
      </c>
      <c r="L3991">
        <v>17</v>
      </c>
      <c r="M3991">
        <v>38</v>
      </c>
      <c r="N3991">
        <v>56</v>
      </c>
      <c r="P3991">
        <v>0</v>
      </c>
      <c r="Q3991">
        <v>1</v>
      </c>
      <c r="R3991">
        <v>8</v>
      </c>
      <c r="S3991">
        <v>22</v>
      </c>
    </row>
    <row r="3992" spans="1:19" hidden="1" x14ac:dyDescent="0.35">
      <c r="A3992">
        <v>58117281200</v>
      </c>
      <c r="B3992" t="s">
        <v>3992</v>
      </c>
      <c r="C3992" t="str">
        <f>_xlfn.XLOOKUP(A3992,[1]Affiliations!$J$2:$J$5328,[1]Affiliations!$K$2:$K$5328,0)</f>
        <v>Técnico Mecânico CTDUT</v>
      </c>
      <c r="D3992">
        <v>1</v>
      </c>
      <c r="E3992">
        <v>1</v>
      </c>
      <c r="F3992">
        <v>1</v>
      </c>
      <c r="G3992">
        <v>1</v>
      </c>
      <c r="H3992">
        <v>0</v>
      </c>
      <c r="P3992">
        <v>0</v>
      </c>
      <c r="Q3992">
        <v>0</v>
      </c>
      <c r="R3992">
        <v>0</v>
      </c>
      <c r="S3992">
        <v>0</v>
      </c>
    </row>
    <row r="3993" spans="1:19" x14ac:dyDescent="0.35">
      <c r="A3993">
        <v>26532123600</v>
      </c>
      <c r="B3993" t="s">
        <v>5000</v>
      </c>
      <c r="C3993" t="str">
        <f>_xlfn.XLOOKUP(A3993,[1]Affiliations!$J$2:$J$5328,[1]Affiliations!$K$2:$K$5328,0)</f>
        <v>Universidade de São Paulo (+1 more)</v>
      </c>
      <c r="D3993">
        <v>55</v>
      </c>
      <c r="E3993">
        <v>558</v>
      </c>
      <c r="F3993">
        <v>10.145454000000001</v>
      </c>
      <c r="G3993">
        <v>14</v>
      </c>
      <c r="H3993">
        <v>0.72</v>
      </c>
      <c r="I3993">
        <v>0</v>
      </c>
      <c r="J3993">
        <v>3</v>
      </c>
      <c r="K3993">
        <v>5</v>
      </c>
      <c r="L3993">
        <v>16</v>
      </c>
      <c r="M3993">
        <v>35</v>
      </c>
      <c r="N3993">
        <v>48</v>
      </c>
      <c r="P3993">
        <v>0</v>
      </c>
      <c r="Q3993">
        <v>0</v>
      </c>
      <c r="R3993">
        <v>1</v>
      </c>
      <c r="S3993">
        <v>11</v>
      </c>
    </row>
    <row r="3994" spans="1:19" hidden="1" x14ac:dyDescent="0.35">
      <c r="A3994">
        <v>8642046500</v>
      </c>
      <c r="B3994" t="s">
        <v>3994</v>
      </c>
      <c r="C3994" t="str">
        <f>_xlfn.XLOOKUP(A3994,[1]Affiliations!$J$2:$J$5328,[1]Affiliations!$K$2:$K$5328,0)</f>
        <v>Universidade Estadual do Norte Fluminense</v>
      </c>
      <c r="D3994">
        <v>34</v>
      </c>
      <c r="E3994">
        <v>152</v>
      </c>
      <c r="F3994">
        <v>4.4705880000000002</v>
      </c>
      <c r="G3994">
        <v>11</v>
      </c>
      <c r="H3994">
        <v>0.31</v>
      </c>
      <c r="I3994">
        <v>0</v>
      </c>
      <c r="J3994">
        <v>2</v>
      </c>
      <c r="K3994">
        <v>4</v>
      </c>
      <c r="L3994">
        <v>16</v>
      </c>
      <c r="M3994">
        <v>22</v>
      </c>
      <c r="N3994">
        <v>25</v>
      </c>
      <c r="P3994">
        <v>0</v>
      </c>
      <c r="Q3994">
        <v>0</v>
      </c>
      <c r="R3994">
        <v>0</v>
      </c>
      <c r="S3994">
        <v>2</v>
      </c>
    </row>
    <row r="3995" spans="1:19" x14ac:dyDescent="0.35">
      <c r="A3995">
        <v>24077225600</v>
      </c>
      <c r="B3995" t="s">
        <v>5051</v>
      </c>
      <c r="C3995" t="str">
        <f>_xlfn.XLOOKUP(A3995,[1]Affiliations!$J$2:$J$5328,[1]Affiliations!$K$2:$K$5328,0)</f>
        <v>Universidade do Estado do Rio de Janeiro</v>
      </c>
      <c r="D3995">
        <v>26</v>
      </c>
      <c r="E3995">
        <v>365</v>
      </c>
      <c r="F3995">
        <v>14.038462000000001</v>
      </c>
      <c r="G3995">
        <v>17</v>
      </c>
      <c r="H3995">
        <v>0.72</v>
      </c>
      <c r="I3995">
        <v>0</v>
      </c>
      <c r="J3995">
        <v>3</v>
      </c>
      <c r="K3995">
        <v>4</v>
      </c>
      <c r="L3995">
        <v>7</v>
      </c>
      <c r="M3995">
        <v>20</v>
      </c>
      <c r="N3995">
        <v>22</v>
      </c>
      <c r="P3995">
        <v>0</v>
      </c>
      <c r="Q3995">
        <v>1</v>
      </c>
      <c r="R3995">
        <v>3</v>
      </c>
      <c r="S3995">
        <v>6</v>
      </c>
    </row>
    <row r="3996" spans="1:19" hidden="1" x14ac:dyDescent="0.35">
      <c r="A3996">
        <v>57192911366</v>
      </c>
      <c r="B3996" t="s">
        <v>3996</v>
      </c>
      <c r="C3996" t="str">
        <f>_xlfn.XLOOKUP(A3996,[1]Affiliations!$J$2:$J$5328,[1]Affiliations!$K$2:$K$5328,0)</f>
        <v>Pontifícia Universidade Católica do Rio Grande do Sul</v>
      </c>
      <c r="D3996">
        <v>10</v>
      </c>
      <c r="E3996">
        <v>101</v>
      </c>
      <c r="F3996">
        <v>10.1</v>
      </c>
      <c r="G3996">
        <v>6</v>
      </c>
      <c r="H3996">
        <v>0.37</v>
      </c>
      <c r="I3996">
        <v>0</v>
      </c>
      <c r="J3996">
        <v>0</v>
      </c>
      <c r="K3996">
        <v>2</v>
      </c>
      <c r="L3996">
        <v>4</v>
      </c>
      <c r="M3996">
        <v>9</v>
      </c>
      <c r="N3996">
        <v>9</v>
      </c>
      <c r="P3996">
        <v>0</v>
      </c>
      <c r="Q3996">
        <v>0</v>
      </c>
      <c r="R3996">
        <v>0</v>
      </c>
      <c r="S3996">
        <v>1</v>
      </c>
    </row>
    <row r="3997" spans="1:19" hidden="1" x14ac:dyDescent="0.35">
      <c r="A3997">
        <v>8408410100</v>
      </c>
      <c r="B3997" t="s">
        <v>3997</v>
      </c>
      <c r="C3997" t="str">
        <f>_xlfn.XLOOKUP(A3997,[1]Affiliations!$J$2:$J$5328,[1]Affiliations!$K$2:$K$5328,0)</f>
        <v>Pontifical Catholic University of Rio de Janeiro</v>
      </c>
      <c r="D3997">
        <v>8</v>
      </c>
      <c r="E3997">
        <v>2</v>
      </c>
      <c r="F3997">
        <v>0.25</v>
      </c>
      <c r="G3997">
        <v>4</v>
      </c>
      <c r="H3997">
        <v>0.02</v>
      </c>
      <c r="I3997">
        <v>0</v>
      </c>
      <c r="J3997">
        <v>0</v>
      </c>
      <c r="K3997">
        <v>0</v>
      </c>
      <c r="L3997">
        <v>1</v>
      </c>
      <c r="M3997">
        <v>1</v>
      </c>
      <c r="N3997">
        <v>1</v>
      </c>
      <c r="P3997">
        <v>0</v>
      </c>
      <c r="Q3997">
        <v>0</v>
      </c>
      <c r="R3997">
        <v>0</v>
      </c>
      <c r="S3997">
        <v>0</v>
      </c>
    </row>
    <row r="3998" spans="1:19" x14ac:dyDescent="0.35">
      <c r="A3998">
        <v>10438785300</v>
      </c>
      <c r="B3998" t="s">
        <v>5259</v>
      </c>
      <c r="C3998" t="str">
        <f>_xlfn.XLOOKUP(A3998,[1]Affiliations!$J$2:$J$5328,[1]Affiliations!$K$2:$K$5328,0)</f>
        <v>Universidade Federal de Pernambuco (+1 more)</v>
      </c>
      <c r="D3998">
        <v>34</v>
      </c>
      <c r="E3998">
        <v>363</v>
      </c>
      <c r="F3998">
        <v>10.676470999999999</v>
      </c>
      <c r="G3998">
        <v>12</v>
      </c>
      <c r="H3998">
        <v>0.72</v>
      </c>
      <c r="I3998">
        <v>0</v>
      </c>
      <c r="J3998">
        <v>2</v>
      </c>
      <c r="K3998">
        <v>8</v>
      </c>
      <c r="L3998">
        <v>16</v>
      </c>
      <c r="M3998">
        <v>23</v>
      </c>
      <c r="N3998">
        <v>26</v>
      </c>
      <c r="P3998">
        <v>0</v>
      </c>
      <c r="Q3998">
        <v>0</v>
      </c>
      <c r="R3998">
        <v>2</v>
      </c>
      <c r="S3998">
        <v>8</v>
      </c>
    </row>
    <row r="3999" spans="1:19" x14ac:dyDescent="0.35">
      <c r="A3999">
        <v>7005729923</v>
      </c>
      <c r="B3999" t="s">
        <v>147</v>
      </c>
      <c r="C3999" t="str">
        <f>_xlfn.XLOOKUP(A3999,[1]Affiliations!$J$2:$J$5328,[1]Affiliations!$K$2:$K$5328,0)</f>
        <v>Universidade Federal Fluminense (+1 more)</v>
      </c>
      <c r="D3999">
        <v>56</v>
      </c>
      <c r="E3999">
        <v>919</v>
      </c>
      <c r="F3999">
        <v>16.410715</v>
      </c>
      <c r="G3999">
        <v>18</v>
      </c>
      <c r="H3999">
        <v>0.71</v>
      </c>
      <c r="I3999">
        <v>1</v>
      </c>
      <c r="J3999">
        <v>4</v>
      </c>
      <c r="K3999">
        <v>18</v>
      </c>
      <c r="L3999">
        <v>35</v>
      </c>
      <c r="M3999">
        <v>50</v>
      </c>
      <c r="N3999">
        <v>54</v>
      </c>
      <c r="P3999">
        <v>0</v>
      </c>
      <c r="Q3999">
        <v>2</v>
      </c>
      <c r="R3999">
        <v>9</v>
      </c>
      <c r="S3999">
        <v>20</v>
      </c>
    </row>
    <row r="4000" spans="1:19" hidden="1" x14ac:dyDescent="0.35">
      <c r="A4000">
        <v>56452609400</v>
      </c>
      <c r="B4000" t="s">
        <v>4000</v>
      </c>
      <c r="C4000" t="str">
        <f>_xlfn.XLOOKUP(A4000,[1]Affiliations!$J$2:$J$5328,[1]Affiliations!$K$2:$K$5328,0)</f>
        <v>Universidade Federal de Uberlândia</v>
      </c>
      <c r="D4000">
        <v>1</v>
      </c>
      <c r="E4000">
        <v>5</v>
      </c>
      <c r="F4000">
        <v>5</v>
      </c>
      <c r="G4000">
        <v>2</v>
      </c>
      <c r="H4000">
        <v>0.53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1</v>
      </c>
      <c r="P4000">
        <v>0</v>
      </c>
      <c r="Q4000">
        <v>0</v>
      </c>
      <c r="R4000">
        <v>0</v>
      </c>
      <c r="S4000">
        <v>0</v>
      </c>
    </row>
    <row r="4001" spans="1:19" hidden="1" x14ac:dyDescent="0.35">
      <c r="A4001">
        <v>8318308100</v>
      </c>
      <c r="B4001" t="s">
        <v>4001</v>
      </c>
      <c r="C4001" t="str">
        <f>_xlfn.XLOOKUP(A4001,[1]Affiliations!$J$2:$J$5328,[1]Affiliations!$K$2:$K$5328,0)</f>
        <v>Federal University of Rio de Janeiro</v>
      </c>
      <c r="D4001">
        <v>3</v>
      </c>
      <c r="E4001">
        <v>33</v>
      </c>
      <c r="F4001">
        <v>11</v>
      </c>
      <c r="G4001">
        <v>7</v>
      </c>
      <c r="H4001">
        <v>0.56000000000000005</v>
      </c>
      <c r="I4001">
        <v>0</v>
      </c>
      <c r="J4001">
        <v>0</v>
      </c>
      <c r="K4001">
        <v>0</v>
      </c>
      <c r="L4001">
        <v>2</v>
      </c>
      <c r="M4001">
        <v>2</v>
      </c>
      <c r="N4001">
        <v>3</v>
      </c>
      <c r="P4001">
        <v>0</v>
      </c>
      <c r="Q4001">
        <v>0</v>
      </c>
      <c r="R4001">
        <v>0</v>
      </c>
      <c r="S4001">
        <v>0</v>
      </c>
    </row>
    <row r="4002" spans="1:19" hidden="1" x14ac:dyDescent="0.35">
      <c r="A4002">
        <v>57191203765</v>
      </c>
      <c r="B4002" t="s">
        <v>4002</v>
      </c>
      <c r="C4002" t="str">
        <f>_xlfn.XLOOKUP(A4002,[1]Affiliations!$J$2:$J$5328,[1]Affiliations!$K$2:$K$5328,0)</f>
        <v>Universidade Federal do Rio Grande do Sul (+2 more)</v>
      </c>
      <c r="D4002">
        <v>5</v>
      </c>
      <c r="E4002">
        <v>47</v>
      </c>
      <c r="F4002">
        <v>9.4</v>
      </c>
      <c r="G4002">
        <v>3</v>
      </c>
      <c r="H4002">
        <v>0.57999999999999996</v>
      </c>
      <c r="I4002">
        <v>0</v>
      </c>
      <c r="J4002">
        <v>1</v>
      </c>
      <c r="K4002">
        <v>1</v>
      </c>
      <c r="L4002">
        <v>2</v>
      </c>
      <c r="M4002">
        <v>3</v>
      </c>
      <c r="N4002">
        <v>4</v>
      </c>
      <c r="P4002">
        <v>0</v>
      </c>
      <c r="Q4002">
        <v>0</v>
      </c>
      <c r="R4002">
        <v>0</v>
      </c>
      <c r="S4002">
        <v>0</v>
      </c>
    </row>
    <row r="4003" spans="1:19" hidden="1" x14ac:dyDescent="0.35">
      <c r="A4003">
        <v>58204192900</v>
      </c>
      <c r="B4003" t="s">
        <v>4003</v>
      </c>
      <c r="C4003" t="str">
        <f>_xlfn.XLOOKUP(A4003,[1]Affiliations!$J$2:$J$5328,[1]Affiliations!$K$2:$K$5328,0)</f>
        <v>Parque Tecnológico</v>
      </c>
      <c r="D4003">
        <v>0</v>
      </c>
      <c r="G4003">
        <v>0</v>
      </c>
    </row>
    <row r="4004" spans="1:19" x14ac:dyDescent="0.35">
      <c r="A4004">
        <v>57221964092</v>
      </c>
      <c r="B4004" t="s">
        <v>578</v>
      </c>
      <c r="C4004" t="str">
        <f>_xlfn.XLOOKUP(A4004,[1]Affiliations!$J$2:$J$5328,[1]Affiliations!$K$2:$K$5328,0)</f>
        <v>Universidade Estadual de Maringá</v>
      </c>
      <c r="D4004">
        <v>5</v>
      </c>
      <c r="E4004">
        <v>72</v>
      </c>
      <c r="F4004">
        <v>14.4</v>
      </c>
      <c r="G4004">
        <v>4</v>
      </c>
      <c r="H4004">
        <v>0.71</v>
      </c>
      <c r="I4004">
        <v>0</v>
      </c>
      <c r="J4004">
        <v>0</v>
      </c>
      <c r="K4004">
        <v>1</v>
      </c>
      <c r="L4004">
        <v>3</v>
      </c>
      <c r="M4004">
        <v>4</v>
      </c>
      <c r="N4004">
        <v>5</v>
      </c>
      <c r="P4004">
        <v>0</v>
      </c>
      <c r="Q4004">
        <v>0</v>
      </c>
      <c r="R4004">
        <v>1</v>
      </c>
      <c r="S4004">
        <v>3</v>
      </c>
    </row>
    <row r="4005" spans="1:19" hidden="1" x14ac:dyDescent="0.35">
      <c r="A4005">
        <v>6506228231</v>
      </c>
      <c r="B4005" t="s">
        <v>4005</v>
      </c>
      <c r="C4005" t="str">
        <f>_xlfn.XLOOKUP(A4005,[1]Affiliations!$J$2:$J$5328,[1]Affiliations!$K$2:$K$5328,0)</f>
        <v>Pontifical Catholic University of Rio de Janeiro (+1 more)</v>
      </c>
      <c r="D4005">
        <v>0</v>
      </c>
      <c r="G4005">
        <v>3</v>
      </c>
    </row>
    <row r="4006" spans="1:19" hidden="1" x14ac:dyDescent="0.35">
      <c r="A4006">
        <v>23981099000</v>
      </c>
      <c r="B4006" t="s">
        <v>4006</v>
      </c>
      <c r="C4006" t="str">
        <f>_xlfn.XLOOKUP(A4006,[1]Affiliations!$J$2:$J$5328,[1]Affiliations!$K$2:$K$5328,0)</f>
        <v>Firenze-Consulting in Engineering and IT (+1 more)</v>
      </c>
      <c r="D4006">
        <v>3</v>
      </c>
      <c r="E4006">
        <v>7</v>
      </c>
      <c r="F4006">
        <v>2.3333333000000001</v>
      </c>
      <c r="G4006">
        <v>8</v>
      </c>
      <c r="H4006">
        <v>0.53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2</v>
      </c>
      <c r="P4006">
        <v>0</v>
      </c>
      <c r="Q4006">
        <v>0</v>
      </c>
      <c r="R4006">
        <v>0</v>
      </c>
      <c r="S4006">
        <v>0</v>
      </c>
    </row>
    <row r="4007" spans="1:19" hidden="1" x14ac:dyDescent="0.35">
      <c r="A4007">
        <v>56383831000</v>
      </c>
      <c r="B4007" t="s">
        <v>4007</v>
      </c>
      <c r="C4007" t="str">
        <f>_xlfn.XLOOKUP(A4007,[1]Affiliations!$J$2:$J$5328,[1]Affiliations!$K$2:$K$5328,0)</f>
        <v>Federal University of Rio de Janeiro</v>
      </c>
      <c r="D4007">
        <v>9</v>
      </c>
      <c r="E4007">
        <v>86</v>
      </c>
      <c r="F4007">
        <v>9.555555</v>
      </c>
      <c r="G4007">
        <v>4</v>
      </c>
      <c r="H4007">
        <v>0.43</v>
      </c>
      <c r="I4007">
        <v>0</v>
      </c>
      <c r="J4007">
        <v>3</v>
      </c>
      <c r="K4007">
        <v>4</v>
      </c>
      <c r="L4007">
        <v>5</v>
      </c>
      <c r="M4007">
        <v>9</v>
      </c>
      <c r="N4007">
        <v>9</v>
      </c>
      <c r="P4007">
        <v>0</v>
      </c>
      <c r="Q4007">
        <v>0</v>
      </c>
      <c r="R4007">
        <v>0</v>
      </c>
      <c r="S4007">
        <v>3</v>
      </c>
    </row>
    <row r="4008" spans="1:19" hidden="1" x14ac:dyDescent="0.35">
      <c r="A4008">
        <v>57218684141</v>
      </c>
      <c r="B4008" t="s">
        <v>4008</v>
      </c>
      <c r="C4008" t="str">
        <f>_xlfn.XLOOKUP(A4008,[1]Affiliations!$J$2:$J$5328,[1]Affiliations!$K$2:$K$5328,0)</f>
        <v>Pontifical Catholic University of Rio de Janeiro</v>
      </c>
      <c r="D4008">
        <v>10</v>
      </c>
      <c r="E4008">
        <v>66</v>
      </c>
      <c r="F4008">
        <v>6.6</v>
      </c>
      <c r="G4008">
        <v>6</v>
      </c>
      <c r="H4008">
        <v>0.69</v>
      </c>
      <c r="I4008">
        <v>0</v>
      </c>
      <c r="J4008">
        <v>1</v>
      </c>
      <c r="K4008">
        <v>2</v>
      </c>
      <c r="L4008">
        <v>3</v>
      </c>
      <c r="M4008">
        <v>4</v>
      </c>
      <c r="N4008">
        <v>5</v>
      </c>
      <c r="P4008">
        <v>0</v>
      </c>
      <c r="Q4008">
        <v>0</v>
      </c>
      <c r="R4008">
        <v>0</v>
      </c>
      <c r="S4008">
        <v>2</v>
      </c>
    </row>
    <row r="4009" spans="1:19" hidden="1" x14ac:dyDescent="0.35">
      <c r="A4009">
        <v>6701502069</v>
      </c>
      <c r="B4009" t="s">
        <v>4009</v>
      </c>
      <c r="C4009" t="str">
        <f>_xlfn.XLOOKUP(A4009,[1]Affiliations!$J$2:$J$5328,[1]Affiliations!$K$2:$K$5328,0)</f>
        <v>Universidade Estadual Paulista “Júlio de Mesquita Filho”</v>
      </c>
      <c r="D4009">
        <v>4</v>
      </c>
      <c r="E4009">
        <v>38</v>
      </c>
      <c r="F4009">
        <v>9.5</v>
      </c>
      <c r="G4009">
        <v>9</v>
      </c>
      <c r="H4009">
        <v>0.26</v>
      </c>
      <c r="I4009">
        <v>0</v>
      </c>
      <c r="J4009">
        <v>0</v>
      </c>
      <c r="K4009">
        <v>1</v>
      </c>
      <c r="L4009">
        <v>2</v>
      </c>
      <c r="M4009">
        <v>3</v>
      </c>
      <c r="N4009">
        <v>3</v>
      </c>
      <c r="P4009">
        <v>0</v>
      </c>
      <c r="Q4009">
        <v>0</v>
      </c>
      <c r="R4009">
        <v>0</v>
      </c>
      <c r="S4009">
        <v>0</v>
      </c>
    </row>
    <row r="4010" spans="1:19" x14ac:dyDescent="0.35">
      <c r="A4010">
        <v>56185269600</v>
      </c>
      <c r="B4010" t="s">
        <v>706</v>
      </c>
      <c r="C4010" t="str">
        <f>_xlfn.XLOOKUP(A4010,[1]Affiliations!$J$2:$J$5328,[1]Affiliations!$K$2:$K$5328,0)</f>
        <v>Ergostech Renewable Energy Solutions</v>
      </c>
      <c r="D4010">
        <v>8</v>
      </c>
      <c r="E4010">
        <v>230</v>
      </c>
      <c r="F4010">
        <v>28.75</v>
      </c>
      <c r="G4010">
        <v>7</v>
      </c>
      <c r="H4010">
        <v>0.71</v>
      </c>
      <c r="I4010">
        <v>0</v>
      </c>
      <c r="J4010">
        <v>1</v>
      </c>
      <c r="K4010">
        <v>1</v>
      </c>
      <c r="L4010">
        <v>4</v>
      </c>
      <c r="M4010">
        <v>8</v>
      </c>
      <c r="N4010">
        <v>8</v>
      </c>
      <c r="P4010">
        <v>0</v>
      </c>
      <c r="Q4010">
        <v>1</v>
      </c>
      <c r="R4010">
        <v>2</v>
      </c>
      <c r="S4010">
        <v>2</v>
      </c>
    </row>
    <row r="4011" spans="1:19" hidden="1" x14ac:dyDescent="0.35">
      <c r="A4011">
        <v>57192249378</v>
      </c>
      <c r="B4011" t="s">
        <v>4011</v>
      </c>
      <c r="C4011" t="str">
        <f>_xlfn.XLOOKUP(A4011,[1]Affiliations!$J$2:$J$5328,[1]Affiliations!$K$2:$K$5328,0)</f>
        <v>Universidade Tecnológica Federal do Paraná (+1 more)</v>
      </c>
      <c r="D4011">
        <v>12</v>
      </c>
      <c r="E4011">
        <v>38</v>
      </c>
      <c r="F4011">
        <v>3.1666666999999999</v>
      </c>
      <c r="G4011">
        <v>4</v>
      </c>
      <c r="H4011">
        <v>0.52</v>
      </c>
      <c r="I4011">
        <v>0</v>
      </c>
      <c r="J4011">
        <v>0</v>
      </c>
      <c r="K4011">
        <v>1</v>
      </c>
      <c r="L4011">
        <v>2</v>
      </c>
      <c r="M4011">
        <v>3</v>
      </c>
      <c r="N4011">
        <v>6</v>
      </c>
      <c r="P4011">
        <v>0</v>
      </c>
      <c r="Q4011">
        <v>0</v>
      </c>
      <c r="R4011">
        <v>0</v>
      </c>
      <c r="S4011">
        <v>1</v>
      </c>
    </row>
    <row r="4012" spans="1:19" hidden="1" x14ac:dyDescent="0.35">
      <c r="A4012">
        <v>57225224012</v>
      </c>
      <c r="B4012" t="s">
        <v>4012</v>
      </c>
      <c r="C4012" t="str">
        <f>_xlfn.XLOOKUP(A4012,[1]Affiliations!$J$2:$J$5328,[1]Affiliations!$K$2:$K$5328,0)</f>
        <v>Universidade de São Paulo</v>
      </c>
      <c r="D4012">
        <v>10</v>
      </c>
      <c r="E4012">
        <v>118</v>
      </c>
      <c r="F4012">
        <v>11.8</v>
      </c>
      <c r="G4012">
        <v>6</v>
      </c>
      <c r="H4012">
        <v>0.67</v>
      </c>
      <c r="I4012">
        <v>0</v>
      </c>
      <c r="J4012">
        <v>2</v>
      </c>
      <c r="K4012">
        <v>3</v>
      </c>
      <c r="L4012">
        <v>7</v>
      </c>
      <c r="M4012">
        <v>7</v>
      </c>
      <c r="N4012">
        <v>8</v>
      </c>
      <c r="P4012">
        <v>0</v>
      </c>
      <c r="Q4012">
        <v>0</v>
      </c>
      <c r="R4012">
        <v>0</v>
      </c>
      <c r="S4012">
        <v>4</v>
      </c>
    </row>
    <row r="4013" spans="1:19" hidden="1" x14ac:dyDescent="0.35">
      <c r="A4013">
        <v>57225224012</v>
      </c>
      <c r="B4013" t="s">
        <v>4012</v>
      </c>
      <c r="C4013" t="str">
        <f>_xlfn.XLOOKUP(A4013,[1]Affiliations!$J$2:$J$5328,[1]Affiliations!$K$2:$K$5328,0)</f>
        <v>Universidade de São Paulo</v>
      </c>
      <c r="D4013">
        <v>10</v>
      </c>
      <c r="E4013">
        <v>118</v>
      </c>
      <c r="F4013">
        <v>11.8</v>
      </c>
      <c r="G4013">
        <v>6</v>
      </c>
      <c r="H4013">
        <v>0.67</v>
      </c>
      <c r="I4013">
        <v>0</v>
      </c>
      <c r="J4013">
        <v>2</v>
      </c>
      <c r="K4013">
        <v>3</v>
      </c>
      <c r="L4013">
        <v>7</v>
      </c>
      <c r="M4013">
        <v>7</v>
      </c>
      <c r="N4013">
        <v>8</v>
      </c>
      <c r="P4013">
        <v>0</v>
      </c>
      <c r="Q4013">
        <v>0</v>
      </c>
      <c r="R4013">
        <v>0</v>
      </c>
      <c r="S4013">
        <v>4</v>
      </c>
    </row>
    <row r="4014" spans="1:19" x14ac:dyDescent="0.35">
      <c r="A4014">
        <v>7007149890</v>
      </c>
      <c r="B4014" t="s">
        <v>976</v>
      </c>
      <c r="C4014" t="str">
        <f>_xlfn.XLOOKUP(A4014,[1]Affiliations!$J$2:$J$5328,[1]Affiliations!$K$2:$K$5328,0)</f>
        <v>Universidade Federal Fluminense</v>
      </c>
      <c r="D4014">
        <v>51</v>
      </c>
      <c r="E4014">
        <v>737</v>
      </c>
      <c r="F4014">
        <v>14.450979999999999</v>
      </c>
      <c r="G4014">
        <v>25</v>
      </c>
      <c r="H4014">
        <v>0.71</v>
      </c>
      <c r="I4014">
        <v>1</v>
      </c>
      <c r="J4014">
        <v>12</v>
      </c>
      <c r="K4014">
        <v>21</v>
      </c>
      <c r="L4014">
        <v>32</v>
      </c>
      <c r="M4014">
        <v>43</v>
      </c>
      <c r="N4014">
        <v>43</v>
      </c>
      <c r="P4014">
        <v>0</v>
      </c>
      <c r="Q4014">
        <v>1</v>
      </c>
      <c r="R4014">
        <v>3</v>
      </c>
      <c r="S4014">
        <v>15</v>
      </c>
    </row>
    <row r="4015" spans="1:19" x14ac:dyDescent="0.35">
      <c r="A4015">
        <v>36184995100</v>
      </c>
      <c r="B4015" t="s">
        <v>1319</v>
      </c>
      <c r="C4015" t="str">
        <f>_xlfn.XLOOKUP(A4015,[1]Affiliations!$J$2:$J$5328,[1]Affiliations!$K$2:$K$5328,0)</f>
        <v>Universidade Federal de Pelotas</v>
      </c>
      <c r="D4015">
        <v>6</v>
      </c>
      <c r="E4015">
        <v>123</v>
      </c>
      <c r="F4015">
        <v>20.5</v>
      </c>
      <c r="G4015">
        <v>6</v>
      </c>
      <c r="H4015">
        <v>0.71</v>
      </c>
      <c r="I4015">
        <v>0</v>
      </c>
      <c r="J4015">
        <v>1</v>
      </c>
      <c r="K4015">
        <v>1</v>
      </c>
      <c r="L4015">
        <v>3</v>
      </c>
      <c r="M4015">
        <v>6</v>
      </c>
      <c r="N4015">
        <v>6</v>
      </c>
      <c r="P4015">
        <v>0</v>
      </c>
      <c r="Q4015">
        <v>0</v>
      </c>
      <c r="R4015">
        <v>1</v>
      </c>
      <c r="S4015">
        <v>2</v>
      </c>
    </row>
    <row r="4016" spans="1:19" hidden="1" x14ac:dyDescent="0.35">
      <c r="A4016">
        <v>55179528200</v>
      </c>
      <c r="B4016" t="s">
        <v>4015</v>
      </c>
      <c r="C4016" t="str">
        <f>_xlfn.XLOOKUP(A4016,[1]Affiliations!$J$2:$J$5328,[1]Affiliations!$K$2:$K$5328,0)</f>
        <v>Universidade Tecnológica Federal do Paraná (+1 more)</v>
      </c>
      <c r="D4016">
        <v>1</v>
      </c>
      <c r="E4016">
        <v>19</v>
      </c>
      <c r="F4016">
        <v>19</v>
      </c>
      <c r="G4016">
        <v>3</v>
      </c>
      <c r="H4016">
        <v>0.61</v>
      </c>
      <c r="I4016">
        <v>0</v>
      </c>
      <c r="J4016">
        <v>0</v>
      </c>
      <c r="K4016">
        <v>1</v>
      </c>
      <c r="L4016">
        <v>1</v>
      </c>
      <c r="M4016">
        <v>1</v>
      </c>
      <c r="N4016">
        <v>1</v>
      </c>
      <c r="P4016">
        <v>0</v>
      </c>
      <c r="Q4016">
        <v>0</v>
      </c>
      <c r="R4016">
        <v>0</v>
      </c>
      <c r="S4016">
        <v>0</v>
      </c>
    </row>
    <row r="4017" spans="1:19" x14ac:dyDescent="0.35">
      <c r="A4017">
        <v>6508002729</v>
      </c>
      <c r="B4017" t="s">
        <v>1453</v>
      </c>
      <c r="C4017" t="str">
        <f>_xlfn.XLOOKUP(A4017,[1]Affiliations!$J$2:$J$5328,[1]Affiliations!$K$2:$K$5328,0)</f>
        <v>Universidade Federal de Itajubá</v>
      </c>
      <c r="D4017">
        <v>24</v>
      </c>
      <c r="E4017">
        <v>204</v>
      </c>
      <c r="F4017">
        <v>8.5</v>
      </c>
      <c r="G4017">
        <v>13</v>
      </c>
      <c r="H4017">
        <v>0.71</v>
      </c>
      <c r="I4017">
        <v>0</v>
      </c>
      <c r="J4017">
        <v>0</v>
      </c>
      <c r="K4017">
        <v>1</v>
      </c>
      <c r="L4017">
        <v>9</v>
      </c>
      <c r="M4017">
        <v>9</v>
      </c>
      <c r="N4017">
        <v>10</v>
      </c>
      <c r="P4017">
        <v>0</v>
      </c>
      <c r="Q4017">
        <v>0</v>
      </c>
      <c r="R4017">
        <v>1</v>
      </c>
      <c r="S4017">
        <v>5</v>
      </c>
    </row>
    <row r="4018" spans="1:19" hidden="1" x14ac:dyDescent="0.35">
      <c r="A4018">
        <v>58126137900</v>
      </c>
      <c r="B4018" t="s">
        <v>4017</v>
      </c>
      <c r="C4018" t="str">
        <f>_xlfn.XLOOKUP(A4018,[1]Affiliations!$J$2:$J$5328,[1]Affiliations!$K$2:$K$5328,0)</f>
        <v>Simeros Technologies (+1 more)</v>
      </c>
      <c r="D4018">
        <v>2</v>
      </c>
      <c r="E4018">
        <v>2</v>
      </c>
      <c r="F4018">
        <v>1</v>
      </c>
      <c r="G4018">
        <v>1</v>
      </c>
      <c r="H4018">
        <v>0.49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2</v>
      </c>
      <c r="P4018">
        <v>0</v>
      </c>
      <c r="Q4018">
        <v>0</v>
      </c>
      <c r="R4018">
        <v>0</v>
      </c>
      <c r="S4018">
        <v>0</v>
      </c>
    </row>
    <row r="4019" spans="1:19" hidden="1" x14ac:dyDescent="0.35">
      <c r="A4019">
        <v>57205728732</v>
      </c>
      <c r="B4019" t="s">
        <v>4018</v>
      </c>
      <c r="C4019" t="str">
        <f>_xlfn.XLOOKUP(A4019,[1]Affiliations!$J$2:$J$5328,[1]Affiliations!$K$2:$K$5328,0)</f>
        <v>Federal University of Santa Catarina</v>
      </c>
      <c r="D4019">
        <v>1</v>
      </c>
      <c r="E4019">
        <v>25</v>
      </c>
      <c r="F4019">
        <v>25</v>
      </c>
      <c r="G4019">
        <v>1</v>
      </c>
      <c r="H4019">
        <v>0.96</v>
      </c>
      <c r="I4019">
        <v>0</v>
      </c>
      <c r="J4019">
        <v>0</v>
      </c>
      <c r="K4019">
        <v>1</v>
      </c>
      <c r="L4019">
        <v>1</v>
      </c>
      <c r="M4019">
        <v>1</v>
      </c>
      <c r="N4019">
        <v>1</v>
      </c>
      <c r="P4019">
        <v>0</v>
      </c>
      <c r="Q4019">
        <v>0</v>
      </c>
      <c r="R4019">
        <v>0</v>
      </c>
      <c r="S4019">
        <v>1</v>
      </c>
    </row>
    <row r="4020" spans="1:19" x14ac:dyDescent="0.35">
      <c r="A4020">
        <v>57205408892</v>
      </c>
      <c r="B4020" t="s">
        <v>1868</v>
      </c>
      <c r="C4020" t="str">
        <f>_xlfn.XLOOKUP(A4020,[1]Affiliations!$J$2:$J$5328,[1]Affiliations!$K$2:$K$5328,0)</f>
        <v>Federal University of Rio de Janeiro</v>
      </c>
      <c r="D4020">
        <v>8</v>
      </c>
      <c r="E4020">
        <v>103</v>
      </c>
      <c r="F4020">
        <v>12.875</v>
      </c>
      <c r="G4020">
        <v>5</v>
      </c>
      <c r="H4020">
        <v>0.71</v>
      </c>
      <c r="I4020">
        <v>0</v>
      </c>
      <c r="J4020">
        <v>0</v>
      </c>
      <c r="K4020">
        <v>1</v>
      </c>
      <c r="L4020">
        <v>4</v>
      </c>
      <c r="M4020">
        <v>7</v>
      </c>
      <c r="N4020">
        <v>7</v>
      </c>
      <c r="P4020">
        <v>0</v>
      </c>
      <c r="Q4020">
        <v>1</v>
      </c>
      <c r="R4020">
        <v>1</v>
      </c>
      <c r="S4020">
        <v>4</v>
      </c>
    </row>
    <row r="4021" spans="1:19" hidden="1" x14ac:dyDescent="0.35">
      <c r="A4021">
        <v>57226383417</v>
      </c>
      <c r="B4021" t="s">
        <v>4020</v>
      </c>
      <c r="C4021" t="str">
        <f>_xlfn.XLOOKUP(A4021,[1]Affiliations!$J$2:$J$5328,[1]Affiliations!$K$2:$K$5328,0)</f>
        <v>Universidade Federal do Rio Grande do Sul</v>
      </c>
      <c r="D4021">
        <v>1</v>
      </c>
      <c r="E4021">
        <v>2</v>
      </c>
      <c r="F4021">
        <v>2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P4021">
        <v>0</v>
      </c>
      <c r="Q4021">
        <v>0</v>
      </c>
      <c r="R4021">
        <v>0</v>
      </c>
      <c r="S4021">
        <v>0</v>
      </c>
    </row>
    <row r="4022" spans="1:19" hidden="1" x14ac:dyDescent="0.35">
      <c r="A4022">
        <v>57207995701</v>
      </c>
      <c r="B4022" t="s">
        <v>4021</v>
      </c>
      <c r="C4022" t="str">
        <f>_xlfn.XLOOKUP(A4022,[1]Affiliations!$J$2:$J$5328,[1]Affiliations!$K$2:$K$5328,0)</f>
        <v>Federal University of Rio de Janeiro</v>
      </c>
      <c r="D4022">
        <v>1</v>
      </c>
      <c r="E4022">
        <v>1</v>
      </c>
      <c r="F4022">
        <v>1</v>
      </c>
      <c r="G4022">
        <v>1</v>
      </c>
      <c r="H4022">
        <v>0.51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1</v>
      </c>
      <c r="P4022">
        <v>0</v>
      </c>
      <c r="Q4022">
        <v>0</v>
      </c>
      <c r="R4022">
        <v>0</v>
      </c>
      <c r="S4022">
        <v>0</v>
      </c>
    </row>
    <row r="4023" spans="1:19" x14ac:dyDescent="0.35">
      <c r="A4023">
        <v>57609126800</v>
      </c>
      <c r="B4023" t="s">
        <v>2379</v>
      </c>
      <c r="C4023" t="str">
        <f>_xlfn.XLOOKUP(A4023,[1]Affiliations!$J$2:$J$5328,[1]Affiliations!$K$2:$K$5328,0)</f>
        <v>Universidade Federal de Minas Gerais</v>
      </c>
      <c r="D4023">
        <v>10</v>
      </c>
      <c r="E4023">
        <v>71</v>
      </c>
      <c r="F4023">
        <v>7.1</v>
      </c>
      <c r="G4023">
        <v>5</v>
      </c>
      <c r="H4023">
        <v>0.71</v>
      </c>
      <c r="I4023">
        <v>0</v>
      </c>
      <c r="J4023">
        <v>0</v>
      </c>
      <c r="K4023">
        <v>2</v>
      </c>
      <c r="L4023">
        <v>6</v>
      </c>
      <c r="M4023">
        <v>9</v>
      </c>
      <c r="N4023">
        <v>9</v>
      </c>
      <c r="P4023">
        <v>0</v>
      </c>
      <c r="Q4023">
        <v>0</v>
      </c>
      <c r="R4023">
        <v>1</v>
      </c>
      <c r="S4023">
        <v>4</v>
      </c>
    </row>
    <row r="4024" spans="1:19" x14ac:dyDescent="0.35">
      <c r="A4024">
        <v>6701418227</v>
      </c>
      <c r="B4024" t="s">
        <v>2753</v>
      </c>
      <c r="C4024" t="str">
        <f>_xlfn.XLOOKUP(A4024,[1]Affiliations!$J$2:$J$5328,[1]Affiliations!$K$2:$K$5328,0)</f>
        <v>Universidade Federal do Rio Grande do Sul</v>
      </c>
      <c r="D4024">
        <v>57</v>
      </c>
      <c r="E4024">
        <v>705</v>
      </c>
      <c r="F4024">
        <v>12.368421</v>
      </c>
      <c r="G4024">
        <v>23</v>
      </c>
      <c r="H4024">
        <v>0.71</v>
      </c>
      <c r="I4024">
        <v>1</v>
      </c>
      <c r="J4024">
        <v>4</v>
      </c>
      <c r="K4024">
        <v>8</v>
      </c>
      <c r="L4024">
        <v>16</v>
      </c>
      <c r="M4024">
        <v>42</v>
      </c>
      <c r="N4024">
        <v>52</v>
      </c>
      <c r="P4024">
        <v>0</v>
      </c>
      <c r="Q4024">
        <v>1</v>
      </c>
      <c r="R4024">
        <v>3</v>
      </c>
      <c r="S4024">
        <v>13</v>
      </c>
    </row>
    <row r="4025" spans="1:19" hidden="1" x14ac:dyDescent="0.35">
      <c r="A4025">
        <v>57226163433</v>
      </c>
      <c r="B4025" t="s">
        <v>4024</v>
      </c>
      <c r="C4025" t="str">
        <f>_xlfn.XLOOKUP(A4025,[1]Affiliations!$J$2:$J$5328,[1]Affiliations!$K$2:$K$5328,0)</f>
        <v>Instituto Federal de Educação, Ciência e Tecnologia do Piauí</v>
      </c>
      <c r="D4025">
        <v>1</v>
      </c>
      <c r="E4025">
        <v>14</v>
      </c>
      <c r="F4025">
        <v>14</v>
      </c>
      <c r="G4025">
        <v>1</v>
      </c>
      <c r="H4025">
        <v>0.97</v>
      </c>
      <c r="I4025">
        <v>0</v>
      </c>
      <c r="J4025">
        <v>0</v>
      </c>
      <c r="K4025">
        <v>0</v>
      </c>
      <c r="L4025">
        <v>0</v>
      </c>
      <c r="M4025">
        <v>1</v>
      </c>
      <c r="N4025">
        <v>1</v>
      </c>
      <c r="P4025">
        <v>0</v>
      </c>
      <c r="Q4025">
        <v>0</v>
      </c>
      <c r="R4025">
        <v>0</v>
      </c>
      <c r="S4025">
        <v>0</v>
      </c>
    </row>
    <row r="4026" spans="1:19" hidden="1" x14ac:dyDescent="0.35">
      <c r="A4026">
        <v>57220036482</v>
      </c>
      <c r="B4026" t="s">
        <v>4025</v>
      </c>
      <c r="C4026" t="str">
        <f>_xlfn.XLOOKUP(A4026,[1]Affiliations!$J$2:$J$5328,[1]Affiliations!$K$2:$K$5328,0)</f>
        <v>Federal University of Rio de Janeiro</v>
      </c>
      <c r="D4026">
        <v>2</v>
      </c>
      <c r="E4026">
        <v>34</v>
      </c>
      <c r="F4026">
        <v>17</v>
      </c>
      <c r="G4026">
        <v>2</v>
      </c>
      <c r="H4026">
        <v>0.72</v>
      </c>
      <c r="I4026">
        <v>0</v>
      </c>
      <c r="J4026">
        <v>1</v>
      </c>
      <c r="K4026">
        <v>1</v>
      </c>
      <c r="L4026">
        <v>2</v>
      </c>
      <c r="M4026">
        <v>2</v>
      </c>
      <c r="N4026">
        <v>2</v>
      </c>
      <c r="P4026">
        <v>0</v>
      </c>
      <c r="Q4026">
        <v>0</v>
      </c>
      <c r="R4026">
        <v>0</v>
      </c>
      <c r="S4026">
        <v>1</v>
      </c>
    </row>
    <row r="4027" spans="1:19" hidden="1" x14ac:dyDescent="0.35">
      <c r="A4027">
        <v>57211406420</v>
      </c>
      <c r="B4027" t="s">
        <v>4026</v>
      </c>
      <c r="C4027" t="str">
        <f>_xlfn.XLOOKUP(A4027,[1]Affiliations!$J$2:$J$5328,[1]Affiliations!$K$2:$K$5328,0)</f>
        <v>Universidade Federal Fluminense (+1 more)</v>
      </c>
      <c r="D4027">
        <v>3</v>
      </c>
      <c r="E4027">
        <v>20</v>
      </c>
      <c r="F4027">
        <v>6.6666664999999998</v>
      </c>
      <c r="G4027">
        <v>3</v>
      </c>
      <c r="H4027">
        <v>0.55000000000000004</v>
      </c>
      <c r="I4027">
        <v>0</v>
      </c>
      <c r="J4027">
        <v>0</v>
      </c>
      <c r="K4027">
        <v>0</v>
      </c>
      <c r="L4027">
        <v>1</v>
      </c>
      <c r="M4027">
        <v>1</v>
      </c>
      <c r="N4027">
        <v>1</v>
      </c>
      <c r="P4027">
        <v>0</v>
      </c>
      <c r="Q4027">
        <v>0</v>
      </c>
      <c r="R4027">
        <v>0</v>
      </c>
      <c r="S4027">
        <v>0</v>
      </c>
    </row>
    <row r="4028" spans="1:19" x14ac:dyDescent="0.35">
      <c r="A4028">
        <v>11139690300</v>
      </c>
      <c r="B4028" t="s">
        <v>2765</v>
      </c>
      <c r="C4028" t="str">
        <f>_xlfn.XLOOKUP(A4028,[1]Affiliations!$J$2:$J$5328,[1]Affiliations!$K$2:$K$5328,0)</f>
        <v>Universidade Federal do Rio Grande do Sul</v>
      </c>
      <c r="D4028">
        <v>28</v>
      </c>
      <c r="E4028">
        <v>408</v>
      </c>
      <c r="F4028">
        <v>14.571427999999999</v>
      </c>
      <c r="G4028">
        <v>12</v>
      </c>
      <c r="H4028">
        <v>0.71</v>
      </c>
      <c r="I4028">
        <v>0</v>
      </c>
      <c r="J4028">
        <v>2</v>
      </c>
      <c r="K4028">
        <v>6</v>
      </c>
      <c r="L4028">
        <v>15</v>
      </c>
      <c r="M4028">
        <v>21</v>
      </c>
      <c r="N4028">
        <v>23</v>
      </c>
      <c r="P4028">
        <v>0</v>
      </c>
      <c r="Q4028">
        <v>0</v>
      </c>
      <c r="R4028">
        <v>1</v>
      </c>
      <c r="S4028">
        <v>10</v>
      </c>
    </row>
    <row r="4029" spans="1:19" x14ac:dyDescent="0.35">
      <c r="A4029">
        <v>55482552800</v>
      </c>
      <c r="B4029" t="s">
        <v>3370</v>
      </c>
      <c r="C4029" t="str">
        <f>_xlfn.XLOOKUP(A4029,[1]Affiliations!$J$2:$J$5328,[1]Affiliations!$K$2:$K$5328,0)</f>
        <v>Federal University of Rio de Janeiro</v>
      </c>
      <c r="D4029">
        <v>43</v>
      </c>
      <c r="E4029">
        <v>965</v>
      </c>
      <c r="F4029">
        <v>22.441859999999998</v>
      </c>
      <c r="G4029">
        <v>25</v>
      </c>
      <c r="H4029">
        <v>0.71</v>
      </c>
      <c r="I4029">
        <v>0</v>
      </c>
      <c r="J4029">
        <v>2</v>
      </c>
      <c r="K4029">
        <v>7</v>
      </c>
      <c r="L4029">
        <v>30</v>
      </c>
      <c r="M4029">
        <v>40</v>
      </c>
      <c r="N4029">
        <v>41</v>
      </c>
      <c r="P4029">
        <v>0</v>
      </c>
      <c r="Q4029">
        <v>1</v>
      </c>
      <c r="R4029">
        <v>4</v>
      </c>
      <c r="S4029">
        <v>14</v>
      </c>
    </row>
    <row r="4030" spans="1:19" hidden="1" x14ac:dyDescent="0.35">
      <c r="A4030">
        <v>57216993636</v>
      </c>
      <c r="B4030" t="s">
        <v>4029</v>
      </c>
      <c r="C4030" t="str">
        <f>_xlfn.XLOOKUP(A4030,[1]Affiliations!$J$2:$J$5328,[1]Affiliations!$K$2:$K$5328,0)</f>
        <v>Pontifícia Universidade Católica do Rio Grande do Sul</v>
      </c>
      <c r="D4030">
        <v>4</v>
      </c>
      <c r="E4030">
        <v>270</v>
      </c>
      <c r="F4030">
        <v>67.5</v>
      </c>
      <c r="G4030">
        <v>4</v>
      </c>
      <c r="H4030">
        <v>2.44</v>
      </c>
      <c r="I4030">
        <v>0</v>
      </c>
      <c r="J4030">
        <v>1</v>
      </c>
      <c r="K4030">
        <v>3</v>
      </c>
      <c r="L4030">
        <v>4</v>
      </c>
      <c r="M4030">
        <v>4</v>
      </c>
      <c r="N4030">
        <v>4</v>
      </c>
      <c r="P4030">
        <v>1</v>
      </c>
      <c r="Q4030">
        <v>1</v>
      </c>
      <c r="R4030">
        <v>1</v>
      </c>
      <c r="S4030">
        <v>4</v>
      </c>
    </row>
    <row r="4031" spans="1:19" x14ac:dyDescent="0.35">
      <c r="A4031">
        <v>7007017552</v>
      </c>
      <c r="B4031" t="s">
        <v>3494</v>
      </c>
      <c r="C4031" t="str">
        <f>_xlfn.XLOOKUP(A4031,[1]Affiliations!$J$2:$J$5328,[1]Affiliations!$K$2:$K$5328,0)</f>
        <v>Federal University of Pará</v>
      </c>
      <c r="D4031">
        <v>13</v>
      </c>
      <c r="E4031">
        <v>161</v>
      </c>
      <c r="F4031">
        <v>12.384615</v>
      </c>
      <c r="G4031">
        <v>24</v>
      </c>
      <c r="H4031">
        <v>0.71</v>
      </c>
      <c r="I4031">
        <v>0</v>
      </c>
      <c r="J4031">
        <v>1</v>
      </c>
      <c r="K4031">
        <v>3</v>
      </c>
      <c r="L4031">
        <v>5</v>
      </c>
      <c r="M4031">
        <v>10</v>
      </c>
      <c r="N4031">
        <v>12</v>
      </c>
      <c r="P4031">
        <v>0</v>
      </c>
      <c r="Q4031">
        <v>0</v>
      </c>
      <c r="R4031">
        <v>1</v>
      </c>
      <c r="S4031">
        <v>4</v>
      </c>
    </row>
    <row r="4032" spans="1:19" x14ac:dyDescent="0.35">
      <c r="A4032">
        <v>57196004901</v>
      </c>
      <c r="B4032" t="s">
        <v>3548</v>
      </c>
      <c r="C4032" t="str">
        <f>_xlfn.XLOOKUP(A4032,[1]Affiliations!$J$2:$J$5328,[1]Affiliations!$K$2:$K$5328,0)</f>
        <v>University of Campinas</v>
      </c>
      <c r="D4032">
        <v>6</v>
      </c>
      <c r="E4032">
        <v>126</v>
      </c>
      <c r="F4032">
        <v>21</v>
      </c>
      <c r="G4032">
        <v>4</v>
      </c>
      <c r="H4032">
        <v>0.71</v>
      </c>
      <c r="I4032">
        <v>0</v>
      </c>
      <c r="J4032">
        <v>1</v>
      </c>
      <c r="K4032">
        <v>2</v>
      </c>
      <c r="L4032">
        <v>5</v>
      </c>
      <c r="M4032">
        <v>5</v>
      </c>
      <c r="N4032">
        <v>6</v>
      </c>
      <c r="P4032">
        <v>0</v>
      </c>
      <c r="Q4032">
        <v>0</v>
      </c>
      <c r="R4032">
        <v>2</v>
      </c>
      <c r="S4032">
        <v>2</v>
      </c>
    </row>
    <row r="4033" spans="1:19" x14ac:dyDescent="0.35">
      <c r="A4033">
        <v>56072738000</v>
      </c>
      <c r="B4033" t="s">
        <v>3644</v>
      </c>
      <c r="C4033" t="str">
        <f>_xlfn.XLOOKUP(A4033,[1]Affiliations!$J$2:$J$5328,[1]Affiliations!$K$2:$K$5328,0)</f>
        <v>Federal University of Rio de Janeiro</v>
      </c>
      <c r="D4033">
        <v>15</v>
      </c>
      <c r="E4033">
        <v>247</v>
      </c>
      <c r="F4033">
        <v>16.466667000000001</v>
      </c>
      <c r="G4033">
        <v>8</v>
      </c>
      <c r="H4033">
        <v>0.71</v>
      </c>
      <c r="I4033">
        <v>0</v>
      </c>
      <c r="J4033">
        <v>3</v>
      </c>
      <c r="K4033">
        <v>5</v>
      </c>
      <c r="L4033">
        <v>9</v>
      </c>
      <c r="M4033">
        <v>11</v>
      </c>
      <c r="N4033">
        <v>15</v>
      </c>
      <c r="P4033">
        <v>0</v>
      </c>
      <c r="Q4033">
        <v>0</v>
      </c>
      <c r="R4033">
        <v>4</v>
      </c>
      <c r="S4033">
        <v>6</v>
      </c>
    </row>
    <row r="4034" spans="1:19" x14ac:dyDescent="0.35">
      <c r="A4034">
        <v>7003649557</v>
      </c>
      <c r="B4034" t="s">
        <v>4014</v>
      </c>
      <c r="C4034" t="str">
        <f>_xlfn.XLOOKUP(A4034,[1]Affiliations!$J$2:$J$5328,[1]Affiliations!$K$2:$K$5328,0)</f>
        <v>Universidade de São Paulo</v>
      </c>
      <c r="D4034">
        <v>21</v>
      </c>
      <c r="E4034">
        <v>300</v>
      </c>
      <c r="F4034">
        <v>14.285714</v>
      </c>
      <c r="G4034">
        <v>18</v>
      </c>
      <c r="H4034">
        <v>0.71</v>
      </c>
      <c r="I4034">
        <v>2</v>
      </c>
      <c r="J4034">
        <v>2</v>
      </c>
      <c r="K4034">
        <v>4</v>
      </c>
      <c r="L4034">
        <v>11</v>
      </c>
      <c r="M4034">
        <v>17</v>
      </c>
      <c r="N4034">
        <v>18</v>
      </c>
      <c r="P4034">
        <v>0</v>
      </c>
      <c r="Q4034">
        <v>0</v>
      </c>
      <c r="R4034">
        <v>1</v>
      </c>
      <c r="S4034">
        <v>6</v>
      </c>
    </row>
    <row r="4035" spans="1:19" x14ac:dyDescent="0.35">
      <c r="A4035">
        <v>7102906331</v>
      </c>
      <c r="B4035" t="s">
        <v>4144</v>
      </c>
      <c r="C4035" t="str">
        <f>_xlfn.XLOOKUP(A4035,[1]Affiliations!$J$2:$J$5328,[1]Affiliations!$K$2:$K$5328,0)</f>
        <v>Universidade Federal Fluminense</v>
      </c>
      <c r="D4035">
        <v>58</v>
      </c>
      <c r="E4035">
        <v>891</v>
      </c>
      <c r="F4035">
        <v>15.362069</v>
      </c>
      <c r="G4035">
        <v>31</v>
      </c>
      <c r="H4035">
        <v>0.71</v>
      </c>
      <c r="I4035">
        <v>0</v>
      </c>
      <c r="J4035">
        <v>8</v>
      </c>
      <c r="K4035">
        <v>16</v>
      </c>
      <c r="L4035">
        <v>31</v>
      </c>
      <c r="M4035">
        <v>52</v>
      </c>
      <c r="N4035">
        <v>56</v>
      </c>
      <c r="P4035">
        <v>0</v>
      </c>
      <c r="Q4035">
        <v>1</v>
      </c>
      <c r="R4035">
        <v>3</v>
      </c>
      <c r="S4035">
        <v>18</v>
      </c>
    </row>
    <row r="4036" spans="1:19" hidden="1" x14ac:dyDescent="0.35">
      <c r="A4036">
        <v>57210378336</v>
      </c>
      <c r="B4036" t="s">
        <v>4035</v>
      </c>
      <c r="C4036" t="str">
        <f>_xlfn.XLOOKUP(A4036,[1]Affiliations!$J$2:$J$5328,[1]Affiliations!$K$2:$K$5328,0)</f>
        <v>Universidade Federal do Espírito Santo (+1 more)</v>
      </c>
      <c r="D4036">
        <v>2</v>
      </c>
      <c r="E4036">
        <v>48</v>
      </c>
      <c r="F4036">
        <v>24</v>
      </c>
      <c r="G4036">
        <v>2</v>
      </c>
      <c r="H4036">
        <v>1.18</v>
      </c>
      <c r="I4036">
        <v>0</v>
      </c>
      <c r="J4036">
        <v>0</v>
      </c>
      <c r="K4036">
        <v>1</v>
      </c>
      <c r="L4036">
        <v>2</v>
      </c>
      <c r="M4036">
        <v>2</v>
      </c>
      <c r="N4036">
        <v>2</v>
      </c>
      <c r="P4036">
        <v>0</v>
      </c>
      <c r="Q4036">
        <v>0</v>
      </c>
      <c r="R4036">
        <v>0</v>
      </c>
      <c r="S4036">
        <v>2</v>
      </c>
    </row>
    <row r="4037" spans="1:19" x14ac:dyDescent="0.35">
      <c r="A4037">
        <v>57194345025</v>
      </c>
      <c r="B4037" t="s">
        <v>4980</v>
      </c>
      <c r="C4037" t="str">
        <f>_xlfn.XLOOKUP(A4037,[1]Affiliations!$J$2:$J$5328,[1]Affiliations!$K$2:$K$5328,0)</f>
        <v>Université de Bordeaux (+2 more)</v>
      </c>
      <c r="D4037">
        <v>18</v>
      </c>
      <c r="E4037">
        <v>157</v>
      </c>
      <c r="F4037">
        <v>8.7222220000000004</v>
      </c>
      <c r="G4037">
        <v>8</v>
      </c>
      <c r="H4037">
        <v>0.71</v>
      </c>
      <c r="I4037">
        <v>0</v>
      </c>
      <c r="J4037">
        <v>1</v>
      </c>
      <c r="K4037">
        <v>2</v>
      </c>
      <c r="L4037">
        <v>4</v>
      </c>
      <c r="M4037">
        <v>6</v>
      </c>
      <c r="N4037">
        <v>7</v>
      </c>
      <c r="P4037">
        <v>0</v>
      </c>
      <c r="Q4037">
        <v>0</v>
      </c>
      <c r="R4037">
        <v>2</v>
      </c>
      <c r="S4037">
        <v>3</v>
      </c>
    </row>
    <row r="4038" spans="1:19" hidden="1" x14ac:dyDescent="0.35">
      <c r="A4038">
        <v>57208088761</v>
      </c>
      <c r="B4038" t="s">
        <v>4037</v>
      </c>
      <c r="C4038" t="str">
        <f>_xlfn.XLOOKUP(A4038,[1]Affiliations!$J$2:$J$5328,[1]Affiliations!$K$2:$K$5328,0)</f>
        <v>University of Campinas</v>
      </c>
      <c r="D4038">
        <v>3</v>
      </c>
      <c r="E4038">
        <v>66</v>
      </c>
      <c r="F4038">
        <v>22</v>
      </c>
      <c r="G4038">
        <v>3</v>
      </c>
      <c r="H4038">
        <v>0.69</v>
      </c>
      <c r="I4038">
        <v>0</v>
      </c>
      <c r="J4038">
        <v>0</v>
      </c>
      <c r="K4038">
        <v>0</v>
      </c>
      <c r="L4038">
        <v>2</v>
      </c>
      <c r="M4038">
        <v>3</v>
      </c>
      <c r="N4038">
        <v>3</v>
      </c>
      <c r="P4038">
        <v>0</v>
      </c>
      <c r="Q4038">
        <v>0</v>
      </c>
      <c r="R4038">
        <v>0</v>
      </c>
      <c r="S4038">
        <v>2</v>
      </c>
    </row>
    <row r="4039" spans="1:19" hidden="1" x14ac:dyDescent="0.35">
      <c r="A4039">
        <v>59552878000</v>
      </c>
      <c r="B4039" t="s">
        <v>4038</v>
      </c>
      <c r="C4039" t="str">
        <f>_xlfn.XLOOKUP(A4039,[1]Affiliations!$J$2:$J$5328,[1]Affiliations!$K$2:$K$5328,0)</f>
        <v>University of Campinas</v>
      </c>
      <c r="D4039">
        <v>1</v>
      </c>
      <c r="E4039">
        <v>0</v>
      </c>
      <c r="F4039">
        <v>0</v>
      </c>
      <c r="G4039">
        <v>0</v>
      </c>
      <c r="H4039">
        <v>0</v>
      </c>
      <c r="P4039">
        <v>0</v>
      </c>
      <c r="Q4039">
        <v>0</v>
      </c>
      <c r="R4039">
        <v>0</v>
      </c>
      <c r="S4039">
        <v>0</v>
      </c>
    </row>
    <row r="4040" spans="1:19" hidden="1" x14ac:dyDescent="0.35">
      <c r="A4040">
        <v>59552986400</v>
      </c>
      <c r="B4040" t="s">
        <v>4039</v>
      </c>
      <c r="C4040" t="str">
        <f>_xlfn.XLOOKUP(A4040,[1]Affiliations!$J$2:$J$5328,[1]Affiliations!$K$2:$K$5328,0)</f>
        <v>University of Campinas</v>
      </c>
      <c r="D4040">
        <v>1</v>
      </c>
      <c r="E4040">
        <v>0</v>
      </c>
      <c r="F4040">
        <v>0</v>
      </c>
      <c r="G4040">
        <v>0</v>
      </c>
      <c r="H4040">
        <v>0</v>
      </c>
      <c r="P4040">
        <v>0</v>
      </c>
      <c r="Q4040">
        <v>0</v>
      </c>
      <c r="R4040">
        <v>0</v>
      </c>
      <c r="S4040">
        <v>0</v>
      </c>
    </row>
    <row r="4041" spans="1:19" x14ac:dyDescent="0.35">
      <c r="A4041">
        <v>7006397825</v>
      </c>
      <c r="B4041" t="s">
        <v>5102</v>
      </c>
      <c r="C4041" t="str">
        <f>_xlfn.XLOOKUP(A4041,[1]Affiliations!$J$2:$J$5328,[1]Affiliations!$K$2:$K$5328,0)</f>
        <v>Pontifical Catholic University of Rio de Janeiro (+1 more)</v>
      </c>
      <c r="D4041">
        <v>23</v>
      </c>
      <c r="E4041">
        <v>310</v>
      </c>
      <c r="F4041">
        <v>13.478261</v>
      </c>
      <c r="G4041">
        <v>19</v>
      </c>
      <c r="H4041">
        <v>0.71</v>
      </c>
      <c r="I4041">
        <v>0</v>
      </c>
      <c r="J4041">
        <v>2</v>
      </c>
      <c r="K4041">
        <v>8</v>
      </c>
      <c r="L4041">
        <v>8</v>
      </c>
      <c r="M4041">
        <v>13</v>
      </c>
      <c r="N4041">
        <v>14</v>
      </c>
      <c r="P4041">
        <v>0</v>
      </c>
      <c r="Q4041">
        <v>0</v>
      </c>
      <c r="R4041">
        <v>3</v>
      </c>
      <c r="S4041">
        <v>4</v>
      </c>
    </row>
    <row r="4042" spans="1:19" hidden="1" x14ac:dyDescent="0.35">
      <c r="A4042">
        <v>57219742096</v>
      </c>
      <c r="B4042" t="s">
        <v>4041</v>
      </c>
      <c r="C4042" t="str">
        <f>_xlfn.XLOOKUP(A4042,[1]Affiliations!$J$2:$J$5328,[1]Affiliations!$K$2:$K$5328,0)</f>
        <v>Pontifical Catholic University of Rio de Janeiro</v>
      </c>
      <c r="D4042">
        <v>3</v>
      </c>
      <c r="E4042">
        <v>74</v>
      </c>
      <c r="F4042">
        <v>24.666665999999999</v>
      </c>
      <c r="G4042">
        <v>2</v>
      </c>
      <c r="H4042">
        <v>1.63</v>
      </c>
      <c r="I4042">
        <v>0</v>
      </c>
      <c r="J4042">
        <v>0</v>
      </c>
      <c r="K4042">
        <v>0</v>
      </c>
      <c r="L4042">
        <v>1</v>
      </c>
      <c r="M4042">
        <v>1</v>
      </c>
      <c r="N4042">
        <v>1</v>
      </c>
      <c r="P4042">
        <v>0</v>
      </c>
      <c r="Q4042">
        <v>1</v>
      </c>
      <c r="R4042">
        <v>1</v>
      </c>
      <c r="S4042">
        <v>2</v>
      </c>
    </row>
    <row r="4043" spans="1:19" hidden="1" x14ac:dyDescent="0.35">
      <c r="A4043">
        <v>57221110487</v>
      </c>
      <c r="B4043" t="s">
        <v>4042</v>
      </c>
      <c r="C4043" t="str">
        <f>_xlfn.XLOOKUP(A4043,[1]Affiliations!$J$2:$J$5328,[1]Affiliations!$K$2:$K$5328,0)</f>
        <v>Instituto Nacional de Tecnologia</v>
      </c>
      <c r="D4043">
        <v>1</v>
      </c>
      <c r="E4043">
        <v>10</v>
      </c>
      <c r="F4043">
        <v>10</v>
      </c>
      <c r="G4043">
        <v>1</v>
      </c>
      <c r="H4043">
        <v>0.48</v>
      </c>
      <c r="I4043">
        <v>0</v>
      </c>
      <c r="J4043">
        <v>0</v>
      </c>
      <c r="K4043">
        <v>0</v>
      </c>
      <c r="L4043">
        <v>1</v>
      </c>
      <c r="M4043">
        <v>1</v>
      </c>
      <c r="N4043">
        <v>1</v>
      </c>
      <c r="P4043">
        <v>0</v>
      </c>
      <c r="Q4043">
        <v>0</v>
      </c>
      <c r="R4043">
        <v>0</v>
      </c>
      <c r="S4043">
        <v>0</v>
      </c>
    </row>
    <row r="4044" spans="1:19" hidden="1" x14ac:dyDescent="0.35">
      <c r="A4044">
        <v>57224517536</v>
      </c>
      <c r="B4044" t="s">
        <v>4043</v>
      </c>
      <c r="C4044" t="str">
        <f>_xlfn.XLOOKUP(A4044,[1]Affiliations!$J$2:$J$5328,[1]Affiliations!$K$2:$K$5328,0)</f>
        <v>Universidade Federal de São João del-Rei (+1 more)</v>
      </c>
      <c r="D4044">
        <v>2</v>
      </c>
      <c r="E4044">
        <v>7</v>
      </c>
      <c r="F4044">
        <v>3.5</v>
      </c>
      <c r="G4044">
        <v>1</v>
      </c>
      <c r="H4044">
        <v>0.91</v>
      </c>
      <c r="I4044">
        <v>0</v>
      </c>
      <c r="J4044">
        <v>0</v>
      </c>
      <c r="K4044">
        <v>0</v>
      </c>
      <c r="L4044">
        <v>1</v>
      </c>
      <c r="M4044">
        <v>1</v>
      </c>
      <c r="N4044">
        <v>1</v>
      </c>
      <c r="P4044">
        <v>0</v>
      </c>
      <c r="Q4044">
        <v>0</v>
      </c>
      <c r="R4044">
        <v>0</v>
      </c>
      <c r="S4044">
        <v>0</v>
      </c>
    </row>
    <row r="4045" spans="1:19" hidden="1" x14ac:dyDescent="0.35">
      <c r="A4045">
        <v>60214129700</v>
      </c>
      <c r="B4045" t="s">
        <v>4044</v>
      </c>
      <c r="C4045" t="str">
        <f>_xlfn.XLOOKUP(A4045,[1]Affiliations!$J$2:$J$5328,[1]Affiliations!$K$2:$K$5328,0)</f>
        <v>Universidade Federal de Minas Gerais</v>
      </c>
      <c r="D4045">
        <v>0</v>
      </c>
      <c r="G4045">
        <v>0</v>
      </c>
    </row>
    <row r="4046" spans="1:19" x14ac:dyDescent="0.35">
      <c r="A4046">
        <v>7102351338</v>
      </c>
      <c r="B4046" t="s">
        <v>135</v>
      </c>
      <c r="C4046" t="str">
        <f>_xlfn.XLOOKUP(A4046,[1]Affiliations!$J$2:$J$5328,[1]Affiliations!$K$2:$K$5328,0)</f>
        <v>Universidade Federal de Campina Grande (+1 more)</v>
      </c>
      <c r="D4046">
        <v>24</v>
      </c>
      <c r="E4046">
        <v>322</v>
      </c>
      <c r="F4046">
        <v>13.416667</v>
      </c>
      <c r="G4046">
        <v>13</v>
      </c>
      <c r="H4046">
        <v>0.7</v>
      </c>
      <c r="I4046">
        <v>0</v>
      </c>
      <c r="J4046">
        <v>2</v>
      </c>
      <c r="K4046">
        <v>6</v>
      </c>
      <c r="L4046">
        <v>13</v>
      </c>
      <c r="M4046">
        <v>20</v>
      </c>
      <c r="N4046">
        <v>23</v>
      </c>
      <c r="P4046">
        <v>0</v>
      </c>
      <c r="Q4046">
        <v>1</v>
      </c>
      <c r="R4046">
        <v>2</v>
      </c>
      <c r="S4046">
        <v>6</v>
      </c>
    </row>
    <row r="4047" spans="1:19" hidden="1" x14ac:dyDescent="0.35">
      <c r="A4047">
        <v>59963895900</v>
      </c>
      <c r="B4047" t="s">
        <v>4046</v>
      </c>
      <c r="C4047" t="str">
        <f>_xlfn.XLOOKUP(A4047,[1]Affiliations!$J$2:$J$5328,[1]Affiliations!$K$2:$K$5328,0)</f>
        <v>DEMa</v>
      </c>
      <c r="D4047">
        <v>0</v>
      </c>
      <c r="G4047">
        <v>1</v>
      </c>
    </row>
    <row r="4048" spans="1:19" hidden="1" x14ac:dyDescent="0.35">
      <c r="A4048">
        <v>60129263800</v>
      </c>
      <c r="B4048" t="s">
        <v>4047</v>
      </c>
      <c r="C4048" t="str">
        <f>_xlfn.XLOOKUP(A4048,[1]Affiliations!$J$2:$J$5328,[1]Affiliations!$K$2:$K$5328,0)</f>
        <v>DEMa</v>
      </c>
      <c r="D4048">
        <v>0</v>
      </c>
      <c r="G4048">
        <v>0</v>
      </c>
    </row>
    <row r="4049" spans="1:19" hidden="1" x14ac:dyDescent="0.35">
      <c r="A4049">
        <v>57205125542</v>
      </c>
      <c r="B4049" t="s">
        <v>4048</v>
      </c>
      <c r="C4049" t="str">
        <f>_xlfn.XLOOKUP(A4049,[1]Affiliations!$J$2:$J$5328,[1]Affiliations!$K$2:$K$5328,0)</f>
        <v>Universidade Regional do Cariri</v>
      </c>
      <c r="D4049">
        <v>5</v>
      </c>
      <c r="E4049">
        <v>83</v>
      </c>
      <c r="F4049">
        <v>16.600000000000001</v>
      </c>
      <c r="G4049">
        <v>5</v>
      </c>
      <c r="H4049">
        <v>1.34</v>
      </c>
      <c r="I4049">
        <v>0</v>
      </c>
      <c r="J4049">
        <v>0</v>
      </c>
      <c r="K4049">
        <v>0</v>
      </c>
      <c r="L4049">
        <v>2</v>
      </c>
      <c r="M4049">
        <v>5</v>
      </c>
      <c r="N4049">
        <v>5</v>
      </c>
      <c r="P4049">
        <v>0</v>
      </c>
      <c r="Q4049">
        <v>0</v>
      </c>
      <c r="R4049">
        <v>0</v>
      </c>
      <c r="S4049">
        <v>2</v>
      </c>
    </row>
    <row r="4050" spans="1:19" hidden="1" x14ac:dyDescent="0.35">
      <c r="A4050">
        <v>56179579400</v>
      </c>
      <c r="B4050" t="s">
        <v>4049</v>
      </c>
      <c r="C4050" t="str">
        <f>_xlfn.XLOOKUP(A4050,[1]Affiliations!$J$2:$J$5328,[1]Affiliations!$K$2:$K$5328,0)</f>
        <v>Pontifical Catholic University of Rio de Janeiro</v>
      </c>
      <c r="D4050">
        <v>1</v>
      </c>
      <c r="E4050">
        <v>7</v>
      </c>
      <c r="F4050">
        <v>7</v>
      </c>
      <c r="G4050">
        <v>2</v>
      </c>
      <c r="H4050">
        <v>0.34</v>
      </c>
      <c r="P4050">
        <v>0</v>
      </c>
      <c r="Q4050">
        <v>0</v>
      </c>
      <c r="R4050">
        <v>0</v>
      </c>
      <c r="S4050">
        <v>0</v>
      </c>
    </row>
    <row r="4051" spans="1:19" hidden="1" x14ac:dyDescent="0.35">
      <c r="A4051">
        <v>57221740474</v>
      </c>
      <c r="B4051" t="s">
        <v>4050</v>
      </c>
      <c r="C4051" t="str">
        <f>_xlfn.XLOOKUP(A4051,[1]Affiliations!$J$2:$J$5328,[1]Affiliations!$K$2:$K$5328,0)</f>
        <v>Universidade Tecnológica Federal do Paraná</v>
      </c>
      <c r="D4051">
        <v>2</v>
      </c>
      <c r="E4051">
        <v>26</v>
      </c>
      <c r="F4051">
        <v>13</v>
      </c>
      <c r="G4051">
        <v>2</v>
      </c>
      <c r="H4051">
        <v>0.62</v>
      </c>
      <c r="I4051">
        <v>0</v>
      </c>
      <c r="J4051">
        <v>0</v>
      </c>
      <c r="K4051">
        <v>1</v>
      </c>
      <c r="L4051">
        <v>2</v>
      </c>
      <c r="M4051">
        <v>2</v>
      </c>
      <c r="N4051">
        <v>2</v>
      </c>
      <c r="P4051">
        <v>0</v>
      </c>
      <c r="Q4051">
        <v>0</v>
      </c>
      <c r="R4051">
        <v>0</v>
      </c>
      <c r="S4051">
        <v>1</v>
      </c>
    </row>
    <row r="4052" spans="1:19" x14ac:dyDescent="0.35">
      <c r="A4052">
        <v>57212048603</v>
      </c>
      <c r="B4052" t="s">
        <v>171</v>
      </c>
      <c r="C4052" t="str">
        <f>_xlfn.XLOOKUP(A4052,[1]Affiliations!$J$2:$J$5328,[1]Affiliations!$K$2:$K$5328,0)</f>
        <v>Universidade de São Paulo</v>
      </c>
      <c r="D4052">
        <v>12</v>
      </c>
      <c r="E4052">
        <v>46</v>
      </c>
      <c r="F4052">
        <v>3.8333333000000001</v>
      </c>
      <c r="G4052">
        <v>3</v>
      </c>
      <c r="H4052">
        <v>0.7</v>
      </c>
      <c r="I4052">
        <v>0</v>
      </c>
      <c r="J4052">
        <v>0</v>
      </c>
      <c r="K4052">
        <v>2</v>
      </c>
      <c r="L4052">
        <v>4</v>
      </c>
      <c r="M4052">
        <v>4</v>
      </c>
      <c r="N4052">
        <v>6</v>
      </c>
      <c r="P4052">
        <v>0</v>
      </c>
      <c r="Q4052">
        <v>0</v>
      </c>
      <c r="R4052">
        <v>1</v>
      </c>
      <c r="S4052">
        <v>1</v>
      </c>
    </row>
    <row r="4053" spans="1:19" hidden="1" x14ac:dyDescent="0.35">
      <c r="A4053">
        <v>58758125300</v>
      </c>
      <c r="B4053" t="s">
        <v>4052</v>
      </c>
      <c r="C4053" t="str">
        <f>_xlfn.XLOOKUP(A4053,[1]Affiliations!$J$2:$J$5328,[1]Affiliations!$K$2:$K$5328,0)</f>
        <v>Federal University of Santa Catarina</v>
      </c>
      <c r="D4053">
        <v>4</v>
      </c>
      <c r="E4053">
        <v>32</v>
      </c>
      <c r="F4053">
        <v>8</v>
      </c>
      <c r="G4053">
        <v>4</v>
      </c>
      <c r="H4053">
        <v>1.19</v>
      </c>
      <c r="I4053">
        <v>0</v>
      </c>
      <c r="J4053">
        <v>2</v>
      </c>
      <c r="K4053">
        <v>4</v>
      </c>
      <c r="L4053">
        <v>4</v>
      </c>
      <c r="M4053">
        <v>4</v>
      </c>
      <c r="N4053">
        <v>4</v>
      </c>
      <c r="P4053">
        <v>0</v>
      </c>
      <c r="Q4053">
        <v>0</v>
      </c>
      <c r="R4053">
        <v>1</v>
      </c>
      <c r="S4053">
        <v>2</v>
      </c>
    </row>
    <row r="4054" spans="1:19" hidden="1" x14ac:dyDescent="0.35">
      <c r="A4054">
        <v>56663171400</v>
      </c>
      <c r="B4054" t="s">
        <v>4053</v>
      </c>
      <c r="C4054" t="str">
        <f>_xlfn.XLOOKUP(A4054,[1]Affiliations!$J$2:$J$5328,[1]Affiliations!$K$2:$K$5328,0)</f>
        <v>Pontifícia Universidade Católica do Rio Grande do Sul</v>
      </c>
      <c r="D4054">
        <v>1</v>
      </c>
      <c r="E4054">
        <v>50</v>
      </c>
      <c r="F4054">
        <v>50</v>
      </c>
      <c r="G4054">
        <v>1</v>
      </c>
      <c r="H4054">
        <v>1.87</v>
      </c>
      <c r="I4054">
        <v>0</v>
      </c>
      <c r="J4054">
        <v>0</v>
      </c>
      <c r="K4054">
        <v>1</v>
      </c>
      <c r="L4054">
        <v>1</v>
      </c>
      <c r="M4054">
        <v>1</v>
      </c>
      <c r="N4054">
        <v>1</v>
      </c>
      <c r="P4054">
        <v>0</v>
      </c>
      <c r="Q4054">
        <v>0</v>
      </c>
      <c r="R4054">
        <v>0</v>
      </c>
      <c r="S4054">
        <v>1</v>
      </c>
    </row>
    <row r="4055" spans="1:19" x14ac:dyDescent="0.35">
      <c r="A4055">
        <v>8579318400</v>
      </c>
      <c r="B4055" t="s">
        <v>249</v>
      </c>
      <c r="C4055" t="str">
        <f>_xlfn.XLOOKUP(A4055,[1]Affiliations!$J$2:$J$5328,[1]Affiliations!$K$2:$K$5328,0)</f>
        <v>Universidade Federal da Bahia</v>
      </c>
      <c r="D4055">
        <v>51</v>
      </c>
      <c r="E4055">
        <v>742</v>
      </c>
      <c r="F4055">
        <v>14.549020000000001</v>
      </c>
      <c r="G4055">
        <v>29</v>
      </c>
      <c r="H4055">
        <v>0.7</v>
      </c>
      <c r="I4055">
        <v>1</v>
      </c>
      <c r="J4055">
        <v>11</v>
      </c>
      <c r="K4055">
        <v>15</v>
      </c>
      <c r="L4055">
        <v>28</v>
      </c>
      <c r="M4055">
        <v>45</v>
      </c>
      <c r="N4055">
        <v>50</v>
      </c>
      <c r="P4055">
        <v>0</v>
      </c>
      <c r="Q4055">
        <v>0</v>
      </c>
      <c r="R4055">
        <v>1</v>
      </c>
      <c r="S4055">
        <v>19</v>
      </c>
    </row>
    <row r="4056" spans="1:19" hidden="1" x14ac:dyDescent="0.35">
      <c r="A4056">
        <v>57219555394</v>
      </c>
      <c r="B4056" t="s">
        <v>4055</v>
      </c>
      <c r="C4056" t="str">
        <f>_xlfn.XLOOKUP(A4056,[1]Affiliations!$J$2:$J$5328,[1]Affiliations!$K$2:$K$5328,0)</f>
        <v>Federal University of Rio de Janeiro</v>
      </c>
      <c r="D4056">
        <v>1</v>
      </c>
      <c r="E4056">
        <v>14</v>
      </c>
      <c r="F4056">
        <v>14</v>
      </c>
      <c r="G4056">
        <v>1</v>
      </c>
      <c r="H4056">
        <v>0.36</v>
      </c>
      <c r="I4056">
        <v>0</v>
      </c>
      <c r="J4056">
        <v>0</v>
      </c>
      <c r="K4056">
        <v>0</v>
      </c>
      <c r="L4056">
        <v>1</v>
      </c>
      <c r="M4056">
        <v>1</v>
      </c>
      <c r="N4056">
        <v>1</v>
      </c>
      <c r="P4056">
        <v>0</v>
      </c>
      <c r="Q4056">
        <v>0</v>
      </c>
      <c r="R4056">
        <v>0</v>
      </c>
      <c r="S4056">
        <v>0</v>
      </c>
    </row>
    <row r="4057" spans="1:19" hidden="1" x14ac:dyDescent="0.35">
      <c r="A4057">
        <v>57248692600</v>
      </c>
      <c r="B4057" t="s">
        <v>4056</v>
      </c>
      <c r="C4057" t="str">
        <f>_xlfn.XLOOKUP(A4057,[1]Affiliations!$J$2:$J$5328,[1]Affiliations!$K$2:$K$5328,0)</f>
        <v>Federal University of Rio de Janeiro</v>
      </c>
      <c r="D4057">
        <v>4</v>
      </c>
      <c r="E4057">
        <v>40</v>
      </c>
      <c r="F4057">
        <v>10</v>
      </c>
      <c r="G4057">
        <v>3</v>
      </c>
      <c r="H4057">
        <v>0.75</v>
      </c>
      <c r="I4057">
        <v>0</v>
      </c>
      <c r="J4057">
        <v>1</v>
      </c>
      <c r="K4057">
        <v>2</v>
      </c>
      <c r="L4057">
        <v>3</v>
      </c>
      <c r="M4057">
        <v>3</v>
      </c>
      <c r="N4057">
        <v>3</v>
      </c>
      <c r="P4057">
        <v>0</v>
      </c>
      <c r="Q4057">
        <v>0</v>
      </c>
      <c r="R4057">
        <v>1</v>
      </c>
      <c r="S4057">
        <v>2</v>
      </c>
    </row>
    <row r="4058" spans="1:19" hidden="1" x14ac:dyDescent="0.35">
      <c r="A4058">
        <v>57211169917</v>
      </c>
      <c r="B4058" t="s">
        <v>4057</v>
      </c>
      <c r="C4058" t="str">
        <f>_xlfn.XLOOKUP(A4058,[1]Affiliations!$J$2:$J$5328,[1]Affiliations!$K$2:$K$5328,0)</f>
        <v>Universidade Estadual Paulista “Júlio de Mesquita Filho”</v>
      </c>
      <c r="D4058">
        <v>6</v>
      </c>
      <c r="E4058">
        <v>46</v>
      </c>
      <c r="F4058">
        <v>7.6666664999999998</v>
      </c>
      <c r="G4058">
        <v>3</v>
      </c>
      <c r="H4058">
        <v>0.55000000000000004</v>
      </c>
      <c r="I4058">
        <v>0</v>
      </c>
      <c r="J4058">
        <v>1</v>
      </c>
      <c r="K4058">
        <v>2</v>
      </c>
      <c r="L4058">
        <v>3</v>
      </c>
      <c r="M4058">
        <v>4</v>
      </c>
      <c r="N4058">
        <v>4</v>
      </c>
      <c r="P4058">
        <v>0</v>
      </c>
      <c r="Q4058">
        <v>0</v>
      </c>
      <c r="R4058">
        <v>0</v>
      </c>
      <c r="S4058">
        <v>1</v>
      </c>
    </row>
    <row r="4059" spans="1:19" x14ac:dyDescent="0.35">
      <c r="A4059">
        <v>7006909594</v>
      </c>
      <c r="B4059" t="s">
        <v>558</v>
      </c>
      <c r="C4059" t="str">
        <f>_xlfn.XLOOKUP(A4059,[1]Affiliations!$J$2:$J$5328,[1]Affiliations!$K$2:$K$5328,0)</f>
        <v>Federal University of Rio de Janeiro</v>
      </c>
      <c r="D4059">
        <v>101</v>
      </c>
      <c r="E4059">
        <v>870</v>
      </c>
      <c r="F4059">
        <v>8.613861</v>
      </c>
      <c r="G4059">
        <v>19</v>
      </c>
      <c r="H4059">
        <v>0.7</v>
      </c>
      <c r="I4059">
        <v>0</v>
      </c>
      <c r="J4059">
        <v>7</v>
      </c>
      <c r="K4059">
        <v>12</v>
      </c>
      <c r="L4059">
        <v>38</v>
      </c>
      <c r="M4059">
        <v>59</v>
      </c>
      <c r="N4059">
        <v>63</v>
      </c>
      <c r="P4059">
        <v>0</v>
      </c>
      <c r="Q4059">
        <v>0</v>
      </c>
      <c r="R4059">
        <v>3</v>
      </c>
      <c r="S4059">
        <v>25</v>
      </c>
    </row>
    <row r="4060" spans="1:19" x14ac:dyDescent="0.35">
      <c r="A4060">
        <v>8696518400</v>
      </c>
      <c r="B4060" t="s">
        <v>738</v>
      </c>
      <c r="C4060" t="str">
        <f>_xlfn.XLOOKUP(A4060,[1]Affiliations!$J$2:$J$5328,[1]Affiliations!$K$2:$K$5328,0)</f>
        <v>Federal University of Rio de Janeiro</v>
      </c>
      <c r="D4060">
        <v>36</v>
      </c>
      <c r="E4060">
        <v>375</v>
      </c>
      <c r="F4060">
        <v>10.416667</v>
      </c>
      <c r="G4060">
        <v>13</v>
      </c>
      <c r="H4060">
        <v>0.7</v>
      </c>
      <c r="I4060">
        <v>1</v>
      </c>
      <c r="J4060">
        <v>3</v>
      </c>
      <c r="K4060">
        <v>4</v>
      </c>
      <c r="L4060">
        <v>13</v>
      </c>
      <c r="M4060">
        <v>18</v>
      </c>
      <c r="N4060">
        <v>20</v>
      </c>
      <c r="P4060">
        <v>0</v>
      </c>
      <c r="Q4060">
        <v>0</v>
      </c>
      <c r="R4060">
        <v>2</v>
      </c>
      <c r="S4060">
        <v>10</v>
      </c>
    </row>
    <row r="4061" spans="1:19" hidden="1" x14ac:dyDescent="0.35">
      <c r="A4061">
        <v>57204649421</v>
      </c>
      <c r="B4061" t="s">
        <v>4060</v>
      </c>
      <c r="C4061" t="str">
        <f>_xlfn.XLOOKUP(A4061,[1]Affiliations!$J$2:$J$5328,[1]Affiliations!$K$2:$K$5328,0)</f>
        <v>Universidade Estadual Paulista “Júlio de Mesquita Filho”</v>
      </c>
      <c r="D4061">
        <v>4</v>
      </c>
      <c r="E4061">
        <v>20</v>
      </c>
      <c r="F4061">
        <v>5</v>
      </c>
      <c r="G4061">
        <v>2</v>
      </c>
      <c r="H4061">
        <v>0.85</v>
      </c>
      <c r="I4061">
        <v>0</v>
      </c>
      <c r="J4061">
        <v>0</v>
      </c>
      <c r="K4061">
        <v>0</v>
      </c>
      <c r="L4061">
        <v>0</v>
      </c>
      <c r="M4061">
        <v>1</v>
      </c>
      <c r="N4061">
        <v>3</v>
      </c>
      <c r="P4061">
        <v>0</v>
      </c>
      <c r="Q4061">
        <v>0</v>
      </c>
      <c r="R4061">
        <v>0</v>
      </c>
      <c r="S4061">
        <v>0</v>
      </c>
    </row>
    <row r="4062" spans="1:19" hidden="1" x14ac:dyDescent="0.35">
      <c r="A4062">
        <v>57219932317</v>
      </c>
      <c r="B4062" t="s">
        <v>4061</v>
      </c>
      <c r="C4062" t="str">
        <f>_xlfn.XLOOKUP(A4062,[1]Affiliations!$J$2:$J$5328,[1]Affiliations!$K$2:$K$5328,0)</f>
        <v>Vizlab - X-Reality and GeoInformatics Lab</v>
      </c>
      <c r="D4062">
        <v>6</v>
      </c>
      <c r="E4062">
        <v>32</v>
      </c>
      <c r="F4062">
        <v>5.3333335000000002</v>
      </c>
      <c r="G4062">
        <v>3</v>
      </c>
      <c r="H4062">
        <v>0.33</v>
      </c>
      <c r="I4062">
        <v>0</v>
      </c>
      <c r="J4062">
        <v>1</v>
      </c>
      <c r="K4062">
        <v>2</v>
      </c>
      <c r="L4062">
        <v>2</v>
      </c>
      <c r="M4062">
        <v>3</v>
      </c>
      <c r="N4062">
        <v>6</v>
      </c>
      <c r="P4062">
        <v>0</v>
      </c>
      <c r="Q4062">
        <v>0</v>
      </c>
      <c r="R4062">
        <v>0</v>
      </c>
      <c r="S4062">
        <v>1</v>
      </c>
    </row>
    <row r="4063" spans="1:19" x14ac:dyDescent="0.35">
      <c r="A4063">
        <v>57206468714</v>
      </c>
      <c r="B4063" t="s">
        <v>960</v>
      </c>
      <c r="C4063" t="str">
        <f>_xlfn.XLOOKUP(A4063,[1]Affiliations!$J$2:$J$5328,[1]Affiliations!$K$2:$K$5328,0)</f>
        <v>Federal University of Rio de Janeiro</v>
      </c>
      <c r="D4063">
        <v>5</v>
      </c>
      <c r="E4063">
        <v>109</v>
      </c>
      <c r="F4063">
        <v>21.8</v>
      </c>
      <c r="G4063">
        <v>5</v>
      </c>
      <c r="H4063">
        <v>0.7</v>
      </c>
      <c r="I4063">
        <v>0</v>
      </c>
      <c r="J4063">
        <v>0</v>
      </c>
      <c r="K4063">
        <v>2</v>
      </c>
      <c r="L4063">
        <v>4</v>
      </c>
      <c r="M4063">
        <v>5</v>
      </c>
      <c r="N4063">
        <v>5</v>
      </c>
      <c r="P4063">
        <v>0</v>
      </c>
      <c r="Q4063">
        <v>0</v>
      </c>
      <c r="R4063">
        <v>1</v>
      </c>
      <c r="S4063">
        <v>4</v>
      </c>
    </row>
    <row r="4064" spans="1:19" hidden="1" x14ac:dyDescent="0.35">
      <c r="A4064">
        <v>57194168040</v>
      </c>
      <c r="B4064" t="s">
        <v>4063</v>
      </c>
      <c r="C4064" t="str">
        <f>_xlfn.XLOOKUP(A4064,[1]Affiliations!$J$2:$J$5328,[1]Affiliations!$K$2:$K$5328,0)</f>
        <v>Geoteric</v>
      </c>
      <c r="D4064">
        <v>2</v>
      </c>
      <c r="E4064">
        <v>0</v>
      </c>
      <c r="F4064">
        <v>0</v>
      </c>
      <c r="G4064">
        <v>0</v>
      </c>
      <c r="H4064">
        <v>0</v>
      </c>
      <c r="P4064">
        <v>0</v>
      </c>
      <c r="Q4064">
        <v>0</v>
      </c>
      <c r="R4064">
        <v>0</v>
      </c>
      <c r="S4064">
        <v>0</v>
      </c>
    </row>
    <row r="4065" spans="1:19" hidden="1" x14ac:dyDescent="0.35">
      <c r="A4065">
        <v>55936544400</v>
      </c>
      <c r="B4065" t="s">
        <v>4064</v>
      </c>
      <c r="C4065" t="str">
        <f>_xlfn.XLOOKUP(A4065,[1]Affiliations!$J$2:$J$5328,[1]Affiliations!$K$2:$K$5328,0)</f>
        <v>Federal University of Santa Catarina</v>
      </c>
      <c r="D4065">
        <v>10</v>
      </c>
      <c r="E4065">
        <v>168</v>
      </c>
      <c r="F4065">
        <v>16.8</v>
      </c>
      <c r="G4065">
        <v>10</v>
      </c>
      <c r="H4065">
        <v>0.65</v>
      </c>
      <c r="I4065">
        <v>1</v>
      </c>
      <c r="J4065">
        <v>1</v>
      </c>
      <c r="K4065">
        <v>3</v>
      </c>
      <c r="L4065">
        <v>6</v>
      </c>
      <c r="M4065">
        <v>10</v>
      </c>
      <c r="N4065">
        <v>10</v>
      </c>
      <c r="P4065">
        <v>0</v>
      </c>
      <c r="Q4065">
        <v>0</v>
      </c>
      <c r="R4065">
        <v>0</v>
      </c>
      <c r="S4065">
        <v>5</v>
      </c>
    </row>
    <row r="4066" spans="1:19" hidden="1" x14ac:dyDescent="0.35">
      <c r="A4066">
        <v>57204426261</v>
      </c>
      <c r="B4066" t="s">
        <v>4065</v>
      </c>
      <c r="C4066" t="str">
        <f>_xlfn.XLOOKUP(A4066,[1]Affiliations!$J$2:$J$5328,[1]Affiliations!$K$2:$K$5328,0)</f>
        <v>Federal University of Rio de Janeiro</v>
      </c>
      <c r="D4066">
        <v>3</v>
      </c>
      <c r="E4066">
        <v>12</v>
      </c>
      <c r="F4066">
        <v>4</v>
      </c>
      <c r="G4066">
        <v>2</v>
      </c>
      <c r="H4066">
        <v>1.04</v>
      </c>
      <c r="I4066">
        <v>0</v>
      </c>
      <c r="J4066">
        <v>0</v>
      </c>
      <c r="K4066">
        <v>0</v>
      </c>
      <c r="L4066">
        <v>0</v>
      </c>
      <c r="M4066">
        <v>1</v>
      </c>
      <c r="N4066">
        <v>2</v>
      </c>
      <c r="P4066">
        <v>0</v>
      </c>
      <c r="Q4066">
        <v>0</v>
      </c>
      <c r="R4066">
        <v>0</v>
      </c>
      <c r="S4066">
        <v>0</v>
      </c>
    </row>
    <row r="4067" spans="1:19" hidden="1" x14ac:dyDescent="0.35">
      <c r="A4067">
        <v>53881820500</v>
      </c>
      <c r="B4067" t="s">
        <v>4066</v>
      </c>
      <c r="C4067" t="str">
        <f>_xlfn.XLOOKUP(A4067,[1]Affiliations!$J$2:$J$5328,[1]Affiliations!$K$2:$K$5328,0)</f>
        <v>Universidade de São Paulo</v>
      </c>
      <c r="D4067">
        <v>14</v>
      </c>
      <c r="E4067">
        <v>32</v>
      </c>
      <c r="F4067">
        <v>2.2857143999999998</v>
      </c>
      <c r="G4067">
        <v>6</v>
      </c>
      <c r="H4067">
        <v>0.35</v>
      </c>
      <c r="I4067">
        <v>0</v>
      </c>
      <c r="J4067">
        <v>0</v>
      </c>
      <c r="K4067">
        <v>0</v>
      </c>
      <c r="L4067">
        <v>2</v>
      </c>
      <c r="M4067">
        <v>4</v>
      </c>
      <c r="N4067">
        <v>12</v>
      </c>
      <c r="P4067">
        <v>0</v>
      </c>
      <c r="Q4067">
        <v>0</v>
      </c>
      <c r="R4067">
        <v>0</v>
      </c>
      <c r="S4067">
        <v>0</v>
      </c>
    </row>
    <row r="4068" spans="1:19" hidden="1" x14ac:dyDescent="0.35">
      <c r="A4068">
        <v>60094347500</v>
      </c>
      <c r="B4068" t="s">
        <v>4067</v>
      </c>
      <c r="C4068" t="str">
        <f>_xlfn.XLOOKUP(A4068,[1]Affiliations!$J$2:$J$5328,[1]Affiliations!$K$2:$K$5328,0)</f>
        <v>Universidade Federal de Mato Grosso</v>
      </c>
      <c r="D4068">
        <v>0</v>
      </c>
      <c r="G4068">
        <v>0</v>
      </c>
    </row>
    <row r="4069" spans="1:19" x14ac:dyDescent="0.35">
      <c r="A4069">
        <v>56778044600</v>
      </c>
      <c r="B4069" t="s">
        <v>1153</v>
      </c>
      <c r="C4069" t="str">
        <f>_xlfn.XLOOKUP(A4069,[1]Affiliations!$J$2:$J$5328,[1]Affiliations!$K$2:$K$5328,0)</f>
        <v>Universidade Federal Fluminense (+1 more)</v>
      </c>
      <c r="D4069">
        <v>19</v>
      </c>
      <c r="E4069">
        <v>237</v>
      </c>
      <c r="F4069">
        <v>12.473684</v>
      </c>
      <c r="G4069">
        <v>11</v>
      </c>
      <c r="H4069">
        <v>0.7</v>
      </c>
      <c r="I4069">
        <v>0</v>
      </c>
      <c r="J4069">
        <v>0</v>
      </c>
      <c r="K4069">
        <v>1</v>
      </c>
      <c r="L4069">
        <v>4</v>
      </c>
      <c r="M4069">
        <v>9</v>
      </c>
      <c r="N4069">
        <v>13</v>
      </c>
      <c r="P4069">
        <v>0</v>
      </c>
      <c r="Q4069">
        <v>0</v>
      </c>
      <c r="R4069">
        <v>1</v>
      </c>
      <c r="S4069">
        <v>5</v>
      </c>
    </row>
    <row r="4070" spans="1:19" hidden="1" x14ac:dyDescent="0.35">
      <c r="A4070">
        <v>59940188000</v>
      </c>
      <c r="B4070" t="s">
        <v>4069</v>
      </c>
      <c r="C4070" t="str">
        <f>_xlfn.XLOOKUP(A4070,[1]Affiliations!$J$2:$J$5328,[1]Affiliations!$K$2:$K$5328,0)</f>
        <v>Universidade Federal do Rio Grande do Sul</v>
      </c>
      <c r="D4070">
        <v>13</v>
      </c>
      <c r="E4070">
        <v>100</v>
      </c>
      <c r="F4070">
        <v>7.6923075000000001</v>
      </c>
      <c r="G4070">
        <v>6</v>
      </c>
      <c r="H4070">
        <v>0.45</v>
      </c>
      <c r="I4070">
        <v>0</v>
      </c>
      <c r="J4070">
        <v>2</v>
      </c>
      <c r="K4070">
        <v>3</v>
      </c>
      <c r="L4070">
        <v>7</v>
      </c>
      <c r="M4070">
        <v>11</v>
      </c>
      <c r="N4070">
        <v>11</v>
      </c>
      <c r="P4070">
        <v>0</v>
      </c>
      <c r="Q4070">
        <v>0</v>
      </c>
      <c r="R4070">
        <v>0</v>
      </c>
      <c r="S4070">
        <v>4</v>
      </c>
    </row>
    <row r="4071" spans="1:19" hidden="1" x14ac:dyDescent="0.35">
      <c r="A4071">
        <v>21934995000</v>
      </c>
      <c r="B4071" t="s">
        <v>4070</v>
      </c>
      <c r="C4071" t="str">
        <f>_xlfn.XLOOKUP(A4071,[1]Affiliations!$J$2:$J$5328,[1]Affiliations!$K$2:$K$5328,0)</f>
        <v>DEMa</v>
      </c>
      <c r="D4071">
        <v>9</v>
      </c>
      <c r="E4071">
        <v>130</v>
      </c>
      <c r="F4071">
        <v>14.444445</v>
      </c>
      <c r="G4071">
        <v>11</v>
      </c>
      <c r="H4071">
        <v>0.57999999999999996</v>
      </c>
      <c r="I4071">
        <v>0</v>
      </c>
      <c r="J4071">
        <v>1</v>
      </c>
      <c r="K4071">
        <v>1</v>
      </c>
      <c r="L4071">
        <v>3</v>
      </c>
      <c r="M4071">
        <v>5</v>
      </c>
      <c r="N4071">
        <v>7</v>
      </c>
      <c r="P4071">
        <v>0</v>
      </c>
      <c r="Q4071">
        <v>0</v>
      </c>
      <c r="R4071">
        <v>0</v>
      </c>
      <c r="S4071">
        <v>4</v>
      </c>
    </row>
    <row r="4072" spans="1:19" hidden="1" x14ac:dyDescent="0.35">
      <c r="A4072">
        <v>7003974277</v>
      </c>
      <c r="B4072" t="s">
        <v>4071</v>
      </c>
      <c r="C4072" t="str">
        <f>_xlfn.XLOOKUP(A4072,[1]Affiliations!$J$2:$J$5328,[1]Affiliations!$K$2:$K$5328,0)</f>
        <v>Federal University of Santa Catarina (+1 more)</v>
      </c>
      <c r="D4072">
        <v>27</v>
      </c>
      <c r="E4072">
        <v>273</v>
      </c>
      <c r="F4072">
        <v>10.111110999999999</v>
      </c>
      <c r="G4072">
        <v>14</v>
      </c>
      <c r="H4072">
        <v>0.48</v>
      </c>
      <c r="I4072">
        <v>0</v>
      </c>
      <c r="J4072">
        <v>1</v>
      </c>
      <c r="K4072">
        <v>4</v>
      </c>
      <c r="L4072">
        <v>17</v>
      </c>
      <c r="M4072">
        <v>26</v>
      </c>
      <c r="N4072">
        <v>26</v>
      </c>
      <c r="P4072">
        <v>0</v>
      </c>
      <c r="Q4072">
        <v>0</v>
      </c>
      <c r="R4072">
        <v>0</v>
      </c>
      <c r="S4072">
        <v>5</v>
      </c>
    </row>
    <row r="4073" spans="1:19" hidden="1" x14ac:dyDescent="0.35">
      <c r="A4073">
        <v>57203408980</v>
      </c>
      <c r="B4073" t="s">
        <v>4072</v>
      </c>
      <c r="C4073" t="str">
        <f>_xlfn.XLOOKUP(A4073,[1]Affiliations!$J$2:$J$5328,[1]Affiliations!$K$2:$K$5328,0)</f>
        <v>PUC-Rio/Tecgraf</v>
      </c>
      <c r="D4073">
        <v>2</v>
      </c>
      <c r="E4073">
        <v>11</v>
      </c>
      <c r="F4073">
        <v>5.5</v>
      </c>
      <c r="G4073">
        <v>2</v>
      </c>
      <c r="H4073">
        <v>1.27</v>
      </c>
      <c r="P4073">
        <v>0</v>
      </c>
      <c r="Q4073">
        <v>0</v>
      </c>
      <c r="R4073">
        <v>0</v>
      </c>
      <c r="S4073">
        <v>0</v>
      </c>
    </row>
    <row r="4074" spans="1:19" x14ac:dyDescent="0.35">
      <c r="A4074">
        <v>57125367700</v>
      </c>
      <c r="B4074" t="s">
        <v>1264</v>
      </c>
      <c r="C4074" t="str">
        <f>_xlfn.XLOOKUP(A4074,[1]Affiliations!$J$2:$J$5328,[1]Affiliations!$K$2:$K$5328,0)</f>
        <v>Federal University of Rio de Janeiro</v>
      </c>
      <c r="D4074">
        <v>21</v>
      </c>
      <c r="E4074">
        <v>366</v>
      </c>
      <c r="F4074">
        <v>17.428571999999999</v>
      </c>
      <c r="G4074">
        <v>17</v>
      </c>
      <c r="H4074">
        <v>0.7</v>
      </c>
      <c r="I4074">
        <v>0</v>
      </c>
      <c r="J4074">
        <v>0</v>
      </c>
      <c r="K4074">
        <v>9</v>
      </c>
      <c r="L4074">
        <v>15</v>
      </c>
      <c r="M4074">
        <v>20</v>
      </c>
      <c r="N4074">
        <v>21</v>
      </c>
      <c r="P4074">
        <v>0</v>
      </c>
      <c r="Q4074">
        <v>0</v>
      </c>
      <c r="R4074">
        <v>1</v>
      </c>
      <c r="S4074">
        <v>9</v>
      </c>
    </row>
    <row r="4075" spans="1:19" x14ac:dyDescent="0.35">
      <c r="A4075">
        <v>7101872444</v>
      </c>
      <c r="B4075" t="s">
        <v>1831</v>
      </c>
      <c r="C4075" t="str">
        <f>_xlfn.XLOOKUP(A4075,[1]Affiliations!$J$2:$J$5328,[1]Affiliations!$K$2:$K$5328,0)</f>
        <v>Federal University of Rio de Janeiro</v>
      </c>
      <c r="D4075">
        <v>51</v>
      </c>
      <c r="E4075">
        <v>1029</v>
      </c>
      <c r="F4075">
        <v>20.176469999999998</v>
      </c>
      <c r="G4075">
        <v>24</v>
      </c>
      <c r="H4075">
        <v>0.7</v>
      </c>
      <c r="I4075">
        <v>1</v>
      </c>
      <c r="J4075">
        <v>2</v>
      </c>
      <c r="K4075">
        <v>3</v>
      </c>
      <c r="L4075">
        <v>21</v>
      </c>
      <c r="M4075">
        <v>38</v>
      </c>
      <c r="N4075">
        <v>46</v>
      </c>
      <c r="P4075">
        <v>1</v>
      </c>
      <c r="Q4075">
        <v>2</v>
      </c>
      <c r="R4075">
        <v>7</v>
      </c>
      <c r="S4075">
        <v>17</v>
      </c>
    </row>
    <row r="4076" spans="1:19" hidden="1" x14ac:dyDescent="0.35">
      <c r="A4076">
        <v>46461710600</v>
      </c>
      <c r="B4076" t="s">
        <v>4075</v>
      </c>
      <c r="C4076" t="str">
        <f>_xlfn.XLOOKUP(A4076,[1]Affiliations!$J$2:$J$5328,[1]Affiliations!$K$2:$K$5328,0)</f>
        <v>Universidade de São Paulo</v>
      </c>
      <c r="D4076">
        <v>10</v>
      </c>
      <c r="E4076">
        <v>53</v>
      </c>
      <c r="F4076">
        <v>5.3</v>
      </c>
      <c r="G4076">
        <v>5</v>
      </c>
      <c r="H4076">
        <v>1.24</v>
      </c>
      <c r="I4076">
        <v>0</v>
      </c>
      <c r="J4076">
        <v>0</v>
      </c>
      <c r="K4076">
        <v>1</v>
      </c>
      <c r="L4076">
        <v>3</v>
      </c>
      <c r="M4076">
        <v>3</v>
      </c>
      <c r="N4076">
        <v>8</v>
      </c>
      <c r="P4076">
        <v>0</v>
      </c>
      <c r="Q4076">
        <v>0</v>
      </c>
      <c r="R4076">
        <v>0</v>
      </c>
      <c r="S4076">
        <v>1</v>
      </c>
    </row>
    <row r="4077" spans="1:19" hidden="1" x14ac:dyDescent="0.35">
      <c r="A4077">
        <v>7003488884</v>
      </c>
      <c r="B4077" t="s">
        <v>4076</v>
      </c>
      <c r="C4077" t="str">
        <f>_xlfn.XLOOKUP(A4077,[1]Affiliations!$J$2:$J$5328,[1]Affiliations!$K$2:$K$5328,0)</f>
        <v>Petróleo Brasileiro S.A. (+2 more)</v>
      </c>
      <c r="D4077">
        <v>23</v>
      </c>
      <c r="E4077">
        <v>185</v>
      </c>
      <c r="F4077">
        <v>8.0434780000000003</v>
      </c>
      <c r="G4077">
        <v>17</v>
      </c>
      <c r="H4077">
        <v>0.47</v>
      </c>
      <c r="I4077">
        <v>0</v>
      </c>
      <c r="J4077">
        <v>2</v>
      </c>
      <c r="K4077">
        <v>8</v>
      </c>
      <c r="L4077">
        <v>13</v>
      </c>
      <c r="M4077">
        <v>14</v>
      </c>
      <c r="N4077">
        <v>22</v>
      </c>
      <c r="P4077">
        <v>0</v>
      </c>
      <c r="Q4077">
        <v>0</v>
      </c>
      <c r="R4077">
        <v>0</v>
      </c>
      <c r="S4077">
        <v>2</v>
      </c>
    </row>
    <row r="4078" spans="1:19" hidden="1" x14ac:dyDescent="0.35">
      <c r="A4078">
        <v>57203043020</v>
      </c>
      <c r="B4078" t="s">
        <v>4077</v>
      </c>
      <c r="C4078" t="str">
        <f>_xlfn.XLOOKUP(A4078,[1]Affiliations!$J$2:$J$5328,[1]Affiliations!$K$2:$K$5328,0)</f>
        <v>Federal University of Rio de Janeiro</v>
      </c>
      <c r="D4078">
        <v>4</v>
      </c>
      <c r="E4078">
        <v>27</v>
      </c>
      <c r="F4078">
        <v>6.75</v>
      </c>
      <c r="G4078">
        <v>4</v>
      </c>
      <c r="H4078">
        <v>0.42</v>
      </c>
      <c r="I4078">
        <v>0</v>
      </c>
      <c r="J4078">
        <v>0</v>
      </c>
      <c r="K4078">
        <v>0</v>
      </c>
      <c r="L4078">
        <v>4</v>
      </c>
      <c r="M4078">
        <v>4</v>
      </c>
      <c r="N4078">
        <v>4</v>
      </c>
      <c r="P4078">
        <v>0</v>
      </c>
      <c r="Q4078">
        <v>0</v>
      </c>
      <c r="R4078">
        <v>0</v>
      </c>
      <c r="S4078">
        <v>1</v>
      </c>
    </row>
    <row r="4079" spans="1:19" x14ac:dyDescent="0.35">
      <c r="A4079">
        <v>57189329002</v>
      </c>
      <c r="B4079" t="s">
        <v>1974</v>
      </c>
      <c r="C4079" t="str">
        <f>_xlfn.XLOOKUP(A4079,[1]Affiliations!$J$2:$J$5328,[1]Affiliations!$K$2:$K$5328,0)</f>
        <v>Universidade Federal de Juiz de Fora (+2 more)</v>
      </c>
      <c r="D4079">
        <v>30</v>
      </c>
      <c r="E4079">
        <v>489</v>
      </c>
      <c r="F4079">
        <v>16.3</v>
      </c>
      <c r="G4079">
        <v>12</v>
      </c>
      <c r="H4079">
        <v>0.7</v>
      </c>
      <c r="I4079">
        <v>0</v>
      </c>
      <c r="J4079">
        <v>3</v>
      </c>
      <c r="K4079">
        <v>8</v>
      </c>
      <c r="L4079">
        <v>18</v>
      </c>
      <c r="M4079">
        <v>26</v>
      </c>
      <c r="N4079">
        <v>29</v>
      </c>
      <c r="P4079">
        <v>0</v>
      </c>
      <c r="Q4079">
        <v>0</v>
      </c>
      <c r="R4079">
        <v>1</v>
      </c>
      <c r="S4079">
        <v>11</v>
      </c>
    </row>
    <row r="4080" spans="1:19" x14ac:dyDescent="0.35">
      <c r="A4080">
        <v>56717663300</v>
      </c>
      <c r="B4080" t="s">
        <v>2088</v>
      </c>
      <c r="C4080" t="str">
        <f>_xlfn.XLOOKUP(A4080,[1]Affiliations!$J$2:$J$5328,[1]Affiliations!$K$2:$K$5328,0)</f>
        <v>Universidade Estadual Paulista “Júlio de Mesquita Filho” (+1 more)</v>
      </c>
      <c r="D4080">
        <v>18</v>
      </c>
      <c r="E4080">
        <v>237</v>
      </c>
      <c r="F4080">
        <v>13.166667</v>
      </c>
      <c r="G4080">
        <v>9</v>
      </c>
      <c r="H4080">
        <v>0.7</v>
      </c>
      <c r="I4080">
        <v>0</v>
      </c>
      <c r="J4080">
        <v>5</v>
      </c>
      <c r="K4080">
        <v>8</v>
      </c>
      <c r="L4080">
        <v>8</v>
      </c>
      <c r="M4080">
        <v>12</v>
      </c>
      <c r="N4080">
        <v>13</v>
      </c>
      <c r="P4080">
        <v>0</v>
      </c>
      <c r="Q4080">
        <v>0</v>
      </c>
      <c r="R4080">
        <v>1</v>
      </c>
      <c r="S4080">
        <v>5</v>
      </c>
    </row>
    <row r="4081" spans="1:19" hidden="1" x14ac:dyDescent="0.35">
      <c r="A4081">
        <v>8623781600</v>
      </c>
      <c r="B4081" t="s">
        <v>4080</v>
      </c>
      <c r="C4081" t="str">
        <f>_xlfn.XLOOKUP(A4081,[1]Affiliations!$J$2:$J$5328,[1]Affiliations!$K$2:$K$5328,0)</f>
        <v>Universidade Federal de Mato Grosso do Sul</v>
      </c>
      <c r="D4081">
        <v>6</v>
      </c>
      <c r="E4081">
        <v>38</v>
      </c>
      <c r="F4081">
        <v>6.3333335000000002</v>
      </c>
      <c r="G4081">
        <v>6</v>
      </c>
      <c r="H4081">
        <v>0.52</v>
      </c>
      <c r="I4081">
        <v>0</v>
      </c>
      <c r="J4081">
        <v>0</v>
      </c>
      <c r="K4081">
        <v>0</v>
      </c>
      <c r="L4081">
        <v>3</v>
      </c>
      <c r="M4081">
        <v>3</v>
      </c>
      <c r="N4081">
        <v>4</v>
      </c>
      <c r="P4081">
        <v>0</v>
      </c>
      <c r="Q4081">
        <v>0</v>
      </c>
      <c r="R4081">
        <v>0</v>
      </c>
      <c r="S4081">
        <v>1</v>
      </c>
    </row>
    <row r="4082" spans="1:19" hidden="1" x14ac:dyDescent="0.35">
      <c r="A4082">
        <v>57202308766</v>
      </c>
      <c r="B4082" t="s">
        <v>4081</v>
      </c>
      <c r="C4082" t="str">
        <f>_xlfn.XLOOKUP(A4082,[1]Affiliations!$J$2:$J$5328,[1]Affiliations!$K$2:$K$5328,0)</f>
        <v>Pontifical Catholic University of Rio de Janeiro (+1 more)</v>
      </c>
      <c r="D4082">
        <v>29</v>
      </c>
      <c r="E4082">
        <v>188</v>
      </c>
      <c r="F4082">
        <v>6.4827585000000001</v>
      </c>
      <c r="G4082">
        <v>8</v>
      </c>
      <c r="H4082">
        <v>1.18</v>
      </c>
      <c r="I4082">
        <v>0</v>
      </c>
      <c r="J4082">
        <v>2</v>
      </c>
      <c r="K4082">
        <v>8</v>
      </c>
      <c r="L4082">
        <v>11</v>
      </c>
      <c r="M4082">
        <v>11</v>
      </c>
      <c r="N4082">
        <v>12</v>
      </c>
      <c r="P4082">
        <v>0</v>
      </c>
      <c r="Q4082">
        <v>0</v>
      </c>
      <c r="R4082">
        <v>0</v>
      </c>
      <c r="S4082">
        <v>5</v>
      </c>
    </row>
    <row r="4083" spans="1:19" hidden="1" x14ac:dyDescent="0.35">
      <c r="A4083">
        <v>57211452300</v>
      </c>
      <c r="B4083" t="s">
        <v>4082</v>
      </c>
      <c r="C4083" t="str">
        <f>_xlfn.XLOOKUP(A4083,[1]Affiliations!$J$2:$J$5328,[1]Affiliations!$K$2:$K$5328,0)</f>
        <v>Universidade Federal do Rio Grande do Sul</v>
      </c>
      <c r="D4083">
        <v>3</v>
      </c>
      <c r="E4083">
        <v>38</v>
      </c>
      <c r="F4083">
        <v>12.666667</v>
      </c>
      <c r="G4083">
        <v>2</v>
      </c>
      <c r="H4083">
        <v>0.42</v>
      </c>
      <c r="I4083">
        <v>0</v>
      </c>
      <c r="J4083">
        <v>0</v>
      </c>
      <c r="K4083">
        <v>1</v>
      </c>
      <c r="L4083">
        <v>2</v>
      </c>
      <c r="M4083">
        <v>3</v>
      </c>
      <c r="N4083">
        <v>3</v>
      </c>
      <c r="P4083">
        <v>0</v>
      </c>
      <c r="Q4083">
        <v>0</v>
      </c>
      <c r="R4083">
        <v>0</v>
      </c>
      <c r="S4083">
        <v>1</v>
      </c>
    </row>
    <row r="4084" spans="1:19" hidden="1" x14ac:dyDescent="0.35">
      <c r="A4084">
        <v>57214491681</v>
      </c>
      <c r="B4084" t="s">
        <v>4083</v>
      </c>
      <c r="C4084" t="str">
        <f>_xlfn.XLOOKUP(A4084,[1]Affiliations!$J$2:$J$5328,[1]Affiliations!$K$2:$K$5328,0)</f>
        <v>Universidade de São Paulo (+1 more)</v>
      </c>
      <c r="D4084">
        <v>5</v>
      </c>
      <c r="E4084">
        <v>50</v>
      </c>
      <c r="F4084">
        <v>10</v>
      </c>
      <c r="G4084">
        <v>2</v>
      </c>
      <c r="H4084">
        <v>1.1299999999999999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1</v>
      </c>
      <c r="P4084">
        <v>0</v>
      </c>
      <c r="Q4084">
        <v>0</v>
      </c>
      <c r="R4084">
        <v>1</v>
      </c>
      <c r="S4084">
        <v>1</v>
      </c>
    </row>
    <row r="4085" spans="1:19" hidden="1" x14ac:dyDescent="0.35">
      <c r="A4085">
        <v>60087006700</v>
      </c>
      <c r="B4085" t="s">
        <v>4084</v>
      </c>
      <c r="C4085" t="str">
        <f>_xlfn.XLOOKUP(A4085,[1]Affiliations!$J$2:$J$5328,[1]Affiliations!$K$2:$K$5328,0)</f>
        <v>Federal University of Rio de Janeiro</v>
      </c>
      <c r="D4085">
        <v>0</v>
      </c>
      <c r="G4085">
        <v>0</v>
      </c>
    </row>
    <row r="4086" spans="1:19" hidden="1" x14ac:dyDescent="0.35">
      <c r="A4086">
        <v>57204436820</v>
      </c>
      <c r="B4086" t="s">
        <v>4085</v>
      </c>
      <c r="C4086" t="str">
        <f>_xlfn.XLOOKUP(A4086,[1]Affiliations!$J$2:$J$5328,[1]Affiliations!$K$2:$K$5328,0)</f>
        <v>Federal University of Rio de Janeiro</v>
      </c>
      <c r="D4086">
        <v>6</v>
      </c>
      <c r="E4086">
        <v>59</v>
      </c>
      <c r="F4086">
        <v>9.8333329999999997</v>
      </c>
      <c r="G4086">
        <v>3</v>
      </c>
      <c r="H4086">
        <v>0.64</v>
      </c>
      <c r="I4086">
        <v>0</v>
      </c>
      <c r="J4086">
        <v>0</v>
      </c>
      <c r="K4086">
        <v>0</v>
      </c>
      <c r="L4086">
        <v>1</v>
      </c>
      <c r="M4086">
        <v>3</v>
      </c>
      <c r="N4086">
        <v>5</v>
      </c>
      <c r="P4086">
        <v>0</v>
      </c>
      <c r="Q4086">
        <v>0</v>
      </c>
      <c r="R4086">
        <v>0</v>
      </c>
      <c r="S4086">
        <v>2</v>
      </c>
    </row>
    <row r="4087" spans="1:19" hidden="1" x14ac:dyDescent="0.35">
      <c r="A4087">
        <v>56203447500</v>
      </c>
      <c r="B4087" t="s">
        <v>4086</v>
      </c>
      <c r="C4087" t="str">
        <f>_xlfn.XLOOKUP(A4087,[1]Affiliations!$J$2:$J$5328,[1]Affiliations!$K$2:$K$5328,0)</f>
        <v>ALIS-Engineering and Systems Solutions (+1 more)</v>
      </c>
      <c r="D4087">
        <v>2</v>
      </c>
      <c r="E4087">
        <v>2</v>
      </c>
      <c r="F4087">
        <v>1</v>
      </c>
      <c r="G4087">
        <v>1</v>
      </c>
      <c r="H4087">
        <v>0.3</v>
      </c>
      <c r="P4087">
        <v>0</v>
      </c>
      <c r="Q4087">
        <v>0</v>
      </c>
      <c r="R4087">
        <v>0</v>
      </c>
      <c r="S4087">
        <v>0</v>
      </c>
    </row>
    <row r="4088" spans="1:19" hidden="1" x14ac:dyDescent="0.35">
      <c r="A4088">
        <v>57266528500</v>
      </c>
      <c r="B4088" t="s">
        <v>4087</v>
      </c>
      <c r="C4088" t="str">
        <f>_xlfn.XLOOKUP(A4088,[1]Affiliations!$J$2:$J$5328,[1]Affiliations!$K$2:$K$5328,0)</f>
        <v>Universidade Federal Rural do Rio de Janeiro (+1 more)</v>
      </c>
      <c r="D4088">
        <v>4</v>
      </c>
      <c r="E4088">
        <v>23</v>
      </c>
      <c r="F4088">
        <v>5.75</v>
      </c>
      <c r="G4088">
        <v>3</v>
      </c>
      <c r="H4088">
        <v>0.93</v>
      </c>
      <c r="I4088">
        <v>0</v>
      </c>
      <c r="J4088">
        <v>0</v>
      </c>
      <c r="K4088">
        <v>1</v>
      </c>
      <c r="L4088">
        <v>2</v>
      </c>
      <c r="M4088">
        <v>2</v>
      </c>
      <c r="N4088">
        <v>4</v>
      </c>
      <c r="P4088">
        <v>0</v>
      </c>
      <c r="Q4088">
        <v>0</v>
      </c>
      <c r="R4088">
        <v>1</v>
      </c>
      <c r="S4088">
        <v>1</v>
      </c>
    </row>
    <row r="4089" spans="1:19" hidden="1" x14ac:dyDescent="0.35">
      <c r="A4089">
        <v>56928269400</v>
      </c>
      <c r="B4089" t="s">
        <v>4088</v>
      </c>
      <c r="C4089" t="str">
        <f>_xlfn.XLOOKUP(A4089,[1]Affiliations!$J$2:$J$5328,[1]Affiliations!$K$2:$K$5328,0)</f>
        <v>Universidade Federal de Goiás</v>
      </c>
      <c r="D4089">
        <v>9</v>
      </c>
      <c r="E4089">
        <v>125</v>
      </c>
      <c r="F4089">
        <v>13.888889000000001</v>
      </c>
      <c r="G4089">
        <v>6</v>
      </c>
      <c r="H4089">
        <v>0.81</v>
      </c>
      <c r="I4089">
        <v>0</v>
      </c>
      <c r="J4089">
        <v>1</v>
      </c>
      <c r="K4089">
        <v>2</v>
      </c>
      <c r="L4089">
        <v>5</v>
      </c>
      <c r="M4089">
        <v>6</v>
      </c>
      <c r="N4089">
        <v>7</v>
      </c>
      <c r="P4089">
        <v>0</v>
      </c>
      <c r="Q4089">
        <v>0</v>
      </c>
      <c r="R4089">
        <v>0</v>
      </c>
      <c r="S4089">
        <v>2</v>
      </c>
    </row>
    <row r="4090" spans="1:19" hidden="1" x14ac:dyDescent="0.35">
      <c r="A4090">
        <v>56819140900</v>
      </c>
      <c r="B4090" t="s">
        <v>4089</v>
      </c>
      <c r="C4090" t="str">
        <f>_xlfn.XLOOKUP(A4090,[1]Affiliations!$J$2:$J$5328,[1]Affiliations!$K$2:$K$5328,0)</f>
        <v>Universidade Federal do Rio Grande do Norte</v>
      </c>
      <c r="D4090">
        <v>2</v>
      </c>
      <c r="E4090">
        <v>33</v>
      </c>
      <c r="F4090">
        <v>16.5</v>
      </c>
      <c r="G4090">
        <v>2</v>
      </c>
      <c r="H4090">
        <v>0.82</v>
      </c>
      <c r="I4090">
        <v>0</v>
      </c>
      <c r="J4090">
        <v>1</v>
      </c>
      <c r="K4090">
        <v>1</v>
      </c>
      <c r="L4090">
        <v>1</v>
      </c>
      <c r="M4090">
        <v>1</v>
      </c>
      <c r="N4090">
        <v>1</v>
      </c>
      <c r="P4090">
        <v>0</v>
      </c>
      <c r="Q4090">
        <v>0</v>
      </c>
      <c r="R4090">
        <v>0</v>
      </c>
      <c r="S4090">
        <v>1</v>
      </c>
    </row>
    <row r="4091" spans="1:19" x14ac:dyDescent="0.35">
      <c r="A4091">
        <v>55825474900</v>
      </c>
      <c r="B4091" t="s">
        <v>2249</v>
      </c>
      <c r="C4091" t="str">
        <f>_xlfn.XLOOKUP(A4091,[1]Affiliations!$J$2:$J$5328,[1]Affiliations!$K$2:$K$5328,0)</f>
        <v>Universidade Federal da Bahia</v>
      </c>
      <c r="D4091">
        <v>11</v>
      </c>
      <c r="E4091">
        <v>73</v>
      </c>
      <c r="F4091">
        <v>6.6363634999999999</v>
      </c>
      <c r="G4091">
        <v>7</v>
      </c>
      <c r="H4091">
        <v>0.7</v>
      </c>
      <c r="I4091">
        <v>0</v>
      </c>
      <c r="J4091">
        <v>1</v>
      </c>
      <c r="K4091">
        <v>4</v>
      </c>
      <c r="L4091">
        <v>6</v>
      </c>
      <c r="M4091">
        <v>6</v>
      </c>
      <c r="N4091">
        <v>6</v>
      </c>
      <c r="P4091">
        <v>0</v>
      </c>
      <c r="Q4091">
        <v>0</v>
      </c>
      <c r="R4091">
        <v>1</v>
      </c>
      <c r="S4091">
        <v>3</v>
      </c>
    </row>
    <row r="4092" spans="1:19" x14ac:dyDescent="0.35">
      <c r="A4092">
        <v>57360192700</v>
      </c>
      <c r="B4092" t="s">
        <v>2333</v>
      </c>
      <c r="C4092" t="str">
        <f>_xlfn.XLOOKUP(A4092,[1]Affiliations!$J$2:$J$5328,[1]Affiliations!$K$2:$K$5328,0)</f>
        <v>Universidade Federal de Pernambuco</v>
      </c>
      <c r="D4092">
        <v>30</v>
      </c>
      <c r="E4092">
        <v>542</v>
      </c>
      <c r="F4092">
        <v>18.066668</v>
      </c>
      <c r="G4092">
        <v>17</v>
      </c>
      <c r="H4092">
        <v>0.7</v>
      </c>
      <c r="I4092">
        <v>0</v>
      </c>
      <c r="J4092">
        <v>2</v>
      </c>
      <c r="K4092">
        <v>9</v>
      </c>
      <c r="L4092">
        <v>21</v>
      </c>
      <c r="M4092">
        <v>28</v>
      </c>
      <c r="N4092">
        <v>29</v>
      </c>
      <c r="P4092">
        <v>0</v>
      </c>
      <c r="Q4092">
        <v>0</v>
      </c>
      <c r="R4092">
        <v>1</v>
      </c>
      <c r="S4092">
        <v>16</v>
      </c>
    </row>
    <row r="4093" spans="1:19" hidden="1" x14ac:dyDescent="0.35">
      <c r="A4093">
        <v>57239191100</v>
      </c>
      <c r="B4093" t="s">
        <v>4092</v>
      </c>
      <c r="C4093" t="str">
        <f>_xlfn.XLOOKUP(A4093,[1]Affiliations!$J$2:$J$5328,[1]Affiliations!$K$2:$K$5328,0)</f>
        <v>Vizlab - X-Reality and GeoInformatics Lab</v>
      </c>
      <c r="D4093">
        <v>19</v>
      </c>
      <c r="E4093">
        <v>81</v>
      </c>
      <c r="F4093">
        <v>4.2631579999999998</v>
      </c>
      <c r="G4093">
        <v>5</v>
      </c>
      <c r="H4093">
        <v>0.59</v>
      </c>
      <c r="I4093">
        <v>0</v>
      </c>
      <c r="J4093">
        <v>0</v>
      </c>
      <c r="K4093">
        <v>4</v>
      </c>
      <c r="L4093">
        <v>7</v>
      </c>
      <c r="M4093">
        <v>7</v>
      </c>
      <c r="N4093">
        <v>19</v>
      </c>
      <c r="P4093">
        <v>0</v>
      </c>
      <c r="Q4093">
        <v>0</v>
      </c>
      <c r="R4093">
        <v>0</v>
      </c>
      <c r="S4093">
        <v>2</v>
      </c>
    </row>
    <row r="4094" spans="1:19" x14ac:dyDescent="0.35">
      <c r="A4094">
        <v>57448571100</v>
      </c>
      <c r="B4094" t="s">
        <v>2605</v>
      </c>
      <c r="C4094" t="str">
        <f>_xlfn.XLOOKUP(A4094,[1]Affiliations!$J$2:$J$5328,[1]Affiliations!$K$2:$K$5328,0)</f>
        <v>Universidade de Brasília</v>
      </c>
      <c r="D4094">
        <v>9</v>
      </c>
      <c r="E4094">
        <v>184</v>
      </c>
      <c r="F4094">
        <v>20.444445000000002</v>
      </c>
      <c r="G4094">
        <v>17</v>
      </c>
      <c r="H4094">
        <v>0.7</v>
      </c>
      <c r="I4094">
        <v>0</v>
      </c>
      <c r="J4094">
        <v>1</v>
      </c>
      <c r="K4094">
        <v>2</v>
      </c>
      <c r="L4094">
        <v>2</v>
      </c>
      <c r="M4094">
        <v>5</v>
      </c>
      <c r="N4094">
        <v>7</v>
      </c>
      <c r="P4094">
        <v>0</v>
      </c>
      <c r="Q4094">
        <v>1</v>
      </c>
      <c r="R4094">
        <v>1</v>
      </c>
      <c r="S4094">
        <v>4</v>
      </c>
    </row>
    <row r="4095" spans="1:19" hidden="1" x14ac:dyDescent="0.35">
      <c r="A4095">
        <v>57193716215</v>
      </c>
      <c r="B4095" t="s">
        <v>4094</v>
      </c>
      <c r="C4095" t="str">
        <f>_xlfn.XLOOKUP(A4095,[1]Affiliations!$J$2:$J$5328,[1]Affiliations!$K$2:$K$5328,0)</f>
        <v>Pontifical Catholic University of Rio de Janeiro</v>
      </c>
      <c r="D4095">
        <v>5</v>
      </c>
      <c r="E4095">
        <v>22</v>
      </c>
      <c r="F4095">
        <v>4.4000000000000004</v>
      </c>
      <c r="G4095">
        <v>4</v>
      </c>
      <c r="H4095">
        <v>0.24</v>
      </c>
      <c r="P4095">
        <v>0</v>
      </c>
      <c r="Q4095">
        <v>0</v>
      </c>
      <c r="R4095">
        <v>0</v>
      </c>
      <c r="S4095">
        <v>0</v>
      </c>
    </row>
    <row r="4096" spans="1:19" hidden="1" x14ac:dyDescent="0.35">
      <c r="A4096">
        <v>58639030400</v>
      </c>
      <c r="B4096" t="s">
        <v>4095</v>
      </c>
      <c r="C4096" t="str">
        <f>_xlfn.XLOOKUP(A4096,[1]Affiliations!$J$2:$J$5328,[1]Affiliations!$K$2:$K$5328,0)</f>
        <v>Universidade Federal do Rio Grande do Sul</v>
      </c>
      <c r="D4096">
        <v>1</v>
      </c>
      <c r="E4096">
        <v>2</v>
      </c>
      <c r="F4096">
        <v>2</v>
      </c>
      <c r="G4096">
        <v>1</v>
      </c>
      <c r="H4096">
        <v>1.59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P4096">
        <v>0</v>
      </c>
      <c r="Q4096">
        <v>0</v>
      </c>
      <c r="R4096">
        <v>0</v>
      </c>
      <c r="S4096">
        <v>0</v>
      </c>
    </row>
    <row r="4097" spans="1:19" hidden="1" x14ac:dyDescent="0.35">
      <c r="A4097">
        <v>56780185800</v>
      </c>
      <c r="B4097" t="s">
        <v>4096</v>
      </c>
      <c r="C4097" t="str">
        <f>_xlfn.XLOOKUP(A4097,[1]Affiliations!$J$2:$J$5328,[1]Affiliations!$K$2:$K$5328,0)</f>
        <v>Universidade Federal do Espírito Santo</v>
      </c>
      <c r="D4097">
        <v>10</v>
      </c>
      <c r="E4097">
        <v>106</v>
      </c>
      <c r="F4097">
        <v>10.6</v>
      </c>
      <c r="G4097">
        <v>6</v>
      </c>
      <c r="H4097">
        <v>0.41</v>
      </c>
      <c r="I4097">
        <v>0</v>
      </c>
      <c r="J4097">
        <v>1</v>
      </c>
      <c r="K4097">
        <v>2</v>
      </c>
      <c r="L4097">
        <v>5</v>
      </c>
      <c r="M4097">
        <v>6</v>
      </c>
      <c r="N4097">
        <v>8</v>
      </c>
      <c r="P4097">
        <v>0</v>
      </c>
      <c r="Q4097">
        <v>0</v>
      </c>
      <c r="R4097">
        <v>0</v>
      </c>
      <c r="S4097">
        <v>3</v>
      </c>
    </row>
    <row r="4098" spans="1:19" x14ac:dyDescent="0.35">
      <c r="A4098">
        <v>56021996400</v>
      </c>
      <c r="B4098" t="s">
        <v>2878</v>
      </c>
      <c r="C4098" t="str">
        <f>_xlfn.XLOOKUP(A4098,[1]Affiliations!$J$2:$J$5328,[1]Affiliations!$K$2:$K$5328,0)</f>
        <v>Federal University of Santa Catarina</v>
      </c>
      <c r="D4098">
        <v>31</v>
      </c>
      <c r="E4098">
        <v>264</v>
      </c>
      <c r="F4098">
        <v>8.5161294999999999</v>
      </c>
      <c r="G4098">
        <v>9</v>
      </c>
      <c r="H4098">
        <v>0.7</v>
      </c>
      <c r="I4098">
        <v>0</v>
      </c>
      <c r="J4098">
        <v>3</v>
      </c>
      <c r="K4098">
        <v>7</v>
      </c>
      <c r="L4098">
        <v>9</v>
      </c>
      <c r="M4098">
        <v>13</v>
      </c>
      <c r="N4098">
        <v>21</v>
      </c>
      <c r="P4098">
        <v>0</v>
      </c>
      <c r="Q4098">
        <v>1</v>
      </c>
      <c r="R4098">
        <v>1</v>
      </c>
      <c r="S4098">
        <v>4</v>
      </c>
    </row>
    <row r="4099" spans="1:19" hidden="1" x14ac:dyDescent="0.35">
      <c r="A4099">
        <v>57192928723</v>
      </c>
      <c r="B4099" t="s">
        <v>4098</v>
      </c>
      <c r="C4099" t="str">
        <f>_xlfn.XLOOKUP(A4099,[1]Affiliations!$J$2:$J$5328,[1]Affiliations!$K$2:$K$5328,0)</f>
        <v>Federal University of Rio de Janeiro</v>
      </c>
      <c r="D4099">
        <v>3</v>
      </c>
      <c r="E4099">
        <v>23</v>
      </c>
      <c r="F4099">
        <v>7.6666664999999998</v>
      </c>
      <c r="G4099">
        <v>3</v>
      </c>
      <c r="H4099">
        <v>0.64</v>
      </c>
      <c r="I4099">
        <v>0</v>
      </c>
      <c r="J4099">
        <v>1</v>
      </c>
      <c r="K4099">
        <v>1</v>
      </c>
      <c r="L4099">
        <v>1</v>
      </c>
      <c r="M4099">
        <v>1</v>
      </c>
      <c r="N4099">
        <v>1</v>
      </c>
      <c r="P4099">
        <v>0</v>
      </c>
      <c r="Q4099">
        <v>0</v>
      </c>
      <c r="R4099">
        <v>0</v>
      </c>
      <c r="S4099">
        <v>1</v>
      </c>
    </row>
    <row r="4100" spans="1:19" hidden="1" x14ac:dyDescent="0.35">
      <c r="A4100">
        <v>8514451300</v>
      </c>
      <c r="B4100" t="s">
        <v>4099</v>
      </c>
      <c r="C4100" t="str">
        <f>_xlfn.XLOOKUP(A4100,[1]Affiliations!$J$2:$J$5328,[1]Affiliations!$K$2:$K$5328,0)</f>
        <v>Federal University of Rio de Janeiro</v>
      </c>
      <c r="D4100">
        <v>5</v>
      </c>
      <c r="E4100">
        <v>9</v>
      </c>
      <c r="F4100">
        <v>1.8</v>
      </c>
      <c r="G4100">
        <v>6</v>
      </c>
      <c r="H4100">
        <v>0.15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P4100">
        <v>0</v>
      </c>
      <c r="Q4100">
        <v>0</v>
      </c>
      <c r="R4100">
        <v>0</v>
      </c>
      <c r="S4100">
        <v>0</v>
      </c>
    </row>
    <row r="4101" spans="1:19" hidden="1" x14ac:dyDescent="0.35">
      <c r="A4101">
        <v>57480014900</v>
      </c>
      <c r="B4101" t="s">
        <v>4100</v>
      </c>
      <c r="C4101" t="str">
        <f>_xlfn.XLOOKUP(A4101,[1]Affiliations!$J$2:$J$5328,[1]Affiliations!$K$2:$K$5328,0)</f>
        <v>Pontifical Catholic University of Rio de Janeiro</v>
      </c>
      <c r="D4101">
        <v>1</v>
      </c>
      <c r="E4101">
        <v>3</v>
      </c>
      <c r="F4101">
        <v>3</v>
      </c>
      <c r="G4101">
        <v>1</v>
      </c>
      <c r="H4101">
        <v>0.21</v>
      </c>
      <c r="I4101">
        <v>0</v>
      </c>
      <c r="J4101">
        <v>0</v>
      </c>
      <c r="K4101">
        <v>0</v>
      </c>
      <c r="L4101">
        <v>1</v>
      </c>
      <c r="M4101">
        <v>1</v>
      </c>
      <c r="N4101">
        <v>1</v>
      </c>
      <c r="P4101">
        <v>0</v>
      </c>
      <c r="Q4101">
        <v>0</v>
      </c>
      <c r="R4101">
        <v>0</v>
      </c>
      <c r="S4101">
        <v>0</v>
      </c>
    </row>
    <row r="4102" spans="1:19" x14ac:dyDescent="0.35">
      <c r="A4102">
        <v>55608250100</v>
      </c>
      <c r="B4102" t="s">
        <v>3016</v>
      </c>
      <c r="C4102" t="str">
        <f>_xlfn.XLOOKUP(A4102,[1]Affiliations!$J$2:$J$5328,[1]Affiliations!$K$2:$K$5328,0)</f>
        <v>Universidade Federal Fluminense (+3 more)</v>
      </c>
      <c r="D4102">
        <v>50</v>
      </c>
      <c r="E4102">
        <v>462</v>
      </c>
      <c r="F4102">
        <v>9.24</v>
      </c>
      <c r="G4102">
        <v>14</v>
      </c>
      <c r="H4102">
        <v>0.7</v>
      </c>
      <c r="I4102">
        <v>1</v>
      </c>
      <c r="J4102">
        <v>9</v>
      </c>
      <c r="K4102">
        <v>15</v>
      </c>
      <c r="L4102">
        <v>22</v>
      </c>
      <c r="M4102">
        <v>31</v>
      </c>
      <c r="N4102">
        <v>32</v>
      </c>
      <c r="P4102">
        <v>0</v>
      </c>
      <c r="Q4102">
        <v>0</v>
      </c>
      <c r="R4102">
        <v>2</v>
      </c>
      <c r="S4102">
        <v>12</v>
      </c>
    </row>
    <row r="4103" spans="1:19" hidden="1" x14ac:dyDescent="0.35">
      <c r="A4103">
        <v>59895153400</v>
      </c>
      <c r="B4103" t="s">
        <v>4102</v>
      </c>
      <c r="C4103" t="str">
        <f>_xlfn.XLOOKUP(A4103,[1]Affiliations!$J$2:$J$5328,[1]Affiliations!$K$2:$K$5328,0)</f>
        <v>Universidade Federal de Alagoas</v>
      </c>
      <c r="D4103">
        <v>0</v>
      </c>
      <c r="G4103">
        <v>0</v>
      </c>
    </row>
    <row r="4104" spans="1:19" hidden="1" x14ac:dyDescent="0.35">
      <c r="A4104">
        <v>57221123674</v>
      </c>
      <c r="B4104" t="s">
        <v>4103</v>
      </c>
      <c r="C4104" t="str">
        <f>_xlfn.XLOOKUP(A4104,[1]Affiliations!$J$2:$J$5328,[1]Affiliations!$K$2:$K$5328,0)</f>
        <v>Universidade Federal de Campina Grande</v>
      </c>
      <c r="D4104">
        <v>4</v>
      </c>
      <c r="E4104">
        <v>6</v>
      </c>
      <c r="F4104">
        <v>1.5</v>
      </c>
      <c r="G4104">
        <v>2</v>
      </c>
      <c r="H4104">
        <v>0.73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2</v>
      </c>
      <c r="P4104">
        <v>0</v>
      </c>
      <c r="Q4104">
        <v>0</v>
      </c>
      <c r="R4104">
        <v>0</v>
      </c>
      <c r="S4104">
        <v>0</v>
      </c>
    </row>
    <row r="4105" spans="1:19" hidden="1" x14ac:dyDescent="0.35">
      <c r="A4105">
        <v>57200823244</v>
      </c>
      <c r="B4105" t="s">
        <v>4104</v>
      </c>
      <c r="C4105" t="str">
        <f>_xlfn.XLOOKUP(A4105,[1]Affiliations!$J$2:$J$5328,[1]Affiliations!$K$2:$K$5328,0)</f>
        <v>Centro Nacional de Pesquisa em Energia e Materiais</v>
      </c>
      <c r="D4105">
        <v>2</v>
      </c>
      <c r="E4105">
        <v>30</v>
      </c>
      <c r="F4105">
        <v>15</v>
      </c>
      <c r="G4105">
        <v>2</v>
      </c>
      <c r="H4105">
        <v>0.68</v>
      </c>
      <c r="I4105">
        <v>0</v>
      </c>
      <c r="J4105">
        <v>0</v>
      </c>
      <c r="K4105">
        <v>0</v>
      </c>
      <c r="L4105">
        <v>2</v>
      </c>
      <c r="M4105">
        <v>2</v>
      </c>
      <c r="N4105">
        <v>2</v>
      </c>
      <c r="P4105">
        <v>0</v>
      </c>
      <c r="Q4105">
        <v>0</v>
      </c>
      <c r="R4105">
        <v>0</v>
      </c>
      <c r="S4105">
        <v>0</v>
      </c>
    </row>
    <row r="4106" spans="1:19" hidden="1" x14ac:dyDescent="0.35">
      <c r="A4106">
        <v>57203555427</v>
      </c>
      <c r="B4106" t="s">
        <v>4105</v>
      </c>
      <c r="C4106" t="str">
        <f>_xlfn.XLOOKUP(A4106,[1]Affiliations!$J$2:$J$5328,[1]Affiliations!$K$2:$K$5328,0)</f>
        <v>Universidade Federal de Pernambuco</v>
      </c>
      <c r="D4106">
        <v>11</v>
      </c>
      <c r="E4106">
        <v>96</v>
      </c>
      <c r="F4106">
        <v>8.7272730000000003</v>
      </c>
      <c r="G4106">
        <v>6</v>
      </c>
      <c r="H4106">
        <v>0.7</v>
      </c>
      <c r="I4106">
        <v>0</v>
      </c>
      <c r="J4106">
        <v>1</v>
      </c>
      <c r="K4106">
        <v>1</v>
      </c>
      <c r="L4106">
        <v>4</v>
      </c>
      <c r="M4106">
        <v>10</v>
      </c>
      <c r="N4106">
        <v>10</v>
      </c>
      <c r="P4106">
        <v>0</v>
      </c>
      <c r="Q4106">
        <v>0</v>
      </c>
      <c r="R4106">
        <v>0</v>
      </c>
      <c r="S4106">
        <v>4</v>
      </c>
    </row>
    <row r="4107" spans="1:19" hidden="1" x14ac:dyDescent="0.35">
      <c r="A4107">
        <v>57220863604</v>
      </c>
      <c r="B4107" t="s">
        <v>4106</v>
      </c>
      <c r="C4107" t="str">
        <f>_xlfn.XLOOKUP(A4107,[1]Affiliations!$J$2:$J$5328,[1]Affiliations!$K$2:$K$5328,0)</f>
        <v>Universidade Federal do Rio Grande do Norte</v>
      </c>
      <c r="D4107">
        <v>3</v>
      </c>
      <c r="E4107">
        <v>40</v>
      </c>
      <c r="F4107">
        <v>13.333333</v>
      </c>
      <c r="G4107">
        <v>3</v>
      </c>
      <c r="H4107">
        <v>1.71</v>
      </c>
      <c r="I4107">
        <v>0</v>
      </c>
      <c r="J4107">
        <v>1</v>
      </c>
      <c r="K4107">
        <v>1</v>
      </c>
      <c r="L4107">
        <v>2</v>
      </c>
      <c r="M4107">
        <v>3</v>
      </c>
      <c r="N4107">
        <v>3</v>
      </c>
      <c r="P4107">
        <v>0</v>
      </c>
      <c r="Q4107">
        <v>0</v>
      </c>
      <c r="R4107">
        <v>0</v>
      </c>
      <c r="S4107">
        <v>2</v>
      </c>
    </row>
    <row r="4108" spans="1:19" hidden="1" x14ac:dyDescent="0.35">
      <c r="A4108">
        <v>57218292528</v>
      </c>
      <c r="B4108" t="s">
        <v>4107</v>
      </c>
      <c r="C4108" t="str">
        <f>_xlfn.XLOOKUP(A4108,[1]Affiliations!$J$2:$J$5328,[1]Affiliations!$K$2:$K$5328,0)</f>
        <v>Federal University of Rio de Janeiro</v>
      </c>
      <c r="D4108">
        <v>2</v>
      </c>
      <c r="E4108">
        <v>23</v>
      </c>
      <c r="F4108">
        <v>11.5</v>
      </c>
      <c r="G4108">
        <v>1</v>
      </c>
      <c r="H4108">
        <v>1.1200000000000001</v>
      </c>
      <c r="I4108">
        <v>0</v>
      </c>
      <c r="J4108">
        <v>0</v>
      </c>
      <c r="K4108">
        <v>1</v>
      </c>
      <c r="L4108">
        <v>1</v>
      </c>
      <c r="M4108">
        <v>1</v>
      </c>
      <c r="N4108">
        <v>1</v>
      </c>
      <c r="P4108">
        <v>0</v>
      </c>
      <c r="Q4108">
        <v>0</v>
      </c>
      <c r="R4108">
        <v>0</v>
      </c>
      <c r="S4108">
        <v>1</v>
      </c>
    </row>
    <row r="4109" spans="1:19" hidden="1" x14ac:dyDescent="0.35">
      <c r="A4109">
        <v>59326844200</v>
      </c>
      <c r="B4109" t="s">
        <v>4108</v>
      </c>
      <c r="C4109" t="str">
        <f>_xlfn.XLOOKUP(A4109,[1]Affiliations!$J$2:$J$5328,[1]Affiliations!$K$2:$K$5328,0)</f>
        <v>Universidade Federal do Rio Grande do Sul (+1 more)</v>
      </c>
      <c r="D4109">
        <v>2</v>
      </c>
      <c r="E4109">
        <v>8</v>
      </c>
      <c r="F4109">
        <v>4</v>
      </c>
      <c r="G4109">
        <v>2</v>
      </c>
      <c r="H4109">
        <v>0.95</v>
      </c>
      <c r="I4109">
        <v>0</v>
      </c>
      <c r="J4109">
        <v>2</v>
      </c>
      <c r="K4109">
        <v>2</v>
      </c>
      <c r="L4109">
        <v>2</v>
      </c>
      <c r="M4109">
        <v>2</v>
      </c>
      <c r="N4109">
        <v>2</v>
      </c>
      <c r="P4109">
        <v>0</v>
      </c>
      <c r="Q4109">
        <v>0</v>
      </c>
      <c r="R4109">
        <v>0</v>
      </c>
      <c r="S4109">
        <v>1</v>
      </c>
    </row>
    <row r="4110" spans="1:19" hidden="1" x14ac:dyDescent="0.35">
      <c r="A4110">
        <v>57654313300</v>
      </c>
      <c r="B4110" t="s">
        <v>4109</v>
      </c>
      <c r="C4110" t="str">
        <f>_xlfn.XLOOKUP(A4110,[1]Affiliations!$J$2:$J$5328,[1]Affiliations!$K$2:$K$5328,0)</f>
        <v>Universidade Federal de Viçosa</v>
      </c>
      <c r="D4110">
        <v>1</v>
      </c>
      <c r="E4110">
        <v>17</v>
      </c>
      <c r="F4110">
        <v>17</v>
      </c>
      <c r="G4110">
        <v>1</v>
      </c>
      <c r="H4110">
        <v>0.83</v>
      </c>
      <c r="I4110">
        <v>0</v>
      </c>
      <c r="J4110">
        <v>1</v>
      </c>
      <c r="K4110">
        <v>1</v>
      </c>
      <c r="L4110">
        <v>1</v>
      </c>
      <c r="M4110">
        <v>1</v>
      </c>
      <c r="N4110">
        <v>1</v>
      </c>
      <c r="P4110">
        <v>0</v>
      </c>
      <c r="Q4110">
        <v>0</v>
      </c>
      <c r="R4110">
        <v>0</v>
      </c>
      <c r="S4110">
        <v>1</v>
      </c>
    </row>
    <row r="4111" spans="1:19" hidden="1" x14ac:dyDescent="0.35">
      <c r="A4111">
        <v>57220167095</v>
      </c>
      <c r="B4111" t="s">
        <v>4110</v>
      </c>
      <c r="C4111" t="str">
        <f>_xlfn.XLOOKUP(A4111,[1]Affiliations!$J$2:$J$5328,[1]Affiliations!$K$2:$K$5328,0)</f>
        <v>Federal University of Rio de Janeiro</v>
      </c>
      <c r="D4111">
        <v>1</v>
      </c>
      <c r="E4111">
        <v>28</v>
      </c>
      <c r="F4111">
        <v>28</v>
      </c>
      <c r="G4111">
        <v>1</v>
      </c>
      <c r="H4111">
        <v>1.52</v>
      </c>
      <c r="I4111">
        <v>0</v>
      </c>
      <c r="J4111">
        <v>1</v>
      </c>
      <c r="K4111">
        <v>1</v>
      </c>
      <c r="L4111">
        <v>1</v>
      </c>
      <c r="M4111">
        <v>1</v>
      </c>
      <c r="N4111">
        <v>1</v>
      </c>
      <c r="P4111">
        <v>0</v>
      </c>
      <c r="Q4111">
        <v>0</v>
      </c>
      <c r="R4111">
        <v>0</v>
      </c>
      <c r="S4111">
        <v>1</v>
      </c>
    </row>
    <row r="4112" spans="1:19" hidden="1" x14ac:dyDescent="0.35">
      <c r="A4112">
        <v>57212137547</v>
      </c>
      <c r="B4112" t="s">
        <v>4111</v>
      </c>
      <c r="C4112" t="str">
        <f>_xlfn.XLOOKUP(A4112,[1]Affiliations!$J$2:$J$5328,[1]Affiliations!$K$2:$K$5328,0)</f>
        <v>Universidade de Brasília</v>
      </c>
      <c r="D4112">
        <v>4</v>
      </c>
      <c r="E4112">
        <v>23</v>
      </c>
      <c r="F4112">
        <v>5.75</v>
      </c>
      <c r="G4112">
        <v>3</v>
      </c>
      <c r="H4112">
        <v>0.37</v>
      </c>
      <c r="I4112">
        <v>0</v>
      </c>
      <c r="J4112">
        <v>0</v>
      </c>
      <c r="K4112">
        <v>0</v>
      </c>
      <c r="L4112">
        <v>0</v>
      </c>
      <c r="M4112">
        <v>1</v>
      </c>
      <c r="N4112">
        <v>4</v>
      </c>
      <c r="P4112">
        <v>0</v>
      </c>
      <c r="Q4112">
        <v>0</v>
      </c>
      <c r="R4112">
        <v>0</v>
      </c>
      <c r="S4112">
        <v>0</v>
      </c>
    </row>
    <row r="4113" spans="1:19" hidden="1" x14ac:dyDescent="0.35">
      <c r="A4113">
        <v>57322350100</v>
      </c>
      <c r="B4113" t="s">
        <v>4112</v>
      </c>
      <c r="C4113" t="str">
        <f>_xlfn.XLOOKUP(A4113,[1]Affiliations!$J$2:$J$5328,[1]Affiliations!$K$2:$K$5328,0)</f>
        <v>Federal University of Rio de Janeiro</v>
      </c>
      <c r="D4113">
        <v>6</v>
      </c>
      <c r="E4113">
        <v>24</v>
      </c>
      <c r="F4113">
        <v>4</v>
      </c>
      <c r="G4113">
        <v>3</v>
      </c>
      <c r="H4113">
        <v>0.33</v>
      </c>
      <c r="I4113">
        <v>0</v>
      </c>
      <c r="J4113">
        <v>0</v>
      </c>
      <c r="K4113">
        <v>1</v>
      </c>
      <c r="L4113">
        <v>1</v>
      </c>
      <c r="M4113">
        <v>2</v>
      </c>
      <c r="N4113">
        <v>3</v>
      </c>
      <c r="P4113">
        <v>0</v>
      </c>
      <c r="Q4113">
        <v>0</v>
      </c>
      <c r="R4113">
        <v>0</v>
      </c>
      <c r="S4113">
        <v>0</v>
      </c>
    </row>
    <row r="4114" spans="1:19" x14ac:dyDescent="0.35">
      <c r="A4114">
        <v>7006119728</v>
      </c>
      <c r="B4114" t="s">
        <v>3228</v>
      </c>
      <c r="C4114" t="str">
        <f>_xlfn.XLOOKUP(A4114,[1]Affiliations!$J$2:$J$5328,[1]Affiliations!$K$2:$K$5328,0)</f>
        <v>Petróleo Brasileiro S.A. (+2 more)</v>
      </c>
      <c r="D4114">
        <v>40</v>
      </c>
      <c r="E4114">
        <v>482</v>
      </c>
      <c r="F4114">
        <v>12.05</v>
      </c>
      <c r="G4114">
        <v>33</v>
      </c>
      <c r="H4114">
        <v>0.7</v>
      </c>
      <c r="I4114">
        <v>0</v>
      </c>
      <c r="J4114">
        <v>4</v>
      </c>
      <c r="K4114">
        <v>12</v>
      </c>
      <c r="L4114">
        <v>23</v>
      </c>
      <c r="M4114">
        <v>26</v>
      </c>
      <c r="N4114">
        <v>31</v>
      </c>
      <c r="P4114">
        <v>0</v>
      </c>
      <c r="Q4114">
        <v>2</v>
      </c>
      <c r="R4114">
        <v>4</v>
      </c>
      <c r="S4114">
        <v>8</v>
      </c>
    </row>
    <row r="4115" spans="1:19" hidden="1" x14ac:dyDescent="0.35">
      <c r="A4115">
        <v>57212066011</v>
      </c>
      <c r="B4115" t="s">
        <v>4114</v>
      </c>
      <c r="C4115" t="str">
        <f>_xlfn.XLOOKUP(A4115,[1]Affiliations!$J$2:$J$5328,[1]Affiliations!$K$2:$K$5328,0)</f>
        <v>Federal University of Rio de Janeiro</v>
      </c>
      <c r="D4115">
        <v>1</v>
      </c>
      <c r="E4115">
        <v>1</v>
      </c>
      <c r="F4115">
        <v>1</v>
      </c>
      <c r="G4115">
        <v>1</v>
      </c>
      <c r="H4115">
        <v>0.63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1</v>
      </c>
      <c r="P4115">
        <v>0</v>
      </c>
      <c r="Q4115">
        <v>0</v>
      </c>
      <c r="R4115">
        <v>0</v>
      </c>
      <c r="S4115">
        <v>0</v>
      </c>
    </row>
    <row r="4116" spans="1:19" hidden="1" x14ac:dyDescent="0.35">
      <c r="A4116">
        <v>55437935500</v>
      </c>
      <c r="B4116" t="s">
        <v>4115</v>
      </c>
      <c r="C4116" t="str">
        <f>_xlfn.XLOOKUP(A4116,[1]Affiliations!$J$2:$J$5328,[1]Affiliations!$K$2:$K$5328,0)</f>
        <v>Federal University of Rio de Janeiro</v>
      </c>
      <c r="D4116">
        <v>21</v>
      </c>
      <c r="E4116">
        <v>193</v>
      </c>
      <c r="F4116">
        <v>9.1904760000000003</v>
      </c>
      <c r="G4116">
        <v>11</v>
      </c>
      <c r="H4116">
        <v>0.56999999999999995</v>
      </c>
      <c r="I4116">
        <v>0</v>
      </c>
      <c r="J4116">
        <v>0</v>
      </c>
      <c r="K4116">
        <v>1</v>
      </c>
      <c r="L4116">
        <v>6</v>
      </c>
      <c r="M4116">
        <v>12</v>
      </c>
      <c r="N4116">
        <v>16</v>
      </c>
      <c r="P4116">
        <v>0</v>
      </c>
      <c r="Q4116">
        <v>0</v>
      </c>
      <c r="R4116">
        <v>0</v>
      </c>
      <c r="S4116">
        <v>7</v>
      </c>
    </row>
    <row r="4117" spans="1:19" x14ac:dyDescent="0.35">
      <c r="A4117">
        <v>36007492800</v>
      </c>
      <c r="B4117" t="s">
        <v>3233</v>
      </c>
      <c r="C4117" t="str">
        <f>_xlfn.XLOOKUP(A4117,[1]Affiliations!$J$2:$J$5328,[1]Affiliations!$K$2:$K$5328,0)</f>
        <v>Universidade de São Paulo (+1 more)</v>
      </c>
      <c r="D4117">
        <v>31</v>
      </c>
      <c r="E4117">
        <v>117</v>
      </c>
      <c r="F4117">
        <v>3.7741935</v>
      </c>
      <c r="G4117">
        <v>7</v>
      </c>
      <c r="H4117">
        <v>0.7</v>
      </c>
      <c r="I4117">
        <v>0</v>
      </c>
      <c r="J4117">
        <v>2</v>
      </c>
      <c r="K4117">
        <v>2</v>
      </c>
      <c r="L4117">
        <v>2</v>
      </c>
      <c r="M4117">
        <v>6</v>
      </c>
      <c r="N4117">
        <v>14</v>
      </c>
      <c r="P4117">
        <v>0</v>
      </c>
      <c r="Q4117">
        <v>0</v>
      </c>
      <c r="R4117">
        <v>1</v>
      </c>
      <c r="S4117">
        <v>1</v>
      </c>
    </row>
    <row r="4118" spans="1:19" hidden="1" x14ac:dyDescent="0.35">
      <c r="A4118">
        <v>59812398100</v>
      </c>
      <c r="B4118" t="s">
        <v>4117</v>
      </c>
      <c r="C4118" t="str">
        <f>_xlfn.XLOOKUP(A4118,[1]Affiliations!$J$2:$J$5328,[1]Affiliations!$K$2:$K$5328,0)</f>
        <v>Federal University of Pará</v>
      </c>
      <c r="D4118">
        <v>1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1</v>
      </c>
      <c r="M4118">
        <v>1</v>
      </c>
      <c r="N4118">
        <v>1</v>
      </c>
      <c r="P4118">
        <v>0</v>
      </c>
      <c r="Q4118">
        <v>0</v>
      </c>
      <c r="R4118">
        <v>0</v>
      </c>
      <c r="S4118">
        <v>0</v>
      </c>
    </row>
    <row r="4119" spans="1:19" hidden="1" x14ac:dyDescent="0.35">
      <c r="A4119">
        <v>57201418526</v>
      </c>
      <c r="B4119" t="s">
        <v>4118</v>
      </c>
      <c r="C4119" t="str">
        <f>_xlfn.XLOOKUP(A4119,[1]Affiliations!$J$2:$J$5328,[1]Affiliations!$K$2:$K$5328,0)</f>
        <v>Instituto de Pesquisas Tecnologicas</v>
      </c>
      <c r="D4119">
        <v>1</v>
      </c>
      <c r="E4119">
        <v>1</v>
      </c>
      <c r="F4119">
        <v>1</v>
      </c>
      <c r="G4119">
        <v>1</v>
      </c>
      <c r="H4119">
        <v>0.97</v>
      </c>
      <c r="P4119">
        <v>0</v>
      </c>
      <c r="Q4119">
        <v>0</v>
      </c>
      <c r="R4119">
        <v>0</v>
      </c>
      <c r="S4119">
        <v>0</v>
      </c>
    </row>
    <row r="4120" spans="1:19" hidden="1" x14ac:dyDescent="0.35">
      <c r="A4120">
        <v>57015196200</v>
      </c>
      <c r="B4120" t="s">
        <v>4119</v>
      </c>
      <c r="C4120" t="str">
        <f>_xlfn.XLOOKUP(A4120,[1]Affiliations!$J$2:$J$5328,[1]Affiliations!$K$2:$K$5328,0)</f>
        <v>Universidade Federal Fluminense</v>
      </c>
      <c r="D4120">
        <v>1</v>
      </c>
      <c r="E4120">
        <v>24</v>
      </c>
      <c r="F4120">
        <v>24</v>
      </c>
      <c r="G4120">
        <v>2</v>
      </c>
      <c r="H4120">
        <v>6.01</v>
      </c>
      <c r="I4120">
        <v>0</v>
      </c>
      <c r="J4120">
        <v>1</v>
      </c>
      <c r="K4120">
        <v>1</v>
      </c>
      <c r="L4120">
        <v>1</v>
      </c>
      <c r="M4120">
        <v>1</v>
      </c>
      <c r="N4120">
        <v>1</v>
      </c>
      <c r="P4120">
        <v>0</v>
      </c>
      <c r="Q4120">
        <v>1</v>
      </c>
      <c r="R4120">
        <v>1</v>
      </c>
      <c r="S4120">
        <v>1</v>
      </c>
    </row>
    <row r="4121" spans="1:19" x14ac:dyDescent="0.35">
      <c r="A4121">
        <v>57311259800</v>
      </c>
      <c r="B4121" t="s">
        <v>3472</v>
      </c>
      <c r="C4121" t="str">
        <f>_xlfn.XLOOKUP(A4121,[1]Affiliations!$J$2:$J$5328,[1]Affiliations!$K$2:$K$5328,0)</f>
        <v>Federal University of Santa Catarina</v>
      </c>
      <c r="D4121">
        <v>6</v>
      </c>
      <c r="E4121">
        <v>36</v>
      </c>
      <c r="F4121">
        <v>6</v>
      </c>
      <c r="G4121">
        <v>4</v>
      </c>
      <c r="H4121">
        <v>0.7</v>
      </c>
      <c r="I4121">
        <v>1</v>
      </c>
      <c r="J4121">
        <v>1</v>
      </c>
      <c r="K4121">
        <v>1</v>
      </c>
      <c r="L4121">
        <v>4</v>
      </c>
      <c r="M4121">
        <v>6</v>
      </c>
      <c r="N4121">
        <v>6</v>
      </c>
      <c r="P4121">
        <v>0</v>
      </c>
      <c r="Q4121">
        <v>0</v>
      </c>
      <c r="R4121">
        <v>1</v>
      </c>
      <c r="S4121">
        <v>2</v>
      </c>
    </row>
    <row r="4122" spans="1:19" hidden="1" x14ac:dyDescent="0.35">
      <c r="A4122">
        <v>57218949342</v>
      </c>
      <c r="B4122" t="s">
        <v>4121</v>
      </c>
      <c r="C4122" t="str">
        <f>_xlfn.XLOOKUP(A4122,[1]Affiliations!$J$2:$J$5328,[1]Affiliations!$K$2:$K$5328,0)</f>
        <v>Federal University of Rio de Janeiro</v>
      </c>
      <c r="D4122">
        <v>2</v>
      </c>
      <c r="E4122">
        <v>4</v>
      </c>
      <c r="F4122">
        <v>2</v>
      </c>
      <c r="G4122">
        <v>1</v>
      </c>
      <c r="H4122">
        <v>0.46</v>
      </c>
      <c r="I4122">
        <v>0</v>
      </c>
      <c r="J4122">
        <v>0</v>
      </c>
      <c r="K4122">
        <v>1</v>
      </c>
      <c r="L4122">
        <v>1</v>
      </c>
      <c r="M4122">
        <v>1</v>
      </c>
      <c r="N4122">
        <v>1</v>
      </c>
      <c r="P4122">
        <v>0</v>
      </c>
      <c r="Q4122">
        <v>0</v>
      </c>
      <c r="R4122">
        <v>0</v>
      </c>
      <c r="S4122">
        <v>0</v>
      </c>
    </row>
    <row r="4123" spans="1:19" hidden="1" x14ac:dyDescent="0.35">
      <c r="A4123">
        <v>55992147100</v>
      </c>
      <c r="B4123" t="s">
        <v>4122</v>
      </c>
      <c r="C4123" t="str">
        <f>_xlfn.XLOOKUP(A4123,[1]Affiliations!$J$2:$J$5328,[1]Affiliations!$K$2:$K$5328,0)</f>
        <v>University of Lausanne (+1 more)</v>
      </c>
      <c r="D4123">
        <v>8</v>
      </c>
      <c r="E4123">
        <v>83</v>
      </c>
      <c r="F4123">
        <v>10.375</v>
      </c>
      <c r="G4123">
        <v>6</v>
      </c>
      <c r="H4123">
        <v>0.83</v>
      </c>
      <c r="I4123">
        <v>1</v>
      </c>
      <c r="J4123">
        <v>4</v>
      </c>
      <c r="K4123">
        <v>5</v>
      </c>
      <c r="L4123">
        <v>6</v>
      </c>
      <c r="M4123">
        <v>7</v>
      </c>
      <c r="N4123">
        <v>7</v>
      </c>
      <c r="P4123">
        <v>0</v>
      </c>
      <c r="Q4123">
        <v>0</v>
      </c>
      <c r="R4123">
        <v>0</v>
      </c>
      <c r="S4123">
        <v>2</v>
      </c>
    </row>
    <row r="4124" spans="1:19" hidden="1" x14ac:dyDescent="0.35">
      <c r="A4124">
        <v>36560245500</v>
      </c>
      <c r="B4124" t="s">
        <v>4123</v>
      </c>
      <c r="C4124" t="str">
        <f>_xlfn.XLOOKUP(A4124,[1]Affiliations!$J$2:$J$5328,[1]Affiliations!$K$2:$K$5328,0)</f>
        <v>Universidade de São Paulo</v>
      </c>
      <c r="D4124">
        <v>0</v>
      </c>
      <c r="G4124">
        <v>5</v>
      </c>
    </row>
    <row r="4125" spans="1:19" x14ac:dyDescent="0.35">
      <c r="A4125">
        <v>9273304500</v>
      </c>
      <c r="B4125" t="s">
        <v>3634</v>
      </c>
      <c r="C4125" t="str">
        <f>_xlfn.XLOOKUP(A4125,[1]Affiliations!$J$2:$J$5328,[1]Affiliations!$K$2:$K$5328,0)</f>
        <v>Universidade Federal de Minas Gerais</v>
      </c>
      <c r="D4125">
        <v>69</v>
      </c>
      <c r="E4125">
        <v>1192</v>
      </c>
      <c r="F4125">
        <v>17.275362000000001</v>
      </c>
      <c r="G4125">
        <v>23</v>
      </c>
      <c r="H4125">
        <v>0.7</v>
      </c>
      <c r="I4125">
        <v>0</v>
      </c>
      <c r="J4125">
        <v>5</v>
      </c>
      <c r="K4125">
        <v>14</v>
      </c>
      <c r="L4125">
        <v>46</v>
      </c>
      <c r="M4125">
        <v>62</v>
      </c>
      <c r="N4125">
        <v>67</v>
      </c>
      <c r="P4125">
        <v>0</v>
      </c>
      <c r="Q4125">
        <v>2</v>
      </c>
      <c r="R4125">
        <v>4</v>
      </c>
      <c r="S4125">
        <v>29</v>
      </c>
    </row>
    <row r="4126" spans="1:19" hidden="1" x14ac:dyDescent="0.35">
      <c r="A4126">
        <v>58312202400</v>
      </c>
      <c r="B4126" t="s">
        <v>4125</v>
      </c>
      <c r="C4126" t="str">
        <f>_xlfn.XLOOKUP(A4126,[1]Affiliations!$J$2:$J$5328,[1]Affiliations!$K$2:$K$5328,0)</f>
        <v>Pontifical Catholic University of Rio de Janeiro</v>
      </c>
      <c r="D4126">
        <v>1</v>
      </c>
      <c r="E4126">
        <v>7</v>
      </c>
      <c r="F4126">
        <v>7</v>
      </c>
      <c r="G4126">
        <v>1</v>
      </c>
      <c r="H4126">
        <v>0.56000000000000005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P4126">
        <v>0</v>
      </c>
      <c r="Q4126">
        <v>0</v>
      </c>
      <c r="R4126">
        <v>0</v>
      </c>
      <c r="S4126">
        <v>0</v>
      </c>
    </row>
    <row r="4127" spans="1:19" x14ac:dyDescent="0.35">
      <c r="A4127">
        <v>35611804900</v>
      </c>
      <c r="B4127" t="s">
        <v>3796</v>
      </c>
      <c r="C4127" t="str">
        <f>_xlfn.XLOOKUP(A4127,[1]Affiliations!$J$2:$J$5328,[1]Affiliations!$K$2:$K$5328,0)</f>
        <v>Federal University of Rio de Janeiro</v>
      </c>
      <c r="D4127">
        <v>17</v>
      </c>
      <c r="E4127">
        <v>172</v>
      </c>
      <c r="F4127">
        <v>10.117647</v>
      </c>
      <c r="G4127">
        <v>11</v>
      </c>
      <c r="H4127">
        <v>0.7</v>
      </c>
      <c r="I4127">
        <v>0</v>
      </c>
      <c r="J4127">
        <v>0</v>
      </c>
      <c r="K4127">
        <v>3</v>
      </c>
      <c r="L4127">
        <v>5</v>
      </c>
      <c r="M4127">
        <v>9</v>
      </c>
      <c r="N4127">
        <v>9</v>
      </c>
      <c r="P4127">
        <v>0</v>
      </c>
      <c r="Q4127">
        <v>0</v>
      </c>
      <c r="R4127">
        <v>2</v>
      </c>
      <c r="S4127">
        <v>3</v>
      </c>
    </row>
    <row r="4128" spans="1:19" hidden="1" x14ac:dyDescent="0.35">
      <c r="A4128">
        <v>6602602203</v>
      </c>
      <c r="B4128" t="s">
        <v>4127</v>
      </c>
      <c r="C4128" t="str">
        <f>_xlfn.XLOOKUP(A4128,[1]Affiliations!$J$2:$J$5328,[1]Affiliations!$K$2:$K$5328,0)</f>
        <v>Universidade Federal Fluminense</v>
      </c>
      <c r="D4128">
        <v>17</v>
      </c>
      <c r="E4128">
        <v>57</v>
      </c>
      <c r="F4128">
        <v>3.3529412999999999</v>
      </c>
      <c r="G4128">
        <v>11</v>
      </c>
      <c r="H4128">
        <v>0.33</v>
      </c>
      <c r="I4128">
        <v>0</v>
      </c>
      <c r="J4128">
        <v>0</v>
      </c>
      <c r="K4128">
        <v>1</v>
      </c>
      <c r="L4128">
        <v>3</v>
      </c>
      <c r="M4128">
        <v>7</v>
      </c>
      <c r="N4128">
        <v>7</v>
      </c>
      <c r="P4128">
        <v>0</v>
      </c>
      <c r="Q4128">
        <v>0</v>
      </c>
      <c r="R4128">
        <v>0</v>
      </c>
      <c r="S4128">
        <v>0</v>
      </c>
    </row>
    <row r="4129" spans="1:19" hidden="1" x14ac:dyDescent="0.35">
      <c r="A4129">
        <v>57196150805</v>
      </c>
      <c r="B4129" t="s">
        <v>4128</v>
      </c>
      <c r="C4129" t="str">
        <f>_xlfn.XLOOKUP(A4129,[1]Affiliations!$J$2:$J$5328,[1]Affiliations!$K$2:$K$5328,0)</f>
        <v>Federal University of Rio de Janeiro</v>
      </c>
      <c r="D4129">
        <v>1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1</v>
      </c>
      <c r="P4129">
        <v>0</v>
      </c>
      <c r="Q4129">
        <v>0</v>
      </c>
      <c r="R4129">
        <v>0</v>
      </c>
      <c r="S4129">
        <v>0</v>
      </c>
    </row>
    <row r="4130" spans="1:19" x14ac:dyDescent="0.35">
      <c r="A4130">
        <v>24390962000</v>
      </c>
      <c r="B4130" t="s">
        <v>3993</v>
      </c>
      <c r="C4130" t="str">
        <f>_xlfn.XLOOKUP(A4130,[1]Affiliations!$J$2:$J$5328,[1]Affiliations!$K$2:$K$5328,0)</f>
        <v>Universidade Tecnológica Federal do Paraná (+1 more)</v>
      </c>
      <c r="D4130">
        <v>65</v>
      </c>
      <c r="E4130">
        <v>563</v>
      </c>
      <c r="F4130">
        <v>8.6615380000000002</v>
      </c>
      <c r="G4130">
        <v>16</v>
      </c>
      <c r="H4130">
        <v>0.7</v>
      </c>
      <c r="I4130">
        <v>2</v>
      </c>
      <c r="J4130">
        <v>2</v>
      </c>
      <c r="K4130">
        <v>9</v>
      </c>
      <c r="L4130">
        <v>31</v>
      </c>
      <c r="M4130">
        <v>37</v>
      </c>
      <c r="N4130">
        <v>43</v>
      </c>
      <c r="P4130">
        <v>0</v>
      </c>
      <c r="Q4130">
        <v>2</v>
      </c>
      <c r="R4130">
        <v>3</v>
      </c>
      <c r="S4130">
        <v>14</v>
      </c>
    </row>
    <row r="4131" spans="1:19" hidden="1" x14ac:dyDescent="0.35">
      <c r="A4131">
        <v>57213015539</v>
      </c>
      <c r="B4131" t="s">
        <v>4130</v>
      </c>
      <c r="C4131" t="str">
        <f>_xlfn.XLOOKUP(A4131,[1]Affiliations!$J$2:$J$5328,[1]Affiliations!$K$2:$K$5328,0)</f>
        <v>Universidade de São Paulo</v>
      </c>
      <c r="D4131">
        <v>3</v>
      </c>
      <c r="E4131">
        <v>12</v>
      </c>
      <c r="F4131">
        <v>4</v>
      </c>
      <c r="G4131">
        <v>3</v>
      </c>
      <c r="H4131">
        <v>0.54</v>
      </c>
      <c r="I4131">
        <v>0</v>
      </c>
      <c r="J4131">
        <v>0</v>
      </c>
      <c r="K4131">
        <v>0</v>
      </c>
      <c r="L4131">
        <v>1</v>
      </c>
      <c r="M4131">
        <v>1</v>
      </c>
      <c r="N4131">
        <v>1</v>
      </c>
      <c r="P4131">
        <v>0</v>
      </c>
      <c r="Q4131">
        <v>0</v>
      </c>
      <c r="R4131">
        <v>0</v>
      </c>
      <c r="S4131">
        <v>0</v>
      </c>
    </row>
    <row r="4132" spans="1:19" hidden="1" x14ac:dyDescent="0.35">
      <c r="A4132">
        <v>36133606500</v>
      </c>
      <c r="B4132" t="s">
        <v>4131</v>
      </c>
      <c r="C4132" t="str">
        <f>_xlfn.XLOOKUP(A4132,[1]Affiliations!$J$2:$J$5328,[1]Affiliations!$K$2:$K$5328,0)</f>
        <v>National Institute of Science and Technology of Petroleum Geophysics–INCT-GP (+3 more)</v>
      </c>
      <c r="D4132">
        <v>25</v>
      </c>
      <c r="E4132">
        <v>40</v>
      </c>
      <c r="F4132">
        <v>1.6</v>
      </c>
      <c r="G4132">
        <v>3</v>
      </c>
      <c r="H4132">
        <v>0.08</v>
      </c>
      <c r="I4132">
        <v>0</v>
      </c>
      <c r="J4132">
        <v>0</v>
      </c>
      <c r="K4132">
        <v>0</v>
      </c>
      <c r="L4132">
        <v>4</v>
      </c>
      <c r="M4132">
        <v>5</v>
      </c>
      <c r="N4132">
        <v>7</v>
      </c>
      <c r="P4132">
        <v>0</v>
      </c>
      <c r="Q4132">
        <v>0</v>
      </c>
      <c r="R4132">
        <v>0</v>
      </c>
      <c r="S4132">
        <v>0</v>
      </c>
    </row>
    <row r="4133" spans="1:19" hidden="1" x14ac:dyDescent="0.35">
      <c r="A4133">
        <v>57416546600</v>
      </c>
      <c r="B4133" t="s">
        <v>4132</v>
      </c>
      <c r="C4133" t="str">
        <f>_xlfn.XLOOKUP(A4133,[1]Affiliations!$J$2:$J$5328,[1]Affiliations!$K$2:$K$5328,0)</f>
        <v>Federal University of Santa Catarina</v>
      </c>
      <c r="D4133">
        <v>1</v>
      </c>
      <c r="E4133">
        <v>37</v>
      </c>
      <c r="F4133">
        <v>37</v>
      </c>
      <c r="G4133">
        <v>1</v>
      </c>
      <c r="H4133">
        <v>0.87</v>
      </c>
      <c r="I4133">
        <v>0</v>
      </c>
      <c r="J4133">
        <v>0</v>
      </c>
      <c r="K4133">
        <v>1</v>
      </c>
      <c r="L4133">
        <v>1</v>
      </c>
      <c r="M4133">
        <v>1</v>
      </c>
      <c r="N4133">
        <v>1</v>
      </c>
      <c r="P4133">
        <v>0</v>
      </c>
      <c r="Q4133">
        <v>0</v>
      </c>
      <c r="R4133">
        <v>1</v>
      </c>
      <c r="S4133">
        <v>1</v>
      </c>
    </row>
    <row r="4134" spans="1:19" x14ac:dyDescent="0.35">
      <c r="A4134">
        <v>17433997600</v>
      </c>
      <c r="B4134" t="s">
        <v>4775</v>
      </c>
      <c r="C4134" t="str">
        <f>_xlfn.XLOOKUP(A4134,[1]Affiliations!$J$2:$J$5328,[1]Affiliations!$K$2:$K$5328,0)</f>
        <v>Instituto Federal do Espírito Santo</v>
      </c>
      <c r="D4134">
        <v>18</v>
      </c>
      <c r="E4134">
        <v>227</v>
      </c>
      <c r="F4134">
        <v>12.611110999999999</v>
      </c>
      <c r="G4134">
        <v>10</v>
      </c>
      <c r="H4134">
        <v>0.7</v>
      </c>
      <c r="I4134">
        <v>0</v>
      </c>
      <c r="J4134">
        <v>0</v>
      </c>
      <c r="K4134">
        <v>1</v>
      </c>
      <c r="L4134">
        <v>11</v>
      </c>
      <c r="M4134">
        <v>16</v>
      </c>
      <c r="N4134">
        <v>16</v>
      </c>
      <c r="P4134">
        <v>0</v>
      </c>
      <c r="Q4134">
        <v>0</v>
      </c>
      <c r="R4134">
        <v>1</v>
      </c>
      <c r="S4134">
        <v>7</v>
      </c>
    </row>
    <row r="4135" spans="1:19" x14ac:dyDescent="0.35">
      <c r="A4135">
        <v>17433997600</v>
      </c>
      <c r="B4135" t="s">
        <v>4775</v>
      </c>
      <c r="C4135" t="str">
        <f>_xlfn.XLOOKUP(A4135,[1]Affiliations!$J$2:$J$5328,[1]Affiliations!$K$2:$K$5328,0)</f>
        <v>Instituto Federal do Espírito Santo</v>
      </c>
      <c r="D4135">
        <v>18</v>
      </c>
      <c r="E4135">
        <v>227</v>
      </c>
      <c r="F4135">
        <v>12.611110999999999</v>
      </c>
      <c r="G4135">
        <v>10</v>
      </c>
      <c r="H4135">
        <v>0.7</v>
      </c>
      <c r="I4135">
        <v>0</v>
      </c>
      <c r="J4135">
        <v>0</v>
      </c>
      <c r="K4135">
        <v>1</v>
      </c>
      <c r="L4135">
        <v>11</v>
      </c>
      <c r="M4135">
        <v>16</v>
      </c>
      <c r="N4135">
        <v>16</v>
      </c>
      <c r="P4135">
        <v>0</v>
      </c>
      <c r="Q4135">
        <v>0</v>
      </c>
      <c r="R4135">
        <v>1</v>
      </c>
      <c r="S4135">
        <v>7</v>
      </c>
    </row>
    <row r="4136" spans="1:19" hidden="1" x14ac:dyDescent="0.35">
      <c r="A4136">
        <v>7004158776</v>
      </c>
      <c r="B4136" t="s">
        <v>4135</v>
      </c>
      <c r="C4136" t="str">
        <f>_xlfn.XLOOKUP(A4136,[1]Affiliations!$J$2:$J$5328,[1]Affiliations!$K$2:$K$5328,0)</f>
        <v>Federal University of Rio de Janeiro</v>
      </c>
      <c r="D4136">
        <v>19</v>
      </c>
      <c r="E4136">
        <v>168</v>
      </c>
      <c r="F4136">
        <v>8.8421050000000001</v>
      </c>
      <c r="G4136">
        <v>15</v>
      </c>
      <c r="H4136">
        <v>0.55000000000000004</v>
      </c>
      <c r="I4136">
        <v>0</v>
      </c>
      <c r="J4136">
        <v>2</v>
      </c>
      <c r="K4136">
        <v>7</v>
      </c>
      <c r="L4136">
        <v>13</v>
      </c>
      <c r="M4136">
        <v>19</v>
      </c>
      <c r="N4136">
        <v>19</v>
      </c>
      <c r="P4136">
        <v>0</v>
      </c>
      <c r="Q4136">
        <v>0</v>
      </c>
      <c r="R4136">
        <v>0</v>
      </c>
      <c r="S4136">
        <v>1</v>
      </c>
    </row>
    <row r="4137" spans="1:19" hidden="1" x14ac:dyDescent="0.35">
      <c r="A4137">
        <v>58928298100</v>
      </c>
      <c r="B4137" t="s">
        <v>4136</v>
      </c>
      <c r="C4137" t="str">
        <f>_xlfn.XLOOKUP(A4137,[1]Affiliations!$J$2:$J$5328,[1]Affiliations!$K$2:$K$5328,0)</f>
        <v>Universidade Federal do Espírito Santo</v>
      </c>
      <c r="D4137">
        <v>1</v>
      </c>
      <c r="E4137">
        <v>8</v>
      </c>
      <c r="F4137">
        <v>8</v>
      </c>
      <c r="G4137">
        <v>1</v>
      </c>
      <c r="H4137">
        <v>1.08</v>
      </c>
      <c r="I4137">
        <v>0</v>
      </c>
      <c r="J4137">
        <v>1</v>
      </c>
      <c r="K4137">
        <v>1</v>
      </c>
      <c r="L4137">
        <v>1</v>
      </c>
      <c r="M4137">
        <v>1</v>
      </c>
      <c r="N4137">
        <v>1</v>
      </c>
      <c r="P4137">
        <v>0</v>
      </c>
      <c r="Q4137">
        <v>0</v>
      </c>
      <c r="R4137">
        <v>0</v>
      </c>
      <c r="S4137">
        <v>1</v>
      </c>
    </row>
    <row r="4138" spans="1:19" x14ac:dyDescent="0.35">
      <c r="A4138">
        <v>7102336849</v>
      </c>
      <c r="B4138" t="s">
        <v>5015</v>
      </c>
      <c r="C4138" t="str">
        <f>_xlfn.XLOOKUP(A4138,[1]Affiliations!$J$2:$J$5328,[1]Affiliations!$K$2:$K$5328,0)</f>
        <v>Universidade de Brasília</v>
      </c>
      <c r="D4138">
        <v>31</v>
      </c>
      <c r="E4138">
        <v>735</v>
      </c>
      <c r="F4138">
        <v>23.709676999999999</v>
      </c>
      <c r="G4138">
        <v>25</v>
      </c>
      <c r="H4138">
        <v>0.7</v>
      </c>
      <c r="I4138">
        <v>0</v>
      </c>
      <c r="J4138">
        <v>2</v>
      </c>
      <c r="K4138">
        <v>5</v>
      </c>
      <c r="L4138">
        <v>13</v>
      </c>
      <c r="M4138">
        <v>20</v>
      </c>
      <c r="N4138">
        <v>28</v>
      </c>
      <c r="P4138">
        <v>1</v>
      </c>
      <c r="Q4138">
        <v>1</v>
      </c>
      <c r="R4138">
        <v>2</v>
      </c>
      <c r="S4138">
        <v>9</v>
      </c>
    </row>
    <row r="4139" spans="1:19" x14ac:dyDescent="0.35">
      <c r="A4139">
        <v>7101868532</v>
      </c>
      <c r="B4139" t="s">
        <v>5125</v>
      </c>
      <c r="C4139" t="str">
        <f>_xlfn.XLOOKUP(A4139,[1]Affiliations!$J$2:$J$5328,[1]Affiliations!$K$2:$K$5328,0)</f>
        <v>Federal University of Rio de Janeiro</v>
      </c>
      <c r="D4139">
        <v>95</v>
      </c>
      <c r="E4139">
        <v>980</v>
      </c>
      <c r="F4139">
        <v>10.315789000000001</v>
      </c>
      <c r="G4139">
        <v>22</v>
      </c>
      <c r="H4139">
        <v>0.7</v>
      </c>
      <c r="I4139">
        <v>0</v>
      </c>
      <c r="J4139">
        <v>2</v>
      </c>
      <c r="K4139">
        <v>32</v>
      </c>
      <c r="L4139">
        <v>55</v>
      </c>
      <c r="M4139">
        <v>73</v>
      </c>
      <c r="N4139">
        <v>78</v>
      </c>
      <c r="P4139">
        <v>0</v>
      </c>
      <c r="Q4139">
        <v>1</v>
      </c>
      <c r="R4139">
        <v>3</v>
      </c>
      <c r="S4139">
        <v>20</v>
      </c>
    </row>
    <row r="4140" spans="1:19" hidden="1" x14ac:dyDescent="0.35">
      <c r="A4140">
        <v>7202574379</v>
      </c>
      <c r="B4140" t="s">
        <v>4139</v>
      </c>
      <c r="C4140" t="str">
        <f>_xlfn.XLOOKUP(A4140,[1]Affiliations!$J$2:$J$5328,[1]Affiliations!$K$2:$K$5328,0)</f>
        <v>Universidade de Brasília</v>
      </c>
      <c r="D4140">
        <v>15</v>
      </c>
      <c r="E4140">
        <v>37</v>
      </c>
      <c r="F4140">
        <v>2.4666667000000002</v>
      </c>
      <c r="G4140">
        <v>5</v>
      </c>
      <c r="H4140">
        <v>0.22</v>
      </c>
      <c r="I4140">
        <v>0</v>
      </c>
      <c r="J4140">
        <v>0</v>
      </c>
      <c r="K4140">
        <v>1</v>
      </c>
      <c r="L4140">
        <v>2</v>
      </c>
      <c r="M4140">
        <v>3</v>
      </c>
      <c r="N4140">
        <v>7</v>
      </c>
      <c r="P4140">
        <v>0</v>
      </c>
      <c r="Q4140">
        <v>0</v>
      </c>
      <c r="R4140">
        <v>0</v>
      </c>
      <c r="S4140">
        <v>0</v>
      </c>
    </row>
    <row r="4141" spans="1:19" hidden="1" x14ac:dyDescent="0.35">
      <c r="A4141">
        <v>36164991400</v>
      </c>
      <c r="B4141" t="s">
        <v>4140</v>
      </c>
      <c r="C4141" t="str">
        <f>_xlfn.XLOOKUP(A4141,[1]Affiliations!$J$2:$J$5328,[1]Affiliations!$K$2:$K$5328,0)</f>
        <v>Universidade Federal de Pernambuco</v>
      </c>
      <c r="D4141">
        <v>5</v>
      </c>
      <c r="E4141">
        <v>0</v>
      </c>
      <c r="F4141">
        <v>0</v>
      </c>
      <c r="G4141">
        <v>3</v>
      </c>
      <c r="H4141">
        <v>0</v>
      </c>
      <c r="P4141">
        <v>0</v>
      </c>
      <c r="Q4141">
        <v>0</v>
      </c>
      <c r="R4141">
        <v>0</v>
      </c>
      <c r="S4141">
        <v>0</v>
      </c>
    </row>
    <row r="4142" spans="1:19" x14ac:dyDescent="0.35">
      <c r="A4142">
        <v>7103235792</v>
      </c>
      <c r="B4142" t="s">
        <v>5195</v>
      </c>
      <c r="C4142" t="str">
        <f>_xlfn.XLOOKUP(A4142,[1]Affiliations!$J$2:$J$5328,[1]Affiliations!$K$2:$K$5328,0)</f>
        <v>University of Évora (+1 more)</v>
      </c>
      <c r="D4142">
        <v>114</v>
      </c>
      <c r="E4142">
        <v>662</v>
      </c>
      <c r="F4142">
        <v>5.8070173</v>
      </c>
      <c r="G4142">
        <v>21</v>
      </c>
      <c r="H4142">
        <v>0.7</v>
      </c>
      <c r="I4142">
        <v>1</v>
      </c>
      <c r="J4142">
        <v>2</v>
      </c>
      <c r="K4142">
        <v>7</v>
      </c>
      <c r="L4142">
        <v>12</v>
      </c>
      <c r="M4142">
        <v>39</v>
      </c>
      <c r="N4142">
        <v>51</v>
      </c>
      <c r="P4142">
        <v>0</v>
      </c>
      <c r="Q4142">
        <v>1</v>
      </c>
      <c r="R4142">
        <v>1</v>
      </c>
      <c r="S4142">
        <v>10</v>
      </c>
    </row>
    <row r="4143" spans="1:19" hidden="1" x14ac:dyDescent="0.35">
      <c r="A4143">
        <v>58641171600</v>
      </c>
      <c r="B4143" t="s">
        <v>4142</v>
      </c>
      <c r="C4143" t="str">
        <f>_xlfn.XLOOKUP(A4143,[1]Affiliations!$J$2:$J$5328,[1]Affiliations!$K$2:$K$5328,0)</f>
        <v>Universidade Estadual do Norte Fluminense</v>
      </c>
      <c r="D4143">
        <v>1</v>
      </c>
      <c r="E4143">
        <v>1</v>
      </c>
      <c r="F4143">
        <v>1</v>
      </c>
      <c r="G4143">
        <v>1</v>
      </c>
      <c r="H4143">
        <v>0.09</v>
      </c>
      <c r="I4143">
        <v>0</v>
      </c>
      <c r="J4143">
        <v>0</v>
      </c>
      <c r="K4143">
        <v>0</v>
      </c>
      <c r="L4143">
        <v>1</v>
      </c>
      <c r="M4143">
        <v>1</v>
      </c>
      <c r="N4143">
        <v>1</v>
      </c>
      <c r="P4143">
        <v>0</v>
      </c>
      <c r="Q4143">
        <v>0</v>
      </c>
      <c r="R4143">
        <v>0</v>
      </c>
      <c r="S4143">
        <v>0</v>
      </c>
    </row>
    <row r="4144" spans="1:19" x14ac:dyDescent="0.35">
      <c r="A4144">
        <v>26649180300</v>
      </c>
      <c r="B4144" t="s">
        <v>5228</v>
      </c>
      <c r="C4144" t="str">
        <f>_xlfn.XLOOKUP(A4144,[1]Affiliations!$J$2:$J$5328,[1]Affiliations!$K$2:$K$5328,0)</f>
        <v>Universidade Federal Fluminense</v>
      </c>
      <c r="D4144">
        <v>121</v>
      </c>
      <c r="E4144">
        <v>624</v>
      </c>
      <c r="F4144">
        <v>5.157025</v>
      </c>
      <c r="G4144">
        <v>14</v>
      </c>
      <c r="H4144">
        <v>0.7</v>
      </c>
      <c r="I4144">
        <v>2</v>
      </c>
      <c r="J4144">
        <v>4</v>
      </c>
      <c r="K4144">
        <v>7</v>
      </c>
      <c r="L4144">
        <v>12</v>
      </c>
      <c r="M4144">
        <v>30</v>
      </c>
      <c r="N4144">
        <v>47</v>
      </c>
      <c r="P4144">
        <v>0</v>
      </c>
      <c r="Q4144">
        <v>0</v>
      </c>
      <c r="R4144">
        <v>1</v>
      </c>
      <c r="S4144">
        <v>9</v>
      </c>
    </row>
    <row r="4145" spans="1:19" x14ac:dyDescent="0.35">
      <c r="A4145">
        <v>6701742697</v>
      </c>
      <c r="B4145" t="s">
        <v>26</v>
      </c>
      <c r="C4145" t="str">
        <f>_xlfn.XLOOKUP(A4145,[1]Affiliations!$J$2:$J$5328,[1]Affiliations!$K$2:$K$5328,0)</f>
        <v>Federal University of Rio de Janeiro</v>
      </c>
      <c r="D4145">
        <v>55</v>
      </c>
      <c r="E4145">
        <v>751</v>
      </c>
      <c r="F4145">
        <v>13.654546</v>
      </c>
      <c r="G4145">
        <v>25</v>
      </c>
      <c r="H4145">
        <v>0.69</v>
      </c>
      <c r="I4145">
        <v>1</v>
      </c>
      <c r="J4145">
        <v>10</v>
      </c>
      <c r="K4145">
        <v>17</v>
      </c>
      <c r="L4145">
        <v>34</v>
      </c>
      <c r="M4145">
        <v>46</v>
      </c>
      <c r="N4145">
        <v>50</v>
      </c>
      <c r="P4145">
        <v>0</v>
      </c>
      <c r="Q4145">
        <v>1</v>
      </c>
      <c r="R4145">
        <v>3</v>
      </c>
      <c r="S4145">
        <v>13</v>
      </c>
    </row>
    <row r="4146" spans="1:19" hidden="1" x14ac:dyDescent="0.35">
      <c r="A4146">
        <v>59210932000</v>
      </c>
      <c r="B4146" t="s">
        <v>4145</v>
      </c>
      <c r="C4146" t="str">
        <f>_xlfn.XLOOKUP(A4146,[1]Affiliations!$J$2:$J$5328,[1]Affiliations!$K$2:$K$5328,0)</f>
        <v>ICTS</v>
      </c>
      <c r="D4146">
        <v>2</v>
      </c>
      <c r="E4146">
        <v>0</v>
      </c>
      <c r="F4146">
        <v>0</v>
      </c>
      <c r="G4146">
        <v>0</v>
      </c>
      <c r="H4146">
        <v>0</v>
      </c>
      <c r="P4146">
        <v>0</v>
      </c>
      <c r="Q4146">
        <v>0</v>
      </c>
      <c r="R4146">
        <v>0</v>
      </c>
      <c r="S4146">
        <v>0</v>
      </c>
    </row>
    <row r="4147" spans="1:19" x14ac:dyDescent="0.35">
      <c r="A4147">
        <v>36156079500</v>
      </c>
      <c r="B4147" t="s">
        <v>32</v>
      </c>
      <c r="C4147" t="str">
        <f>_xlfn.XLOOKUP(A4147,[1]Affiliations!$J$2:$J$5328,[1]Affiliations!$K$2:$K$5328,0)</f>
        <v>Universidade Federal Fluminense</v>
      </c>
      <c r="D4147">
        <v>15</v>
      </c>
      <c r="E4147">
        <v>187</v>
      </c>
      <c r="F4147">
        <v>12.466666</v>
      </c>
      <c r="G4147">
        <v>7</v>
      </c>
      <c r="H4147">
        <v>0.69</v>
      </c>
      <c r="I4147">
        <v>0</v>
      </c>
      <c r="J4147">
        <v>5</v>
      </c>
      <c r="K4147">
        <v>9</v>
      </c>
      <c r="L4147">
        <v>11</v>
      </c>
      <c r="M4147">
        <v>11</v>
      </c>
      <c r="N4147">
        <v>12</v>
      </c>
      <c r="P4147">
        <v>0</v>
      </c>
      <c r="Q4147">
        <v>0</v>
      </c>
      <c r="R4147">
        <v>2</v>
      </c>
      <c r="S4147">
        <v>6</v>
      </c>
    </row>
    <row r="4148" spans="1:19" hidden="1" x14ac:dyDescent="0.35">
      <c r="A4148">
        <v>56895750100</v>
      </c>
      <c r="B4148" t="s">
        <v>4147</v>
      </c>
      <c r="C4148" t="str">
        <f>_xlfn.XLOOKUP(A4148,[1]Affiliations!$J$2:$J$5328,[1]Affiliations!$K$2:$K$5328,0)</f>
        <v>Instituto Nacional de Tecnologia</v>
      </c>
      <c r="D4148">
        <v>2</v>
      </c>
      <c r="E4148">
        <v>31</v>
      </c>
      <c r="F4148">
        <v>15.5</v>
      </c>
      <c r="G4148">
        <v>2</v>
      </c>
      <c r="H4148">
        <v>0.45</v>
      </c>
      <c r="I4148">
        <v>0</v>
      </c>
      <c r="J4148">
        <v>0</v>
      </c>
      <c r="K4148">
        <v>0</v>
      </c>
      <c r="L4148">
        <v>1</v>
      </c>
      <c r="M4148">
        <v>2</v>
      </c>
      <c r="N4148">
        <v>2</v>
      </c>
      <c r="P4148">
        <v>0</v>
      </c>
      <c r="Q4148">
        <v>0</v>
      </c>
      <c r="R4148">
        <v>0</v>
      </c>
      <c r="S4148">
        <v>1</v>
      </c>
    </row>
    <row r="4149" spans="1:19" hidden="1" x14ac:dyDescent="0.35">
      <c r="A4149">
        <v>56644001300</v>
      </c>
      <c r="B4149" t="s">
        <v>4148</v>
      </c>
      <c r="C4149" t="str">
        <f>_xlfn.XLOOKUP(A4149,[1]Affiliations!$J$2:$J$5328,[1]Affiliations!$K$2:$K$5328,0)</f>
        <v>Universidade Federal da Bahia</v>
      </c>
      <c r="D4149">
        <v>3</v>
      </c>
      <c r="E4149">
        <v>68</v>
      </c>
      <c r="F4149">
        <v>22.666665999999999</v>
      </c>
      <c r="G4149">
        <v>4</v>
      </c>
      <c r="H4149">
        <v>2.48</v>
      </c>
      <c r="I4149">
        <v>0</v>
      </c>
      <c r="J4149">
        <v>0</v>
      </c>
      <c r="K4149">
        <v>1</v>
      </c>
      <c r="L4149">
        <v>1</v>
      </c>
      <c r="M4149">
        <v>1</v>
      </c>
      <c r="N4149">
        <v>2</v>
      </c>
      <c r="P4149">
        <v>0</v>
      </c>
      <c r="Q4149">
        <v>0</v>
      </c>
      <c r="R4149">
        <v>1</v>
      </c>
      <c r="S4149">
        <v>1</v>
      </c>
    </row>
    <row r="4150" spans="1:19" x14ac:dyDescent="0.35">
      <c r="A4150">
        <v>57219128946</v>
      </c>
      <c r="B4150" t="s">
        <v>306</v>
      </c>
      <c r="C4150" t="str">
        <f>_xlfn.XLOOKUP(A4150,[1]Affiliations!$J$2:$J$5328,[1]Affiliations!$K$2:$K$5328,0)</f>
        <v>Universidade de São Paulo (+1 more)</v>
      </c>
      <c r="D4150">
        <v>34</v>
      </c>
      <c r="E4150">
        <v>490</v>
      </c>
      <c r="F4150">
        <v>14.411765000000001</v>
      </c>
      <c r="G4150">
        <v>22</v>
      </c>
      <c r="H4150">
        <v>0.69</v>
      </c>
      <c r="I4150">
        <v>0</v>
      </c>
      <c r="J4150">
        <v>0</v>
      </c>
      <c r="K4150">
        <v>1</v>
      </c>
      <c r="L4150">
        <v>14</v>
      </c>
      <c r="M4150">
        <v>25</v>
      </c>
      <c r="N4150">
        <v>31</v>
      </c>
      <c r="P4150">
        <v>0</v>
      </c>
      <c r="Q4150">
        <v>0</v>
      </c>
      <c r="R4150">
        <v>2</v>
      </c>
      <c r="S4150">
        <v>9</v>
      </c>
    </row>
    <row r="4151" spans="1:19" hidden="1" x14ac:dyDescent="0.35">
      <c r="A4151">
        <v>15521078000</v>
      </c>
      <c r="B4151" t="s">
        <v>4150</v>
      </c>
      <c r="C4151" t="str">
        <f>_xlfn.XLOOKUP(A4151,[1]Affiliations!$J$2:$J$5328,[1]Affiliations!$K$2:$K$5328,0)</f>
        <v>Universidade Estadual do Norte Fluminense</v>
      </c>
      <c r="D4151">
        <v>3</v>
      </c>
      <c r="E4151">
        <v>42</v>
      </c>
      <c r="F4151">
        <v>14</v>
      </c>
      <c r="G4151">
        <v>5</v>
      </c>
      <c r="H4151">
        <v>0.56000000000000005</v>
      </c>
      <c r="I4151">
        <v>0</v>
      </c>
      <c r="J4151">
        <v>0</v>
      </c>
      <c r="K4151">
        <v>0</v>
      </c>
      <c r="L4151">
        <v>2</v>
      </c>
      <c r="M4151">
        <v>2</v>
      </c>
      <c r="N4151">
        <v>2</v>
      </c>
      <c r="P4151">
        <v>0</v>
      </c>
      <c r="Q4151">
        <v>0</v>
      </c>
      <c r="R4151">
        <v>0</v>
      </c>
      <c r="S4151">
        <v>1</v>
      </c>
    </row>
    <row r="4152" spans="1:19" x14ac:dyDescent="0.35">
      <c r="A4152">
        <v>7003705716</v>
      </c>
      <c r="B4152" t="s">
        <v>317</v>
      </c>
      <c r="C4152" t="str">
        <f>_xlfn.XLOOKUP(A4152,[1]Affiliations!$J$2:$J$5328,[1]Affiliations!$K$2:$K$5328,0)</f>
        <v>Universidade de São Paulo</v>
      </c>
      <c r="D4152">
        <v>31</v>
      </c>
      <c r="E4152">
        <v>817</v>
      </c>
      <c r="F4152">
        <v>26.354839999999999</v>
      </c>
      <c r="G4152">
        <v>26</v>
      </c>
      <c r="H4152">
        <v>0.69</v>
      </c>
      <c r="I4152">
        <v>1</v>
      </c>
      <c r="J4152">
        <v>1</v>
      </c>
      <c r="K4152">
        <v>3</v>
      </c>
      <c r="L4152">
        <v>21</v>
      </c>
      <c r="M4152">
        <v>26</v>
      </c>
      <c r="N4152">
        <v>28</v>
      </c>
      <c r="P4152">
        <v>1</v>
      </c>
      <c r="Q4152">
        <v>1</v>
      </c>
      <c r="R4152">
        <v>2</v>
      </c>
      <c r="S4152">
        <v>10</v>
      </c>
    </row>
    <row r="4153" spans="1:19" x14ac:dyDescent="0.35">
      <c r="A4153">
        <v>6603405960</v>
      </c>
      <c r="B4153" t="s">
        <v>510</v>
      </c>
      <c r="C4153" t="str">
        <f>_xlfn.XLOOKUP(A4153,[1]Affiliations!$J$2:$J$5328,[1]Affiliations!$K$2:$K$5328,0)</f>
        <v>Empresa Brasileira de Pesquisa Agropecuária</v>
      </c>
      <c r="D4153">
        <v>84</v>
      </c>
      <c r="E4153">
        <v>1244</v>
      </c>
      <c r="F4153">
        <v>14.809524</v>
      </c>
      <c r="G4153">
        <v>30</v>
      </c>
      <c r="H4153">
        <v>0.69</v>
      </c>
      <c r="I4153">
        <v>1</v>
      </c>
      <c r="J4153">
        <v>7</v>
      </c>
      <c r="K4153">
        <v>10</v>
      </c>
      <c r="L4153">
        <v>33</v>
      </c>
      <c r="M4153">
        <v>60</v>
      </c>
      <c r="N4153">
        <v>77</v>
      </c>
      <c r="P4153">
        <v>0</v>
      </c>
      <c r="Q4153">
        <v>2</v>
      </c>
      <c r="R4153">
        <v>7</v>
      </c>
      <c r="S4153">
        <v>27</v>
      </c>
    </row>
    <row r="4154" spans="1:19" hidden="1" x14ac:dyDescent="0.35">
      <c r="A4154">
        <v>57163640400</v>
      </c>
      <c r="B4154" t="s">
        <v>4153</v>
      </c>
      <c r="C4154" t="str">
        <f>_xlfn.XLOOKUP(A4154,[1]Affiliations!$J$2:$J$5328,[1]Affiliations!$K$2:$K$5328,0)</f>
        <v>SINTEF (+1 more)</v>
      </c>
      <c r="D4154">
        <v>6</v>
      </c>
      <c r="E4154">
        <v>8</v>
      </c>
      <c r="F4154">
        <v>1.3333333999999999</v>
      </c>
      <c r="G4154">
        <v>1</v>
      </c>
      <c r="H4154">
        <v>0.08</v>
      </c>
      <c r="I4154">
        <v>0</v>
      </c>
      <c r="J4154">
        <v>0</v>
      </c>
      <c r="K4154">
        <v>0</v>
      </c>
      <c r="L4154">
        <v>1</v>
      </c>
      <c r="M4154">
        <v>1</v>
      </c>
      <c r="N4154">
        <v>1</v>
      </c>
      <c r="P4154">
        <v>0</v>
      </c>
      <c r="Q4154">
        <v>0</v>
      </c>
      <c r="R4154">
        <v>0</v>
      </c>
      <c r="S4154">
        <v>0</v>
      </c>
    </row>
    <row r="4155" spans="1:19" x14ac:dyDescent="0.35">
      <c r="A4155">
        <v>23093038600</v>
      </c>
      <c r="B4155" t="s">
        <v>673</v>
      </c>
      <c r="C4155" t="str">
        <f>_xlfn.XLOOKUP(A4155,[1]Affiliations!$J$2:$J$5328,[1]Affiliations!$K$2:$K$5328,0)</f>
        <v>SINTEF do Brasil (+2 more)</v>
      </c>
      <c r="D4155">
        <v>24</v>
      </c>
      <c r="E4155">
        <v>226</v>
      </c>
      <c r="F4155">
        <v>9.4166670000000003</v>
      </c>
      <c r="G4155">
        <v>10</v>
      </c>
      <c r="H4155">
        <v>0.69</v>
      </c>
      <c r="I4155">
        <v>0</v>
      </c>
      <c r="J4155">
        <v>1</v>
      </c>
      <c r="K4155">
        <v>11</v>
      </c>
      <c r="L4155">
        <v>15</v>
      </c>
      <c r="M4155">
        <v>17</v>
      </c>
      <c r="N4155">
        <v>20</v>
      </c>
      <c r="P4155">
        <v>0</v>
      </c>
      <c r="Q4155">
        <v>0</v>
      </c>
      <c r="R4155">
        <v>1</v>
      </c>
      <c r="S4155">
        <v>5</v>
      </c>
    </row>
    <row r="4156" spans="1:19" hidden="1" x14ac:dyDescent="0.35">
      <c r="A4156">
        <v>57203398553</v>
      </c>
      <c r="B4156" t="s">
        <v>4155</v>
      </c>
      <c r="C4156" t="str">
        <f>_xlfn.XLOOKUP(A4156,[1]Affiliations!$J$2:$J$5328,[1]Affiliations!$K$2:$K$5328,0)</f>
        <v>Universidade Federal do Espírito Santo</v>
      </c>
      <c r="D4156">
        <v>1</v>
      </c>
      <c r="E4156">
        <v>20</v>
      </c>
      <c r="F4156">
        <v>20</v>
      </c>
      <c r="G4156">
        <v>1</v>
      </c>
      <c r="H4156">
        <v>0.68</v>
      </c>
      <c r="I4156">
        <v>0</v>
      </c>
      <c r="J4156">
        <v>0</v>
      </c>
      <c r="K4156">
        <v>0</v>
      </c>
      <c r="L4156">
        <v>1</v>
      </c>
      <c r="M4156">
        <v>1</v>
      </c>
      <c r="N4156">
        <v>1</v>
      </c>
      <c r="P4156">
        <v>0</v>
      </c>
      <c r="Q4156">
        <v>0</v>
      </c>
      <c r="R4156">
        <v>0</v>
      </c>
      <c r="S4156">
        <v>0</v>
      </c>
    </row>
    <row r="4157" spans="1:19" x14ac:dyDescent="0.35">
      <c r="A4157">
        <v>57200562071</v>
      </c>
      <c r="B4157" t="s">
        <v>1189</v>
      </c>
      <c r="C4157" t="str">
        <f>_xlfn.XLOOKUP(A4157,[1]Affiliations!$J$2:$J$5328,[1]Affiliations!$K$2:$K$5328,0)</f>
        <v>Universidade Federal de Goiás</v>
      </c>
      <c r="D4157">
        <v>34</v>
      </c>
      <c r="E4157">
        <v>307</v>
      </c>
      <c r="F4157">
        <v>9.0294109999999996</v>
      </c>
      <c r="G4157">
        <v>11</v>
      </c>
      <c r="H4157">
        <v>0.69</v>
      </c>
      <c r="I4157">
        <v>1</v>
      </c>
      <c r="J4157">
        <v>5</v>
      </c>
      <c r="K4157">
        <v>8</v>
      </c>
      <c r="L4157">
        <v>15</v>
      </c>
      <c r="M4157">
        <v>28</v>
      </c>
      <c r="N4157">
        <v>32</v>
      </c>
      <c r="P4157">
        <v>0</v>
      </c>
      <c r="Q4157">
        <v>0</v>
      </c>
      <c r="R4157">
        <v>1</v>
      </c>
      <c r="S4157">
        <v>9</v>
      </c>
    </row>
    <row r="4158" spans="1:19" hidden="1" x14ac:dyDescent="0.35">
      <c r="A4158">
        <v>6507022962</v>
      </c>
      <c r="B4158" t="s">
        <v>4157</v>
      </c>
      <c r="C4158" t="str">
        <f>_xlfn.XLOOKUP(A4158,[1]Affiliations!$J$2:$J$5328,[1]Affiliations!$K$2:$K$5328,0)</f>
        <v>Universidade Federal do Rio Grande do Sul (+1 more)</v>
      </c>
      <c r="D4158">
        <v>7</v>
      </c>
      <c r="E4158">
        <v>43</v>
      </c>
      <c r="F4158">
        <v>6.1428570000000002</v>
      </c>
      <c r="G4158">
        <v>4</v>
      </c>
      <c r="H4158">
        <v>0.48</v>
      </c>
      <c r="I4158">
        <v>0</v>
      </c>
      <c r="J4158">
        <v>0</v>
      </c>
      <c r="K4158">
        <v>1</v>
      </c>
      <c r="L4158">
        <v>2</v>
      </c>
      <c r="M4158">
        <v>3</v>
      </c>
      <c r="N4158">
        <v>3</v>
      </c>
      <c r="P4158">
        <v>0</v>
      </c>
      <c r="Q4158">
        <v>0</v>
      </c>
      <c r="R4158">
        <v>0</v>
      </c>
      <c r="S4158">
        <v>1</v>
      </c>
    </row>
    <row r="4159" spans="1:19" hidden="1" x14ac:dyDescent="0.35">
      <c r="A4159">
        <v>57224472876</v>
      </c>
      <c r="B4159" t="s">
        <v>4158</v>
      </c>
      <c r="C4159" t="str">
        <f>_xlfn.XLOOKUP(A4159,[1]Affiliations!$J$2:$J$5328,[1]Affiliations!$K$2:$K$5328,0)</f>
        <v>Federal University of Rio de Janeiro</v>
      </c>
      <c r="D4159">
        <v>1</v>
      </c>
      <c r="E4159">
        <v>3</v>
      </c>
      <c r="F4159">
        <v>3</v>
      </c>
      <c r="G4159">
        <v>1</v>
      </c>
      <c r="H4159">
        <v>0.22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1</v>
      </c>
      <c r="P4159">
        <v>0</v>
      </c>
      <c r="Q4159">
        <v>0</v>
      </c>
      <c r="R4159">
        <v>0</v>
      </c>
      <c r="S4159">
        <v>0</v>
      </c>
    </row>
    <row r="4160" spans="1:19" x14ac:dyDescent="0.35">
      <c r="A4160">
        <v>57224055996</v>
      </c>
      <c r="B4160" t="s">
        <v>1263</v>
      </c>
      <c r="C4160" t="str">
        <f>_xlfn.XLOOKUP(A4160,[1]Affiliations!$J$2:$J$5328,[1]Affiliations!$K$2:$K$5328,0)</f>
        <v>UABJ UFRPE</v>
      </c>
      <c r="D4160">
        <v>13</v>
      </c>
      <c r="E4160">
        <v>122</v>
      </c>
      <c r="F4160">
        <v>9.3846150000000002</v>
      </c>
      <c r="G4160">
        <v>6</v>
      </c>
      <c r="H4160">
        <v>0.69</v>
      </c>
      <c r="I4160">
        <v>0</v>
      </c>
      <c r="J4160">
        <v>0</v>
      </c>
      <c r="K4160">
        <v>3</v>
      </c>
      <c r="L4160">
        <v>6</v>
      </c>
      <c r="M4160">
        <v>9</v>
      </c>
      <c r="N4160">
        <v>10</v>
      </c>
      <c r="P4160">
        <v>0</v>
      </c>
      <c r="Q4160">
        <v>0</v>
      </c>
      <c r="R4160">
        <v>1</v>
      </c>
      <c r="S4160">
        <v>4</v>
      </c>
    </row>
    <row r="4161" spans="1:19" hidden="1" x14ac:dyDescent="0.35">
      <c r="A4161">
        <v>59380219900</v>
      </c>
      <c r="B4161" t="s">
        <v>4160</v>
      </c>
      <c r="C4161" t="str">
        <f>_xlfn.XLOOKUP(A4161,[1]Affiliations!$J$2:$J$5328,[1]Affiliations!$K$2:$K$5328,0)</f>
        <v>Universidade Federal de São João del-Rei</v>
      </c>
      <c r="D4161">
        <v>1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</v>
      </c>
      <c r="P4161">
        <v>0</v>
      </c>
      <c r="Q4161">
        <v>0</v>
      </c>
      <c r="R4161">
        <v>0</v>
      </c>
      <c r="S4161">
        <v>0</v>
      </c>
    </row>
    <row r="4162" spans="1:19" hidden="1" x14ac:dyDescent="0.35">
      <c r="A4162">
        <v>56389527500</v>
      </c>
      <c r="B4162" t="s">
        <v>4161</v>
      </c>
      <c r="C4162" t="str">
        <f>_xlfn.XLOOKUP(A4162,[1]Affiliations!$J$2:$J$5328,[1]Affiliations!$K$2:$K$5328,0)</f>
        <v>Universidade Federal do Espírito Santo</v>
      </c>
      <c r="D4162">
        <v>1</v>
      </c>
      <c r="E4162">
        <v>33</v>
      </c>
      <c r="F4162">
        <v>33</v>
      </c>
      <c r="G4162">
        <v>2</v>
      </c>
      <c r="H4162">
        <v>1.36</v>
      </c>
      <c r="I4162">
        <v>0</v>
      </c>
      <c r="J4162">
        <v>0</v>
      </c>
      <c r="K4162">
        <v>0</v>
      </c>
      <c r="L4162">
        <v>1</v>
      </c>
      <c r="M4162">
        <v>1</v>
      </c>
      <c r="N4162">
        <v>1</v>
      </c>
      <c r="P4162">
        <v>0</v>
      </c>
      <c r="Q4162">
        <v>0</v>
      </c>
      <c r="R4162">
        <v>0</v>
      </c>
      <c r="S4162">
        <v>1</v>
      </c>
    </row>
    <row r="4163" spans="1:19" x14ac:dyDescent="0.35">
      <c r="A4163">
        <v>19337088600</v>
      </c>
      <c r="B4163" t="s">
        <v>2122</v>
      </c>
      <c r="C4163" t="str">
        <f>_xlfn.XLOOKUP(A4163,[1]Affiliations!$J$2:$J$5328,[1]Affiliations!$K$2:$K$5328,0)</f>
        <v>Universidade Federal Fluminense</v>
      </c>
      <c r="D4163">
        <v>35</v>
      </c>
      <c r="E4163">
        <v>227</v>
      </c>
      <c r="F4163">
        <v>6.4857144</v>
      </c>
      <c r="G4163">
        <v>10</v>
      </c>
      <c r="H4163">
        <v>0.69</v>
      </c>
      <c r="I4163">
        <v>1</v>
      </c>
      <c r="J4163">
        <v>2</v>
      </c>
      <c r="K4163">
        <v>4</v>
      </c>
      <c r="L4163">
        <v>12</v>
      </c>
      <c r="M4163">
        <v>15</v>
      </c>
      <c r="N4163">
        <v>18</v>
      </c>
      <c r="P4163">
        <v>0</v>
      </c>
      <c r="Q4163">
        <v>1</v>
      </c>
      <c r="R4163">
        <v>2</v>
      </c>
      <c r="S4163">
        <v>3</v>
      </c>
    </row>
    <row r="4164" spans="1:19" hidden="1" x14ac:dyDescent="0.35">
      <c r="A4164">
        <v>57226353193</v>
      </c>
      <c r="B4164" t="s">
        <v>4163</v>
      </c>
      <c r="C4164" t="str">
        <f>_xlfn.XLOOKUP(A4164,[1]Affiliations!$J$2:$J$5328,[1]Affiliations!$K$2:$K$5328,0)</f>
        <v>Universidade de São Paulo</v>
      </c>
      <c r="D4164">
        <v>8</v>
      </c>
      <c r="E4164">
        <v>37</v>
      </c>
      <c r="F4164">
        <v>4.625</v>
      </c>
      <c r="G4164">
        <v>4</v>
      </c>
      <c r="H4164">
        <v>0.55000000000000004</v>
      </c>
      <c r="I4164">
        <v>0</v>
      </c>
      <c r="J4164">
        <v>0</v>
      </c>
      <c r="K4164">
        <v>1</v>
      </c>
      <c r="L4164">
        <v>4</v>
      </c>
      <c r="M4164">
        <v>5</v>
      </c>
      <c r="N4164">
        <v>5</v>
      </c>
      <c r="P4164">
        <v>0</v>
      </c>
      <c r="Q4164">
        <v>0</v>
      </c>
      <c r="R4164">
        <v>0</v>
      </c>
      <c r="S4164">
        <v>1</v>
      </c>
    </row>
    <row r="4165" spans="1:19" hidden="1" x14ac:dyDescent="0.35">
      <c r="A4165">
        <v>56608936100</v>
      </c>
      <c r="B4165" t="s">
        <v>4164</v>
      </c>
      <c r="C4165" t="str">
        <f>_xlfn.XLOOKUP(A4165,[1]Affiliations!$J$2:$J$5328,[1]Affiliations!$K$2:$K$5328,0)</f>
        <v>LABTOX-Environmental Analysis Laboratory</v>
      </c>
      <c r="D4165">
        <v>6</v>
      </c>
      <c r="E4165">
        <v>67</v>
      </c>
      <c r="F4165">
        <v>11.166667</v>
      </c>
      <c r="G4165">
        <v>4</v>
      </c>
      <c r="H4165">
        <v>0.31</v>
      </c>
      <c r="I4165">
        <v>0</v>
      </c>
      <c r="J4165">
        <v>0</v>
      </c>
      <c r="K4165">
        <v>1</v>
      </c>
      <c r="L4165">
        <v>3</v>
      </c>
      <c r="M4165">
        <v>5</v>
      </c>
      <c r="N4165">
        <v>5</v>
      </c>
      <c r="P4165">
        <v>0</v>
      </c>
      <c r="Q4165">
        <v>0</v>
      </c>
      <c r="R4165">
        <v>0</v>
      </c>
      <c r="S4165">
        <v>1</v>
      </c>
    </row>
    <row r="4166" spans="1:19" hidden="1" x14ac:dyDescent="0.35">
      <c r="A4166">
        <v>57209800124</v>
      </c>
      <c r="B4166" t="s">
        <v>4165</v>
      </c>
      <c r="C4166" t="str">
        <f>_xlfn.XLOOKUP(A4166,[1]Affiliations!$J$2:$J$5328,[1]Affiliations!$K$2:$K$5328,0)</f>
        <v>Universidade Federal de Uberlândia</v>
      </c>
      <c r="D4166">
        <v>1</v>
      </c>
      <c r="E4166">
        <v>5</v>
      </c>
      <c r="F4166">
        <v>5</v>
      </c>
      <c r="G4166">
        <v>1</v>
      </c>
      <c r="H4166">
        <v>0.53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1</v>
      </c>
      <c r="P4166">
        <v>0</v>
      </c>
      <c r="Q4166">
        <v>0</v>
      </c>
      <c r="R4166">
        <v>0</v>
      </c>
      <c r="S4166">
        <v>0</v>
      </c>
    </row>
    <row r="4167" spans="1:19" x14ac:dyDescent="0.35">
      <c r="A4167">
        <v>57203894000</v>
      </c>
      <c r="B4167" t="s">
        <v>2146</v>
      </c>
      <c r="C4167" t="str">
        <f>_xlfn.XLOOKUP(A4167,[1]Affiliations!$J$2:$J$5328,[1]Affiliations!$K$2:$K$5328,0)</f>
        <v>Universidade de São Paulo</v>
      </c>
      <c r="D4167">
        <v>6</v>
      </c>
      <c r="E4167">
        <v>61</v>
      </c>
      <c r="F4167">
        <v>10.166667</v>
      </c>
      <c r="G4167">
        <v>5</v>
      </c>
      <c r="H4167">
        <v>0.69</v>
      </c>
      <c r="I4167">
        <v>1</v>
      </c>
      <c r="J4167">
        <v>4</v>
      </c>
      <c r="K4167">
        <v>4</v>
      </c>
      <c r="L4167">
        <v>5</v>
      </c>
      <c r="M4167">
        <v>5</v>
      </c>
      <c r="N4167">
        <v>5</v>
      </c>
      <c r="P4167">
        <v>0</v>
      </c>
      <c r="Q4167">
        <v>0</v>
      </c>
      <c r="R4167">
        <v>1</v>
      </c>
      <c r="S4167">
        <v>2</v>
      </c>
    </row>
    <row r="4168" spans="1:19" x14ac:dyDescent="0.35">
      <c r="A4168">
        <v>8385803800</v>
      </c>
      <c r="B4168" t="s">
        <v>2860</v>
      </c>
      <c r="C4168" t="str">
        <f>_xlfn.XLOOKUP(A4168,[1]Affiliations!$J$2:$J$5328,[1]Affiliations!$K$2:$K$5328,0)</f>
        <v>Pontifical Catholic University of Rio de Janeiro (+1 more)</v>
      </c>
      <c r="D4168">
        <v>30</v>
      </c>
      <c r="E4168">
        <v>347</v>
      </c>
      <c r="F4168">
        <v>11.566667000000001</v>
      </c>
      <c r="G4168">
        <v>14</v>
      </c>
      <c r="H4168">
        <v>0.69</v>
      </c>
      <c r="I4168">
        <v>0</v>
      </c>
      <c r="J4168">
        <v>5</v>
      </c>
      <c r="K4168">
        <v>9</v>
      </c>
      <c r="L4168">
        <v>16</v>
      </c>
      <c r="M4168">
        <v>26</v>
      </c>
      <c r="N4168">
        <v>28</v>
      </c>
      <c r="P4168">
        <v>0</v>
      </c>
      <c r="Q4168">
        <v>1</v>
      </c>
      <c r="R4168">
        <v>4</v>
      </c>
      <c r="S4168">
        <v>10</v>
      </c>
    </row>
    <row r="4169" spans="1:19" hidden="1" x14ac:dyDescent="0.35">
      <c r="A4169">
        <v>57191709199</v>
      </c>
      <c r="B4169" t="s">
        <v>4168</v>
      </c>
      <c r="C4169" t="str">
        <f>_xlfn.XLOOKUP(A4169,[1]Affiliations!$J$2:$J$5328,[1]Affiliations!$K$2:$K$5328,0)</f>
        <v>Universidade Federal de Minas Gerais</v>
      </c>
      <c r="D4169">
        <v>1</v>
      </c>
      <c r="E4169">
        <v>3</v>
      </c>
      <c r="F4169">
        <v>3</v>
      </c>
      <c r="G4169">
        <v>1</v>
      </c>
      <c r="H4169">
        <v>0.79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1</v>
      </c>
      <c r="P4169">
        <v>0</v>
      </c>
      <c r="Q4169">
        <v>0</v>
      </c>
      <c r="R4169">
        <v>0</v>
      </c>
      <c r="S4169">
        <v>0</v>
      </c>
    </row>
    <row r="4170" spans="1:19" hidden="1" x14ac:dyDescent="0.35">
      <c r="A4170">
        <v>57221501315</v>
      </c>
      <c r="B4170" t="s">
        <v>4169</v>
      </c>
      <c r="C4170" t="str">
        <f>_xlfn.XLOOKUP(A4170,[1]Affiliations!$J$2:$J$5328,[1]Affiliations!$K$2:$K$5328,0)</f>
        <v>Federal University of Rio de Janeiro</v>
      </c>
      <c r="D4170">
        <v>10</v>
      </c>
      <c r="E4170">
        <v>47</v>
      </c>
      <c r="F4170">
        <v>4.7</v>
      </c>
      <c r="G4170">
        <v>5</v>
      </c>
      <c r="H4170">
        <v>0.95</v>
      </c>
      <c r="I4170">
        <v>0</v>
      </c>
      <c r="J4170">
        <v>1</v>
      </c>
      <c r="K4170">
        <v>2</v>
      </c>
      <c r="L4170">
        <v>3</v>
      </c>
      <c r="M4170">
        <v>5</v>
      </c>
      <c r="N4170">
        <v>8</v>
      </c>
      <c r="P4170">
        <v>0</v>
      </c>
      <c r="Q4170">
        <v>0</v>
      </c>
      <c r="R4170">
        <v>0</v>
      </c>
      <c r="S4170">
        <v>1</v>
      </c>
    </row>
    <row r="4171" spans="1:19" hidden="1" x14ac:dyDescent="0.35">
      <c r="A4171">
        <v>59388258100</v>
      </c>
      <c r="B4171" t="s">
        <v>4170</v>
      </c>
      <c r="C4171" t="str">
        <f>_xlfn.XLOOKUP(A4171,[1]Affiliations!$J$2:$J$5328,[1]Affiliations!$K$2:$K$5328,0)</f>
        <v>ESSS</v>
      </c>
      <c r="D4171">
        <v>2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P4171">
        <v>0</v>
      </c>
      <c r="Q4171">
        <v>0</v>
      </c>
      <c r="R4171">
        <v>0</v>
      </c>
      <c r="S4171">
        <v>0</v>
      </c>
    </row>
    <row r="4172" spans="1:19" hidden="1" x14ac:dyDescent="0.35">
      <c r="A4172">
        <v>57140101300</v>
      </c>
      <c r="B4172" t="s">
        <v>4171</v>
      </c>
      <c r="C4172" t="str">
        <f>_xlfn.XLOOKUP(A4172,[1]Affiliations!$J$2:$J$5328,[1]Affiliations!$K$2:$K$5328,0)</f>
        <v>Federal University of Rio de Janeiro</v>
      </c>
      <c r="D4172">
        <v>1</v>
      </c>
      <c r="E4172">
        <v>16</v>
      </c>
      <c r="F4172">
        <v>16</v>
      </c>
      <c r="G4172">
        <v>1</v>
      </c>
      <c r="H4172">
        <v>0.21</v>
      </c>
      <c r="I4172">
        <v>0</v>
      </c>
      <c r="J4172">
        <v>0</v>
      </c>
      <c r="K4172">
        <v>0</v>
      </c>
      <c r="L4172">
        <v>1</v>
      </c>
      <c r="M4172">
        <v>1</v>
      </c>
      <c r="N4172">
        <v>1</v>
      </c>
      <c r="P4172">
        <v>0</v>
      </c>
      <c r="Q4172">
        <v>0</v>
      </c>
      <c r="R4172">
        <v>0</v>
      </c>
      <c r="S4172">
        <v>0</v>
      </c>
    </row>
    <row r="4173" spans="1:19" hidden="1" x14ac:dyDescent="0.35">
      <c r="A4173">
        <v>57216981767</v>
      </c>
      <c r="B4173" t="s">
        <v>4172</v>
      </c>
      <c r="C4173" t="str">
        <f>_xlfn.XLOOKUP(A4173,[1]Affiliations!$J$2:$J$5328,[1]Affiliations!$K$2:$K$5328,0)</f>
        <v>Universidade Federal de Alagoas</v>
      </c>
      <c r="D4173">
        <v>7</v>
      </c>
      <c r="E4173">
        <v>34</v>
      </c>
      <c r="F4173">
        <v>4.8571429999999998</v>
      </c>
      <c r="G4173">
        <v>4</v>
      </c>
      <c r="H4173">
        <v>0.3</v>
      </c>
      <c r="I4173">
        <v>0</v>
      </c>
      <c r="J4173">
        <v>0</v>
      </c>
      <c r="K4173">
        <v>2</v>
      </c>
      <c r="L4173">
        <v>5</v>
      </c>
      <c r="M4173">
        <v>6</v>
      </c>
      <c r="N4173">
        <v>6</v>
      </c>
      <c r="P4173">
        <v>0</v>
      </c>
      <c r="Q4173">
        <v>0</v>
      </c>
      <c r="R4173">
        <v>0</v>
      </c>
      <c r="S4173">
        <v>0</v>
      </c>
    </row>
    <row r="4174" spans="1:19" hidden="1" x14ac:dyDescent="0.35">
      <c r="A4174">
        <v>58816419600</v>
      </c>
      <c r="B4174" t="s">
        <v>4173</v>
      </c>
      <c r="C4174" t="str">
        <f>_xlfn.XLOOKUP(A4174,[1]Affiliations!$J$2:$J$5328,[1]Affiliations!$K$2:$K$5328,0)</f>
        <v>Federal University of Rio de Janeiro</v>
      </c>
      <c r="D4174">
        <v>5</v>
      </c>
      <c r="E4174">
        <v>29</v>
      </c>
      <c r="F4174">
        <v>5.8</v>
      </c>
      <c r="G4174">
        <v>3</v>
      </c>
      <c r="H4174">
        <v>3.8</v>
      </c>
      <c r="I4174">
        <v>0</v>
      </c>
      <c r="J4174">
        <v>0</v>
      </c>
      <c r="K4174">
        <v>0</v>
      </c>
      <c r="L4174">
        <v>0</v>
      </c>
      <c r="M4174">
        <v>1</v>
      </c>
      <c r="N4174">
        <v>5</v>
      </c>
      <c r="P4174">
        <v>0</v>
      </c>
      <c r="Q4174">
        <v>0</v>
      </c>
      <c r="R4174">
        <v>0</v>
      </c>
      <c r="S4174">
        <v>2</v>
      </c>
    </row>
    <row r="4175" spans="1:19" x14ac:dyDescent="0.35">
      <c r="A4175">
        <v>7101638022</v>
      </c>
      <c r="B4175" t="s">
        <v>3177</v>
      </c>
      <c r="C4175" t="str">
        <f>_xlfn.XLOOKUP(A4175,[1]Affiliations!$J$2:$J$5328,[1]Affiliations!$K$2:$K$5328,0)</f>
        <v>Universidade Federal do Rio Grande do Norte</v>
      </c>
      <c r="D4175">
        <v>36</v>
      </c>
      <c r="E4175">
        <v>631</v>
      </c>
      <c r="F4175">
        <v>17.527778999999999</v>
      </c>
      <c r="G4175">
        <v>27</v>
      </c>
      <c r="H4175">
        <v>0.69</v>
      </c>
      <c r="I4175">
        <v>0</v>
      </c>
      <c r="J4175">
        <v>7</v>
      </c>
      <c r="K4175">
        <v>8</v>
      </c>
      <c r="L4175">
        <v>20</v>
      </c>
      <c r="M4175">
        <v>25</v>
      </c>
      <c r="N4175">
        <v>30</v>
      </c>
      <c r="P4175">
        <v>0</v>
      </c>
      <c r="Q4175">
        <v>0</v>
      </c>
      <c r="R4175">
        <v>3</v>
      </c>
      <c r="S4175">
        <v>17</v>
      </c>
    </row>
    <row r="4176" spans="1:19" hidden="1" x14ac:dyDescent="0.35">
      <c r="A4176">
        <v>7201676168</v>
      </c>
      <c r="B4176" t="s">
        <v>4175</v>
      </c>
      <c r="C4176" t="str">
        <f>_xlfn.XLOOKUP(A4176,[1]Affiliations!$J$2:$J$5328,[1]Affiliations!$K$2:$K$5328,0)</f>
        <v>Pontifical Catholic University of Rio de Janeiro (+2 more)</v>
      </c>
      <c r="D4176">
        <v>9</v>
      </c>
      <c r="E4176">
        <v>43</v>
      </c>
      <c r="F4176">
        <v>4.7777776999999997</v>
      </c>
      <c r="G4176">
        <v>7</v>
      </c>
      <c r="H4176">
        <v>0.75</v>
      </c>
      <c r="I4176">
        <v>0</v>
      </c>
      <c r="J4176">
        <v>0</v>
      </c>
      <c r="K4176">
        <v>1</v>
      </c>
      <c r="L4176">
        <v>2</v>
      </c>
      <c r="M4176">
        <v>3</v>
      </c>
      <c r="N4176">
        <v>4</v>
      </c>
      <c r="P4176">
        <v>0</v>
      </c>
      <c r="Q4176">
        <v>0</v>
      </c>
      <c r="R4176">
        <v>0</v>
      </c>
      <c r="S4176">
        <v>0</v>
      </c>
    </row>
    <row r="4177" spans="1:19" hidden="1" x14ac:dyDescent="0.35">
      <c r="A4177">
        <v>36027029700</v>
      </c>
      <c r="B4177" t="s">
        <v>4176</v>
      </c>
      <c r="C4177" t="str">
        <f>_xlfn.XLOOKUP(A4177,[1]Affiliations!$J$2:$J$5328,[1]Affiliations!$K$2:$K$5328,0)</f>
        <v>Federal University of Rio de Janeiro</v>
      </c>
      <c r="D4177">
        <v>19</v>
      </c>
      <c r="E4177">
        <v>227</v>
      </c>
      <c r="F4177">
        <v>11.947369</v>
      </c>
      <c r="G4177">
        <v>12</v>
      </c>
      <c r="H4177">
        <v>1.1200000000000001</v>
      </c>
      <c r="I4177">
        <v>2</v>
      </c>
      <c r="J4177">
        <v>4</v>
      </c>
      <c r="K4177">
        <v>5</v>
      </c>
      <c r="L4177">
        <v>8</v>
      </c>
      <c r="M4177">
        <v>17</v>
      </c>
      <c r="N4177">
        <v>17</v>
      </c>
      <c r="P4177">
        <v>0</v>
      </c>
      <c r="Q4177">
        <v>0</v>
      </c>
      <c r="R4177">
        <v>0</v>
      </c>
      <c r="S4177">
        <v>8</v>
      </c>
    </row>
    <row r="4178" spans="1:19" hidden="1" x14ac:dyDescent="0.35">
      <c r="A4178">
        <v>56678273500</v>
      </c>
      <c r="B4178" t="s">
        <v>4177</v>
      </c>
      <c r="C4178" t="str">
        <f>_xlfn.XLOOKUP(A4178,[1]Affiliations!$J$2:$J$5328,[1]Affiliations!$K$2:$K$5328,0)</f>
        <v>Universidade do Estado do Rio de Janeiro (+1 more)</v>
      </c>
      <c r="D4178">
        <v>3</v>
      </c>
      <c r="E4178">
        <v>4</v>
      </c>
      <c r="F4178">
        <v>1.3333333999999999</v>
      </c>
      <c r="G4178">
        <v>1</v>
      </c>
      <c r="H4178">
        <v>0.08</v>
      </c>
      <c r="I4178">
        <v>0</v>
      </c>
      <c r="J4178">
        <v>0</v>
      </c>
      <c r="K4178">
        <v>0</v>
      </c>
      <c r="L4178">
        <v>0</v>
      </c>
      <c r="M4178">
        <v>1</v>
      </c>
      <c r="N4178">
        <v>2</v>
      </c>
      <c r="P4178">
        <v>0</v>
      </c>
      <c r="Q4178">
        <v>0</v>
      </c>
      <c r="R4178">
        <v>0</v>
      </c>
      <c r="S4178">
        <v>0</v>
      </c>
    </row>
    <row r="4179" spans="1:19" x14ac:dyDescent="0.35">
      <c r="A4179">
        <v>26435503600</v>
      </c>
      <c r="B4179" t="s">
        <v>3859</v>
      </c>
      <c r="C4179" t="str">
        <f>_xlfn.XLOOKUP(A4179,[1]Affiliations!$J$2:$J$5328,[1]Affiliations!$K$2:$K$5328,0)</f>
        <v>Pontifical Catholic University of Rio de Janeiro</v>
      </c>
      <c r="D4179">
        <v>23</v>
      </c>
      <c r="E4179">
        <v>409</v>
      </c>
      <c r="F4179">
        <v>17.782608</v>
      </c>
      <c r="G4179">
        <v>13</v>
      </c>
      <c r="H4179">
        <v>0.69</v>
      </c>
      <c r="I4179">
        <v>0</v>
      </c>
      <c r="J4179">
        <v>3</v>
      </c>
      <c r="K4179">
        <v>7</v>
      </c>
      <c r="L4179">
        <v>14</v>
      </c>
      <c r="M4179">
        <v>19</v>
      </c>
      <c r="N4179">
        <v>21</v>
      </c>
      <c r="P4179">
        <v>0</v>
      </c>
      <c r="Q4179">
        <v>0</v>
      </c>
      <c r="R4179">
        <v>2</v>
      </c>
      <c r="S4179">
        <v>11</v>
      </c>
    </row>
    <row r="4180" spans="1:19" x14ac:dyDescent="0.35">
      <c r="A4180">
        <v>14014005500</v>
      </c>
      <c r="B4180" t="s">
        <v>4174</v>
      </c>
      <c r="C4180" t="str">
        <f>_xlfn.XLOOKUP(A4180,[1]Affiliations!$J$2:$J$5328,[1]Affiliations!$K$2:$K$5328,0)</f>
        <v>Universidade Federal de Mato Grosso</v>
      </c>
      <c r="D4180">
        <v>18</v>
      </c>
      <c r="E4180">
        <v>214</v>
      </c>
      <c r="F4180">
        <v>11.888889000000001</v>
      </c>
      <c r="G4180">
        <v>13</v>
      </c>
      <c r="H4180">
        <v>0.69</v>
      </c>
      <c r="I4180">
        <v>1</v>
      </c>
      <c r="J4180">
        <v>2</v>
      </c>
      <c r="K4180">
        <v>3</v>
      </c>
      <c r="L4180">
        <v>9</v>
      </c>
      <c r="M4180">
        <v>16</v>
      </c>
      <c r="N4180">
        <v>18</v>
      </c>
      <c r="P4180">
        <v>0</v>
      </c>
      <c r="Q4180">
        <v>1</v>
      </c>
      <c r="R4180">
        <v>1</v>
      </c>
      <c r="S4180">
        <v>4</v>
      </c>
    </row>
    <row r="4181" spans="1:19" hidden="1" x14ac:dyDescent="0.35">
      <c r="A4181">
        <v>57217439627</v>
      </c>
      <c r="B4181" t="s">
        <v>4180</v>
      </c>
      <c r="C4181" t="str">
        <f>_xlfn.XLOOKUP(A4181,[1]Affiliations!$J$2:$J$5328,[1]Affiliations!$K$2:$K$5328,0)</f>
        <v>Federal University of Rio de Janeiro</v>
      </c>
      <c r="D4181">
        <v>1</v>
      </c>
      <c r="E4181">
        <v>11</v>
      </c>
      <c r="F4181">
        <v>11</v>
      </c>
      <c r="G4181">
        <v>1</v>
      </c>
      <c r="H4181">
        <v>0.22</v>
      </c>
      <c r="I4181">
        <v>0</v>
      </c>
      <c r="J4181">
        <v>0</v>
      </c>
      <c r="K4181">
        <v>0</v>
      </c>
      <c r="L4181">
        <v>1</v>
      </c>
      <c r="M4181">
        <v>1</v>
      </c>
      <c r="N4181">
        <v>1</v>
      </c>
      <c r="P4181">
        <v>0</v>
      </c>
      <c r="Q4181">
        <v>0</v>
      </c>
      <c r="R4181">
        <v>0</v>
      </c>
      <c r="S4181">
        <v>0</v>
      </c>
    </row>
    <row r="4182" spans="1:19" hidden="1" x14ac:dyDescent="0.35">
      <c r="A4182">
        <v>60151773600</v>
      </c>
      <c r="B4182" t="s">
        <v>4181</v>
      </c>
      <c r="C4182" t="str">
        <f>_xlfn.XLOOKUP(A4182,[1]Affiliations!$J$2:$J$5328,[1]Affiliations!$K$2:$K$5328,0)</f>
        <v>Universidade do Estado do Rio de Janeiro (+1 more)</v>
      </c>
      <c r="D4182">
        <v>0</v>
      </c>
      <c r="G4182">
        <v>0</v>
      </c>
    </row>
    <row r="4183" spans="1:19" hidden="1" x14ac:dyDescent="0.35">
      <c r="A4183">
        <v>7102417823</v>
      </c>
      <c r="B4183" t="s">
        <v>4182</v>
      </c>
      <c r="C4183" t="str">
        <f>_xlfn.XLOOKUP(A4183,[1]Affiliations!$J$2:$J$5328,[1]Affiliations!$K$2:$K$5328,0)</f>
        <v>University of Campinas</v>
      </c>
      <c r="D4183">
        <v>1</v>
      </c>
      <c r="E4183">
        <v>9</v>
      </c>
      <c r="F4183">
        <v>9</v>
      </c>
      <c r="G4183">
        <v>9</v>
      </c>
      <c r="H4183">
        <v>0.47</v>
      </c>
      <c r="I4183">
        <v>0</v>
      </c>
      <c r="J4183">
        <v>0</v>
      </c>
      <c r="K4183">
        <v>0</v>
      </c>
      <c r="L4183">
        <v>0</v>
      </c>
      <c r="M4183">
        <v>1</v>
      </c>
      <c r="N4183">
        <v>1</v>
      </c>
      <c r="P4183">
        <v>0</v>
      </c>
      <c r="Q4183">
        <v>0</v>
      </c>
      <c r="R4183">
        <v>0</v>
      </c>
      <c r="S4183">
        <v>0</v>
      </c>
    </row>
    <row r="4184" spans="1:19" hidden="1" x14ac:dyDescent="0.35">
      <c r="A4184">
        <v>7102417832</v>
      </c>
      <c r="B4184" t="s">
        <v>4183</v>
      </c>
      <c r="C4184" t="str">
        <f>_xlfn.XLOOKUP(A4184,[1]Affiliations!$J$2:$J$5328,[1]Affiliations!$K$2:$K$5328,0)</f>
        <v>Federal University of Rio de Janeiro</v>
      </c>
      <c r="D4184">
        <v>19</v>
      </c>
      <c r="E4184">
        <v>206</v>
      </c>
      <c r="F4184">
        <v>10.842105</v>
      </c>
      <c r="G4184">
        <v>11</v>
      </c>
      <c r="H4184">
        <v>0.45</v>
      </c>
      <c r="I4184">
        <v>0</v>
      </c>
      <c r="J4184">
        <v>1</v>
      </c>
      <c r="K4184">
        <v>2</v>
      </c>
      <c r="L4184">
        <v>12</v>
      </c>
      <c r="M4184">
        <v>16</v>
      </c>
      <c r="N4184">
        <v>19</v>
      </c>
      <c r="P4184">
        <v>0</v>
      </c>
      <c r="Q4184">
        <v>0</v>
      </c>
      <c r="R4184">
        <v>0</v>
      </c>
      <c r="S4184">
        <v>5</v>
      </c>
    </row>
    <row r="4185" spans="1:19" x14ac:dyDescent="0.35">
      <c r="A4185">
        <v>7004543210</v>
      </c>
      <c r="B4185" t="s">
        <v>4323</v>
      </c>
      <c r="C4185" t="str">
        <f>_xlfn.XLOOKUP(A4185,[1]Affiliations!$J$2:$J$5328,[1]Affiliations!$K$2:$K$5328,0)</f>
        <v>Universidade Federal do Espírito Santo</v>
      </c>
      <c r="D4185">
        <v>18</v>
      </c>
      <c r="E4185">
        <v>221</v>
      </c>
      <c r="F4185">
        <v>12.277778</v>
      </c>
      <c r="G4185">
        <v>12</v>
      </c>
      <c r="H4185">
        <v>0.69</v>
      </c>
      <c r="I4185">
        <v>0</v>
      </c>
      <c r="J4185">
        <v>3</v>
      </c>
      <c r="K4185">
        <v>4</v>
      </c>
      <c r="L4185">
        <v>4</v>
      </c>
      <c r="M4185">
        <v>7</v>
      </c>
      <c r="N4185">
        <v>12</v>
      </c>
      <c r="P4185">
        <v>1</v>
      </c>
      <c r="Q4185">
        <v>1</v>
      </c>
      <c r="R4185">
        <v>3</v>
      </c>
      <c r="S4185">
        <v>4</v>
      </c>
    </row>
    <row r="4186" spans="1:19" hidden="1" x14ac:dyDescent="0.35">
      <c r="A4186">
        <v>58677927200</v>
      </c>
      <c r="B4186" t="s">
        <v>4185</v>
      </c>
      <c r="C4186" t="str">
        <f>_xlfn.XLOOKUP(A4186,[1]Affiliations!$J$2:$J$5328,[1]Affiliations!$K$2:$K$5328,0)</f>
        <v>Universidade Federal Fluminense</v>
      </c>
      <c r="D4186">
        <v>1</v>
      </c>
      <c r="E4186">
        <v>3</v>
      </c>
      <c r="F4186">
        <v>3</v>
      </c>
      <c r="G4186">
        <v>1</v>
      </c>
      <c r="H4186">
        <v>2.09</v>
      </c>
      <c r="P4186">
        <v>0</v>
      </c>
      <c r="Q4186">
        <v>0</v>
      </c>
      <c r="R4186">
        <v>0</v>
      </c>
      <c r="S4186">
        <v>0</v>
      </c>
    </row>
    <row r="4187" spans="1:19" hidden="1" x14ac:dyDescent="0.35">
      <c r="A4187">
        <v>60158037800</v>
      </c>
      <c r="B4187" t="s">
        <v>4186</v>
      </c>
      <c r="C4187" t="str">
        <f>_xlfn.XLOOKUP(A4187,[1]Affiliations!$J$2:$J$5328,[1]Affiliations!$K$2:$K$5328,0)</f>
        <v>Universidade Federal Rural do Rio de Janeiro</v>
      </c>
      <c r="D4187">
        <v>1</v>
      </c>
      <c r="E4187">
        <v>8</v>
      </c>
      <c r="F4187">
        <v>8</v>
      </c>
      <c r="G4187">
        <v>1</v>
      </c>
      <c r="H4187">
        <v>0.44</v>
      </c>
      <c r="P4187">
        <v>0</v>
      </c>
      <c r="Q4187">
        <v>0</v>
      </c>
      <c r="R4187">
        <v>0</v>
      </c>
      <c r="S4187">
        <v>0</v>
      </c>
    </row>
    <row r="4188" spans="1:19" hidden="1" x14ac:dyDescent="0.35">
      <c r="A4188">
        <v>59269514300</v>
      </c>
      <c r="B4188" t="s">
        <v>4187</v>
      </c>
      <c r="C4188" t="str">
        <f>_xlfn.XLOOKUP(A4188,[1]Affiliations!$J$2:$J$5328,[1]Affiliations!$K$2:$K$5328,0)</f>
        <v>Federal University of Rio de Janeiro</v>
      </c>
      <c r="D4188">
        <v>3</v>
      </c>
      <c r="E4188">
        <v>57</v>
      </c>
      <c r="F4188">
        <v>19</v>
      </c>
      <c r="G4188">
        <v>2</v>
      </c>
      <c r="H4188">
        <v>1.1100000000000001</v>
      </c>
      <c r="I4188">
        <v>0</v>
      </c>
      <c r="J4188">
        <v>2</v>
      </c>
      <c r="K4188">
        <v>2</v>
      </c>
      <c r="L4188">
        <v>2</v>
      </c>
      <c r="M4188">
        <v>3</v>
      </c>
      <c r="N4188">
        <v>3</v>
      </c>
      <c r="P4188">
        <v>0</v>
      </c>
      <c r="Q4188">
        <v>0</v>
      </c>
      <c r="R4188">
        <v>1</v>
      </c>
      <c r="S4188">
        <v>1</v>
      </c>
    </row>
    <row r="4189" spans="1:19" hidden="1" x14ac:dyDescent="0.35">
      <c r="A4189">
        <v>57216897860</v>
      </c>
      <c r="B4189" t="s">
        <v>4188</v>
      </c>
      <c r="C4189" t="str">
        <f>_xlfn.XLOOKUP(A4189,[1]Affiliations!$J$2:$J$5328,[1]Affiliations!$K$2:$K$5328,0)</f>
        <v>Universidade Federal Rural do Rio de Janeiro</v>
      </c>
      <c r="D4189">
        <v>7</v>
      </c>
      <c r="E4189">
        <v>11</v>
      </c>
      <c r="F4189">
        <v>1.5714284999999999</v>
      </c>
      <c r="G4189">
        <v>2</v>
      </c>
      <c r="H4189">
        <v>0.14000000000000001</v>
      </c>
      <c r="I4189">
        <v>0</v>
      </c>
      <c r="J4189">
        <v>0</v>
      </c>
      <c r="K4189">
        <v>0</v>
      </c>
      <c r="L4189">
        <v>1</v>
      </c>
      <c r="M4189">
        <v>2</v>
      </c>
      <c r="N4189">
        <v>6</v>
      </c>
      <c r="P4189">
        <v>0</v>
      </c>
      <c r="Q4189">
        <v>0</v>
      </c>
      <c r="R4189">
        <v>0</v>
      </c>
      <c r="S4189">
        <v>0</v>
      </c>
    </row>
    <row r="4190" spans="1:19" hidden="1" x14ac:dyDescent="0.35">
      <c r="A4190">
        <v>59895419100</v>
      </c>
      <c r="B4190" t="s">
        <v>4189</v>
      </c>
      <c r="C4190" t="str">
        <f>_xlfn.XLOOKUP(A4190,[1]Affiliations!$J$2:$J$5328,[1]Affiliations!$K$2:$K$5328,0)</f>
        <v>Universidade Federal do Rio Grande do Sul</v>
      </c>
      <c r="D4190">
        <v>0</v>
      </c>
      <c r="G4190">
        <v>1</v>
      </c>
    </row>
    <row r="4191" spans="1:19" hidden="1" x14ac:dyDescent="0.35">
      <c r="A4191">
        <v>57218395821</v>
      </c>
      <c r="B4191" t="s">
        <v>4190</v>
      </c>
      <c r="C4191" t="str">
        <f>_xlfn.XLOOKUP(A4191,[1]Affiliations!$J$2:$J$5328,[1]Affiliations!$K$2:$K$5328,0)</f>
        <v>Universidade Federal do Ceará</v>
      </c>
      <c r="D4191">
        <v>6</v>
      </c>
      <c r="E4191">
        <v>48</v>
      </c>
      <c r="F4191">
        <v>8</v>
      </c>
      <c r="G4191">
        <v>4</v>
      </c>
      <c r="H4191">
        <v>0.43</v>
      </c>
      <c r="I4191">
        <v>0</v>
      </c>
      <c r="J4191">
        <v>1</v>
      </c>
      <c r="K4191">
        <v>4</v>
      </c>
      <c r="L4191">
        <v>6</v>
      </c>
      <c r="M4191">
        <v>6</v>
      </c>
      <c r="N4191">
        <v>6</v>
      </c>
      <c r="P4191">
        <v>0</v>
      </c>
      <c r="Q4191">
        <v>0</v>
      </c>
      <c r="R4191">
        <v>0</v>
      </c>
      <c r="S4191">
        <v>1</v>
      </c>
    </row>
    <row r="4192" spans="1:19" x14ac:dyDescent="0.35">
      <c r="A4192">
        <v>57222279838</v>
      </c>
      <c r="B4192" t="s">
        <v>4416</v>
      </c>
      <c r="C4192" t="str">
        <f>_xlfn.XLOOKUP(A4192,[1]Affiliations!$J$2:$J$5328,[1]Affiliations!$K$2:$K$5328,0)</f>
        <v>Universidade do Estado do Rio de Janeiro</v>
      </c>
      <c r="D4192">
        <v>19</v>
      </c>
      <c r="E4192">
        <v>283</v>
      </c>
      <c r="F4192">
        <v>14.894736999999999</v>
      </c>
      <c r="G4192">
        <v>15</v>
      </c>
      <c r="H4192">
        <v>0.69</v>
      </c>
      <c r="I4192">
        <v>0</v>
      </c>
      <c r="J4192">
        <v>2</v>
      </c>
      <c r="K4192">
        <v>3</v>
      </c>
      <c r="L4192">
        <v>11</v>
      </c>
      <c r="M4192">
        <v>16</v>
      </c>
      <c r="N4192">
        <v>18</v>
      </c>
      <c r="P4192">
        <v>0</v>
      </c>
      <c r="Q4192">
        <v>0</v>
      </c>
      <c r="R4192">
        <v>2</v>
      </c>
      <c r="S4192">
        <v>9</v>
      </c>
    </row>
    <row r="4193" spans="1:19" hidden="1" x14ac:dyDescent="0.35">
      <c r="A4193">
        <v>58125573800</v>
      </c>
      <c r="B4193" t="s">
        <v>4192</v>
      </c>
      <c r="C4193" t="str">
        <f>_xlfn.XLOOKUP(A4193,[1]Affiliations!$J$2:$J$5328,[1]Affiliations!$K$2:$K$5328,0)</f>
        <v>GALP/Petrogal Brasil</v>
      </c>
      <c r="D4193">
        <v>4</v>
      </c>
      <c r="E4193">
        <v>6</v>
      </c>
      <c r="F4193">
        <v>1.5</v>
      </c>
      <c r="G4193">
        <v>2</v>
      </c>
      <c r="H4193">
        <v>0.84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3</v>
      </c>
      <c r="P4193">
        <v>0</v>
      </c>
      <c r="Q4193">
        <v>0</v>
      </c>
      <c r="R4193">
        <v>0</v>
      </c>
      <c r="S4193">
        <v>0</v>
      </c>
    </row>
    <row r="4194" spans="1:19" x14ac:dyDescent="0.35">
      <c r="A4194">
        <v>56244653000</v>
      </c>
      <c r="B4194" t="s">
        <v>4585</v>
      </c>
      <c r="C4194" t="str">
        <f>_xlfn.XLOOKUP(A4194,[1]Affiliations!$J$2:$J$5328,[1]Affiliations!$K$2:$K$5328,0)</f>
        <v>Universidade Federal do Rio Grande do Sul (+1 more)</v>
      </c>
      <c r="D4194">
        <v>166</v>
      </c>
      <c r="E4194">
        <v>1786</v>
      </c>
      <c r="F4194">
        <v>10.759036</v>
      </c>
      <c r="G4194">
        <v>28</v>
      </c>
      <c r="H4194">
        <v>0.69</v>
      </c>
      <c r="I4194">
        <v>3</v>
      </c>
      <c r="J4194">
        <v>15</v>
      </c>
      <c r="K4194">
        <v>34</v>
      </c>
      <c r="L4194">
        <v>79</v>
      </c>
      <c r="M4194">
        <v>109</v>
      </c>
      <c r="N4194">
        <v>150</v>
      </c>
      <c r="P4194">
        <v>0</v>
      </c>
      <c r="Q4194">
        <v>3</v>
      </c>
      <c r="R4194">
        <v>7</v>
      </c>
      <c r="S4194">
        <v>40</v>
      </c>
    </row>
    <row r="4195" spans="1:19" hidden="1" x14ac:dyDescent="0.35">
      <c r="A4195">
        <v>58409049600</v>
      </c>
      <c r="B4195" t="s">
        <v>4194</v>
      </c>
      <c r="C4195" t="str">
        <f>_xlfn.XLOOKUP(A4195,[1]Affiliations!$J$2:$J$5328,[1]Affiliations!$K$2:$K$5328,0)</f>
        <v>University of Campinas (+2 more)</v>
      </c>
      <c r="D4195">
        <v>12</v>
      </c>
      <c r="E4195">
        <v>119</v>
      </c>
      <c r="F4195">
        <v>9.9166670000000003</v>
      </c>
      <c r="G4195">
        <v>12</v>
      </c>
      <c r="H4195">
        <v>0.75</v>
      </c>
      <c r="I4195">
        <v>0</v>
      </c>
      <c r="J4195">
        <v>1</v>
      </c>
      <c r="K4195">
        <v>2</v>
      </c>
      <c r="L4195">
        <v>6</v>
      </c>
      <c r="M4195">
        <v>6</v>
      </c>
      <c r="N4195">
        <v>8</v>
      </c>
      <c r="P4195">
        <v>0</v>
      </c>
      <c r="Q4195">
        <v>0</v>
      </c>
      <c r="R4195">
        <v>0</v>
      </c>
      <c r="S4195">
        <v>3</v>
      </c>
    </row>
    <row r="4196" spans="1:19" hidden="1" x14ac:dyDescent="0.35">
      <c r="A4196">
        <v>59872013800</v>
      </c>
      <c r="B4196" t="s">
        <v>4195</v>
      </c>
      <c r="C4196" t="str">
        <f>_xlfn.XLOOKUP(A4196,[1]Affiliations!$J$2:$J$5328,[1]Affiliations!$K$2:$K$5328,0)</f>
        <v>Centro de Tecnologia Mineral</v>
      </c>
      <c r="D4196">
        <v>1</v>
      </c>
      <c r="E4196">
        <v>1</v>
      </c>
      <c r="F4196">
        <v>1</v>
      </c>
      <c r="G4196">
        <v>1</v>
      </c>
      <c r="H4196">
        <v>0</v>
      </c>
      <c r="P4196">
        <v>0</v>
      </c>
      <c r="Q4196">
        <v>0</v>
      </c>
      <c r="R4196">
        <v>0</v>
      </c>
      <c r="S4196">
        <v>0</v>
      </c>
    </row>
    <row r="4197" spans="1:19" hidden="1" x14ac:dyDescent="0.35">
      <c r="A4197">
        <v>57210265602</v>
      </c>
      <c r="B4197" t="s">
        <v>4196</v>
      </c>
      <c r="C4197" t="str">
        <f>_xlfn.XLOOKUP(A4197,[1]Affiliations!$J$2:$J$5328,[1]Affiliations!$K$2:$K$5328,0)</f>
        <v>Federal University of Rio de Janeiro</v>
      </c>
      <c r="D4197">
        <v>1</v>
      </c>
      <c r="E4197">
        <v>3</v>
      </c>
      <c r="F4197">
        <v>3</v>
      </c>
      <c r="G4197">
        <v>1</v>
      </c>
      <c r="H4197">
        <v>0.7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P4197">
        <v>0</v>
      </c>
      <c r="Q4197">
        <v>0</v>
      </c>
      <c r="R4197">
        <v>0</v>
      </c>
      <c r="S4197">
        <v>0</v>
      </c>
    </row>
    <row r="4198" spans="1:19" hidden="1" x14ac:dyDescent="0.35">
      <c r="A4198">
        <v>57221493327</v>
      </c>
      <c r="B4198" t="s">
        <v>4197</v>
      </c>
      <c r="C4198" t="str">
        <f>_xlfn.XLOOKUP(A4198,[1]Affiliations!$J$2:$J$5328,[1]Affiliations!$K$2:$K$5328,0)</f>
        <v>Federal University of Rio de Janeiro</v>
      </c>
      <c r="D4198">
        <v>6</v>
      </c>
      <c r="E4198">
        <v>8</v>
      </c>
      <c r="F4198">
        <v>1.3333333999999999</v>
      </c>
      <c r="G4198">
        <v>1</v>
      </c>
      <c r="H4198">
        <v>0.39</v>
      </c>
      <c r="I4198">
        <v>0</v>
      </c>
      <c r="J4198">
        <v>0</v>
      </c>
      <c r="K4198">
        <v>0</v>
      </c>
      <c r="L4198">
        <v>0</v>
      </c>
      <c r="M4198">
        <v>2</v>
      </c>
      <c r="N4198">
        <v>4</v>
      </c>
      <c r="P4198">
        <v>0</v>
      </c>
      <c r="Q4198">
        <v>0</v>
      </c>
      <c r="R4198">
        <v>0</v>
      </c>
      <c r="S4198">
        <v>0</v>
      </c>
    </row>
    <row r="4199" spans="1:19" hidden="1" x14ac:dyDescent="0.35">
      <c r="A4199">
        <v>57305792300</v>
      </c>
      <c r="B4199" t="s">
        <v>4198</v>
      </c>
      <c r="C4199" t="str">
        <f>_xlfn.XLOOKUP(A4199,[1]Affiliations!$J$2:$J$5328,[1]Affiliations!$K$2:$K$5328,0)</f>
        <v>Pontifical Catholic University of Rio de Janeiro</v>
      </c>
      <c r="D4199">
        <v>3</v>
      </c>
      <c r="E4199">
        <v>16</v>
      </c>
      <c r="F4199">
        <v>5.3333335000000002</v>
      </c>
      <c r="G4199">
        <v>3</v>
      </c>
      <c r="H4199">
        <v>0.42</v>
      </c>
      <c r="I4199">
        <v>0</v>
      </c>
      <c r="J4199">
        <v>0</v>
      </c>
      <c r="K4199">
        <v>0</v>
      </c>
      <c r="L4199">
        <v>2</v>
      </c>
      <c r="M4199">
        <v>3</v>
      </c>
      <c r="N4199">
        <v>3</v>
      </c>
      <c r="P4199">
        <v>0</v>
      </c>
      <c r="Q4199">
        <v>0</v>
      </c>
      <c r="R4199">
        <v>0</v>
      </c>
      <c r="S4199">
        <v>0</v>
      </c>
    </row>
    <row r="4200" spans="1:19" hidden="1" x14ac:dyDescent="0.35">
      <c r="A4200">
        <v>57204006091</v>
      </c>
      <c r="B4200" t="s">
        <v>4199</v>
      </c>
      <c r="C4200" t="str">
        <f>_xlfn.XLOOKUP(A4200,[1]Affiliations!$J$2:$J$5328,[1]Affiliations!$K$2:$K$5328,0)</f>
        <v>Instituto Federal da Bahia</v>
      </c>
      <c r="D4200">
        <v>1</v>
      </c>
      <c r="E4200">
        <v>1</v>
      </c>
      <c r="F4200">
        <v>1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P4200">
        <v>0</v>
      </c>
      <c r="Q4200">
        <v>0</v>
      </c>
      <c r="R4200">
        <v>0</v>
      </c>
      <c r="S4200">
        <v>0</v>
      </c>
    </row>
    <row r="4201" spans="1:19" hidden="1" x14ac:dyDescent="0.35">
      <c r="A4201">
        <v>57190967506</v>
      </c>
      <c r="B4201" t="s">
        <v>4200</v>
      </c>
      <c r="C4201" t="str">
        <f>_xlfn.XLOOKUP(A4201,[1]Affiliations!$J$2:$J$5328,[1]Affiliations!$K$2:$K$5328,0)</f>
        <v>Federal University of Rio de Janeiro</v>
      </c>
      <c r="D4201">
        <v>3</v>
      </c>
      <c r="E4201">
        <v>33</v>
      </c>
      <c r="F4201">
        <v>11</v>
      </c>
      <c r="G4201">
        <v>2</v>
      </c>
      <c r="H4201">
        <v>0.36</v>
      </c>
      <c r="I4201">
        <v>0</v>
      </c>
      <c r="J4201">
        <v>0</v>
      </c>
      <c r="K4201">
        <v>1</v>
      </c>
      <c r="L4201">
        <v>1</v>
      </c>
      <c r="M4201">
        <v>3</v>
      </c>
      <c r="N4201">
        <v>3</v>
      </c>
      <c r="P4201">
        <v>0</v>
      </c>
      <c r="Q4201">
        <v>0</v>
      </c>
      <c r="R4201">
        <v>0</v>
      </c>
      <c r="S4201">
        <v>1</v>
      </c>
    </row>
    <row r="4202" spans="1:19" hidden="1" x14ac:dyDescent="0.35">
      <c r="A4202">
        <v>57203416630</v>
      </c>
      <c r="B4202" t="s">
        <v>4201</v>
      </c>
      <c r="C4202" t="str">
        <f>_xlfn.XLOOKUP(A4202,[1]Affiliations!$J$2:$J$5328,[1]Affiliations!$K$2:$K$5328,0)</f>
        <v>Universidade Federal Rural do Rio de Janeiro</v>
      </c>
      <c r="D4202">
        <v>1</v>
      </c>
      <c r="E4202">
        <v>4</v>
      </c>
      <c r="F4202">
        <v>4</v>
      </c>
      <c r="G4202">
        <v>1</v>
      </c>
      <c r="H4202">
        <v>0.51</v>
      </c>
      <c r="P4202">
        <v>0</v>
      </c>
      <c r="Q4202">
        <v>0</v>
      </c>
      <c r="R4202">
        <v>0</v>
      </c>
      <c r="S4202">
        <v>0</v>
      </c>
    </row>
    <row r="4203" spans="1:19" hidden="1" x14ac:dyDescent="0.35">
      <c r="A4203">
        <v>57205661066</v>
      </c>
      <c r="B4203" t="s">
        <v>4202</v>
      </c>
      <c r="C4203" t="str">
        <f>_xlfn.XLOOKUP(A4203,[1]Affiliations!$J$2:$J$5328,[1]Affiliations!$K$2:$K$5328,0)</f>
        <v>Universidade Federal Rural do Rio de Janeiro</v>
      </c>
      <c r="D4203">
        <v>1</v>
      </c>
      <c r="E4203">
        <v>15</v>
      </c>
      <c r="F4203">
        <v>15</v>
      </c>
      <c r="G4203">
        <v>1</v>
      </c>
      <c r="H4203">
        <v>0.56000000000000005</v>
      </c>
      <c r="I4203">
        <v>0</v>
      </c>
      <c r="J4203">
        <v>0</v>
      </c>
      <c r="K4203">
        <v>0</v>
      </c>
      <c r="L4203">
        <v>1</v>
      </c>
      <c r="M4203">
        <v>1</v>
      </c>
      <c r="N4203">
        <v>1</v>
      </c>
      <c r="P4203">
        <v>0</v>
      </c>
      <c r="Q4203">
        <v>0</v>
      </c>
      <c r="R4203">
        <v>0</v>
      </c>
      <c r="S4203">
        <v>0</v>
      </c>
    </row>
    <row r="4204" spans="1:19" hidden="1" x14ac:dyDescent="0.35">
      <c r="A4204">
        <v>57189215816</v>
      </c>
      <c r="B4204" t="s">
        <v>4203</v>
      </c>
      <c r="C4204" t="str">
        <f>_xlfn.XLOOKUP(A4204,[1]Affiliations!$J$2:$J$5328,[1]Affiliations!$K$2:$K$5328,0)</f>
        <v>Federal University of Rio de Janeiro</v>
      </c>
      <c r="D4204">
        <v>4</v>
      </c>
      <c r="E4204">
        <v>91</v>
      </c>
      <c r="F4204">
        <v>22.75</v>
      </c>
      <c r="G4204">
        <v>3</v>
      </c>
      <c r="H4204">
        <v>0.44</v>
      </c>
      <c r="I4204">
        <v>0</v>
      </c>
      <c r="J4204">
        <v>0</v>
      </c>
      <c r="K4204">
        <v>1</v>
      </c>
      <c r="L4204">
        <v>2</v>
      </c>
      <c r="M4204">
        <v>3</v>
      </c>
      <c r="N4204">
        <v>4</v>
      </c>
      <c r="P4204">
        <v>0</v>
      </c>
      <c r="Q4204">
        <v>0</v>
      </c>
      <c r="R4204">
        <v>1</v>
      </c>
      <c r="S4204">
        <v>2</v>
      </c>
    </row>
    <row r="4205" spans="1:19" x14ac:dyDescent="0.35">
      <c r="A4205">
        <v>8319774000</v>
      </c>
      <c r="B4205" t="s">
        <v>4597</v>
      </c>
      <c r="C4205" t="str">
        <f>_xlfn.XLOOKUP(A4205,[1]Affiliations!$J$2:$J$5328,[1]Affiliations!$K$2:$K$5328,0)</f>
        <v>Federal University of Rio de Janeiro</v>
      </c>
      <c r="D4205">
        <v>30</v>
      </c>
      <c r="E4205">
        <v>344</v>
      </c>
      <c r="F4205">
        <v>11.466666</v>
      </c>
      <c r="G4205">
        <v>16</v>
      </c>
      <c r="H4205">
        <v>0.69</v>
      </c>
      <c r="I4205">
        <v>2</v>
      </c>
      <c r="J4205">
        <v>4</v>
      </c>
      <c r="K4205">
        <v>4</v>
      </c>
      <c r="L4205">
        <v>15</v>
      </c>
      <c r="M4205">
        <v>20</v>
      </c>
      <c r="N4205">
        <v>23</v>
      </c>
      <c r="P4205">
        <v>0</v>
      </c>
      <c r="Q4205">
        <v>0</v>
      </c>
      <c r="R4205">
        <v>2</v>
      </c>
      <c r="S4205">
        <v>8</v>
      </c>
    </row>
    <row r="4206" spans="1:19" hidden="1" x14ac:dyDescent="0.35">
      <c r="A4206">
        <v>57195278931</v>
      </c>
      <c r="B4206" t="s">
        <v>4205</v>
      </c>
      <c r="C4206" t="str">
        <f>_xlfn.XLOOKUP(A4206,[1]Affiliations!$J$2:$J$5328,[1]Affiliations!$K$2:$K$5328,0)</f>
        <v>Federal University of Rio de Janeiro</v>
      </c>
      <c r="D4206">
        <v>2</v>
      </c>
      <c r="E4206">
        <v>6</v>
      </c>
      <c r="F4206">
        <v>3</v>
      </c>
      <c r="G4206">
        <v>1</v>
      </c>
      <c r="H4206">
        <v>0.06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</v>
      </c>
      <c r="P4206">
        <v>0</v>
      </c>
      <c r="Q4206">
        <v>0</v>
      </c>
      <c r="R4206">
        <v>0</v>
      </c>
      <c r="S4206">
        <v>0</v>
      </c>
    </row>
    <row r="4207" spans="1:19" hidden="1" x14ac:dyDescent="0.35">
      <c r="A4207">
        <v>55542340900</v>
      </c>
      <c r="B4207" t="s">
        <v>4206</v>
      </c>
      <c r="C4207" t="str">
        <f>_xlfn.XLOOKUP(A4207,[1]Affiliations!$J$2:$J$5328,[1]Affiliations!$K$2:$K$5328,0)</f>
        <v>Regional University of Blumenau - FURB</v>
      </c>
      <c r="D4207">
        <v>1</v>
      </c>
      <c r="E4207">
        <v>4</v>
      </c>
      <c r="F4207">
        <v>4</v>
      </c>
      <c r="G4207">
        <v>2</v>
      </c>
      <c r="H4207">
        <v>0</v>
      </c>
      <c r="I4207">
        <v>0</v>
      </c>
      <c r="J4207">
        <v>0</v>
      </c>
      <c r="K4207">
        <v>1</v>
      </c>
      <c r="L4207">
        <v>1</v>
      </c>
      <c r="M4207">
        <v>1</v>
      </c>
      <c r="N4207">
        <v>1</v>
      </c>
      <c r="P4207">
        <v>0</v>
      </c>
      <c r="Q4207">
        <v>0</v>
      </c>
      <c r="R4207">
        <v>0</v>
      </c>
      <c r="S4207">
        <v>0</v>
      </c>
    </row>
    <row r="4208" spans="1:19" hidden="1" x14ac:dyDescent="0.35">
      <c r="A4208">
        <v>57218573142</v>
      </c>
      <c r="B4208" t="s">
        <v>4207</v>
      </c>
      <c r="C4208" t="str">
        <f>_xlfn.XLOOKUP(A4208,[1]Affiliations!$J$2:$J$5328,[1]Affiliations!$K$2:$K$5328,0)</f>
        <v>Federal University of Santa Catarina</v>
      </c>
      <c r="D4208">
        <v>1</v>
      </c>
      <c r="E4208">
        <v>17</v>
      </c>
      <c r="F4208">
        <v>17</v>
      </c>
      <c r="G4208">
        <v>1</v>
      </c>
      <c r="H4208">
        <v>0.87</v>
      </c>
      <c r="I4208">
        <v>0</v>
      </c>
      <c r="J4208">
        <v>0</v>
      </c>
      <c r="K4208">
        <v>0</v>
      </c>
      <c r="L4208">
        <v>0</v>
      </c>
      <c r="M4208">
        <v>1</v>
      </c>
      <c r="N4208">
        <v>1</v>
      </c>
      <c r="P4208">
        <v>0</v>
      </c>
      <c r="Q4208">
        <v>0</v>
      </c>
      <c r="R4208">
        <v>0</v>
      </c>
      <c r="S4208">
        <v>0</v>
      </c>
    </row>
    <row r="4209" spans="1:19" x14ac:dyDescent="0.35">
      <c r="A4209">
        <v>21234495200</v>
      </c>
      <c r="B4209" t="s">
        <v>5308</v>
      </c>
      <c r="C4209" t="str">
        <f>_xlfn.XLOOKUP(A4209,[1]Affiliations!$J$2:$J$5328,[1]Affiliations!$K$2:$K$5328,0)</f>
        <v>Universidade Federal Rural do Rio de Janeiro (+1 more)</v>
      </c>
      <c r="D4209">
        <v>71</v>
      </c>
      <c r="E4209">
        <v>942</v>
      </c>
      <c r="F4209">
        <v>13.267606000000001</v>
      </c>
      <c r="G4209">
        <v>19</v>
      </c>
      <c r="H4209">
        <v>0.69</v>
      </c>
      <c r="I4209">
        <v>1</v>
      </c>
      <c r="J4209">
        <v>2</v>
      </c>
      <c r="K4209">
        <v>12</v>
      </c>
      <c r="L4209">
        <v>31</v>
      </c>
      <c r="M4209">
        <v>48</v>
      </c>
      <c r="N4209">
        <v>62</v>
      </c>
      <c r="P4209">
        <v>0</v>
      </c>
      <c r="Q4209">
        <v>3</v>
      </c>
      <c r="R4209">
        <v>6</v>
      </c>
      <c r="S4209">
        <v>20</v>
      </c>
    </row>
    <row r="4210" spans="1:19" hidden="1" x14ac:dyDescent="0.35">
      <c r="A4210">
        <v>57191707782</v>
      </c>
      <c r="B4210" t="s">
        <v>4209</v>
      </c>
      <c r="C4210" t="str">
        <f>_xlfn.XLOOKUP(A4210,[1]Affiliations!$J$2:$J$5328,[1]Affiliations!$K$2:$K$5328,0)</f>
        <v>Universidade Federal de Minas Gerais</v>
      </c>
      <c r="D4210">
        <v>1</v>
      </c>
      <c r="E4210">
        <v>5</v>
      </c>
      <c r="F4210">
        <v>5</v>
      </c>
      <c r="G4210">
        <v>1</v>
      </c>
      <c r="H4210">
        <v>0.79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1</v>
      </c>
      <c r="P4210">
        <v>0</v>
      </c>
      <c r="Q4210">
        <v>0</v>
      </c>
      <c r="R4210">
        <v>0</v>
      </c>
      <c r="S4210">
        <v>0</v>
      </c>
    </row>
    <row r="4211" spans="1:19" x14ac:dyDescent="0.35">
      <c r="A4211">
        <v>7006773288</v>
      </c>
      <c r="B4211" t="s">
        <v>43</v>
      </c>
      <c r="C4211" t="str">
        <f>_xlfn.XLOOKUP(A4211,[1]Affiliations!$J$2:$J$5328,[1]Affiliations!$K$2:$K$5328,0)</f>
        <v>Universidade Federal de Pernambuco</v>
      </c>
      <c r="D4211">
        <v>32</v>
      </c>
      <c r="E4211">
        <v>411</v>
      </c>
      <c r="F4211">
        <v>12.84375</v>
      </c>
      <c r="G4211">
        <v>16</v>
      </c>
      <c r="H4211">
        <v>0.68</v>
      </c>
      <c r="I4211">
        <v>0</v>
      </c>
      <c r="J4211">
        <v>2</v>
      </c>
      <c r="K4211">
        <v>10</v>
      </c>
      <c r="L4211">
        <v>17</v>
      </c>
      <c r="M4211">
        <v>24</v>
      </c>
      <c r="N4211">
        <v>25</v>
      </c>
      <c r="P4211">
        <v>0</v>
      </c>
      <c r="Q4211">
        <v>0</v>
      </c>
      <c r="R4211">
        <v>3</v>
      </c>
      <c r="S4211">
        <v>12</v>
      </c>
    </row>
    <row r="4212" spans="1:19" x14ac:dyDescent="0.35">
      <c r="A4212">
        <v>34874624400</v>
      </c>
      <c r="B4212" t="s">
        <v>93</v>
      </c>
      <c r="C4212" t="str">
        <f>_xlfn.XLOOKUP(A4212,[1]Affiliations!$J$2:$J$5328,[1]Affiliations!$K$2:$K$5328,0)</f>
        <v>Universidade Federal de Juiz de Fora</v>
      </c>
      <c r="D4212">
        <v>19</v>
      </c>
      <c r="E4212">
        <v>252</v>
      </c>
      <c r="F4212">
        <v>13.263158000000001</v>
      </c>
      <c r="G4212">
        <v>11</v>
      </c>
      <c r="H4212">
        <v>0.68</v>
      </c>
      <c r="I4212">
        <v>0</v>
      </c>
      <c r="J4212">
        <v>0</v>
      </c>
      <c r="K4212">
        <v>5</v>
      </c>
      <c r="L4212">
        <v>14</v>
      </c>
      <c r="M4212">
        <v>16</v>
      </c>
      <c r="N4212">
        <v>19</v>
      </c>
      <c r="P4212">
        <v>0</v>
      </c>
      <c r="Q4212">
        <v>0</v>
      </c>
      <c r="R4212">
        <v>1</v>
      </c>
      <c r="S4212">
        <v>5</v>
      </c>
    </row>
    <row r="4213" spans="1:19" hidden="1" x14ac:dyDescent="0.35">
      <c r="A4213">
        <v>57411845000</v>
      </c>
      <c r="B4213" t="s">
        <v>4212</v>
      </c>
      <c r="C4213" t="str">
        <f>_xlfn.XLOOKUP(A4213,[1]Affiliations!$J$2:$J$5328,[1]Affiliations!$K$2:$K$5328,0)</f>
        <v>Universidade Federal de Minas Gerais</v>
      </c>
      <c r="D4213">
        <v>1</v>
      </c>
      <c r="E4213">
        <v>1</v>
      </c>
      <c r="F4213">
        <v>1</v>
      </c>
      <c r="G4213">
        <v>1</v>
      </c>
      <c r="H4213">
        <v>0.28999999999999998</v>
      </c>
      <c r="I4213">
        <v>0</v>
      </c>
      <c r="J4213">
        <v>0</v>
      </c>
      <c r="K4213">
        <v>0</v>
      </c>
      <c r="L4213">
        <v>0</v>
      </c>
      <c r="M4213">
        <v>1</v>
      </c>
      <c r="N4213">
        <v>1</v>
      </c>
      <c r="P4213">
        <v>0</v>
      </c>
      <c r="Q4213">
        <v>0</v>
      </c>
      <c r="R4213">
        <v>0</v>
      </c>
      <c r="S4213">
        <v>0</v>
      </c>
    </row>
    <row r="4214" spans="1:19" hidden="1" x14ac:dyDescent="0.35">
      <c r="A4214">
        <v>54414704500</v>
      </c>
      <c r="B4214" t="s">
        <v>4213</v>
      </c>
      <c r="C4214" t="str">
        <f>_xlfn.XLOOKUP(A4214,[1]Affiliations!$J$2:$J$5328,[1]Affiliations!$K$2:$K$5328,0)</f>
        <v>Pontifical Catholic University of Rio de Janeiro</v>
      </c>
      <c r="D4214">
        <v>13</v>
      </c>
      <c r="E4214">
        <v>16</v>
      </c>
      <c r="F4214">
        <v>1.2307693</v>
      </c>
      <c r="G4214">
        <v>5</v>
      </c>
      <c r="H4214">
        <v>0.26</v>
      </c>
      <c r="P4214">
        <v>0</v>
      </c>
      <c r="Q4214">
        <v>0</v>
      </c>
      <c r="R4214">
        <v>0</v>
      </c>
      <c r="S4214">
        <v>0</v>
      </c>
    </row>
    <row r="4215" spans="1:19" x14ac:dyDescent="0.35">
      <c r="A4215">
        <v>12804452400</v>
      </c>
      <c r="B4215" t="s">
        <v>311</v>
      </c>
      <c r="C4215" t="str">
        <f>_xlfn.XLOOKUP(A4215,[1]Affiliations!$J$2:$J$5328,[1]Affiliations!$K$2:$K$5328,0)</f>
        <v>Pontifical Catholic University of Rio de Janeiro</v>
      </c>
      <c r="D4215">
        <v>22</v>
      </c>
      <c r="E4215">
        <v>280</v>
      </c>
      <c r="F4215">
        <v>12.727273</v>
      </c>
      <c r="G4215">
        <v>15</v>
      </c>
      <c r="H4215">
        <v>0.68</v>
      </c>
      <c r="I4215">
        <v>0</v>
      </c>
      <c r="J4215">
        <v>2</v>
      </c>
      <c r="K4215">
        <v>4</v>
      </c>
      <c r="L4215">
        <v>14</v>
      </c>
      <c r="M4215">
        <v>15</v>
      </c>
      <c r="N4215">
        <v>18</v>
      </c>
      <c r="P4215">
        <v>0</v>
      </c>
      <c r="Q4215">
        <v>0</v>
      </c>
      <c r="R4215">
        <v>1</v>
      </c>
      <c r="S4215">
        <v>4</v>
      </c>
    </row>
    <row r="4216" spans="1:19" hidden="1" x14ac:dyDescent="0.35">
      <c r="A4216">
        <v>58126140700</v>
      </c>
      <c r="B4216" t="s">
        <v>4215</v>
      </c>
      <c r="C4216" t="str">
        <f>_xlfn.XLOOKUP(A4216,[1]Affiliations!$J$2:$J$5328,[1]Affiliations!$K$2:$K$5328,0)</f>
        <v>SIMEROS</v>
      </c>
      <c r="D4216">
        <v>3</v>
      </c>
      <c r="E4216">
        <v>4</v>
      </c>
      <c r="F4216">
        <v>1.3333333999999999</v>
      </c>
      <c r="G4216">
        <v>2</v>
      </c>
      <c r="H4216">
        <v>0.65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2</v>
      </c>
      <c r="P4216">
        <v>0</v>
      </c>
      <c r="Q4216">
        <v>0</v>
      </c>
      <c r="R4216">
        <v>0</v>
      </c>
      <c r="S4216">
        <v>0</v>
      </c>
    </row>
    <row r="4217" spans="1:19" hidden="1" x14ac:dyDescent="0.35">
      <c r="A4217">
        <v>58900159400</v>
      </c>
      <c r="B4217" t="s">
        <v>4216</v>
      </c>
      <c r="C4217" t="str">
        <f>_xlfn.XLOOKUP(A4217,[1]Affiliations!$J$2:$J$5328,[1]Affiliations!$K$2:$K$5328,0)</f>
        <v>Universidade Federal do Rio Grande do Sul</v>
      </c>
      <c r="D4217">
        <v>4</v>
      </c>
      <c r="E4217">
        <v>4</v>
      </c>
      <c r="F4217">
        <v>1</v>
      </c>
      <c r="G4217">
        <v>1</v>
      </c>
      <c r="H4217">
        <v>0.71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3</v>
      </c>
      <c r="P4217">
        <v>0</v>
      </c>
      <c r="Q4217">
        <v>0</v>
      </c>
      <c r="R4217">
        <v>0</v>
      </c>
      <c r="S4217">
        <v>0</v>
      </c>
    </row>
    <row r="4218" spans="1:19" hidden="1" x14ac:dyDescent="0.35">
      <c r="A4218">
        <v>59519558700</v>
      </c>
      <c r="B4218" t="s">
        <v>4217</v>
      </c>
      <c r="C4218" t="str">
        <f>_xlfn.XLOOKUP(A4218,[1]Affiliations!$J$2:$J$5328,[1]Affiliations!$K$2:$K$5328,0)</f>
        <v>Universidade Federal do Rio Grande do Sul</v>
      </c>
      <c r="D4218">
        <v>0</v>
      </c>
      <c r="G4218">
        <v>1</v>
      </c>
    </row>
    <row r="4219" spans="1:19" hidden="1" x14ac:dyDescent="0.35">
      <c r="A4219">
        <v>57884695700</v>
      </c>
      <c r="B4219" t="s">
        <v>4218</v>
      </c>
      <c r="C4219" t="str">
        <f>_xlfn.XLOOKUP(A4219,[1]Affiliations!$J$2:$J$5328,[1]Affiliations!$K$2:$K$5328,0)</f>
        <v>Universidade Federal de Pernambuco</v>
      </c>
      <c r="D4219">
        <v>1</v>
      </c>
      <c r="E4219">
        <v>10</v>
      </c>
      <c r="F4219">
        <v>10</v>
      </c>
      <c r="G4219">
        <v>1</v>
      </c>
      <c r="H4219">
        <v>1.01</v>
      </c>
      <c r="I4219">
        <v>0</v>
      </c>
      <c r="J4219">
        <v>0</v>
      </c>
      <c r="K4219">
        <v>0</v>
      </c>
      <c r="L4219">
        <v>0</v>
      </c>
      <c r="M4219">
        <v>1</v>
      </c>
      <c r="N4219">
        <v>1</v>
      </c>
      <c r="P4219">
        <v>0</v>
      </c>
      <c r="Q4219">
        <v>0</v>
      </c>
      <c r="R4219">
        <v>0</v>
      </c>
      <c r="S4219">
        <v>1</v>
      </c>
    </row>
    <row r="4220" spans="1:19" x14ac:dyDescent="0.35">
      <c r="A4220">
        <v>7005050704</v>
      </c>
      <c r="B4220" t="s">
        <v>374</v>
      </c>
      <c r="C4220" t="str">
        <f>_xlfn.XLOOKUP(A4220,[1]Affiliations!$J$2:$J$5328,[1]Affiliations!$K$2:$K$5328,0)</f>
        <v>Pontifical Catholic University of Rio de Janeiro</v>
      </c>
      <c r="D4220">
        <v>133</v>
      </c>
      <c r="E4220">
        <v>823</v>
      </c>
      <c r="F4220">
        <v>6.18797</v>
      </c>
      <c r="G4220">
        <v>20</v>
      </c>
      <c r="H4220">
        <v>0.68</v>
      </c>
      <c r="I4220">
        <v>1</v>
      </c>
      <c r="J4220">
        <v>2</v>
      </c>
      <c r="K4220">
        <v>9</v>
      </c>
      <c r="L4220">
        <v>21</v>
      </c>
      <c r="M4220">
        <v>61</v>
      </c>
      <c r="N4220">
        <v>70</v>
      </c>
      <c r="P4220">
        <v>0</v>
      </c>
      <c r="Q4220">
        <v>0</v>
      </c>
      <c r="R4220">
        <v>1</v>
      </c>
      <c r="S4220">
        <v>14</v>
      </c>
    </row>
    <row r="4221" spans="1:19" hidden="1" x14ac:dyDescent="0.35">
      <c r="A4221">
        <v>58682507300</v>
      </c>
      <c r="B4221" t="s">
        <v>4220</v>
      </c>
      <c r="C4221" t="str">
        <f>_xlfn.XLOOKUP(A4221,[1]Affiliations!$J$2:$J$5328,[1]Affiliations!$K$2:$K$5328,0)</f>
        <v>Universidade de São Paulo</v>
      </c>
      <c r="D4221">
        <v>1</v>
      </c>
      <c r="E4221">
        <v>4</v>
      </c>
      <c r="F4221">
        <v>4</v>
      </c>
      <c r="G4221">
        <v>1</v>
      </c>
      <c r="H4221">
        <v>1.34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P4221">
        <v>0</v>
      </c>
      <c r="Q4221">
        <v>0</v>
      </c>
      <c r="R4221">
        <v>0</v>
      </c>
      <c r="S4221">
        <v>0</v>
      </c>
    </row>
    <row r="4222" spans="1:19" hidden="1" x14ac:dyDescent="0.35">
      <c r="A4222">
        <v>59227511200</v>
      </c>
      <c r="B4222" t="s">
        <v>4221</v>
      </c>
      <c r="C4222" t="str">
        <f>_xlfn.XLOOKUP(A4222,[1]Affiliations!$J$2:$J$5328,[1]Affiliations!$K$2:$K$5328,0)</f>
        <v>Pontifical Catholic University of Rio de Janeiro</v>
      </c>
      <c r="D4222">
        <v>1</v>
      </c>
      <c r="E4222">
        <v>1</v>
      </c>
      <c r="F4222">
        <v>1</v>
      </c>
      <c r="G4222">
        <v>1</v>
      </c>
      <c r="H4222">
        <v>0.12</v>
      </c>
      <c r="I4222">
        <v>0</v>
      </c>
      <c r="J4222">
        <v>0</v>
      </c>
      <c r="K4222">
        <v>0</v>
      </c>
      <c r="L4222">
        <v>1</v>
      </c>
      <c r="M4222">
        <v>1</v>
      </c>
      <c r="N4222">
        <v>1</v>
      </c>
      <c r="P4222">
        <v>0</v>
      </c>
      <c r="Q4222">
        <v>0</v>
      </c>
      <c r="R4222">
        <v>0</v>
      </c>
      <c r="S4222">
        <v>0</v>
      </c>
    </row>
    <row r="4223" spans="1:19" hidden="1" x14ac:dyDescent="0.35">
      <c r="A4223">
        <v>57201092133</v>
      </c>
      <c r="B4223" t="s">
        <v>4222</v>
      </c>
      <c r="C4223" t="str">
        <f>_xlfn.XLOOKUP(A4223,[1]Affiliations!$J$2:$J$5328,[1]Affiliations!$K$2:$K$5328,0)</f>
        <v>Federal University of Rio de Janeiro</v>
      </c>
      <c r="D4223">
        <v>9</v>
      </c>
      <c r="E4223">
        <v>51</v>
      </c>
      <c r="F4223">
        <v>5.6666664999999998</v>
      </c>
      <c r="G4223">
        <v>4</v>
      </c>
      <c r="H4223">
        <v>0.57999999999999996</v>
      </c>
      <c r="I4223">
        <v>0</v>
      </c>
      <c r="J4223">
        <v>0</v>
      </c>
      <c r="K4223">
        <v>1</v>
      </c>
      <c r="L4223">
        <v>5</v>
      </c>
      <c r="M4223">
        <v>7</v>
      </c>
      <c r="N4223">
        <v>9</v>
      </c>
      <c r="P4223">
        <v>0</v>
      </c>
      <c r="Q4223">
        <v>0</v>
      </c>
      <c r="R4223">
        <v>0</v>
      </c>
      <c r="S4223">
        <v>2</v>
      </c>
    </row>
    <row r="4224" spans="1:19" x14ac:dyDescent="0.35">
      <c r="A4224">
        <v>57190382012</v>
      </c>
      <c r="B4224" t="s">
        <v>404</v>
      </c>
      <c r="C4224" t="str">
        <f>_xlfn.XLOOKUP(A4224,[1]Affiliations!$J$2:$J$5328,[1]Affiliations!$K$2:$K$5328,0)</f>
        <v>Universidade Federal do Espírito Santo (+2 more)</v>
      </c>
      <c r="D4224">
        <v>12</v>
      </c>
      <c r="E4224">
        <v>228</v>
      </c>
      <c r="F4224">
        <v>19</v>
      </c>
      <c r="G4224">
        <v>7</v>
      </c>
      <c r="H4224">
        <v>0.68</v>
      </c>
      <c r="I4224">
        <v>0</v>
      </c>
      <c r="J4224">
        <v>3</v>
      </c>
      <c r="K4224">
        <v>5</v>
      </c>
      <c r="L4224">
        <v>7</v>
      </c>
      <c r="M4224">
        <v>10</v>
      </c>
      <c r="N4224">
        <v>12</v>
      </c>
      <c r="P4224">
        <v>0</v>
      </c>
      <c r="Q4224">
        <v>0</v>
      </c>
      <c r="R4224">
        <v>1</v>
      </c>
      <c r="S4224">
        <v>5</v>
      </c>
    </row>
    <row r="4225" spans="1:19" hidden="1" x14ac:dyDescent="0.35">
      <c r="A4225">
        <v>57205722999</v>
      </c>
      <c r="B4225" t="s">
        <v>4224</v>
      </c>
      <c r="C4225" t="str">
        <f>_xlfn.XLOOKUP(A4225,[1]Affiliations!$J$2:$J$5328,[1]Affiliations!$K$2:$K$5328,0)</f>
        <v>Universidade Federal Fluminense</v>
      </c>
      <c r="D4225">
        <v>6</v>
      </c>
      <c r="E4225">
        <v>42</v>
      </c>
      <c r="F4225">
        <v>7</v>
      </c>
      <c r="G4225">
        <v>5</v>
      </c>
      <c r="H4225">
        <v>0.44</v>
      </c>
      <c r="I4225">
        <v>0</v>
      </c>
      <c r="J4225">
        <v>1</v>
      </c>
      <c r="K4225">
        <v>1</v>
      </c>
      <c r="L4225">
        <v>2</v>
      </c>
      <c r="M4225">
        <v>2</v>
      </c>
      <c r="N4225">
        <v>3</v>
      </c>
      <c r="P4225">
        <v>0</v>
      </c>
      <c r="Q4225">
        <v>0</v>
      </c>
      <c r="R4225">
        <v>0</v>
      </c>
      <c r="S4225">
        <v>0</v>
      </c>
    </row>
    <row r="4226" spans="1:19" hidden="1" x14ac:dyDescent="0.35">
      <c r="A4226">
        <v>56480680200</v>
      </c>
      <c r="B4226" t="s">
        <v>4225</v>
      </c>
      <c r="C4226" t="str">
        <f>_xlfn.XLOOKUP(A4226,[1]Affiliations!$J$2:$J$5328,[1]Affiliations!$K$2:$K$5328,0)</f>
        <v>Universidade Federal Fluminense</v>
      </c>
      <c r="D4226">
        <v>5</v>
      </c>
      <c r="E4226">
        <v>48</v>
      </c>
      <c r="F4226">
        <v>9.6</v>
      </c>
      <c r="G4226">
        <v>4</v>
      </c>
      <c r="H4226">
        <v>0.41</v>
      </c>
      <c r="I4226">
        <v>0</v>
      </c>
      <c r="J4226">
        <v>0</v>
      </c>
      <c r="K4226">
        <v>2</v>
      </c>
      <c r="L4226">
        <v>3</v>
      </c>
      <c r="M4226">
        <v>5</v>
      </c>
      <c r="N4226">
        <v>5</v>
      </c>
      <c r="P4226">
        <v>0</v>
      </c>
      <c r="Q4226">
        <v>0</v>
      </c>
      <c r="R4226">
        <v>0</v>
      </c>
      <c r="S4226">
        <v>1</v>
      </c>
    </row>
    <row r="4227" spans="1:19" hidden="1" x14ac:dyDescent="0.35">
      <c r="A4227">
        <v>7102660020</v>
      </c>
      <c r="B4227" t="s">
        <v>4226</v>
      </c>
      <c r="C4227" t="str">
        <f>_xlfn.XLOOKUP(A4227,[1]Affiliations!$J$2:$J$5328,[1]Affiliations!$K$2:$K$5328,0)</f>
        <v>Pontifical Catholic University of Rio de Janeiro</v>
      </c>
      <c r="D4227">
        <v>9</v>
      </c>
      <c r="E4227">
        <v>164</v>
      </c>
      <c r="F4227">
        <v>18.222221000000001</v>
      </c>
      <c r="G4227">
        <v>28</v>
      </c>
      <c r="H4227">
        <v>0.76</v>
      </c>
      <c r="I4227">
        <v>0</v>
      </c>
      <c r="J4227">
        <v>2</v>
      </c>
      <c r="K4227">
        <v>2</v>
      </c>
      <c r="L4227">
        <v>7</v>
      </c>
      <c r="M4227">
        <v>8</v>
      </c>
      <c r="N4227">
        <v>8</v>
      </c>
      <c r="P4227">
        <v>0</v>
      </c>
      <c r="Q4227">
        <v>0</v>
      </c>
      <c r="R4227">
        <v>0</v>
      </c>
      <c r="S4227">
        <v>4</v>
      </c>
    </row>
    <row r="4228" spans="1:19" hidden="1" x14ac:dyDescent="0.35">
      <c r="A4228">
        <v>58677901300</v>
      </c>
      <c r="B4228" t="s">
        <v>4227</v>
      </c>
      <c r="C4228" t="str">
        <f>_xlfn.XLOOKUP(A4228,[1]Affiliations!$J$2:$J$5328,[1]Affiliations!$K$2:$K$5328,0)</f>
        <v>SENAI Innovation Institute of Green Chemistry</v>
      </c>
      <c r="D4228">
        <v>1</v>
      </c>
      <c r="E4228">
        <v>0</v>
      </c>
      <c r="F4228">
        <v>0</v>
      </c>
      <c r="G4228">
        <v>0</v>
      </c>
      <c r="H4228">
        <v>0</v>
      </c>
      <c r="P4228">
        <v>0</v>
      </c>
      <c r="Q4228">
        <v>0</v>
      </c>
      <c r="R4228">
        <v>0</v>
      </c>
      <c r="S4228">
        <v>0</v>
      </c>
    </row>
    <row r="4229" spans="1:19" x14ac:dyDescent="0.35">
      <c r="A4229">
        <v>57207793557</v>
      </c>
      <c r="B4229" t="s">
        <v>853</v>
      </c>
      <c r="C4229" t="str">
        <f>_xlfn.XLOOKUP(A4229,[1]Affiliations!$J$2:$J$5328,[1]Affiliations!$K$2:$K$5328,0)</f>
        <v>Universidade Federal de Santa Maria</v>
      </c>
      <c r="D4229">
        <v>16</v>
      </c>
      <c r="E4229">
        <v>164</v>
      </c>
      <c r="F4229">
        <v>10.25</v>
      </c>
      <c r="G4229">
        <v>9</v>
      </c>
      <c r="H4229">
        <v>0.68</v>
      </c>
      <c r="I4229">
        <v>2</v>
      </c>
      <c r="J4229">
        <v>5</v>
      </c>
      <c r="K4229">
        <v>5</v>
      </c>
      <c r="L4229">
        <v>11</v>
      </c>
      <c r="M4229">
        <v>15</v>
      </c>
      <c r="N4229">
        <v>15</v>
      </c>
      <c r="P4229">
        <v>0</v>
      </c>
      <c r="Q4229">
        <v>0</v>
      </c>
      <c r="R4229">
        <v>2</v>
      </c>
      <c r="S4229">
        <v>7</v>
      </c>
    </row>
    <row r="4230" spans="1:19" hidden="1" x14ac:dyDescent="0.35">
      <c r="A4230">
        <v>36987223300</v>
      </c>
      <c r="B4230" t="s">
        <v>4229</v>
      </c>
      <c r="C4230" t="str">
        <f>_xlfn.XLOOKUP(A4230,[1]Affiliations!$J$2:$J$5328,[1]Affiliations!$K$2:$K$5328,0)</f>
        <v>Pontifical Catholic University of Rio de Janeiro</v>
      </c>
      <c r="D4230">
        <v>6</v>
      </c>
      <c r="E4230">
        <v>38</v>
      </c>
      <c r="F4230">
        <v>6.3333335000000002</v>
      </c>
      <c r="G4230">
        <v>3</v>
      </c>
      <c r="H4230">
        <v>0.9</v>
      </c>
      <c r="I4230">
        <v>0</v>
      </c>
      <c r="J4230">
        <v>0</v>
      </c>
      <c r="K4230">
        <v>0</v>
      </c>
      <c r="L4230">
        <v>1</v>
      </c>
      <c r="M4230">
        <v>1</v>
      </c>
      <c r="N4230">
        <v>4</v>
      </c>
      <c r="P4230">
        <v>0</v>
      </c>
      <c r="Q4230">
        <v>0</v>
      </c>
      <c r="R4230">
        <v>0</v>
      </c>
      <c r="S4230">
        <v>1</v>
      </c>
    </row>
    <row r="4231" spans="1:19" hidden="1" x14ac:dyDescent="0.35">
      <c r="A4231">
        <v>59235400700</v>
      </c>
      <c r="B4231" t="s">
        <v>4230</v>
      </c>
      <c r="C4231" t="str">
        <f>_xlfn.XLOOKUP(A4231,[1]Affiliations!$J$2:$J$5328,[1]Affiliations!$K$2:$K$5328,0)</f>
        <v>Pontifícia Universidade Católica do Rio Grande do Sul</v>
      </c>
      <c r="D4231">
        <v>1</v>
      </c>
      <c r="E4231">
        <v>4</v>
      </c>
      <c r="F4231">
        <v>4</v>
      </c>
      <c r="G4231">
        <v>1</v>
      </c>
      <c r="H4231">
        <v>0.54</v>
      </c>
      <c r="I4231">
        <v>0</v>
      </c>
      <c r="J4231">
        <v>0</v>
      </c>
      <c r="K4231">
        <v>0</v>
      </c>
      <c r="L4231">
        <v>1</v>
      </c>
      <c r="M4231">
        <v>1</v>
      </c>
      <c r="N4231">
        <v>1</v>
      </c>
      <c r="P4231">
        <v>0</v>
      </c>
      <c r="Q4231">
        <v>0</v>
      </c>
      <c r="R4231">
        <v>0</v>
      </c>
      <c r="S4231">
        <v>0</v>
      </c>
    </row>
    <row r="4232" spans="1:19" hidden="1" x14ac:dyDescent="0.35">
      <c r="A4232">
        <v>57192959717</v>
      </c>
      <c r="B4232" t="s">
        <v>4231</v>
      </c>
      <c r="C4232" t="str">
        <f>_xlfn.XLOOKUP(A4232,[1]Affiliations!$J$2:$J$5328,[1]Affiliations!$K$2:$K$5328,0)</f>
        <v>Senior Researcher</v>
      </c>
      <c r="D4232">
        <v>18</v>
      </c>
      <c r="E4232">
        <v>232</v>
      </c>
      <c r="F4232">
        <v>12.888889000000001</v>
      </c>
      <c r="G4232">
        <v>8</v>
      </c>
      <c r="H4232">
        <v>0.64</v>
      </c>
      <c r="I4232">
        <v>0</v>
      </c>
      <c r="J4232">
        <v>1</v>
      </c>
      <c r="K4232">
        <v>4</v>
      </c>
      <c r="L4232">
        <v>10</v>
      </c>
      <c r="M4232">
        <v>13</v>
      </c>
      <c r="N4232">
        <v>17</v>
      </c>
      <c r="P4232">
        <v>0</v>
      </c>
      <c r="Q4232">
        <v>0</v>
      </c>
      <c r="R4232">
        <v>0</v>
      </c>
      <c r="S4232">
        <v>4</v>
      </c>
    </row>
    <row r="4233" spans="1:19" hidden="1" x14ac:dyDescent="0.35">
      <c r="A4233">
        <v>59243383900</v>
      </c>
      <c r="B4233" t="s">
        <v>4232</v>
      </c>
      <c r="C4233" t="str">
        <f>_xlfn.XLOOKUP(A4233,[1]Affiliations!$J$2:$J$5328,[1]Affiliations!$K$2:$K$5328,0)</f>
        <v>Geological Survey of Brazil (SGB)</v>
      </c>
      <c r="D4233">
        <v>1</v>
      </c>
      <c r="E4233">
        <v>3</v>
      </c>
      <c r="F4233">
        <v>3</v>
      </c>
      <c r="G4233">
        <v>1</v>
      </c>
      <c r="H4233">
        <v>0.85</v>
      </c>
      <c r="I4233">
        <v>0</v>
      </c>
      <c r="J4233">
        <v>0</v>
      </c>
      <c r="K4233">
        <v>0</v>
      </c>
      <c r="L4233">
        <v>1</v>
      </c>
      <c r="M4233">
        <v>1</v>
      </c>
      <c r="N4233">
        <v>1</v>
      </c>
      <c r="P4233">
        <v>0</v>
      </c>
      <c r="Q4233">
        <v>0</v>
      </c>
      <c r="R4233">
        <v>0</v>
      </c>
      <c r="S4233">
        <v>0</v>
      </c>
    </row>
    <row r="4234" spans="1:19" hidden="1" x14ac:dyDescent="0.35">
      <c r="A4234">
        <v>7102196564</v>
      </c>
      <c r="B4234" t="s">
        <v>4233</v>
      </c>
      <c r="C4234" t="str">
        <f>_xlfn.XLOOKUP(A4234,[1]Affiliations!$J$2:$J$5328,[1]Affiliations!$K$2:$K$5328,0)</f>
        <v>Universidade Federal Fluminense (+2 more)</v>
      </c>
      <c r="D4234">
        <v>15</v>
      </c>
      <c r="E4234">
        <v>185</v>
      </c>
      <c r="F4234">
        <v>12.333333</v>
      </c>
      <c r="G4234">
        <v>10</v>
      </c>
      <c r="H4234">
        <v>0.59</v>
      </c>
      <c r="I4234">
        <v>0</v>
      </c>
      <c r="J4234">
        <v>2</v>
      </c>
      <c r="K4234">
        <v>3</v>
      </c>
      <c r="L4234">
        <v>8</v>
      </c>
      <c r="M4234">
        <v>11</v>
      </c>
      <c r="N4234">
        <v>12</v>
      </c>
      <c r="P4234">
        <v>0</v>
      </c>
      <c r="Q4234">
        <v>0</v>
      </c>
      <c r="R4234">
        <v>0</v>
      </c>
      <c r="S4234">
        <v>3</v>
      </c>
    </row>
    <row r="4235" spans="1:19" hidden="1" x14ac:dyDescent="0.35">
      <c r="A4235">
        <v>57223402983</v>
      </c>
      <c r="B4235" t="s">
        <v>4234</v>
      </c>
      <c r="C4235" t="str">
        <f>_xlfn.XLOOKUP(A4235,[1]Affiliations!$J$2:$J$5328,[1]Affiliations!$K$2:$K$5328,0)</f>
        <v>Federal University of Santa Catarina</v>
      </c>
      <c r="D4235">
        <v>1</v>
      </c>
      <c r="E4235">
        <v>2</v>
      </c>
      <c r="F4235">
        <v>2</v>
      </c>
      <c r="G4235">
        <v>1</v>
      </c>
      <c r="H4235">
        <v>1.66</v>
      </c>
      <c r="P4235">
        <v>0</v>
      </c>
      <c r="Q4235">
        <v>0</v>
      </c>
      <c r="R4235">
        <v>0</v>
      </c>
      <c r="S4235">
        <v>0</v>
      </c>
    </row>
    <row r="4236" spans="1:19" hidden="1" x14ac:dyDescent="0.35">
      <c r="A4236">
        <v>36977450200</v>
      </c>
      <c r="B4236" t="s">
        <v>4235</v>
      </c>
      <c r="C4236" t="str">
        <f>_xlfn.XLOOKUP(A4236,[1]Affiliations!$J$2:$J$5328,[1]Affiliations!$K$2:$K$5328,0)</f>
        <v>Federal University of Rio de Janeiro</v>
      </c>
      <c r="D4236">
        <v>10</v>
      </c>
      <c r="E4236">
        <v>101</v>
      </c>
      <c r="F4236">
        <v>10.1</v>
      </c>
      <c r="G4236">
        <v>8</v>
      </c>
      <c r="H4236">
        <v>0.59</v>
      </c>
      <c r="I4236">
        <v>0</v>
      </c>
      <c r="J4236">
        <v>1</v>
      </c>
      <c r="K4236">
        <v>1</v>
      </c>
      <c r="L4236">
        <v>5</v>
      </c>
      <c r="M4236">
        <v>6</v>
      </c>
      <c r="N4236">
        <v>7</v>
      </c>
      <c r="P4236">
        <v>0</v>
      </c>
      <c r="Q4236">
        <v>0</v>
      </c>
      <c r="R4236">
        <v>0</v>
      </c>
      <c r="S4236">
        <v>2</v>
      </c>
    </row>
    <row r="4237" spans="1:19" hidden="1" x14ac:dyDescent="0.35">
      <c r="A4237">
        <v>57189385718</v>
      </c>
      <c r="B4237" t="s">
        <v>4236</v>
      </c>
      <c r="C4237" t="str">
        <f>_xlfn.XLOOKUP(A4237,[1]Affiliations!$J$2:$J$5328,[1]Affiliations!$K$2:$K$5328,0)</f>
        <v>Universidade Federal do Rio Grande do Norte (+1 more)</v>
      </c>
      <c r="D4237">
        <v>8</v>
      </c>
      <c r="E4237">
        <v>52</v>
      </c>
      <c r="F4237">
        <v>6.5</v>
      </c>
      <c r="G4237">
        <v>4</v>
      </c>
      <c r="H4237">
        <v>0.37</v>
      </c>
      <c r="I4237">
        <v>0</v>
      </c>
      <c r="J4237">
        <v>0</v>
      </c>
      <c r="K4237">
        <v>2</v>
      </c>
      <c r="L4237">
        <v>4</v>
      </c>
      <c r="M4237">
        <v>4</v>
      </c>
      <c r="N4237">
        <v>4</v>
      </c>
      <c r="P4237">
        <v>0</v>
      </c>
      <c r="Q4237">
        <v>0</v>
      </c>
      <c r="R4237">
        <v>0</v>
      </c>
      <c r="S4237">
        <v>0</v>
      </c>
    </row>
    <row r="4238" spans="1:19" x14ac:dyDescent="0.35">
      <c r="A4238">
        <v>6507615073</v>
      </c>
      <c r="B4238" t="s">
        <v>1061</v>
      </c>
      <c r="C4238" t="str">
        <f>_xlfn.XLOOKUP(A4238,[1]Affiliations!$J$2:$J$5328,[1]Affiliations!$K$2:$K$5328,0)</f>
        <v>Universidade Federal do ABC</v>
      </c>
      <c r="D4238">
        <v>24</v>
      </c>
      <c r="E4238">
        <v>357</v>
      </c>
      <c r="F4238">
        <v>14.875</v>
      </c>
      <c r="G4238">
        <v>18</v>
      </c>
      <c r="H4238">
        <v>0.68</v>
      </c>
      <c r="I4238">
        <v>0</v>
      </c>
      <c r="J4238">
        <v>3</v>
      </c>
      <c r="K4238">
        <v>7</v>
      </c>
      <c r="L4238">
        <v>15</v>
      </c>
      <c r="M4238">
        <v>20</v>
      </c>
      <c r="N4238">
        <v>22</v>
      </c>
      <c r="P4238">
        <v>0</v>
      </c>
      <c r="Q4238">
        <v>0</v>
      </c>
      <c r="R4238">
        <v>1</v>
      </c>
      <c r="S4238">
        <v>6</v>
      </c>
    </row>
    <row r="4239" spans="1:19" hidden="1" x14ac:dyDescent="0.35">
      <c r="A4239">
        <v>37059669500</v>
      </c>
      <c r="B4239" t="s">
        <v>4238</v>
      </c>
      <c r="C4239" t="str">
        <f>_xlfn.XLOOKUP(A4239,[1]Affiliations!$J$2:$J$5328,[1]Affiliations!$K$2:$K$5328,0)</f>
        <v>University of Campinas</v>
      </c>
      <c r="D4239">
        <v>0</v>
      </c>
      <c r="G4239">
        <v>2</v>
      </c>
    </row>
    <row r="4240" spans="1:19" x14ac:dyDescent="0.35">
      <c r="A4240">
        <v>7006048933</v>
      </c>
      <c r="B4240" t="s">
        <v>1462</v>
      </c>
      <c r="C4240" t="str">
        <f>_xlfn.XLOOKUP(A4240,[1]Affiliations!$J$2:$J$5328,[1]Affiliations!$K$2:$K$5328,0)</f>
        <v>Universidade Federal de Santa Maria</v>
      </c>
      <c r="D4240">
        <v>66</v>
      </c>
      <c r="E4240">
        <v>908</v>
      </c>
      <c r="F4240">
        <v>13.757576</v>
      </c>
      <c r="G4240">
        <v>31</v>
      </c>
      <c r="H4240">
        <v>0.68</v>
      </c>
      <c r="I4240">
        <v>0</v>
      </c>
      <c r="J4240">
        <v>7</v>
      </c>
      <c r="K4240">
        <v>13</v>
      </c>
      <c r="L4240">
        <v>31</v>
      </c>
      <c r="M4240">
        <v>48</v>
      </c>
      <c r="N4240">
        <v>61</v>
      </c>
      <c r="P4240">
        <v>0</v>
      </c>
      <c r="Q4240">
        <v>0</v>
      </c>
      <c r="R4240">
        <v>1</v>
      </c>
      <c r="S4240">
        <v>13</v>
      </c>
    </row>
    <row r="4241" spans="1:19" hidden="1" x14ac:dyDescent="0.35">
      <c r="A4241">
        <v>57214990298</v>
      </c>
      <c r="B4241" t="s">
        <v>4240</v>
      </c>
      <c r="C4241" t="str">
        <f>_xlfn.XLOOKUP(A4241,[1]Affiliations!$J$2:$J$5328,[1]Affiliations!$K$2:$K$5328,0)</f>
        <v>WIKKI Brasil LTDA</v>
      </c>
      <c r="D4241">
        <v>5</v>
      </c>
      <c r="E4241">
        <v>33</v>
      </c>
      <c r="F4241">
        <v>6.6</v>
      </c>
      <c r="G4241">
        <v>4</v>
      </c>
      <c r="H4241">
        <v>0.55000000000000004</v>
      </c>
      <c r="I4241">
        <v>0</v>
      </c>
      <c r="J4241">
        <v>2</v>
      </c>
      <c r="K4241">
        <v>3</v>
      </c>
      <c r="L4241">
        <v>5</v>
      </c>
      <c r="M4241">
        <v>5</v>
      </c>
      <c r="N4241">
        <v>5</v>
      </c>
      <c r="P4241">
        <v>0</v>
      </c>
      <c r="Q4241">
        <v>0</v>
      </c>
      <c r="R4241">
        <v>0</v>
      </c>
      <c r="S4241">
        <v>0</v>
      </c>
    </row>
    <row r="4242" spans="1:19" hidden="1" x14ac:dyDescent="0.35">
      <c r="A4242">
        <v>57204937616</v>
      </c>
      <c r="B4242" t="s">
        <v>4241</v>
      </c>
      <c r="C4242" t="str">
        <f>_xlfn.XLOOKUP(A4242,[1]Affiliations!$J$2:$J$5328,[1]Affiliations!$K$2:$K$5328,0)</f>
        <v>Universidade Federal do Espírito Santo</v>
      </c>
      <c r="D4242">
        <v>1</v>
      </c>
      <c r="E4242">
        <v>17</v>
      </c>
      <c r="F4242">
        <v>17</v>
      </c>
      <c r="G4242">
        <v>1</v>
      </c>
      <c r="H4242">
        <v>0.28999999999999998</v>
      </c>
      <c r="I4242">
        <v>0</v>
      </c>
      <c r="J4242">
        <v>0</v>
      </c>
      <c r="K4242">
        <v>1</v>
      </c>
      <c r="L4242">
        <v>1</v>
      </c>
      <c r="M4242">
        <v>1</v>
      </c>
      <c r="N4242">
        <v>1</v>
      </c>
      <c r="P4242">
        <v>0</v>
      </c>
      <c r="Q4242">
        <v>0</v>
      </c>
      <c r="R4242">
        <v>0</v>
      </c>
      <c r="S4242">
        <v>0</v>
      </c>
    </row>
    <row r="4243" spans="1:19" hidden="1" x14ac:dyDescent="0.35">
      <c r="A4243">
        <v>57075743900</v>
      </c>
      <c r="B4243" t="s">
        <v>4242</v>
      </c>
      <c r="C4243" t="str">
        <f>_xlfn.XLOOKUP(A4243,[1]Affiliations!$J$2:$J$5328,[1]Affiliations!$K$2:$K$5328,0)</f>
        <v>Universidade Federal do Espírito Santo (+1 more)</v>
      </c>
      <c r="D4243">
        <v>3</v>
      </c>
      <c r="E4243">
        <v>91</v>
      </c>
      <c r="F4243">
        <v>30.333334000000001</v>
      </c>
      <c r="G4243">
        <v>3</v>
      </c>
      <c r="H4243">
        <v>1.04</v>
      </c>
      <c r="I4243">
        <v>0</v>
      </c>
      <c r="J4243">
        <v>0</v>
      </c>
      <c r="K4243">
        <v>2</v>
      </c>
      <c r="L4243">
        <v>3</v>
      </c>
      <c r="M4243">
        <v>3</v>
      </c>
      <c r="N4243">
        <v>3</v>
      </c>
      <c r="P4243">
        <v>0</v>
      </c>
      <c r="Q4243">
        <v>0</v>
      </c>
      <c r="R4243">
        <v>0</v>
      </c>
      <c r="S4243">
        <v>3</v>
      </c>
    </row>
    <row r="4244" spans="1:19" hidden="1" x14ac:dyDescent="0.35">
      <c r="A4244">
        <v>8697291000</v>
      </c>
      <c r="B4244" t="s">
        <v>4243</v>
      </c>
      <c r="C4244" t="str">
        <f>_xlfn.XLOOKUP(A4244,[1]Affiliations!$J$2:$J$5328,[1]Affiliations!$K$2:$K$5328,0)</f>
        <v>Universidade Federal do Rio Grande do Sul</v>
      </c>
      <c r="D4244">
        <v>12</v>
      </c>
      <c r="E4244">
        <v>107</v>
      </c>
      <c r="F4244">
        <v>8.9166670000000003</v>
      </c>
      <c r="G4244">
        <v>10</v>
      </c>
      <c r="H4244">
        <v>0.34</v>
      </c>
      <c r="I4244">
        <v>0</v>
      </c>
      <c r="J4244">
        <v>0</v>
      </c>
      <c r="K4244">
        <v>1</v>
      </c>
      <c r="L4244">
        <v>9</v>
      </c>
      <c r="M4244">
        <v>11</v>
      </c>
      <c r="N4244">
        <v>12</v>
      </c>
      <c r="P4244">
        <v>0</v>
      </c>
      <c r="Q4244">
        <v>0</v>
      </c>
      <c r="R4244">
        <v>0</v>
      </c>
      <c r="S4244">
        <v>1</v>
      </c>
    </row>
    <row r="4245" spans="1:19" x14ac:dyDescent="0.35">
      <c r="A4245">
        <v>57188718186</v>
      </c>
      <c r="B4245" t="s">
        <v>1659</v>
      </c>
      <c r="C4245" t="str">
        <f>_xlfn.XLOOKUP(A4245,[1]Affiliations!$J$2:$J$5328,[1]Affiliations!$K$2:$K$5328,0)</f>
        <v>Universidade Estadual da Paraíba</v>
      </c>
      <c r="D4245">
        <v>20</v>
      </c>
      <c r="E4245">
        <v>197</v>
      </c>
      <c r="F4245">
        <v>9.85</v>
      </c>
      <c r="G4245">
        <v>8</v>
      </c>
      <c r="H4245">
        <v>0.68</v>
      </c>
      <c r="I4245">
        <v>0</v>
      </c>
      <c r="J4245">
        <v>2</v>
      </c>
      <c r="K4245">
        <v>5</v>
      </c>
      <c r="L4245">
        <v>10</v>
      </c>
      <c r="M4245">
        <v>15</v>
      </c>
      <c r="N4245">
        <v>20</v>
      </c>
      <c r="P4245">
        <v>0</v>
      </c>
      <c r="Q4245">
        <v>1</v>
      </c>
      <c r="R4245">
        <v>1</v>
      </c>
      <c r="S4245">
        <v>4</v>
      </c>
    </row>
    <row r="4246" spans="1:19" hidden="1" x14ac:dyDescent="0.35">
      <c r="A4246">
        <v>57219272295</v>
      </c>
      <c r="B4246" t="s">
        <v>4245</v>
      </c>
      <c r="C4246" t="str">
        <f>_xlfn.XLOOKUP(A4246,[1]Affiliations!$J$2:$J$5328,[1]Affiliations!$K$2:$K$5328,0)</f>
        <v>Federal University of Rio de Janeiro</v>
      </c>
      <c r="D4246">
        <v>7</v>
      </c>
      <c r="E4246">
        <v>35</v>
      </c>
      <c r="F4246">
        <v>5</v>
      </c>
      <c r="G4246">
        <v>4</v>
      </c>
      <c r="H4246">
        <v>0.46</v>
      </c>
      <c r="I4246">
        <v>0</v>
      </c>
      <c r="J4246">
        <v>1</v>
      </c>
      <c r="K4246">
        <v>1</v>
      </c>
      <c r="L4246">
        <v>2</v>
      </c>
      <c r="M4246">
        <v>6</v>
      </c>
      <c r="N4246">
        <v>6</v>
      </c>
      <c r="P4246">
        <v>0</v>
      </c>
      <c r="Q4246">
        <v>0</v>
      </c>
      <c r="R4246">
        <v>0</v>
      </c>
      <c r="S4246">
        <v>2</v>
      </c>
    </row>
    <row r="4247" spans="1:19" hidden="1" x14ac:dyDescent="0.35">
      <c r="A4247">
        <v>7102481288</v>
      </c>
      <c r="B4247" t="s">
        <v>4246</v>
      </c>
      <c r="C4247" t="str">
        <f>_xlfn.XLOOKUP(A4247,[1]Affiliations!$J$2:$J$5328,[1]Affiliations!$K$2:$K$5328,0)</f>
        <v>Universidade do Estado do Rio de Janeiro (+1 more)</v>
      </c>
      <c r="D4247">
        <v>17</v>
      </c>
      <c r="E4247">
        <v>243</v>
      </c>
      <c r="F4247">
        <v>14.294117999999999</v>
      </c>
      <c r="G4247">
        <v>19</v>
      </c>
      <c r="H4247">
        <v>0.47</v>
      </c>
      <c r="I4247">
        <v>0</v>
      </c>
      <c r="J4247">
        <v>0</v>
      </c>
      <c r="K4247">
        <v>0</v>
      </c>
      <c r="L4247">
        <v>2</v>
      </c>
      <c r="M4247">
        <v>7</v>
      </c>
      <c r="N4247">
        <v>10</v>
      </c>
      <c r="P4247">
        <v>0</v>
      </c>
      <c r="Q4247">
        <v>0</v>
      </c>
      <c r="R4247">
        <v>2</v>
      </c>
      <c r="S4247">
        <v>5</v>
      </c>
    </row>
    <row r="4248" spans="1:19" x14ac:dyDescent="0.35">
      <c r="A4248">
        <v>55324737500</v>
      </c>
      <c r="B4248" t="s">
        <v>1832</v>
      </c>
      <c r="C4248" t="str">
        <f>_xlfn.XLOOKUP(A4248,[1]Affiliations!$J$2:$J$5328,[1]Affiliations!$K$2:$K$5328,0)</f>
        <v>Universidade Federal de Viçosa</v>
      </c>
      <c r="D4248">
        <v>38</v>
      </c>
      <c r="E4248">
        <v>589</v>
      </c>
      <c r="F4248">
        <v>15.5</v>
      </c>
      <c r="G4248">
        <v>16</v>
      </c>
      <c r="H4248">
        <v>0.68</v>
      </c>
      <c r="I4248">
        <v>0</v>
      </c>
      <c r="J4248">
        <v>8</v>
      </c>
      <c r="K4248">
        <v>14</v>
      </c>
      <c r="L4248">
        <v>28</v>
      </c>
      <c r="M4248">
        <v>32</v>
      </c>
      <c r="N4248">
        <v>35</v>
      </c>
      <c r="P4248">
        <v>0</v>
      </c>
      <c r="Q4248">
        <v>0</v>
      </c>
      <c r="R4248">
        <v>2</v>
      </c>
      <c r="S4248">
        <v>15</v>
      </c>
    </row>
    <row r="4249" spans="1:19" hidden="1" x14ac:dyDescent="0.35">
      <c r="A4249">
        <v>59893320300</v>
      </c>
      <c r="B4249" t="s">
        <v>4248</v>
      </c>
      <c r="C4249" t="str">
        <f>_xlfn.XLOOKUP(A4249,[1]Affiliations!$J$2:$J$5328,[1]Affiliations!$K$2:$K$5328,0)</f>
        <v>Universidade Federal de Campina Grande (+1 more)</v>
      </c>
      <c r="D4249">
        <v>0</v>
      </c>
      <c r="G4249">
        <v>0</v>
      </c>
    </row>
    <row r="4250" spans="1:19" hidden="1" x14ac:dyDescent="0.35">
      <c r="A4250">
        <v>57196327571</v>
      </c>
      <c r="B4250" t="s">
        <v>4249</v>
      </c>
      <c r="C4250" t="str">
        <f>_xlfn.XLOOKUP(A4250,[1]Affiliations!$J$2:$J$5328,[1]Affiliations!$K$2:$K$5328,0)</f>
        <v>Universidade Federal de Viçosa</v>
      </c>
      <c r="D4250">
        <v>1</v>
      </c>
      <c r="E4250">
        <v>36</v>
      </c>
      <c r="F4250">
        <v>36</v>
      </c>
      <c r="G4250">
        <v>1</v>
      </c>
      <c r="H4250">
        <v>1.78</v>
      </c>
      <c r="I4250">
        <v>0</v>
      </c>
      <c r="J4250">
        <v>0</v>
      </c>
      <c r="K4250">
        <v>1</v>
      </c>
      <c r="L4250">
        <v>1</v>
      </c>
      <c r="M4250">
        <v>1</v>
      </c>
      <c r="N4250">
        <v>1</v>
      </c>
      <c r="P4250">
        <v>0</v>
      </c>
      <c r="Q4250">
        <v>0</v>
      </c>
      <c r="R4250">
        <v>0</v>
      </c>
      <c r="S4250">
        <v>1</v>
      </c>
    </row>
    <row r="4251" spans="1:19" hidden="1" x14ac:dyDescent="0.35">
      <c r="A4251">
        <v>56494431100</v>
      </c>
      <c r="B4251" t="s">
        <v>4250</v>
      </c>
      <c r="C4251" t="str">
        <f>_xlfn.XLOOKUP(A4251,[1]Affiliations!$J$2:$J$5328,[1]Affiliations!$K$2:$K$5328,0)</f>
        <v>Universidade Federal do Espírito Santo</v>
      </c>
      <c r="D4251">
        <v>2</v>
      </c>
      <c r="E4251">
        <v>14</v>
      </c>
      <c r="F4251">
        <v>7</v>
      </c>
      <c r="G4251">
        <v>3</v>
      </c>
      <c r="H4251">
        <v>0.28999999999999998</v>
      </c>
      <c r="I4251">
        <v>0</v>
      </c>
      <c r="J4251">
        <v>0</v>
      </c>
      <c r="K4251">
        <v>1</v>
      </c>
      <c r="L4251">
        <v>1</v>
      </c>
      <c r="M4251">
        <v>1</v>
      </c>
      <c r="N4251">
        <v>1</v>
      </c>
      <c r="P4251">
        <v>0</v>
      </c>
      <c r="Q4251">
        <v>0</v>
      </c>
      <c r="R4251">
        <v>0</v>
      </c>
      <c r="S4251">
        <v>0</v>
      </c>
    </row>
    <row r="4252" spans="1:19" x14ac:dyDescent="0.35">
      <c r="A4252">
        <v>6506108023</v>
      </c>
      <c r="B4252" t="s">
        <v>2267</v>
      </c>
      <c r="C4252" t="str">
        <f>_xlfn.XLOOKUP(A4252,[1]Affiliations!$J$2:$J$5328,[1]Affiliations!$K$2:$K$5328,0)</f>
        <v>Universidade Tiradentes</v>
      </c>
      <c r="D4252">
        <v>11</v>
      </c>
      <c r="E4252">
        <v>231</v>
      </c>
      <c r="F4252">
        <v>21</v>
      </c>
      <c r="G4252">
        <v>21</v>
      </c>
      <c r="H4252">
        <v>0.68</v>
      </c>
      <c r="I4252">
        <v>0</v>
      </c>
      <c r="J4252">
        <v>1</v>
      </c>
      <c r="K4252">
        <v>1</v>
      </c>
      <c r="L4252">
        <v>5</v>
      </c>
      <c r="M4252">
        <v>9</v>
      </c>
      <c r="N4252">
        <v>10</v>
      </c>
      <c r="P4252">
        <v>0</v>
      </c>
      <c r="Q4252">
        <v>1</v>
      </c>
      <c r="R4252">
        <v>1</v>
      </c>
      <c r="S4252">
        <v>4</v>
      </c>
    </row>
    <row r="4253" spans="1:19" x14ac:dyDescent="0.35">
      <c r="A4253">
        <v>23034535400</v>
      </c>
      <c r="B4253" t="s">
        <v>2270</v>
      </c>
      <c r="C4253" t="str">
        <f>_xlfn.XLOOKUP(A4253,[1]Affiliations!$J$2:$J$5328,[1]Affiliations!$K$2:$K$5328,0)</f>
        <v>Centro Brasileiro de Pesquisas Físicas (+1 more)</v>
      </c>
      <c r="D4253">
        <v>40</v>
      </c>
      <c r="E4253">
        <v>183</v>
      </c>
      <c r="F4253">
        <v>4.5750000000000002</v>
      </c>
      <c r="G4253">
        <v>9</v>
      </c>
      <c r="H4253">
        <v>0.68</v>
      </c>
      <c r="I4253">
        <v>0</v>
      </c>
      <c r="J4253">
        <v>1</v>
      </c>
      <c r="K4253">
        <v>2</v>
      </c>
      <c r="L4253">
        <v>10</v>
      </c>
      <c r="M4253">
        <v>12</v>
      </c>
      <c r="N4253">
        <v>13</v>
      </c>
      <c r="P4253">
        <v>0</v>
      </c>
      <c r="Q4253">
        <v>0</v>
      </c>
      <c r="R4253">
        <v>2</v>
      </c>
      <c r="S4253">
        <v>6</v>
      </c>
    </row>
    <row r="4254" spans="1:19" x14ac:dyDescent="0.35">
      <c r="A4254">
        <v>23004620800</v>
      </c>
      <c r="B4254" t="s">
        <v>2628</v>
      </c>
      <c r="C4254" t="str">
        <f>_xlfn.XLOOKUP(A4254,[1]Affiliations!$J$2:$J$5328,[1]Affiliations!$K$2:$K$5328,0)</f>
        <v>Universidade Federal de Minas Gerais</v>
      </c>
      <c r="D4254">
        <v>50</v>
      </c>
      <c r="E4254">
        <v>689</v>
      </c>
      <c r="F4254">
        <v>13.78</v>
      </c>
      <c r="G4254">
        <v>23</v>
      </c>
      <c r="H4254">
        <v>0.68</v>
      </c>
      <c r="I4254">
        <v>0</v>
      </c>
      <c r="J4254">
        <v>5</v>
      </c>
      <c r="K4254">
        <v>12</v>
      </c>
      <c r="L4254">
        <v>33</v>
      </c>
      <c r="M4254">
        <v>46</v>
      </c>
      <c r="N4254">
        <v>50</v>
      </c>
      <c r="P4254">
        <v>0</v>
      </c>
      <c r="Q4254">
        <v>0</v>
      </c>
      <c r="R4254">
        <v>2</v>
      </c>
      <c r="S4254">
        <v>18</v>
      </c>
    </row>
    <row r="4255" spans="1:19" hidden="1" x14ac:dyDescent="0.35">
      <c r="A4255">
        <v>57191092056</v>
      </c>
      <c r="B4255" t="s">
        <v>4254</v>
      </c>
      <c r="C4255" t="str">
        <f>_xlfn.XLOOKUP(A4255,[1]Affiliations!$J$2:$J$5328,[1]Affiliations!$K$2:$K$5328,0)</f>
        <v>Serviço Nacional de Aprendizagem Industrial</v>
      </c>
      <c r="D4255">
        <v>4</v>
      </c>
      <c r="E4255">
        <v>27</v>
      </c>
      <c r="F4255">
        <v>6.75</v>
      </c>
      <c r="G4255">
        <v>2</v>
      </c>
      <c r="H4255">
        <v>0.5</v>
      </c>
      <c r="I4255">
        <v>0</v>
      </c>
      <c r="J4255">
        <v>0</v>
      </c>
      <c r="K4255">
        <v>0</v>
      </c>
      <c r="L4255">
        <v>0</v>
      </c>
      <c r="M4255">
        <v>1</v>
      </c>
      <c r="N4255">
        <v>3</v>
      </c>
      <c r="P4255">
        <v>0</v>
      </c>
      <c r="Q4255">
        <v>0</v>
      </c>
      <c r="R4255">
        <v>0</v>
      </c>
      <c r="S4255">
        <v>0</v>
      </c>
    </row>
    <row r="4256" spans="1:19" x14ac:dyDescent="0.35">
      <c r="A4256">
        <v>16550229600</v>
      </c>
      <c r="B4256" t="s">
        <v>2822</v>
      </c>
      <c r="C4256" t="str">
        <f>_xlfn.XLOOKUP(A4256,[1]Affiliations!$J$2:$J$5328,[1]Affiliations!$K$2:$K$5328,0)</f>
        <v>Federal University of Rio de Janeiro</v>
      </c>
      <c r="D4256">
        <v>45</v>
      </c>
      <c r="E4256">
        <v>681</v>
      </c>
      <c r="F4256">
        <v>15.133333</v>
      </c>
      <c r="G4256">
        <v>18</v>
      </c>
      <c r="H4256">
        <v>0.68</v>
      </c>
      <c r="I4256">
        <v>0</v>
      </c>
      <c r="J4256">
        <v>1</v>
      </c>
      <c r="K4256">
        <v>6</v>
      </c>
      <c r="L4256">
        <v>28</v>
      </c>
      <c r="M4256">
        <v>41</v>
      </c>
      <c r="N4256">
        <v>43</v>
      </c>
      <c r="P4256">
        <v>0</v>
      </c>
      <c r="Q4256">
        <v>1</v>
      </c>
      <c r="R4256">
        <v>2</v>
      </c>
      <c r="S4256">
        <v>17</v>
      </c>
    </row>
    <row r="4257" spans="1:19" x14ac:dyDescent="0.35">
      <c r="A4257">
        <v>7801325114</v>
      </c>
      <c r="B4257" t="s">
        <v>2825</v>
      </c>
      <c r="C4257" t="str">
        <f>_xlfn.XLOOKUP(A4257,[1]Affiliations!$J$2:$J$5328,[1]Affiliations!$K$2:$K$5328,0)</f>
        <v>Federal University of Rio de Janeiro</v>
      </c>
      <c r="D4257">
        <v>15</v>
      </c>
      <c r="E4257">
        <v>266</v>
      </c>
      <c r="F4257">
        <v>17.733333999999999</v>
      </c>
      <c r="G4257">
        <v>8</v>
      </c>
      <c r="H4257">
        <v>0.68</v>
      </c>
      <c r="I4257">
        <v>0</v>
      </c>
      <c r="J4257">
        <v>1</v>
      </c>
      <c r="K4257">
        <v>3</v>
      </c>
      <c r="L4257">
        <v>6</v>
      </c>
      <c r="M4257">
        <v>14</v>
      </c>
      <c r="N4257">
        <v>14</v>
      </c>
      <c r="P4257">
        <v>0</v>
      </c>
      <c r="Q4257">
        <v>1</v>
      </c>
      <c r="R4257">
        <v>1</v>
      </c>
      <c r="S4257">
        <v>2</v>
      </c>
    </row>
    <row r="4258" spans="1:19" x14ac:dyDescent="0.35">
      <c r="A4258">
        <v>35388914000</v>
      </c>
      <c r="B4258" t="s">
        <v>2971</v>
      </c>
      <c r="C4258" t="str">
        <f>_xlfn.XLOOKUP(A4258,[1]Affiliations!$J$2:$J$5328,[1]Affiliations!$K$2:$K$5328,0)</f>
        <v>University of Campinas (+1 more)</v>
      </c>
      <c r="D4258">
        <v>15</v>
      </c>
      <c r="E4258">
        <v>277</v>
      </c>
      <c r="F4258">
        <v>18.466667000000001</v>
      </c>
      <c r="G4258">
        <v>9</v>
      </c>
      <c r="H4258">
        <v>0.68</v>
      </c>
      <c r="I4258">
        <v>0</v>
      </c>
      <c r="J4258">
        <v>3</v>
      </c>
      <c r="K4258">
        <v>4</v>
      </c>
      <c r="L4258">
        <v>8</v>
      </c>
      <c r="M4258">
        <v>12</v>
      </c>
      <c r="N4258">
        <v>15</v>
      </c>
      <c r="P4258">
        <v>0</v>
      </c>
      <c r="Q4258">
        <v>2</v>
      </c>
      <c r="R4258">
        <v>2</v>
      </c>
      <c r="S4258">
        <v>7</v>
      </c>
    </row>
    <row r="4259" spans="1:19" hidden="1" x14ac:dyDescent="0.35">
      <c r="A4259">
        <v>57191982452</v>
      </c>
      <c r="B4259" t="s">
        <v>4258</v>
      </c>
      <c r="C4259" t="str">
        <f>_xlfn.XLOOKUP(A4259,[1]Affiliations!$J$2:$J$5328,[1]Affiliations!$K$2:$K$5328,0)</f>
        <v>UFRB</v>
      </c>
      <c r="D4259">
        <v>7</v>
      </c>
      <c r="E4259">
        <v>8</v>
      </c>
      <c r="F4259">
        <v>1.1428571999999999</v>
      </c>
      <c r="G4259">
        <v>1</v>
      </c>
      <c r="H4259">
        <v>0.03</v>
      </c>
      <c r="I4259">
        <v>0</v>
      </c>
      <c r="J4259">
        <v>0</v>
      </c>
      <c r="K4259">
        <v>0</v>
      </c>
      <c r="L4259">
        <v>1</v>
      </c>
      <c r="M4259">
        <v>1</v>
      </c>
      <c r="N4259">
        <v>1</v>
      </c>
      <c r="P4259">
        <v>0</v>
      </c>
      <c r="Q4259">
        <v>0</v>
      </c>
      <c r="R4259">
        <v>0</v>
      </c>
      <c r="S4259">
        <v>0</v>
      </c>
    </row>
    <row r="4260" spans="1:19" hidden="1" x14ac:dyDescent="0.35">
      <c r="A4260">
        <v>57214721911</v>
      </c>
      <c r="B4260" t="s">
        <v>4259</v>
      </c>
      <c r="C4260" t="str">
        <f>_xlfn.XLOOKUP(A4260,[1]Affiliations!$J$2:$J$5328,[1]Affiliations!$K$2:$K$5328,0)</f>
        <v>Universidade Federal de Goiás</v>
      </c>
      <c r="D4260">
        <v>1</v>
      </c>
      <c r="E4260">
        <v>21</v>
      </c>
      <c r="F4260">
        <v>21</v>
      </c>
      <c r="G4260">
        <v>1</v>
      </c>
      <c r="H4260">
        <v>1.1000000000000001</v>
      </c>
      <c r="I4260">
        <v>0</v>
      </c>
      <c r="J4260">
        <v>0</v>
      </c>
      <c r="K4260">
        <v>1</v>
      </c>
      <c r="L4260">
        <v>1</v>
      </c>
      <c r="M4260">
        <v>1</v>
      </c>
      <c r="N4260">
        <v>1</v>
      </c>
      <c r="P4260">
        <v>0</v>
      </c>
      <c r="Q4260">
        <v>0</v>
      </c>
      <c r="R4260">
        <v>0</v>
      </c>
      <c r="S4260">
        <v>1</v>
      </c>
    </row>
    <row r="4261" spans="1:19" hidden="1" x14ac:dyDescent="0.35">
      <c r="A4261">
        <v>57934474500</v>
      </c>
      <c r="B4261" t="s">
        <v>4260</v>
      </c>
      <c r="C4261" t="str">
        <f>_xlfn.XLOOKUP(A4261,[1]Affiliations!$J$2:$J$5328,[1]Affiliations!$K$2:$K$5328,0)</f>
        <v>Universidade Federal do Piauí</v>
      </c>
      <c r="D4261">
        <v>1</v>
      </c>
      <c r="E4261">
        <v>4</v>
      </c>
      <c r="F4261">
        <v>4</v>
      </c>
      <c r="G4261">
        <v>1</v>
      </c>
      <c r="H4261">
        <v>0.1</v>
      </c>
      <c r="I4261">
        <v>0</v>
      </c>
      <c r="J4261">
        <v>0</v>
      </c>
      <c r="K4261">
        <v>0</v>
      </c>
      <c r="L4261">
        <v>0</v>
      </c>
      <c r="M4261">
        <v>1</v>
      </c>
      <c r="N4261">
        <v>1</v>
      </c>
      <c r="P4261">
        <v>0</v>
      </c>
      <c r="Q4261">
        <v>0</v>
      </c>
      <c r="R4261">
        <v>0</v>
      </c>
      <c r="S4261">
        <v>0</v>
      </c>
    </row>
    <row r="4262" spans="1:19" x14ac:dyDescent="0.35">
      <c r="A4262">
        <v>6602644981</v>
      </c>
      <c r="B4262" t="s">
        <v>2984</v>
      </c>
      <c r="C4262" t="str">
        <f>_xlfn.XLOOKUP(A4262,[1]Affiliations!$J$2:$J$5328,[1]Affiliations!$K$2:$K$5328,0)</f>
        <v>Instituto Nacional de Pesquisas Espaciais</v>
      </c>
      <c r="D4262">
        <v>17</v>
      </c>
      <c r="E4262">
        <v>238</v>
      </c>
      <c r="F4262">
        <v>14</v>
      </c>
      <c r="G4262">
        <v>17</v>
      </c>
      <c r="H4262">
        <v>0.68</v>
      </c>
      <c r="I4262">
        <v>1</v>
      </c>
      <c r="J4262">
        <v>1</v>
      </c>
      <c r="K4262">
        <v>7</v>
      </c>
      <c r="L4262">
        <v>10</v>
      </c>
      <c r="M4262">
        <v>14</v>
      </c>
      <c r="N4262">
        <v>16</v>
      </c>
      <c r="P4262">
        <v>0</v>
      </c>
      <c r="Q4262">
        <v>0</v>
      </c>
      <c r="R4262">
        <v>1</v>
      </c>
      <c r="S4262">
        <v>4</v>
      </c>
    </row>
    <row r="4263" spans="1:19" hidden="1" x14ac:dyDescent="0.35">
      <c r="A4263">
        <v>56447790600</v>
      </c>
      <c r="B4263" t="s">
        <v>4262</v>
      </c>
      <c r="C4263" t="str">
        <f>_xlfn.XLOOKUP(A4263,[1]Affiliations!$J$2:$J$5328,[1]Affiliations!$K$2:$K$5328,0)</f>
        <v>Universidade Federal do Rio Grande do Sul</v>
      </c>
      <c r="D4263">
        <v>16</v>
      </c>
      <c r="E4263">
        <v>109</v>
      </c>
      <c r="F4263">
        <v>6.8125</v>
      </c>
      <c r="G4263">
        <v>7</v>
      </c>
      <c r="H4263">
        <v>0.68</v>
      </c>
      <c r="I4263">
        <v>0</v>
      </c>
      <c r="J4263">
        <v>1</v>
      </c>
      <c r="K4263">
        <v>4</v>
      </c>
      <c r="L4263">
        <v>11</v>
      </c>
      <c r="M4263">
        <v>13</v>
      </c>
      <c r="N4263">
        <v>14</v>
      </c>
      <c r="P4263">
        <v>0</v>
      </c>
      <c r="Q4263">
        <v>0</v>
      </c>
      <c r="R4263">
        <v>0</v>
      </c>
      <c r="S4263">
        <v>4</v>
      </c>
    </row>
    <row r="4264" spans="1:19" x14ac:dyDescent="0.35">
      <c r="A4264">
        <v>56559902100</v>
      </c>
      <c r="B4264" t="s">
        <v>3099</v>
      </c>
      <c r="C4264" t="str">
        <f>_xlfn.XLOOKUP(A4264,[1]Affiliations!$J$2:$J$5328,[1]Affiliations!$K$2:$K$5328,0)</f>
        <v>Universidade Tecnológica Federal do Paraná (+2 more)</v>
      </c>
      <c r="D4264">
        <v>17</v>
      </c>
      <c r="E4264">
        <v>244</v>
      </c>
      <c r="F4264">
        <v>14.3529415</v>
      </c>
      <c r="G4264">
        <v>8</v>
      </c>
      <c r="H4264">
        <v>0.68</v>
      </c>
      <c r="I4264">
        <v>0</v>
      </c>
      <c r="J4264">
        <v>0</v>
      </c>
      <c r="K4264">
        <v>1</v>
      </c>
      <c r="L4264">
        <v>11</v>
      </c>
      <c r="M4264">
        <v>15</v>
      </c>
      <c r="N4264">
        <v>16</v>
      </c>
      <c r="P4264">
        <v>0</v>
      </c>
      <c r="Q4264">
        <v>1</v>
      </c>
      <c r="R4264">
        <v>1</v>
      </c>
      <c r="S4264">
        <v>5</v>
      </c>
    </row>
    <row r="4265" spans="1:19" hidden="1" x14ac:dyDescent="0.35">
      <c r="A4265">
        <v>36598955600</v>
      </c>
      <c r="B4265" t="s">
        <v>4264</v>
      </c>
      <c r="C4265" t="str">
        <f>_xlfn.XLOOKUP(A4265,[1]Affiliations!$J$2:$J$5328,[1]Affiliations!$K$2:$K$5328,0)</f>
        <v>Universidade Federal do Espírito Santo</v>
      </c>
      <c r="D4265">
        <v>10</v>
      </c>
      <c r="E4265">
        <v>91</v>
      </c>
      <c r="F4265">
        <v>9.1</v>
      </c>
      <c r="G4265">
        <v>9</v>
      </c>
      <c r="H4265">
        <v>0.51</v>
      </c>
      <c r="I4265">
        <v>0</v>
      </c>
      <c r="J4265">
        <v>0</v>
      </c>
      <c r="K4265">
        <v>0</v>
      </c>
      <c r="L4265">
        <v>5</v>
      </c>
      <c r="M4265">
        <v>8</v>
      </c>
      <c r="N4265">
        <v>9</v>
      </c>
      <c r="P4265">
        <v>0</v>
      </c>
      <c r="Q4265">
        <v>0</v>
      </c>
      <c r="R4265">
        <v>0</v>
      </c>
      <c r="S4265">
        <v>2</v>
      </c>
    </row>
    <row r="4266" spans="1:19" hidden="1" x14ac:dyDescent="0.35">
      <c r="A4266">
        <v>57202284338</v>
      </c>
      <c r="B4266" t="s">
        <v>4265</v>
      </c>
      <c r="C4266" t="str">
        <f>_xlfn.XLOOKUP(A4266,[1]Affiliations!$J$2:$J$5328,[1]Affiliations!$K$2:$K$5328,0)</f>
        <v>Pontifical Catholic University of Rio de Janeiro</v>
      </c>
      <c r="D4266">
        <v>15</v>
      </c>
      <c r="E4266">
        <v>83</v>
      </c>
      <c r="F4266">
        <v>5.5333332999999998</v>
      </c>
      <c r="G4266">
        <v>4</v>
      </c>
      <c r="H4266">
        <v>0.31</v>
      </c>
      <c r="I4266">
        <v>1</v>
      </c>
      <c r="J4266">
        <v>1</v>
      </c>
      <c r="K4266">
        <v>1</v>
      </c>
      <c r="L4266">
        <v>4</v>
      </c>
      <c r="M4266">
        <v>5</v>
      </c>
      <c r="N4266">
        <v>6</v>
      </c>
      <c r="P4266">
        <v>0</v>
      </c>
      <c r="Q4266">
        <v>0</v>
      </c>
      <c r="R4266">
        <v>0</v>
      </c>
      <c r="S4266">
        <v>2</v>
      </c>
    </row>
    <row r="4267" spans="1:19" hidden="1" x14ac:dyDescent="0.35">
      <c r="A4267">
        <v>7202269863</v>
      </c>
      <c r="B4267" t="s">
        <v>4266</v>
      </c>
      <c r="C4267" t="str">
        <f>_xlfn.XLOOKUP(A4267,[1]Affiliations!$J$2:$J$5328,[1]Affiliations!$K$2:$K$5328,0)</f>
        <v>Universidade Federal do Rio Grande do Sul</v>
      </c>
      <c r="D4267">
        <v>14</v>
      </c>
      <c r="E4267">
        <v>91</v>
      </c>
      <c r="F4267">
        <v>6.5</v>
      </c>
      <c r="G4267">
        <v>6</v>
      </c>
      <c r="H4267">
        <v>0.5</v>
      </c>
      <c r="I4267">
        <v>0</v>
      </c>
      <c r="J4267">
        <v>0</v>
      </c>
      <c r="K4267">
        <v>0</v>
      </c>
      <c r="L4267">
        <v>3</v>
      </c>
      <c r="M4267">
        <v>3</v>
      </c>
      <c r="N4267">
        <v>9</v>
      </c>
      <c r="P4267">
        <v>0</v>
      </c>
      <c r="Q4267">
        <v>0</v>
      </c>
      <c r="R4267">
        <v>0</v>
      </c>
      <c r="S4267">
        <v>1</v>
      </c>
    </row>
    <row r="4268" spans="1:19" hidden="1" x14ac:dyDescent="0.35">
      <c r="A4268">
        <v>58700391700</v>
      </c>
      <c r="B4268" t="s">
        <v>4267</v>
      </c>
      <c r="C4268" t="str">
        <f>_xlfn.XLOOKUP(A4268,[1]Affiliations!$J$2:$J$5328,[1]Affiliations!$K$2:$K$5328,0)</f>
        <v>Universidade Federal de Sergipe</v>
      </c>
      <c r="D4268">
        <v>1</v>
      </c>
      <c r="E4268">
        <v>2</v>
      </c>
      <c r="F4268">
        <v>2</v>
      </c>
      <c r="G4268">
        <v>1</v>
      </c>
      <c r="H4268">
        <v>0.34</v>
      </c>
      <c r="I4268">
        <v>0</v>
      </c>
      <c r="J4268">
        <v>0</v>
      </c>
      <c r="K4268">
        <v>0</v>
      </c>
      <c r="L4268">
        <v>0</v>
      </c>
      <c r="M4268">
        <v>1</v>
      </c>
      <c r="N4268">
        <v>1</v>
      </c>
      <c r="P4268">
        <v>0</v>
      </c>
      <c r="Q4268">
        <v>0</v>
      </c>
      <c r="R4268">
        <v>0</v>
      </c>
      <c r="S4268">
        <v>0</v>
      </c>
    </row>
    <row r="4269" spans="1:19" hidden="1" x14ac:dyDescent="0.35">
      <c r="A4269">
        <v>57196483025</v>
      </c>
      <c r="B4269" t="s">
        <v>4268</v>
      </c>
      <c r="C4269" t="str">
        <f>_xlfn.XLOOKUP(A4269,[1]Affiliations!$J$2:$J$5328,[1]Affiliations!$K$2:$K$5328,0)</f>
        <v>Universidade Tecnológica Federal do Paraná</v>
      </c>
      <c r="D4269">
        <v>7</v>
      </c>
      <c r="E4269">
        <v>42</v>
      </c>
      <c r="F4269">
        <v>6</v>
      </c>
      <c r="G4269">
        <v>4</v>
      </c>
      <c r="H4269">
        <v>0.56999999999999995</v>
      </c>
      <c r="I4269">
        <v>0</v>
      </c>
      <c r="J4269">
        <v>1</v>
      </c>
      <c r="K4269">
        <v>1</v>
      </c>
      <c r="L4269">
        <v>3</v>
      </c>
      <c r="M4269">
        <v>4</v>
      </c>
      <c r="N4269">
        <v>4</v>
      </c>
      <c r="P4269">
        <v>0</v>
      </c>
      <c r="Q4269">
        <v>0</v>
      </c>
      <c r="R4269">
        <v>0</v>
      </c>
      <c r="S4269">
        <v>2</v>
      </c>
    </row>
    <row r="4270" spans="1:19" hidden="1" x14ac:dyDescent="0.35">
      <c r="A4270">
        <v>57196039560</v>
      </c>
      <c r="B4270" t="s">
        <v>4269</v>
      </c>
      <c r="C4270" t="str">
        <f>_xlfn.XLOOKUP(A4270,[1]Affiliations!$J$2:$J$5328,[1]Affiliations!$K$2:$K$5328,0)</f>
        <v>Universidade Federal de Mato Grosso</v>
      </c>
      <c r="D4270">
        <v>1</v>
      </c>
      <c r="E4270">
        <v>39</v>
      </c>
      <c r="F4270">
        <v>39</v>
      </c>
      <c r="G4270">
        <v>1</v>
      </c>
      <c r="H4270">
        <v>1.62</v>
      </c>
      <c r="I4270">
        <v>0</v>
      </c>
      <c r="J4270">
        <v>1</v>
      </c>
      <c r="K4270">
        <v>1</v>
      </c>
      <c r="L4270">
        <v>1</v>
      </c>
      <c r="M4270">
        <v>1</v>
      </c>
      <c r="N4270">
        <v>1</v>
      </c>
      <c r="P4270">
        <v>0</v>
      </c>
      <c r="Q4270">
        <v>0</v>
      </c>
      <c r="R4270">
        <v>0</v>
      </c>
      <c r="S4270">
        <v>1</v>
      </c>
    </row>
    <row r="4271" spans="1:19" hidden="1" x14ac:dyDescent="0.35">
      <c r="A4271">
        <v>55851153400</v>
      </c>
      <c r="B4271" t="s">
        <v>4270</v>
      </c>
      <c r="C4271" t="str">
        <f>_xlfn.XLOOKUP(A4271,[1]Affiliations!$J$2:$J$5328,[1]Affiliations!$K$2:$K$5328,0)</f>
        <v>Federal University of Santa Catarina</v>
      </c>
      <c r="D4271">
        <v>0</v>
      </c>
      <c r="G4271">
        <v>2</v>
      </c>
    </row>
    <row r="4272" spans="1:19" hidden="1" x14ac:dyDescent="0.35">
      <c r="A4272">
        <v>55776457000</v>
      </c>
      <c r="B4272" t="s">
        <v>4271</v>
      </c>
      <c r="C4272" t="str">
        <f>_xlfn.XLOOKUP(A4272,[1]Affiliations!$J$2:$J$5328,[1]Affiliations!$K$2:$K$5328,0)</f>
        <v>Federal University of Rio de Janeiro</v>
      </c>
      <c r="D4272">
        <v>9</v>
      </c>
      <c r="E4272">
        <v>54</v>
      </c>
      <c r="F4272">
        <v>6</v>
      </c>
      <c r="G4272">
        <v>6</v>
      </c>
      <c r="H4272">
        <v>0.44</v>
      </c>
      <c r="I4272">
        <v>0</v>
      </c>
      <c r="J4272">
        <v>0</v>
      </c>
      <c r="K4272">
        <v>0</v>
      </c>
      <c r="L4272">
        <v>2</v>
      </c>
      <c r="M4272">
        <v>2</v>
      </c>
      <c r="N4272">
        <v>5</v>
      </c>
      <c r="P4272">
        <v>0</v>
      </c>
      <c r="Q4272">
        <v>0</v>
      </c>
      <c r="R4272">
        <v>0</v>
      </c>
      <c r="S4272">
        <v>2</v>
      </c>
    </row>
    <row r="4273" spans="1:19" hidden="1" x14ac:dyDescent="0.35">
      <c r="A4273">
        <v>59420470000</v>
      </c>
      <c r="B4273" t="s">
        <v>4272</v>
      </c>
      <c r="C4273" t="str">
        <f>_xlfn.XLOOKUP(A4273,[1]Affiliations!$J$2:$J$5328,[1]Affiliations!$K$2:$K$5328,0)</f>
        <v>Universidade de São Paulo</v>
      </c>
      <c r="D4273">
        <v>1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P4273">
        <v>0</v>
      </c>
      <c r="Q4273">
        <v>0</v>
      </c>
      <c r="R4273">
        <v>0</v>
      </c>
      <c r="S4273">
        <v>0</v>
      </c>
    </row>
    <row r="4274" spans="1:19" hidden="1" x14ac:dyDescent="0.35">
      <c r="A4274">
        <v>55971980200</v>
      </c>
      <c r="B4274" t="s">
        <v>4273</v>
      </c>
      <c r="C4274" t="str">
        <f>_xlfn.XLOOKUP(A4274,[1]Affiliations!$J$2:$J$5328,[1]Affiliations!$K$2:$K$5328,0)</f>
        <v>Universidade Federal do Rio Grande do Sul</v>
      </c>
      <c r="D4274">
        <v>30</v>
      </c>
      <c r="E4274">
        <v>91</v>
      </c>
      <c r="F4274">
        <v>3.0333332999999998</v>
      </c>
      <c r="G4274">
        <v>6</v>
      </c>
      <c r="H4274">
        <v>0.47</v>
      </c>
      <c r="I4274">
        <v>0</v>
      </c>
      <c r="J4274">
        <v>1</v>
      </c>
      <c r="K4274">
        <v>3</v>
      </c>
      <c r="L4274">
        <v>3</v>
      </c>
      <c r="M4274">
        <v>6</v>
      </c>
      <c r="N4274">
        <v>9</v>
      </c>
      <c r="P4274">
        <v>0</v>
      </c>
      <c r="Q4274">
        <v>0</v>
      </c>
      <c r="R4274">
        <v>0</v>
      </c>
      <c r="S4274">
        <v>4</v>
      </c>
    </row>
    <row r="4275" spans="1:19" hidden="1" x14ac:dyDescent="0.35">
      <c r="A4275">
        <v>57204352322</v>
      </c>
      <c r="B4275" t="s">
        <v>4274</v>
      </c>
      <c r="C4275" t="str">
        <f>_xlfn.XLOOKUP(A4275,[1]Affiliations!$J$2:$J$5328,[1]Affiliations!$K$2:$K$5328,0)</f>
        <v>Pontifícia Universidade Católica do Rio Grande do Sul</v>
      </c>
      <c r="D4275">
        <v>3</v>
      </c>
      <c r="E4275">
        <v>12</v>
      </c>
      <c r="F4275">
        <v>4</v>
      </c>
      <c r="G4275">
        <v>2</v>
      </c>
      <c r="H4275">
        <v>3.23</v>
      </c>
      <c r="I4275">
        <v>0</v>
      </c>
      <c r="J4275">
        <v>2</v>
      </c>
      <c r="K4275">
        <v>2</v>
      </c>
      <c r="L4275">
        <v>2</v>
      </c>
      <c r="M4275">
        <v>2</v>
      </c>
      <c r="N4275">
        <v>2</v>
      </c>
      <c r="P4275">
        <v>0</v>
      </c>
      <c r="Q4275">
        <v>0</v>
      </c>
      <c r="R4275">
        <v>0</v>
      </c>
      <c r="S4275">
        <v>0</v>
      </c>
    </row>
    <row r="4276" spans="1:19" hidden="1" x14ac:dyDescent="0.35">
      <c r="A4276">
        <v>57221462431</v>
      </c>
      <c r="B4276" t="s">
        <v>4275</v>
      </c>
      <c r="C4276" t="str">
        <f>_xlfn.XLOOKUP(A4276,[1]Affiliations!$J$2:$J$5328,[1]Affiliations!$K$2:$K$5328,0)</f>
        <v>Universidade Federal de Uberlândia</v>
      </c>
      <c r="D4276">
        <v>1</v>
      </c>
      <c r="E4276">
        <v>1</v>
      </c>
      <c r="F4276">
        <v>1</v>
      </c>
      <c r="G4276">
        <v>1</v>
      </c>
      <c r="H4276">
        <v>7.0000000000000007E-2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1</v>
      </c>
      <c r="P4276">
        <v>0</v>
      </c>
      <c r="Q4276">
        <v>0</v>
      </c>
      <c r="R4276">
        <v>0</v>
      </c>
      <c r="S4276">
        <v>0</v>
      </c>
    </row>
    <row r="4277" spans="1:19" hidden="1" x14ac:dyDescent="0.35">
      <c r="A4277">
        <v>57534037300</v>
      </c>
      <c r="B4277" t="s">
        <v>4276</v>
      </c>
      <c r="C4277" t="str">
        <f>_xlfn.XLOOKUP(A4277,[1]Affiliations!$J$2:$J$5328,[1]Affiliations!$K$2:$K$5328,0)</f>
        <v>Federal University of Santa Catarina</v>
      </c>
      <c r="D4277">
        <v>1</v>
      </c>
      <c r="E4277">
        <v>6</v>
      </c>
      <c r="F4277">
        <v>6</v>
      </c>
      <c r="G4277">
        <v>1</v>
      </c>
      <c r="H4277">
        <v>1.3</v>
      </c>
      <c r="I4277">
        <v>0</v>
      </c>
      <c r="J4277">
        <v>0</v>
      </c>
      <c r="K4277">
        <v>0</v>
      </c>
      <c r="L4277">
        <v>0</v>
      </c>
      <c r="M4277">
        <v>1</v>
      </c>
      <c r="N4277">
        <v>1</v>
      </c>
      <c r="P4277">
        <v>0</v>
      </c>
      <c r="Q4277">
        <v>0</v>
      </c>
      <c r="R4277">
        <v>0</v>
      </c>
      <c r="S4277">
        <v>0</v>
      </c>
    </row>
    <row r="4278" spans="1:19" hidden="1" x14ac:dyDescent="0.35">
      <c r="A4278">
        <v>26032325600</v>
      </c>
      <c r="B4278" t="s">
        <v>4277</v>
      </c>
      <c r="C4278" t="str">
        <f>_xlfn.XLOOKUP(A4278,[1]Affiliations!$J$2:$J$5328,[1]Affiliations!$K$2:$K$5328,0)</f>
        <v>DEMa</v>
      </c>
      <c r="D4278">
        <v>5</v>
      </c>
      <c r="E4278">
        <v>129</v>
      </c>
      <c r="F4278">
        <v>25.8</v>
      </c>
      <c r="G4278">
        <v>15</v>
      </c>
      <c r="H4278">
        <v>0.85</v>
      </c>
      <c r="I4278">
        <v>0</v>
      </c>
      <c r="J4278">
        <v>0</v>
      </c>
      <c r="K4278">
        <v>3</v>
      </c>
      <c r="L4278">
        <v>4</v>
      </c>
      <c r="M4278">
        <v>4</v>
      </c>
      <c r="N4278">
        <v>4</v>
      </c>
      <c r="P4278">
        <v>0</v>
      </c>
      <c r="Q4278">
        <v>0</v>
      </c>
      <c r="R4278">
        <v>0</v>
      </c>
      <c r="S4278">
        <v>3</v>
      </c>
    </row>
    <row r="4279" spans="1:19" hidden="1" x14ac:dyDescent="0.35">
      <c r="A4279">
        <v>55244385200</v>
      </c>
      <c r="B4279" t="s">
        <v>4278</v>
      </c>
      <c r="C4279" t="str">
        <f>_xlfn.XLOOKUP(A4279,[1]Affiliations!$J$2:$J$5328,[1]Affiliations!$K$2:$K$5328,0)</f>
        <v>DEMa</v>
      </c>
      <c r="D4279">
        <v>0</v>
      </c>
      <c r="G4279">
        <v>1</v>
      </c>
    </row>
    <row r="4280" spans="1:19" hidden="1" x14ac:dyDescent="0.35">
      <c r="A4280">
        <v>59874440100</v>
      </c>
      <c r="B4280" t="s">
        <v>4279</v>
      </c>
      <c r="C4280" t="str">
        <f>_xlfn.XLOOKUP(A4280,[1]Affiliations!$J$2:$J$5328,[1]Affiliations!$K$2:$K$5328,0)</f>
        <v>Universidade Federal de Minas Gerais</v>
      </c>
      <c r="D4280">
        <v>6</v>
      </c>
      <c r="E4280">
        <v>19</v>
      </c>
      <c r="F4280">
        <v>3.1666666999999999</v>
      </c>
      <c r="G4280">
        <v>4</v>
      </c>
      <c r="H4280">
        <v>0.28999999999999998</v>
      </c>
      <c r="I4280">
        <v>0</v>
      </c>
      <c r="J4280">
        <v>0</v>
      </c>
      <c r="K4280">
        <v>0</v>
      </c>
      <c r="L4280">
        <v>0</v>
      </c>
      <c r="M4280">
        <v>2</v>
      </c>
      <c r="N4280">
        <v>5</v>
      </c>
      <c r="P4280">
        <v>0</v>
      </c>
      <c r="Q4280">
        <v>0</v>
      </c>
      <c r="R4280">
        <v>0</v>
      </c>
      <c r="S4280">
        <v>0</v>
      </c>
    </row>
    <row r="4281" spans="1:19" hidden="1" x14ac:dyDescent="0.35">
      <c r="A4281">
        <v>57204571431</v>
      </c>
      <c r="B4281" t="s">
        <v>4280</v>
      </c>
      <c r="C4281" t="str">
        <f>_xlfn.XLOOKUP(A4281,[1]Affiliations!$J$2:$J$5328,[1]Affiliations!$K$2:$K$5328,0)</f>
        <v>Universidade Federal do Rio Grande do Sul</v>
      </c>
      <c r="D4281">
        <v>5</v>
      </c>
      <c r="E4281">
        <v>58</v>
      </c>
      <c r="F4281">
        <v>11.6</v>
      </c>
      <c r="G4281">
        <v>4</v>
      </c>
      <c r="H4281">
        <v>0.8</v>
      </c>
      <c r="I4281">
        <v>0</v>
      </c>
      <c r="J4281">
        <v>1</v>
      </c>
      <c r="K4281">
        <v>2</v>
      </c>
      <c r="L4281">
        <v>3</v>
      </c>
      <c r="M4281">
        <v>4</v>
      </c>
      <c r="N4281">
        <v>4</v>
      </c>
      <c r="P4281">
        <v>0</v>
      </c>
      <c r="Q4281">
        <v>0</v>
      </c>
      <c r="R4281">
        <v>0</v>
      </c>
      <c r="S4281">
        <v>3</v>
      </c>
    </row>
    <row r="4282" spans="1:19" hidden="1" x14ac:dyDescent="0.35">
      <c r="A4282">
        <v>59435496600</v>
      </c>
      <c r="B4282" t="s">
        <v>4281</v>
      </c>
      <c r="C4282" t="str">
        <f>_xlfn.XLOOKUP(A4282,[1]Affiliations!$J$2:$J$5328,[1]Affiliations!$K$2:$K$5328,0)</f>
        <v>Universidade Federal do Rio Grande do Sul</v>
      </c>
      <c r="D4282">
        <v>1</v>
      </c>
      <c r="E4282">
        <v>2</v>
      </c>
      <c r="F4282">
        <v>2</v>
      </c>
      <c r="G4282">
        <v>1</v>
      </c>
      <c r="H4282">
        <v>1.59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P4282">
        <v>0</v>
      </c>
      <c r="Q4282">
        <v>0</v>
      </c>
      <c r="R4282">
        <v>0</v>
      </c>
      <c r="S4282">
        <v>0</v>
      </c>
    </row>
    <row r="4283" spans="1:19" x14ac:dyDescent="0.35">
      <c r="A4283">
        <v>12765901900</v>
      </c>
      <c r="B4283" t="s">
        <v>4954</v>
      </c>
      <c r="C4283" t="str">
        <f>_xlfn.XLOOKUP(A4283,[1]Affiliations!$J$2:$J$5328,[1]Affiliations!$K$2:$K$5328,0)</f>
        <v>Universidade Federal de Minas Gerais</v>
      </c>
      <c r="D4283">
        <v>18</v>
      </c>
      <c r="E4283">
        <v>185</v>
      </c>
      <c r="F4283">
        <v>10.277778</v>
      </c>
      <c r="G4283">
        <v>15</v>
      </c>
      <c r="H4283">
        <v>0.68</v>
      </c>
      <c r="I4283">
        <v>1</v>
      </c>
      <c r="J4283">
        <v>3</v>
      </c>
      <c r="K4283">
        <v>6</v>
      </c>
      <c r="L4283">
        <v>12</v>
      </c>
      <c r="M4283">
        <v>14</v>
      </c>
      <c r="N4283">
        <v>16</v>
      </c>
      <c r="P4283">
        <v>0</v>
      </c>
      <c r="Q4283">
        <v>0</v>
      </c>
      <c r="R4283">
        <v>1</v>
      </c>
      <c r="S4283">
        <v>4</v>
      </c>
    </row>
    <row r="4284" spans="1:19" x14ac:dyDescent="0.35">
      <c r="A4284">
        <v>35178642800</v>
      </c>
      <c r="B4284" t="s">
        <v>4991</v>
      </c>
      <c r="C4284" t="str">
        <f>_xlfn.XLOOKUP(A4284,[1]Affiliations!$J$2:$J$5328,[1]Affiliations!$K$2:$K$5328,0)</f>
        <v>Universidade de Brasília</v>
      </c>
      <c r="D4284">
        <v>26</v>
      </c>
      <c r="E4284">
        <v>257</v>
      </c>
      <c r="F4284">
        <v>9.8846150000000002</v>
      </c>
      <c r="G4284">
        <v>14</v>
      </c>
      <c r="H4284">
        <v>0.68</v>
      </c>
      <c r="I4284">
        <v>1</v>
      </c>
      <c r="J4284">
        <v>6</v>
      </c>
      <c r="K4284">
        <v>9</v>
      </c>
      <c r="L4284">
        <v>14</v>
      </c>
      <c r="M4284">
        <v>16</v>
      </c>
      <c r="N4284">
        <v>20</v>
      </c>
      <c r="P4284">
        <v>0</v>
      </c>
      <c r="Q4284">
        <v>0</v>
      </c>
      <c r="R4284">
        <v>1</v>
      </c>
      <c r="S4284">
        <v>5</v>
      </c>
    </row>
    <row r="4285" spans="1:19" x14ac:dyDescent="0.35">
      <c r="A4285">
        <v>8278688200</v>
      </c>
      <c r="B4285" t="s">
        <v>5005</v>
      </c>
      <c r="C4285" t="str">
        <f>_xlfn.XLOOKUP(A4285,[1]Affiliations!$J$2:$J$5328,[1]Affiliations!$K$2:$K$5328,0)</f>
        <v>Vizlab - X-Reality and GeoInformatics Lab</v>
      </c>
      <c r="D4285">
        <v>6</v>
      </c>
      <c r="E4285">
        <v>113</v>
      </c>
      <c r="F4285">
        <v>18.833334000000001</v>
      </c>
      <c r="G4285">
        <v>7</v>
      </c>
      <c r="H4285">
        <v>0.68</v>
      </c>
      <c r="I4285">
        <v>0</v>
      </c>
      <c r="J4285">
        <v>0</v>
      </c>
      <c r="K4285">
        <v>5</v>
      </c>
      <c r="L4285">
        <v>6</v>
      </c>
      <c r="M4285">
        <v>6</v>
      </c>
      <c r="N4285">
        <v>6</v>
      </c>
      <c r="P4285">
        <v>0</v>
      </c>
      <c r="Q4285">
        <v>0</v>
      </c>
      <c r="R4285">
        <v>1</v>
      </c>
      <c r="S4285">
        <v>2</v>
      </c>
    </row>
    <row r="4286" spans="1:19" x14ac:dyDescent="0.35">
      <c r="A4286">
        <v>25225924400</v>
      </c>
      <c r="B4286" t="s">
        <v>5060</v>
      </c>
      <c r="C4286" t="str">
        <f>_xlfn.XLOOKUP(A4286,[1]Affiliations!$J$2:$J$5328,[1]Affiliations!$K$2:$K$5328,0)</f>
        <v>Universidade de São Paulo</v>
      </c>
      <c r="D4286">
        <v>44</v>
      </c>
      <c r="E4286">
        <v>431</v>
      </c>
      <c r="F4286">
        <v>9.7954550000000005</v>
      </c>
      <c r="G4286">
        <v>13</v>
      </c>
      <c r="H4286">
        <v>0.68</v>
      </c>
      <c r="I4286">
        <v>0</v>
      </c>
      <c r="J4286">
        <v>9</v>
      </c>
      <c r="K4286">
        <v>11</v>
      </c>
      <c r="L4286">
        <v>27</v>
      </c>
      <c r="M4286">
        <v>33</v>
      </c>
      <c r="N4286">
        <v>36</v>
      </c>
      <c r="P4286">
        <v>0</v>
      </c>
      <c r="Q4286">
        <v>0</v>
      </c>
      <c r="R4286">
        <v>2</v>
      </c>
      <c r="S4286">
        <v>12</v>
      </c>
    </row>
    <row r="4287" spans="1:19" hidden="1" x14ac:dyDescent="0.35">
      <c r="A4287">
        <v>57212554189</v>
      </c>
      <c r="B4287" t="s">
        <v>4286</v>
      </c>
      <c r="C4287" t="str">
        <f>_xlfn.XLOOKUP(A4287,[1]Affiliations!$J$2:$J$5328,[1]Affiliations!$K$2:$K$5328,0)</f>
        <v>Universidade Federal do Ceará</v>
      </c>
      <c r="D4287">
        <v>4</v>
      </c>
      <c r="E4287">
        <v>10</v>
      </c>
      <c r="F4287">
        <v>2.5</v>
      </c>
      <c r="G4287">
        <v>2</v>
      </c>
      <c r="H4287">
        <v>0.13</v>
      </c>
      <c r="I4287">
        <v>0</v>
      </c>
      <c r="J4287">
        <v>0</v>
      </c>
      <c r="K4287">
        <v>0</v>
      </c>
      <c r="L4287">
        <v>0</v>
      </c>
      <c r="M4287">
        <v>3</v>
      </c>
      <c r="N4287">
        <v>3</v>
      </c>
      <c r="P4287">
        <v>0</v>
      </c>
      <c r="Q4287">
        <v>0</v>
      </c>
      <c r="R4287">
        <v>0</v>
      </c>
      <c r="S4287">
        <v>0</v>
      </c>
    </row>
    <row r="4288" spans="1:19" x14ac:dyDescent="0.35">
      <c r="A4288">
        <v>25824714500</v>
      </c>
      <c r="B4288" t="s">
        <v>290</v>
      </c>
      <c r="C4288" t="str">
        <f>_xlfn.XLOOKUP(A4288,[1]Affiliations!$J$2:$J$5328,[1]Affiliations!$K$2:$K$5328,0)</f>
        <v>Fundação Oswaldo Cruz</v>
      </c>
      <c r="D4288">
        <v>11</v>
      </c>
      <c r="E4288">
        <v>127</v>
      </c>
      <c r="F4288">
        <v>11.545455</v>
      </c>
      <c r="G4288">
        <v>9</v>
      </c>
      <c r="H4288">
        <v>0.67</v>
      </c>
      <c r="I4288">
        <v>1</v>
      </c>
      <c r="J4288">
        <v>4</v>
      </c>
      <c r="K4288">
        <v>5</v>
      </c>
      <c r="L4288">
        <v>6</v>
      </c>
      <c r="M4288">
        <v>6</v>
      </c>
      <c r="N4288">
        <v>6</v>
      </c>
      <c r="P4288">
        <v>0</v>
      </c>
      <c r="Q4288">
        <v>0</v>
      </c>
      <c r="R4288">
        <v>2</v>
      </c>
      <c r="S4288">
        <v>3</v>
      </c>
    </row>
    <row r="4289" spans="1:19" hidden="1" x14ac:dyDescent="0.35">
      <c r="A4289">
        <v>59895467900</v>
      </c>
      <c r="B4289" t="s">
        <v>4288</v>
      </c>
      <c r="C4289" t="str">
        <f>_xlfn.XLOOKUP(A4289,[1]Affiliations!$J$2:$J$5328,[1]Affiliations!$K$2:$K$5328,0)</f>
        <v>Laboratory of Scientific Computing and Visualization</v>
      </c>
      <c r="D4289">
        <v>0</v>
      </c>
      <c r="G4289">
        <v>0</v>
      </c>
    </row>
    <row r="4290" spans="1:19" hidden="1" x14ac:dyDescent="0.35">
      <c r="A4290">
        <v>56049376800</v>
      </c>
      <c r="B4290" t="s">
        <v>4289</v>
      </c>
      <c r="C4290" t="str">
        <f>_xlfn.XLOOKUP(A4290,[1]Affiliations!$J$2:$J$5328,[1]Affiliations!$K$2:$K$5328,0)</f>
        <v>Federal University of Santa Catarina</v>
      </c>
      <c r="D4290">
        <v>0</v>
      </c>
      <c r="G4290">
        <v>1</v>
      </c>
    </row>
    <row r="4291" spans="1:19" hidden="1" x14ac:dyDescent="0.35">
      <c r="A4291">
        <v>57225768244</v>
      </c>
      <c r="B4291" t="s">
        <v>4290</v>
      </c>
      <c r="C4291" t="str">
        <f>_xlfn.XLOOKUP(A4291,[1]Affiliations!$J$2:$J$5328,[1]Affiliations!$K$2:$K$5328,0)</f>
        <v>Universidade Estadual Paulista “Júlio de Mesquita Filho”</v>
      </c>
      <c r="D4291">
        <v>2</v>
      </c>
      <c r="E4291">
        <v>13</v>
      </c>
      <c r="F4291">
        <v>6.5</v>
      </c>
      <c r="G4291">
        <v>2</v>
      </c>
      <c r="H4291">
        <v>1.45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1</v>
      </c>
      <c r="P4291">
        <v>0</v>
      </c>
      <c r="Q4291">
        <v>0</v>
      </c>
      <c r="R4291">
        <v>0</v>
      </c>
      <c r="S4291">
        <v>0</v>
      </c>
    </row>
    <row r="4292" spans="1:19" x14ac:dyDescent="0.35">
      <c r="A4292">
        <v>57193672602</v>
      </c>
      <c r="B4292" t="s">
        <v>479</v>
      </c>
      <c r="C4292" t="str">
        <f>_xlfn.XLOOKUP(A4292,[1]Affiliations!$J$2:$J$5328,[1]Affiliations!$K$2:$K$5328,0)</f>
        <v>Universidade de São Paulo</v>
      </c>
      <c r="D4292">
        <v>80</v>
      </c>
      <c r="E4292">
        <v>1093</v>
      </c>
      <c r="F4292">
        <v>13.6625</v>
      </c>
      <c r="G4292">
        <v>20</v>
      </c>
      <c r="H4292">
        <v>0.67</v>
      </c>
      <c r="I4292">
        <v>0</v>
      </c>
      <c r="J4292">
        <v>4</v>
      </c>
      <c r="K4292">
        <v>10</v>
      </c>
      <c r="L4292">
        <v>40</v>
      </c>
      <c r="M4292">
        <v>53</v>
      </c>
      <c r="N4292">
        <v>66</v>
      </c>
      <c r="P4292">
        <v>0</v>
      </c>
      <c r="Q4292">
        <v>1</v>
      </c>
      <c r="R4292">
        <v>8</v>
      </c>
      <c r="S4292">
        <v>25</v>
      </c>
    </row>
    <row r="4293" spans="1:19" x14ac:dyDescent="0.35">
      <c r="A4293">
        <v>35179007100</v>
      </c>
      <c r="B4293" t="s">
        <v>819</v>
      </c>
      <c r="C4293" t="str">
        <f>_xlfn.XLOOKUP(A4293,[1]Affiliations!$J$2:$J$5328,[1]Affiliations!$K$2:$K$5328,0)</f>
        <v>LAMEMO - Modelling Methods in Engineering and Geophysics Laboratory</v>
      </c>
      <c r="D4293">
        <v>61</v>
      </c>
      <c r="E4293">
        <v>793</v>
      </c>
      <c r="F4293">
        <v>13</v>
      </c>
      <c r="G4293">
        <v>26</v>
      </c>
      <c r="H4293">
        <v>0.67</v>
      </c>
      <c r="I4293">
        <v>3</v>
      </c>
      <c r="J4293">
        <v>10</v>
      </c>
      <c r="K4293">
        <v>15</v>
      </c>
      <c r="L4293">
        <v>32</v>
      </c>
      <c r="M4293">
        <v>37</v>
      </c>
      <c r="N4293">
        <v>39</v>
      </c>
      <c r="P4293">
        <v>0</v>
      </c>
      <c r="Q4293">
        <v>2</v>
      </c>
      <c r="R4293">
        <v>2</v>
      </c>
      <c r="S4293">
        <v>15</v>
      </c>
    </row>
    <row r="4294" spans="1:19" x14ac:dyDescent="0.35">
      <c r="A4294">
        <v>56019398400</v>
      </c>
      <c r="B4294" t="s">
        <v>828</v>
      </c>
      <c r="C4294" t="str">
        <f>_xlfn.XLOOKUP(A4294,[1]Affiliations!$J$2:$J$5328,[1]Affiliations!$K$2:$K$5328,0)</f>
        <v>Federal University of Rio de Janeiro</v>
      </c>
      <c r="D4294">
        <v>26</v>
      </c>
      <c r="E4294">
        <v>413</v>
      </c>
      <c r="F4294">
        <v>15.884615</v>
      </c>
      <c r="G4294">
        <v>13</v>
      </c>
      <c r="H4294">
        <v>0.67</v>
      </c>
      <c r="I4294">
        <v>0</v>
      </c>
      <c r="J4294">
        <v>2</v>
      </c>
      <c r="K4294">
        <v>3</v>
      </c>
      <c r="L4294">
        <v>7</v>
      </c>
      <c r="M4294">
        <v>19</v>
      </c>
      <c r="N4294">
        <v>21</v>
      </c>
      <c r="P4294">
        <v>0</v>
      </c>
      <c r="Q4294">
        <v>2</v>
      </c>
      <c r="R4294">
        <v>4</v>
      </c>
      <c r="S4294">
        <v>9</v>
      </c>
    </row>
    <row r="4295" spans="1:19" hidden="1" x14ac:dyDescent="0.35">
      <c r="A4295">
        <v>26321902700</v>
      </c>
      <c r="B4295" t="s">
        <v>4294</v>
      </c>
      <c r="C4295" t="str">
        <f>_xlfn.XLOOKUP(A4295,[1]Affiliations!$J$2:$J$5328,[1]Affiliations!$K$2:$K$5328,0)</f>
        <v>University of Campinas</v>
      </c>
      <c r="D4295">
        <v>5</v>
      </c>
      <c r="E4295">
        <v>73</v>
      </c>
      <c r="F4295">
        <v>14.6</v>
      </c>
      <c r="G4295">
        <v>6</v>
      </c>
      <c r="H4295">
        <v>0.69</v>
      </c>
      <c r="I4295">
        <v>0</v>
      </c>
      <c r="J4295">
        <v>0</v>
      </c>
      <c r="K4295">
        <v>1</v>
      </c>
      <c r="L4295">
        <v>3</v>
      </c>
      <c r="M4295">
        <v>4</v>
      </c>
      <c r="N4295">
        <v>5</v>
      </c>
      <c r="P4295">
        <v>0</v>
      </c>
      <c r="Q4295">
        <v>0</v>
      </c>
      <c r="R4295">
        <v>0</v>
      </c>
      <c r="S4295">
        <v>2</v>
      </c>
    </row>
    <row r="4296" spans="1:19" hidden="1" x14ac:dyDescent="0.35">
      <c r="A4296">
        <v>56711614400</v>
      </c>
      <c r="B4296" t="s">
        <v>4295</v>
      </c>
      <c r="C4296" t="str">
        <f>_xlfn.XLOOKUP(A4296,[1]Affiliations!$J$2:$J$5328,[1]Affiliations!$K$2:$K$5328,0)</f>
        <v>Universidade Tecnológica Federal do Paraná</v>
      </c>
      <c r="D4296">
        <v>7</v>
      </c>
      <c r="E4296">
        <v>102</v>
      </c>
      <c r="F4296">
        <v>14.571427999999999</v>
      </c>
      <c r="G4296">
        <v>5</v>
      </c>
      <c r="H4296">
        <v>0.73</v>
      </c>
      <c r="I4296">
        <v>0</v>
      </c>
      <c r="J4296">
        <v>1</v>
      </c>
      <c r="K4296">
        <v>4</v>
      </c>
      <c r="L4296">
        <v>5</v>
      </c>
      <c r="M4296">
        <v>6</v>
      </c>
      <c r="N4296">
        <v>7</v>
      </c>
      <c r="P4296">
        <v>0</v>
      </c>
      <c r="Q4296">
        <v>0</v>
      </c>
      <c r="R4296">
        <v>0</v>
      </c>
      <c r="S4296">
        <v>3</v>
      </c>
    </row>
    <row r="4297" spans="1:19" x14ac:dyDescent="0.35">
      <c r="A4297">
        <v>56957736800</v>
      </c>
      <c r="B4297" t="s">
        <v>1166</v>
      </c>
      <c r="C4297" t="str">
        <f>_xlfn.XLOOKUP(A4297,[1]Affiliations!$J$2:$J$5328,[1]Affiliations!$K$2:$K$5328,0)</f>
        <v>University of Campinas (+1 more)</v>
      </c>
      <c r="D4297">
        <v>7</v>
      </c>
      <c r="E4297">
        <v>161</v>
      </c>
      <c r="F4297">
        <v>23</v>
      </c>
      <c r="G4297">
        <v>5</v>
      </c>
      <c r="H4297">
        <v>0.67</v>
      </c>
      <c r="I4297">
        <v>0</v>
      </c>
      <c r="J4297">
        <v>0</v>
      </c>
      <c r="K4297">
        <v>1</v>
      </c>
      <c r="L4297">
        <v>1</v>
      </c>
      <c r="M4297">
        <v>5</v>
      </c>
      <c r="N4297">
        <v>7</v>
      </c>
      <c r="P4297">
        <v>0</v>
      </c>
      <c r="Q4297">
        <v>1</v>
      </c>
      <c r="R4297">
        <v>1</v>
      </c>
      <c r="S4297">
        <v>1</v>
      </c>
    </row>
    <row r="4298" spans="1:19" x14ac:dyDescent="0.35">
      <c r="A4298">
        <v>57218669316</v>
      </c>
      <c r="B4298" t="s">
        <v>1754</v>
      </c>
      <c r="C4298" t="str">
        <f>_xlfn.XLOOKUP(A4298,[1]Affiliations!$J$2:$J$5328,[1]Affiliations!$K$2:$K$5328,0)</f>
        <v>Centro Federal de Educação Tecnológica Celso Suckow da Fonseca (CEFET-RJ)</v>
      </c>
      <c r="D4298">
        <v>45</v>
      </c>
      <c r="E4298">
        <v>750</v>
      </c>
      <c r="F4298">
        <v>16.666665999999999</v>
      </c>
      <c r="G4298">
        <v>17</v>
      </c>
      <c r="H4298">
        <v>0.67</v>
      </c>
      <c r="I4298">
        <v>0</v>
      </c>
      <c r="J4298">
        <v>1</v>
      </c>
      <c r="K4298">
        <v>2</v>
      </c>
      <c r="L4298">
        <v>14</v>
      </c>
      <c r="M4298">
        <v>29</v>
      </c>
      <c r="N4298">
        <v>36</v>
      </c>
      <c r="P4298">
        <v>0</v>
      </c>
      <c r="Q4298">
        <v>1</v>
      </c>
      <c r="R4298">
        <v>5</v>
      </c>
      <c r="S4298">
        <v>17</v>
      </c>
    </row>
    <row r="4299" spans="1:19" hidden="1" x14ac:dyDescent="0.35">
      <c r="A4299">
        <v>57203372006</v>
      </c>
      <c r="B4299" t="s">
        <v>4298</v>
      </c>
      <c r="C4299" t="str">
        <f>_xlfn.XLOOKUP(A4299,[1]Affiliations!$J$2:$J$5328,[1]Affiliations!$K$2:$K$5328,0)</f>
        <v>Federal University of Rio de Janeiro</v>
      </c>
      <c r="D4299">
        <v>1</v>
      </c>
      <c r="E4299">
        <v>5</v>
      </c>
      <c r="F4299">
        <v>5</v>
      </c>
      <c r="G4299">
        <v>1</v>
      </c>
      <c r="H4299">
        <v>0.23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1</v>
      </c>
      <c r="P4299">
        <v>0</v>
      </c>
      <c r="Q4299">
        <v>0</v>
      </c>
      <c r="R4299">
        <v>0</v>
      </c>
      <c r="S4299">
        <v>0</v>
      </c>
    </row>
    <row r="4300" spans="1:19" hidden="1" x14ac:dyDescent="0.35">
      <c r="A4300">
        <v>58713393300</v>
      </c>
      <c r="B4300" t="s">
        <v>4299</v>
      </c>
      <c r="C4300" t="str">
        <f>_xlfn.XLOOKUP(A4300,[1]Affiliations!$J$2:$J$5328,[1]Affiliations!$K$2:$K$5328,0)</f>
        <v>Federal University of Rio de Janeiro</v>
      </c>
      <c r="D4300">
        <v>2</v>
      </c>
      <c r="E4300">
        <v>3</v>
      </c>
      <c r="F4300">
        <v>1.5</v>
      </c>
      <c r="G4300">
        <v>1</v>
      </c>
      <c r="H4300">
        <v>1.25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1</v>
      </c>
      <c r="P4300">
        <v>0</v>
      </c>
      <c r="Q4300">
        <v>0</v>
      </c>
      <c r="R4300">
        <v>0</v>
      </c>
      <c r="S4300">
        <v>0</v>
      </c>
    </row>
    <row r="4301" spans="1:19" x14ac:dyDescent="0.35">
      <c r="A4301">
        <v>36105207600</v>
      </c>
      <c r="B4301" t="s">
        <v>1821</v>
      </c>
      <c r="C4301" t="str">
        <f>_xlfn.XLOOKUP(A4301,[1]Affiliations!$J$2:$J$5328,[1]Affiliations!$K$2:$K$5328,0)</f>
        <v>Universidade Federal do Rio Grande</v>
      </c>
      <c r="D4301">
        <v>40</v>
      </c>
      <c r="E4301">
        <v>601</v>
      </c>
      <c r="F4301">
        <v>15.025</v>
      </c>
      <c r="G4301">
        <v>14</v>
      </c>
      <c r="H4301">
        <v>0.67</v>
      </c>
      <c r="I4301">
        <v>0</v>
      </c>
      <c r="J4301">
        <v>3</v>
      </c>
      <c r="K4301">
        <v>7</v>
      </c>
      <c r="L4301">
        <v>24</v>
      </c>
      <c r="M4301">
        <v>32</v>
      </c>
      <c r="N4301">
        <v>35</v>
      </c>
      <c r="P4301">
        <v>0</v>
      </c>
      <c r="Q4301">
        <v>2</v>
      </c>
      <c r="R4301">
        <v>4</v>
      </c>
      <c r="S4301">
        <v>8</v>
      </c>
    </row>
    <row r="4302" spans="1:19" hidden="1" x14ac:dyDescent="0.35">
      <c r="A4302">
        <v>23482858300</v>
      </c>
      <c r="B4302" t="s">
        <v>4301</v>
      </c>
      <c r="C4302" t="str">
        <f>_xlfn.XLOOKUP(A4302,[1]Affiliations!$J$2:$J$5328,[1]Affiliations!$K$2:$K$5328,0)</f>
        <v>Federal University of Rio de Janeiro</v>
      </c>
      <c r="D4302">
        <v>6</v>
      </c>
      <c r="E4302">
        <v>71</v>
      </c>
      <c r="F4302">
        <v>11.833333</v>
      </c>
      <c r="G4302">
        <v>7</v>
      </c>
      <c r="H4302">
        <v>0.34</v>
      </c>
      <c r="I4302">
        <v>0</v>
      </c>
      <c r="J4302">
        <v>1</v>
      </c>
      <c r="K4302">
        <v>1</v>
      </c>
      <c r="L4302">
        <v>3</v>
      </c>
      <c r="M4302">
        <v>4</v>
      </c>
      <c r="N4302">
        <v>6</v>
      </c>
      <c r="P4302">
        <v>0</v>
      </c>
      <c r="Q4302">
        <v>0</v>
      </c>
      <c r="R4302">
        <v>0</v>
      </c>
      <c r="S4302">
        <v>1</v>
      </c>
    </row>
    <row r="4303" spans="1:19" x14ac:dyDescent="0.35">
      <c r="A4303">
        <v>55578915000</v>
      </c>
      <c r="B4303" t="s">
        <v>1925</v>
      </c>
      <c r="C4303" t="str">
        <f>_xlfn.XLOOKUP(A4303,[1]Affiliations!$J$2:$J$5328,[1]Affiliations!$K$2:$K$5328,0)</f>
        <v>Pontifícia Universidade Católica do Rio Grande do Sul</v>
      </c>
      <c r="D4303">
        <v>27</v>
      </c>
      <c r="E4303">
        <v>333</v>
      </c>
      <c r="F4303">
        <v>12.333333</v>
      </c>
      <c r="G4303">
        <v>14</v>
      </c>
      <c r="H4303">
        <v>0.67</v>
      </c>
      <c r="I4303">
        <v>0</v>
      </c>
      <c r="J4303">
        <v>1</v>
      </c>
      <c r="K4303">
        <v>2</v>
      </c>
      <c r="L4303">
        <v>15</v>
      </c>
      <c r="M4303">
        <v>23</v>
      </c>
      <c r="N4303">
        <v>26</v>
      </c>
      <c r="P4303">
        <v>0</v>
      </c>
      <c r="Q4303">
        <v>1</v>
      </c>
      <c r="R4303">
        <v>2</v>
      </c>
      <c r="S4303">
        <v>9</v>
      </c>
    </row>
    <row r="4304" spans="1:19" hidden="1" x14ac:dyDescent="0.35">
      <c r="A4304">
        <v>54953352100</v>
      </c>
      <c r="B4304" t="s">
        <v>4303</v>
      </c>
      <c r="C4304" t="str">
        <f>_xlfn.XLOOKUP(A4304,[1]Affiliations!$J$2:$J$5328,[1]Affiliations!$K$2:$K$5328,0)</f>
        <v>Federal University of Rio de Janeiro</v>
      </c>
      <c r="D4304">
        <v>7</v>
      </c>
      <c r="E4304">
        <v>74</v>
      </c>
      <c r="F4304">
        <v>10.571427999999999</v>
      </c>
      <c r="G4304">
        <v>7</v>
      </c>
      <c r="H4304">
        <v>0.46</v>
      </c>
      <c r="I4304">
        <v>0</v>
      </c>
      <c r="J4304">
        <v>0</v>
      </c>
      <c r="K4304">
        <v>1</v>
      </c>
      <c r="L4304">
        <v>4</v>
      </c>
      <c r="M4304">
        <v>7</v>
      </c>
      <c r="N4304">
        <v>7</v>
      </c>
      <c r="P4304">
        <v>0</v>
      </c>
      <c r="Q4304">
        <v>0</v>
      </c>
      <c r="R4304">
        <v>0</v>
      </c>
      <c r="S4304">
        <v>2</v>
      </c>
    </row>
    <row r="4305" spans="1:19" x14ac:dyDescent="0.35">
      <c r="A4305">
        <v>56237110300</v>
      </c>
      <c r="B4305" t="s">
        <v>1953</v>
      </c>
      <c r="C4305" t="str">
        <f>_xlfn.XLOOKUP(A4305,[1]Affiliations!$J$2:$J$5328,[1]Affiliations!$K$2:$K$5328,0)</f>
        <v>Universidade de São Paulo</v>
      </c>
      <c r="D4305">
        <v>25</v>
      </c>
      <c r="E4305">
        <v>274</v>
      </c>
      <c r="F4305">
        <v>10.96</v>
      </c>
      <c r="G4305">
        <v>14</v>
      </c>
      <c r="H4305">
        <v>0.67</v>
      </c>
      <c r="I4305">
        <v>1</v>
      </c>
      <c r="J4305">
        <v>4</v>
      </c>
      <c r="K4305">
        <v>10</v>
      </c>
      <c r="L4305">
        <v>10</v>
      </c>
      <c r="M4305">
        <v>17</v>
      </c>
      <c r="N4305">
        <v>19</v>
      </c>
      <c r="P4305">
        <v>0</v>
      </c>
      <c r="Q4305">
        <v>0</v>
      </c>
      <c r="R4305">
        <v>1</v>
      </c>
      <c r="S4305">
        <v>9</v>
      </c>
    </row>
    <row r="4306" spans="1:19" x14ac:dyDescent="0.35">
      <c r="A4306">
        <v>57200708940</v>
      </c>
      <c r="B4306" t="s">
        <v>2197</v>
      </c>
      <c r="C4306" t="str">
        <f>_xlfn.XLOOKUP(A4306,[1]Affiliations!$J$2:$J$5328,[1]Affiliations!$K$2:$K$5328,0)</f>
        <v>Vizlab - X-Reality and GeoInformatics Lab</v>
      </c>
      <c r="D4306">
        <v>33</v>
      </c>
      <c r="E4306">
        <v>229</v>
      </c>
      <c r="F4306">
        <v>6.9393940000000001</v>
      </c>
      <c r="G4306">
        <v>7</v>
      </c>
      <c r="H4306">
        <v>0.67</v>
      </c>
      <c r="I4306">
        <v>0</v>
      </c>
      <c r="J4306">
        <v>1</v>
      </c>
      <c r="K4306">
        <v>4</v>
      </c>
      <c r="L4306">
        <v>9</v>
      </c>
      <c r="M4306">
        <v>15</v>
      </c>
      <c r="N4306">
        <v>16</v>
      </c>
      <c r="P4306">
        <v>0</v>
      </c>
      <c r="Q4306">
        <v>1</v>
      </c>
      <c r="R4306">
        <v>2</v>
      </c>
      <c r="S4306">
        <v>6</v>
      </c>
    </row>
    <row r="4307" spans="1:19" x14ac:dyDescent="0.35">
      <c r="A4307">
        <v>7005219746</v>
      </c>
      <c r="B4307" t="s">
        <v>2826</v>
      </c>
      <c r="C4307" t="str">
        <f>_xlfn.XLOOKUP(A4307,[1]Affiliations!$J$2:$J$5328,[1]Affiliations!$K$2:$K$5328,0)</f>
        <v>Universidade Federal de Juiz de Fora (+1 more)</v>
      </c>
      <c r="D4307">
        <v>73</v>
      </c>
      <c r="E4307">
        <v>1129</v>
      </c>
      <c r="F4307">
        <v>15.465754</v>
      </c>
      <c r="G4307">
        <v>26</v>
      </c>
      <c r="H4307">
        <v>0.67</v>
      </c>
      <c r="I4307">
        <v>0</v>
      </c>
      <c r="J4307">
        <v>8</v>
      </c>
      <c r="K4307">
        <v>31</v>
      </c>
      <c r="L4307">
        <v>64</v>
      </c>
      <c r="M4307">
        <v>70</v>
      </c>
      <c r="N4307">
        <v>72</v>
      </c>
      <c r="P4307">
        <v>0</v>
      </c>
      <c r="Q4307">
        <v>1</v>
      </c>
      <c r="R4307">
        <v>3</v>
      </c>
      <c r="S4307">
        <v>21</v>
      </c>
    </row>
    <row r="4308" spans="1:19" hidden="1" x14ac:dyDescent="0.35">
      <c r="A4308">
        <v>55337451100</v>
      </c>
      <c r="B4308" t="s">
        <v>4307</v>
      </c>
      <c r="C4308" t="str">
        <f>_xlfn.XLOOKUP(A4308,[1]Affiliations!$J$2:$J$5328,[1]Affiliations!$K$2:$K$5328,0)</f>
        <v>Federal University of Rio de Janeiro</v>
      </c>
      <c r="D4308">
        <v>20</v>
      </c>
      <c r="E4308">
        <v>258</v>
      </c>
      <c r="F4308">
        <v>12.9</v>
      </c>
      <c r="G4308">
        <v>12</v>
      </c>
      <c r="H4308">
        <v>0.83</v>
      </c>
      <c r="I4308">
        <v>0</v>
      </c>
      <c r="J4308">
        <v>2</v>
      </c>
      <c r="K4308">
        <v>7</v>
      </c>
      <c r="L4308">
        <v>16</v>
      </c>
      <c r="M4308">
        <v>18</v>
      </c>
      <c r="N4308">
        <v>18</v>
      </c>
      <c r="P4308">
        <v>0</v>
      </c>
      <c r="Q4308">
        <v>0</v>
      </c>
      <c r="R4308">
        <v>0</v>
      </c>
      <c r="S4308">
        <v>6</v>
      </c>
    </row>
    <row r="4309" spans="1:19" x14ac:dyDescent="0.35">
      <c r="A4309">
        <v>7103240520</v>
      </c>
      <c r="B4309" t="s">
        <v>3002</v>
      </c>
      <c r="C4309" t="str">
        <f>_xlfn.XLOOKUP(A4309,[1]Affiliations!$J$2:$J$5328,[1]Affiliations!$K$2:$K$5328,0)</f>
        <v>Petróleo Brasileiro S.A. (+1 more)</v>
      </c>
      <c r="D4309">
        <v>78</v>
      </c>
      <c r="E4309">
        <v>1155</v>
      </c>
      <c r="F4309">
        <v>14.807693</v>
      </c>
      <c r="G4309">
        <v>33</v>
      </c>
      <c r="H4309">
        <v>0.67</v>
      </c>
      <c r="I4309">
        <v>0</v>
      </c>
      <c r="J4309">
        <v>6</v>
      </c>
      <c r="K4309">
        <v>16</v>
      </c>
      <c r="L4309">
        <v>40</v>
      </c>
      <c r="M4309">
        <v>54</v>
      </c>
      <c r="N4309">
        <v>73</v>
      </c>
      <c r="P4309">
        <v>0</v>
      </c>
      <c r="Q4309">
        <v>1</v>
      </c>
      <c r="R4309">
        <v>8</v>
      </c>
      <c r="S4309">
        <v>21</v>
      </c>
    </row>
    <row r="4310" spans="1:19" x14ac:dyDescent="0.35">
      <c r="A4310">
        <v>7003438112</v>
      </c>
      <c r="B4310" t="s">
        <v>3150</v>
      </c>
      <c r="C4310" t="str">
        <f>_xlfn.XLOOKUP(A4310,[1]Affiliations!$J$2:$J$5328,[1]Affiliations!$K$2:$K$5328,0)</f>
        <v>Pontifical Catholic University of Rio de Janeiro</v>
      </c>
      <c r="D4310">
        <v>58</v>
      </c>
      <c r="E4310">
        <v>771</v>
      </c>
      <c r="F4310">
        <v>13.293103</v>
      </c>
      <c r="G4310">
        <v>28</v>
      </c>
      <c r="H4310">
        <v>0.67</v>
      </c>
      <c r="I4310">
        <v>0</v>
      </c>
      <c r="J4310">
        <v>5</v>
      </c>
      <c r="K4310">
        <v>8</v>
      </c>
      <c r="L4310">
        <v>33</v>
      </c>
      <c r="M4310">
        <v>53</v>
      </c>
      <c r="N4310">
        <v>57</v>
      </c>
      <c r="P4310">
        <v>0</v>
      </c>
      <c r="Q4310">
        <v>1</v>
      </c>
      <c r="R4310">
        <v>3</v>
      </c>
      <c r="S4310">
        <v>13</v>
      </c>
    </row>
    <row r="4311" spans="1:19" hidden="1" x14ac:dyDescent="0.35">
      <c r="A4311">
        <v>59157794800</v>
      </c>
      <c r="B4311" t="s">
        <v>4310</v>
      </c>
      <c r="C4311" t="str">
        <f>_xlfn.XLOOKUP(A4311,[1]Affiliations!$J$2:$J$5328,[1]Affiliations!$K$2:$K$5328,0)</f>
        <v>Universidade Estadual Paulista “Júlio de Mesquita Filho”</v>
      </c>
      <c r="D4311">
        <v>20</v>
      </c>
      <c r="E4311">
        <v>214</v>
      </c>
      <c r="F4311">
        <v>10.7</v>
      </c>
      <c r="G4311">
        <v>15</v>
      </c>
      <c r="H4311">
        <v>0.56999999999999995</v>
      </c>
      <c r="I4311">
        <v>0</v>
      </c>
      <c r="J4311">
        <v>0</v>
      </c>
      <c r="K4311">
        <v>0</v>
      </c>
      <c r="L4311">
        <v>5</v>
      </c>
      <c r="M4311">
        <v>15</v>
      </c>
      <c r="N4311">
        <v>16</v>
      </c>
      <c r="P4311">
        <v>0</v>
      </c>
      <c r="Q4311">
        <v>0</v>
      </c>
      <c r="R4311">
        <v>0</v>
      </c>
      <c r="S4311">
        <v>4</v>
      </c>
    </row>
    <row r="4312" spans="1:19" x14ac:dyDescent="0.35">
      <c r="A4312">
        <v>7006784953</v>
      </c>
      <c r="B4312" t="s">
        <v>3582</v>
      </c>
      <c r="C4312" t="str">
        <f>_xlfn.XLOOKUP(A4312,[1]Affiliations!$J$2:$J$5328,[1]Affiliations!$K$2:$K$5328,0)</f>
        <v>Universidade de Pernambuco (+1 more)</v>
      </c>
      <c r="D4312">
        <v>32</v>
      </c>
      <c r="E4312">
        <v>433</v>
      </c>
      <c r="F4312">
        <v>13.53125</v>
      </c>
      <c r="G4312">
        <v>17</v>
      </c>
      <c r="H4312">
        <v>0.67</v>
      </c>
      <c r="I4312">
        <v>0</v>
      </c>
      <c r="J4312">
        <v>5</v>
      </c>
      <c r="K4312">
        <v>7</v>
      </c>
      <c r="L4312">
        <v>12</v>
      </c>
      <c r="M4312">
        <v>22</v>
      </c>
      <c r="N4312">
        <v>23</v>
      </c>
      <c r="P4312">
        <v>0</v>
      </c>
      <c r="Q4312">
        <v>1</v>
      </c>
      <c r="R4312">
        <v>2</v>
      </c>
      <c r="S4312">
        <v>10</v>
      </c>
    </row>
    <row r="4313" spans="1:19" x14ac:dyDescent="0.35">
      <c r="A4313">
        <v>56074972600</v>
      </c>
      <c r="B4313" t="s">
        <v>3913</v>
      </c>
      <c r="C4313" t="str">
        <f>_xlfn.XLOOKUP(A4313,[1]Affiliations!$J$2:$J$5328,[1]Affiliations!$K$2:$K$5328,0)</f>
        <v>Federal University of Rio de Janeiro</v>
      </c>
      <c r="D4313">
        <v>23</v>
      </c>
      <c r="E4313">
        <v>289</v>
      </c>
      <c r="F4313">
        <v>12.565217000000001</v>
      </c>
      <c r="G4313">
        <v>10</v>
      </c>
      <c r="H4313">
        <v>0.67</v>
      </c>
      <c r="I4313">
        <v>0</v>
      </c>
      <c r="J4313">
        <v>5</v>
      </c>
      <c r="K4313">
        <v>7</v>
      </c>
      <c r="L4313">
        <v>15</v>
      </c>
      <c r="M4313">
        <v>17</v>
      </c>
      <c r="N4313">
        <v>17</v>
      </c>
      <c r="P4313">
        <v>0</v>
      </c>
      <c r="Q4313">
        <v>0</v>
      </c>
      <c r="R4313">
        <v>1</v>
      </c>
      <c r="S4313">
        <v>6</v>
      </c>
    </row>
    <row r="4314" spans="1:19" hidden="1" x14ac:dyDescent="0.35">
      <c r="A4314">
        <v>59147937500</v>
      </c>
      <c r="B4314" t="s">
        <v>4313</v>
      </c>
      <c r="C4314" t="str">
        <f>_xlfn.XLOOKUP(A4314,[1]Affiliations!$J$2:$J$5328,[1]Affiliations!$K$2:$K$5328,0)</f>
        <v>Geological Survey of Brazil (SGB)</v>
      </c>
      <c r="D4314">
        <v>1</v>
      </c>
      <c r="E4314">
        <v>3</v>
      </c>
      <c r="F4314">
        <v>3</v>
      </c>
      <c r="G4314">
        <v>1</v>
      </c>
      <c r="H4314">
        <v>0.85</v>
      </c>
      <c r="I4314">
        <v>0</v>
      </c>
      <c r="J4314">
        <v>0</v>
      </c>
      <c r="K4314">
        <v>0</v>
      </c>
      <c r="L4314">
        <v>1</v>
      </c>
      <c r="M4314">
        <v>1</v>
      </c>
      <c r="N4314">
        <v>1</v>
      </c>
      <c r="P4314">
        <v>0</v>
      </c>
      <c r="Q4314">
        <v>0</v>
      </c>
      <c r="R4314">
        <v>0</v>
      </c>
      <c r="S4314">
        <v>0</v>
      </c>
    </row>
    <row r="4315" spans="1:19" x14ac:dyDescent="0.35">
      <c r="A4315">
        <v>56059505700</v>
      </c>
      <c r="B4315" t="s">
        <v>4028</v>
      </c>
      <c r="C4315" t="str">
        <f>_xlfn.XLOOKUP(A4315,[1]Affiliations!$J$2:$J$5328,[1]Affiliations!$K$2:$K$5328,0)</f>
        <v>Pontifical Catholic University of Rio de Janeiro (+1 more)</v>
      </c>
      <c r="D4315">
        <v>27</v>
      </c>
      <c r="E4315">
        <v>283</v>
      </c>
      <c r="F4315">
        <v>10.481482</v>
      </c>
      <c r="G4315">
        <v>12</v>
      </c>
      <c r="H4315">
        <v>0.67</v>
      </c>
      <c r="I4315">
        <v>0</v>
      </c>
      <c r="J4315">
        <v>3</v>
      </c>
      <c r="K4315">
        <v>3</v>
      </c>
      <c r="L4315">
        <v>11</v>
      </c>
      <c r="M4315">
        <v>24</v>
      </c>
      <c r="N4315">
        <v>26</v>
      </c>
      <c r="P4315">
        <v>0</v>
      </c>
      <c r="Q4315">
        <v>0</v>
      </c>
      <c r="R4315">
        <v>1</v>
      </c>
      <c r="S4315">
        <v>3</v>
      </c>
    </row>
    <row r="4316" spans="1:19" x14ac:dyDescent="0.35">
      <c r="A4316">
        <v>57204240671</v>
      </c>
      <c r="B4316" t="s">
        <v>4091</v>
      </c>
      <c r="C4316" t="str">
        <f>_xlfn.XLOOKUP(A4316,[1]Affiliations!$J$2:$J$5328,[1]Affiliations!$K$2:$K$5328,0)</f>
        <v>Universidade Federal Fluminense (+2 more)</v>
      </c>
      <c r="D4316">
        <v>28</v>
      </c>
      <c r="E4316">
        <v>245</v>
      </c>
      <c r="F4316">
        <v>8.75</v>
      </c>
      <c r="G4316">
        <v>13</v>
      </c>
      <c r="H4316">
        <v>0.67</v>
      </c>
      <c r="I4316">
        <v>0</v>
      </c>
      <c r="J4316">
        <v>3</v>
      </c>
      <c r="K4316">
        <v>5</v>
      </c>
      <c r="L4316">
        <v>13</v>
      </c>
      <c r="M4316">
        <v>17</v>
      </c>
      <c r="N4316">
        <v>17</v>
      </c>
      <c r="P4316">
        <v>0</v>
      </c>
      <c r="Q4316">
        <v>0</v>
      </c>
      <c r="R4316">
        <v>1</v>
      </c>
      <c r="S4316">
        <v>7</v>
      </c>
    </row>
    <row r="4317" spans="1:19" x14ac:dyDescent="0.35">
      <c r="A4317">
        <v>35461542200</v>
      </c>
      <c r="B4317" t="s">
        <v>4464</v>
      </c>
      <c r="C4317" t="str">
        <f>_xlfn.XLOOKUP(A4317,[1]Affiliations!$J$2:$J$5328,[1]Affiliations!$K$2:$K$5328,0)</f>
        <v>Universidade Tiradentes (+1 more)</v>
      </c>
      <c r="D4317">
        <v>41</v>
      </c>
      <c r="E4317">
        <v>636</v>
      </c>
      <c r="F4317">
        <v>15.512195999999999</v>
      </c>
      <c r="G4317">
        <v>25</v>
      </c>
      <c r="H4317">
        <v>0.67</v>
      </c>
      <c r="I4317">
        <v>0</v>
      </c>
      <c r="J4317">
        <v>1</v>
      </c>
      <c r="K4317">
        <v>6</v>
      </c>
      <c r="L4317">
        <v>24</v>
      </c>
      <c r="M4317">
        <v>32</v>
      </c>
      <c r="N4317">
        <v>37</v>
      </c>
      <c r="P4317">
        <v>0</v>
      </c>
      <c r="Q4317">
        <v>1</v>
      </c>
      <c r="R4317">
        <v>2</v>
      </c>
      <c r="S4317">
        <v>15</v>
      </c>
    </row>
    <row r="4318" spans="1:19" hidden="1" x14ac:dyDescent="0.35">
      <c r="A4318">
        <v>55031678900</v>
      </c>
      <c r="B4318" t="s">
        <v>4317</v>
      </c>
      <c r="C4318" t="str">
        <f>_xlfn.XLOOKUP(A4318,[1]Affiliations!$J$2:$J$5328,[1]Affiliations!$K$2:$K$5328,0)</f>
        <v>SENAI</v>
      </c>
      <c r="D4318">
        <v>26</v>
      </c>
      <c r="E4318">
        <v>447</v>
      </c>
      <c r="F4318">
        <v>17.192308000000001</v>
      </c>
      <c r="G4318">
        <v>15</v>
      </c>
      <c r="H4318">
        <v>0.66</v>
      </c>
      <c r="I4318">
        <v>0</v>
      </c>
      <c r="J4318">
        <v>2</v>
      </c>
      <c r="K4318">
        <v>7</v>
      </c>
      <c r="L4318">
        <v>19</v>
      </c>
      <c r="M4318">
        <v>22</v>
      </c>
      <c r="N4318">
        <v>25</v>
      </c>
      <c r="P4318">
        <v>0</v>
      </c>
      <c r="Q4318">
        <v>0</v>
      </c>
      <c r="R4318">
        <v>0</v>
      </c>
      <c r="S4318">
        <v>10</v>
      </c>
    </row>
    <row r="4319" spans="1:19" x14ac:dyDescent="0.35">
      <c r="A4319">
        <v>57194274798</v>
      </c>
      <c r="B4319" t="s">
        <v>5158</v>
      </c>
      <c r="C4319" t="str">
        <f>_xlfn.XLOOKUP(A4319,[1]Affiliations!$J$2:$J$5328,[1]Affiliations!$K$2:$K$5328,0)</f>
        <v>University of São Paulo (+2 more)</v>
      </c>
      <c r="D4319">
        <v>20</v>
      </c>
      <c r="E4319">
        <v>293</v>
      </c>
      <c r="F4319">
        <v>14.65</v>
      </c>
      <c r="G4319">
        <v>9</v>
      </c>
      <c r="H4319">
        <v>0.67</v>
      </c>
      <c r="I4319">
        <v>1</v>
      </c>
      <c r="J4319">
        <v>7</v>
      </c>
      <c r="K4319">
        <v>12</v>
      </c>
      <c r="L4319">
        <v>15</v>
      </c>
      <c r="M4319">
        <v>17</v>
      </c>
      <c r="N4319">
        <v>19</v>
      </c>
      <c r="P4319">
        <v>0</v>
      </c>
      <c r="Q4319">
        <v>1</v>
      </c>
      <c r="R4319">
        <v>2</v>
      </c>
      <c r="S4319">
        <v>6</v>
      </c>
    </row>
    <row r="4320" spans="1:19" hidden="1" x14ac:dyDescent="0.35">
      <c r="A4320">
        <v>56785958600</v>
      </c>
      <c r="B4320" t="s">
        <v>4319</v>
      </c>
      <c r="C4320" t="str">
        <f>_xlfn.XLOOKUP(A4320,[1]Affiliations!$J$2:$J$5328,[1]Affiliations!$K$2:$K$5328,0)</f>
        <v>Universidade Federal de Goiás</v>
      </c>
      <c r="D4320">
        <v>11</v>
      </c>
      <c r="E4320">
        <v>37</v>
      </c>
      <c r="F4320">
        <v>3.3636363</v>
      </c>
      <c r="G4320">
        <v>3</v>
      </c>
      <c r="H4320">
        <v>0.15</v>
      </c>
      <c r="I4320">
        <v>0</v>
      </c>
      <c r="J4320">
        <v>1</v>
      </c>
      <c r="K4320">
        <v>1</v>
      </c>
      <c r="L4320">
        <v>3</v>
      </c>
      <c r="M4320">
        <v>4</v>
      </c>
      <c r="N4320">
        <v>4</v>
      </c>
      <c r="P4320">
        <v>0</v>
      </c>
      <c r="Q4320">
        <v>0</v>
      </c>
      <c r="R4320">
        <v>0</v>
      </c>
      <c r="S4320">
        <v>0</v>
      </c>
    </row>
    <row r="4321" spans="1:19" x14ac:dyDescent="0.35">
      <c r="A4321">
        <v>35106255200</v>
      </c>
      <c r="B4321" t="s">
        <v>5213</v>
      </c>
      <c r="C4321" t="str">
        <f>_xlfn.XLOOKUP(A4321,[1]Affiliations!$J$2:$J$5328,[1]Affiliations!$K$2:$K$5328,0)</f>
        <v>Serviço Nacional de Aprendizagem Industrial (+1 more)</v>
      </c>
      <c r="D4321">
        <v>12</v>
      </c>
      <c r="E4321">
        <v>144</v>
      </c>
      <c r="F4321">
        <v>12</v>
      </c>
      <c r="G4321">
        <v>8</v>
      </c>
      <c r="H4321">
        <v>0.67</v>
      </c>
      <c r="I4321">
        <v>0</v>
      </c>
      <c r="J4321">
        <v>2</v>
      </c>
      <c r="K4321">
        <v>4</v>
      </c>
      <c r="L4321">
        <v>8</v>
      </c>
      <c r="M4321">
        <v>9</v>
      </c>
      <c r="N4321">
        <v>11</v>
      </c>
      <c r="P4321">
        <v>0</v>
      </c>
      <c r="Q4321">
        <v>1</v>
      </c>
      <c r="R4321">
        <v>2</v>
      </c>
      <c r="S4321">
        <v>4</v>
      </c>
    </row>
    <row r="4322" spans="1:19" hidden="1" x14ac:dyDescent="0.35">
      <c r="A4322">
        <v>58678244900</v>
      </c>
      <c r="B4322" t="s">
        <v>4321</v>
      </c>
      <c r="C4322" t="str">
        <f>_xlfn.XLOOKUP(A4322,[1]Affiliations!$J$2:$J$5328,[1]Affiliations!$K$2:$K$5328,0)</f>
        <v>Universidade Federal de Pernambuco</v>
      </c>
      <c r="D4322">
        <v>1</v>
      </c>
      <c r="E4322">
        <v>0</v>
      </c>
      <c r="F4322">
        <v>0</v>
      </c>
      <c r="G4322">
        <v>0</v>
      </c>
      <c r="H4322">
        <v>0</v>
      </c>
      <c r="P4322">
        <v>0</v>
      </c>
      <c r="Q4322">
        <v>0</v>
      </c>
      <c r="R4322">
        <v>0</v>
      </c>
      <c r="S4322">
        <v>0</v>
      </c>
    </row>
    <row r="4323" spans="1:19" x14ac:dyDescent="0.35">
      <c r="A4323">
        <v>18134608100</v>
      </c>
      <c r="B4323" t="s">
        <v>5240</v>
      </c>
      <c r="C4323" t="str">
        <f>_xlfn.XLOOKUP(A4323,[1]Affiliations!$J$2:$J$5328,[1]Affiliations!$K$2:$K$5328,0)</f>
        <v>Universidade Federal do Rio Grande do Norte</v>
      </c>
      <c r="D4323">
        <v>25</v>
      </c>
      <c r="E4323">
        <v>325</v>
      </c>
      <c r="F4323">
        <v>13</v>
      </c>
      <c r="G4323">
        <v>13</v>
      </c>
      <c r="H4323">
        <v>0.67</v>
      </c>
      <c r="I4323">
        <v>0</v>
      </c>
      <c r="J4323">
        <v>3</v>
      </c>
      <c r="K4323">
        <v>8</v>
      </c>
      <c r="L4323">
        <v>16</v>
      </c>
      <c r="M4323">
        <v>23</v>
      </c>
      <c r="N4323">
        <v>24</v>
      </c>
      <c r="P4323">
        <v>0</v>
      </c>
      <c r="Q4323">
        <v>0</v>
      </c>
      <c r="R4323">
        <v>1</v>
      </c>
      <c r="S4323">
        <v>11</v>
      </c>
    </row>
    <row r="4324" spans="1:19" x14ac:dyDescent="0.35">
      <c r="A4324">
        <v>56810101700</v>
      </c>
      <c r="B4324" t="s">
        <v>5283</v>
      </c>
      <c r="C4324" t="str">
        <f>_xlfn.XLOOKUP(A4324,[1]Affiliations!$J$2:$J$5328,[1]Affiliations!$K$2:$K$5328,0)</f>
        <v>Universidade Federal Fluminense</v>
      </c>
      <c r="D4324">
        <v>32</v>
      </c>
      <c r="E4324">
        <v>440</v>
      </c>
      <c r="F4324">
        <v>13.75</v>
      </c>
      <c r="G4324">
        <v>13</v>
      </c>
      <c r="H4324">
        <v>0.67</v>
      </c>
      <c r="I4324">
        <v>0</v>
      </c>
      <c r="J4324">
        <v>10</v>
      </c>
      <c r="K4324">
        <v>15</v>
      </c>
      <c r="L4324">
        <v>24</v>
      </c>
      <c r="M4324">
        <v>27</v>
      </c>
      <c r="N4324">
        <v>32</v>
      </c>
      <c r="P4324">
        <v>0</v>
      </c>
      <c r="Q4324">
        <v>0</v>
      </c>
      <c r="R4324">
        <v>3</v>
      </c>
      <c r="S4324">
        <v>16</v>
      </c>
    </row>
    <row r="4325" spans="1:19" hidden="1" x14ac:dyDescent="0.35">
      <c r="A4325">
        <v>58065421800</v>
      </c>
      <c r="B4325" t="s">
        <v>4324</v>
      </c>
      <c r="C4325" t="str">
        <f>_xlfn.XLOOKUP(A4325,[1]Affiliations!$J$2:$J$5328,[1]Affiliations!$K$2:$K$5328,0)</f>
        <v>Universidade Estadual de Feira de Santana</v>
      </c>
      <c r="D4325">
        <v>1</v>
      </c>
      <c r="E4325">
        <v>10</v>
      </c>
      <c r="F4325">
        <v>10</v>
      </c>
      <c r="G4325">
        <v>1</v>
      </c>
      <c r="H4325">
        <v>1.31</v>
      </c>
      <c r="I4325">
        <v>0</v>
      </c>
      <c r="J4325">
        <v>0</v>
      </c>
      <c r="K4325">
        <v>0</v>
      </c>
      <c r="L4325">
        <v>1</v>
      </c>
      <c r="M4325">
        <v>1</v>
      </c>
      <c r="N4325">
        <v>1</v>
      </c>
      <c r="P4325">
        <v>0</v>
      </c>
      <c r="Q4325">
        <v>0</v>
      </c>
      <c r="R4325">
        <v>0</v>
      </c>
      <c r="S4325">
        <v>1</v>
      </c>
    </row>
    <row r="4326" spans="1:19" hidden="1" x14ac:dyDescent="0.35">
      <c r="A4326">
        <v>6506814108</v>
      </c>
      <c r="B4326" t="s">
        <v>4325</v>
      </c>
      <c r="C4326" t="str">
        <f>_xlfn.XLOOKUP(A4326,[1]Affiliations!$J$2:$J$5328,[1]Affiliations!$K$2:$K$5328,0)</f>
        <v>Universidade Federal do Rio Grande do Sul (+2 more)</v>
      </c>
      <c r="D4326">
        <v>8</v>
      </c>
      <c r="E4326">
        <v>48</v>
      </c>
      <c r="F4326">
        <v>6</v>
      </c>
      <c r="G4326">
        <v>6</v>
      </c>
      <c r="H4326">
        <v>0.78</v>
      </c>
      <c r="I4326">
        <v>0</v>
      </c>
      <c r="J4326">
        <v>1</v>
      </c>
      <c r="K4326">
        <v>1</v>
      </c>
      <c r="L4326">
        <v>3</v>
      </c>
      <c r="M4326">
        <v>4</v>
      </c>
      <c r="N4326">
        <v>4</v>
      </c>
      <c r="P4326">
        <v>0</v>
      </c>
      <c r="Q4326">
        <v>0</v>
      </c>
      <c r="R4326">
        <v>0</v>
      </c>
      <c r="S4326">
        <v>2</v>
      </c>
    </row>
    <row r="4327" spans="1:19" hidden="1" x14ac:dyDescent="0.35">
      <c r="A4327">
        <v>57339465300</v>
      </c>
      <c r="B4327" t="s">
        <v>4326</v>
      </c>
      <c r="C4327" t="str">
        <f>_xlfn.XLOOKUP(A4327,[1]Affiliations!$J$2:$J$5328,[1]Affiliations!$K$2:$K$5328,0)</f>
        <v>Universidade Federal Rural do Rio de Janeiro</v>
      </c>
      <c r="D4327">
        <v>1</v>
      </c>
      <c r="E4327">
        <v>3</v>
      </c>
      <c r="F4327">
        <v>3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P4327">
        <v>0</v>
      </c>
      <c r="Q4327">
        <v>0</v>
      </c>
      <c r="R4327">
        <v>0</v>
      </c>
      <c r="S4327">
        <v>0</v>
      </c>
    </row>
    <row r="4328" spans="1:19" hidden="1" x14ac:dyDescent="0.35">
      <c r="A4328">
        <v>60229719500</v>
      </c>
      <c r="B4328" t="s">
        <v>4327</v>
      </c>
      <c r="C4328" t="str">
        <f>_xlfn.XLOOKUP(A4328,[1]Affiliations!$J$2:$J$5328,[1]Affiliations!$K$2:$K$5328,0)</f>
        <v>Universidade Federal do Espírito Santo</v>
      </c>
      <c r="D4328">
        <v>0</v>
      </c>
      <c r="G4328">
        <v>0</v>
      </c>
    </row>
    <row r="4329" spans="1:19" hidden="1" x14ac:dyDescent="0.35">
      <c r="A4329">
        <v>60041953700</v>
      </c>
      <c r="B4329" t="s">
        <v>4328</v>
      </c>
      <c r="C4329" t="str">
        <f>_xlfn.XLOOKUP(A4329,[1]Affiliations!$J$2:$J$5328,[1]Affiliations!$K$2:$K$5328,0)</f>
        <v>Universidade Federal de Campina Grande</v>
      </c>
      <c r="D4329">
        <v>0</v>
      </c>
      <c r="G4329">
        <v>1</v>
      </c>
    </row>
    <row r="4330" spans="1:19" hidden="1" x14ac:dyDescent="0.35">
      <c r="A4330">
        <v>56441617700</v>
      </c>
      <c r="B4330" t="s">
        <v>4329</v>
      </c>
      <c r="C4330" t="str">
        <f>_xlfn.XLOOKUP(A4330,[1]Affiliations!$J$2:$J$5328,[1]Affiliations!$K$2:$K$5328,0)</f>
        <v>Federal University of Rio de Janeiro</v>
      </c>
      <c r="D4330">
        <v>0</v>
      </c>
      <c r="G4330">
        <v>1</v>
      </c>
    </row>
    <row r="4331" spans="1:19" x14ac:dyDescent="0.35">
      <c r="A4331">
        <v>8961231800</v>
      </c>
      <c r="B4331" t="s">
        <v>5310</v>
      </c>
      <c r="C4331" t="str">
        <f>_xlfn.XLOOKUP(A4331,[1]Affiliations!$J$2:$J$5328,[1]Affiliations!$K$2:$K$5328,0)</f>
        <v>Universidade do Estado do Rio de Janeiro (+3 more)</v>
      </c>
      <c r="D4331">
        <v>21</v>
      </c>
      <c r="E4331">
        <v>378</v>
      </c>
      <c r="F4331">
        <v>18</v>
      </c>
      <c r="G4331">
        <v>20</v>
      </c>
      <c r="H4331">
        <v>0.67</v>
      </c>
      <c r="I4331">
        <v>1</v>
      </c>
      <c r="J4331">
        <v>3</v>
      </c>
      <c r="K4331">
        <v>7</v>
      </c>
      <c r="L4331">
        <v>15</v>
      </c>
      <c r="M4331">
        <v>20</v>
      </c>
      <c r="N4331">
        <v>21</v>
      </c>
      <c r="P4331">
        <v>0</v>
      </c>
      <c r="Q4331">
        <v>0</v>
      </c>
      <c r="R4331">
        <v>2</v>
      </c>
      <c r="S4331">
        <v>9</v>
      </c>
    </row>
    <row r="4332" spans="1:19" hidden="1" x14ac:dyDescent="0.35">
      <c r="A4332">
        <v>58638593600</v>
      </c>
      <c r="B4332" t="s">
        <v>4331</v>
      </c>
      <c r="C4332" t="str">
        <f>_xlfn.XLOOKUP(A4332,[1]Affiliations!$J$2:$J$5328,[1]Affiliations!$K$2:$K$5328,0)</f>
        <v>Universidade Federal do Rio Grande do Sul</v>
      </c>
      <c r="D4332">
        <v>1</v>
      </c>
      <c r="E4332">
        <v>2</v>
      </c>
      <c r="F4332">
        <v>2</v>
      </c>
      <c r="G4332">
        <v>1</v>
      </c>
      <c r="H4332">
        <v>1.59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P4332">
        <v>0</v>
      </c>
      <c r="Q4332">
        <v>0</v>
      </c>
      <c r="R4332">
        <v>0</v>
      </c>
      <c r="S4332">
        <v>0</v>
      </c>
    </row>
    <row r="4333" spans="1:19" hidden="1" x14ac:dyDescent="0.35">
      <c r="A4333">
        <v>57221784997</v>
      </c>
      <c r="B4333" t="s">
        <v>4332</v>
      </c>
      <c r="C4333" t="str">
        <f>_xlfn.XLOOKUP(A4333,[1]Affiliations!$J$2:$J$5328,[1]Affiliations!$K$2:$K$5328,0)</f>
        <v>University of Campinas</v>
      </c>
      <c r="D4333">
        <v>7</v>
      </c>
      <c r="E4333">
        <v>40</v>
      </c>
      <c r="F4333">
        <v>5.7142860000000004</v>
      </c>
      <c r="G4333">
        <v>4</v>
      </c>
      <c r="H4333">
        <v>0.65</v>
      </c>
      <c r="I4333">
        <v>0</v>
      </c>
      <c r="J4333">
        <v>0</v>
      </c>
      <c r="K4333">
        <v>3</v>
      </c>
      <c r="L4333">
        <v>5</v>
      </c>
      <c r="M4333">
        <v>6</v>
      </c>
      <c r="N4333">
        <v>6</v>
      </c>
      <c r="P4333">
        <v>0</v>
      </c>
      <c r="Q4333">
        <v>0</v>
      </c>
      <c r="R4333">
        <v>0</v>
      </c>
      <c r="S4333">
        <v>0</v>
      </c>
    </row>
    <row r="4334" spans="1:19" hidden="1" x14ac:dyDescent="0.35">
      <c r="A4334">
        <v>57196421785</v>
      </c>
      <c r="B4334" t="s">
        <v>4333</v>
      </c>
      <c r="C4334" t="str">
        <f>_xlfn.XLOOKUP(A4334,[1]Affiliations!$J$2:$J$5328,[1]Affiliations!$K$2:$K$5328,0)</f>
        <v>Pontifical Catholic University of Rio de Janeiro</v>
      </c>
      <c r="D4334">
        <v>4</v>
      </c>
      <c r="E4334">
        <v>20</v>
      </c>
      <c r="F4334">
        <v>5</v>
      </c>
      <c r="G4334">
        <v>2</v>
      </c>
      <c r="H4334">
        <v>0.64</v>
      </c>
      <c r="I4334">
        <v>0</v>
      </c>
      <c r="J4334">
        <v>0</v>
      </c>
      <c r="K4334">
        <v>0</v>
      </c>
      <c r="L4334">
        <v>0</v>
      </c>
      <c r="M4334">
        <v>1</v>
      </c>
      <c r="N4334">
        <v>1</v>
      </c>
      <c r="P4334">
        <v>0</v>
      </c>
      <c r="Q4334">
        <v>0</v>
      </c>
      <c r="R4334">
        <v>0</v>
      </c>
      <c r="S4334">
        <v>0</v>
      </c>
    </row>
    <row r="4335" spans="1:19" hidden="1" x14ac:dyDescent="0.35">
      <c r="A4335">
        <v>7004952714</v>
      </c>
      <c r="B4335" t="s">
        <v>4334</v>
      </c>
      <c r="C4335" t="str">
        <f>_xlfn.XLOOKUP(A4335,[1]Affiliations!$J$2:$J$5328,[1]Affiliations!$K$2:$K$5328,0)</f>
        <v>University of Campinas</v>
      </c>
      <c r="D4335">
        <v>10</v>
      </c>
      <c r="E4335">
        <v>95</v>
      </c>
      <c r="F4335">
        <v>9.5</v>
      </c>
      <c r="G4335">
        <v>12</v>
      </c>
      <c r="H4335">
        <v>0.5</v>
      </c>
      <c r="I4335">
        <v>0</v>
      </c>
      <c r="J4335">
        <v>2</v>
      </c>
      <c r="K4335">
        <v>4</v>
      </c>
      <c r="L4335">
        <v>5</v>
      </c>
      <c r="M4335">
        <v>8</v>
      </c>
      <c r="N4335">
        <v>9</v>
      </c>
      <c r="P4335">
        <v>0</v>
      </c>
      <c r="Q4335">
        <v>0</v>
      </c>
      <c r="R4335">
        <v>0</v>
      </c>
      <c r="S4335">
        <v>0</v>
      </c>
    </row>
    <row r="4336" spans="1:19" hidden="1" x14ac:dyDescent="0.35">
      <c r="A4336">
        <v>56511330700</v>
      </c>
      <c r="B4336" t="s">
        <v>4335</v>
      </c>
      <c r="C4336" t="str">
        <f>_xlfn.XLOOKUP(A4336,[1]Affiliations!$J$2:$J$5328,[1]Affiliations!$K$2:$K$5328,0)</f>
        <v>Universidade Federal de Santa Maria</v>
      </c>
      <c r="D4336">
        <v>4</v>
      </c>
      <c r="E4336">
        <v>137</v>
      </c>
      <c r="F4336">
        <v>34.25</v>
      </c>
      <c r="G4336">
        <v>4</v>
      </c>
      <c r="H4336">
        <v>1.7</v>
      </c>
      <c r="I4336">
        <v>0</v>
      </c>
      <c r="J4336">
        <v>1</v>
      </c>
      <c r="K4336">
        <v>1</v>
      </c>
      <c r="L4336">
        <v>3</v>
      </c>
      <c r="M4336">
        <v>3</v>
      </c>
      <c r="N4336">
        <v>4</v>
      </c>
      <c r="P4336">
        <v>0</v>
      </c>
      <c r="Q4336">
        <v>0</v>
      </c>
      <c r="R4336">
        <v>2</v>
      </c>
      <c r="S4336">
        <v>2</v>
      </c>
    </row>
    <row r="4337" spans="1:19" hidden="1" x14ac:dyDescent="0.35">
      <c r="A4337">
        <v>57252619900</v>
      </c>
      <c r="B4337" t="s">
        <v>4336</v>
      </c>
      <c r="C4337" t="str">
        <f>_xlfn.XLOOKUP(A4337,[1]Affiliations!$J$2:$J$5328,[1]Affiliations!$K$2:$K$5328,0)</f>
        <v>Universidade Federal de Uberlândia</v>
      </c>
      <c r="D4337">
        <v>1</v>
      </c>
      <c r="E4337">
        <v>46</v>
      </c>
      <c r="F4337">
        <v>46</v>
      </c>
      <c r="G4337">
        <v>1</v>
      </c>
      <c r="H4337">
        <v>1.88</v>
      </c>
      <c r="I4337">
        <v>0</v>
      </c>
      <c r="J4337">
        <v>0</v>
      </c>
      <c r="K4337">
        <v>1</v>
      </c>
      <c r="L4337">
        <v>1</v>
      </c>
      <c r="M4337">
        <v>1</v>
      </c>
      <c r="N4337">
        <v>1</v>
      </c>
      <c r="P4337">
        <v>0</v>
      </c>
      <c r="Q4337">
        <v>0</v>
      </c>
      <c r="R4337">
        <v>1</v>
      </c>
      <c r="S4337">
        <v>1</v>
      </c>
    </row>
    <row r="4338" spans="1:19" hidden="1" x14ac:dyDescent="0.35">
      <c r="A4338">
        <v>58678245300</v>
      </c>
      <c r="B4338" t="s">
        <v>4337</v>
      </c>
      <c r="C4338" t="str">
        <f>_xlfn.XLOOKUP(A4338,[1]Affiliations!$J$2:$J$5328,[1]Affiliations!$K$2:$K$5328,0)</f>
        <v>Universidade Federal de Uberlândia</v>
      </c>
      <c r="D4338">
        <v>1</v>
      </c>
      <c r="E4338">
        <v>1</v>
      </c>
      <c r="F4338">
        <v>1</v>
      </c>
      <c r="G4338">
        <v>1</v>
      </c>
      <c r="H4338">
        <v>0.7</v>
      </c>
      <c r="P4338">
        <v>0</v>
      </c>
      <c r="Q4338">
        <v>0</v>
      </c>
      <c r="R4338">
        <v>0</v>
      </c>
      <c r="S4338">
        <v>0</v>
      </c>
    </row>
    <row r="4339" spans="1:19" hidden="1" x14ac:dyDescent="0.35">
      <c r="A4339">
        <v>58525716800</v>
      </c>
      <c r="B4339" t="s">
        <v>4338</v>
      </c>
      <c r="C4339" t="str">
        <f>_xlfn.XLOOKUP(A4339,[1]Affiliations!$J$2:$J$5328,[1]Affiliations!$K$2:$K$5328,0)</f>
        <v>Pontifical Catholic University of Rio de Janeiro</v>
      </c>
      <c r="D4339">
        <v>1</v>
      </c>
      <c r="E4339">
        <v>3</v>
      </c>
      <c r="F4339">
        <v>3</v>
      </c>
      <c r="G4339">
        <v>1</v>
      </c>
      <c r="H4339">
        <v>0.35</v>
      </c>
      <c r="I4339">
        <v>0</v>
      </c>
      <c r="J4339">
        <v>0</v>
      </c>
      <c r="K4339">
        <v>0</v>
      </c>
      <c r="L4339">
        <v>0</v>
      </c>
      <c r="M4339">
        <v>1</v>
      </c>
      <c r="N4339">
        <v>1</v>
      </c>
      <c r="P4339">
        <v>0</v>
      </c>
      <c r="Q4339">
        <v>0</v>
      </c>
      <c r="R4339">
        <v>0</v>
      </c>
      <c r="S4339">
        <v>0</v>
      </c>
    </row>
    <row r="4340" spans="1:19" x14ac:dyDescent="0.35">
      <c r="A4340">
        <v>37100946700</v>
      </c>
      <c r="B4340" t="s">
        <v>119</v>
      </c>
      <c r="C4340" t="str">
        <f>_xlfn.XLOOKUP(A4340,[1]Affiliations!$J$2:$J$5328,[1]Affiliations!$K$2:$K$5328,0)</f>
        <v>Universidade Federal do Rio Grande do Sul</v>
      </c>
      <c r="D4340">
        <v>21</v>
      </c>
      <c r="E4340">
        <v>259</v>
      </c>
      <c r="F4340">
        <v>12.333333</v>
      </c>
      <c r="G4340">
        <v>9</v>
      </c>
      <c r="H4340">
        <v>0.66</v>
      </c>
      <c r="I4340">
        <v>0</v>
      </c>
      <c r="J4340">
        <v>1</v>
      </c>
      <c r="K4340">
        <v>3</v>
      </c>
      <c r="L4340">
        <v>7</v>
      </c>
      <c r="M4340">
        <v>11</v>
      </c>
      <c r="N4340">
        <v>12</v>
      </c>
      <c r="P4340">
        <v>0</v>
      </c>
      <c r="Q4340">
        <v>0</v>
      </c>
      <c r="R4340">
        <v>2</v>
      </c>
      <c r="S4340">
        <v>5</v>
      </c>
    </row>
    <row r="4341" spans="1:19" x14ac:dyDescent="0.35">
      <c r="A4341">
        <v>57190960657</v>
      </c>
      <c r="B4341" t="s">
        <v>431</v>
      </c>
      <c r="C4341" t="str">
        <f>_xlfn.XLOOKUP(A4341,[1]Affiliations!$J$2:$J$5328,[1]Affiliations!$K$2:$K$5328,0)</f>
        <v>Universidade Federal do Ceará</v>
      </c>
      <c r="D4341">
        <v>12</v>
      </c>
      <c r="E4341">
        <v>180</v>
      </c>
      <c r="F4341">
        <v>15</v>
      </c>
      <c r="G4341">
        <v>5</v>
      </c>
      <c r="H4341">
        <v>0.66</v>
      </c>
      <c r="I4341">
        <v>0</v>
      </c>
      <c r="J4341">
        <v>3</v>
      </c>
      <c r="K4341">
        <v>5</v>
      </c>
      <c r="L4341">
        <v>7</v>
      </c>
      <c r="M4341">
        <v>9</v>
      </c>
      <c r="N4341">
        <v>12</v>
      </c>
      <c r="P4341">
        <v>0</v>
      </c>
      <c r="Q4341">
        <v>0</v>
      </c>
      <c r="R4341">
        <v>4</v>
      </c>
      <c r="S4341">
        <v>4</v>
      </c>
    </row>
    <row r="4342" spans="1:19" hidden="1" x14ac:dyDescent="0.35">
      <c r="A4342">
        <v>57210666381</v>
      </c>
      <c r="B4342" t="s">
        <v>4341</v>
      </c>
      <c r="C4342" t="str">
        <f>_xlfn.XLOOKUP(A4342,[1]Affiliations!$J$2:$J$5328,[1]Affiliations!$K$2:$K$5328,0)</f>
        <v>Federal University of Rio de Janeiro</v>
      </c>
      <c r="D4342">
        <v>1</v>
      </c>
      <c r="E4342">
        <v>20</v>
      </c>
      <c r="F4342">
        <v>20</v>
      </c>
      <c r="G4342">
        <v>1</v>
      </c>
      <c r="H4342">
        <v>1.1599999999999999</v>
      </c>
      <c r="I4342">
        <v>0</v>
      </c>
      <c r="J4342">
        <v>0</v>
      </c>
      <c r="K4342">
        <v>1</v>
      </c>
      <c r="L4342">
        <v>1</v>
      </c>
      <c r="M4342">
        <v>1</v>
      </c>
      <c r="N4342">
        <v>1</v>
      </c>
      <c r="P4342">
        <v>0</v>
      </c>
      <c r="Q4342">
        <v>0</v>
      </c>
      <c r="R4342">
        <v>0</v>
      </c>
      <c r="S4342">
        <v>0</v>
      </c>
    </row>
    <row r="4343" spans="1:19" x14ac:dyDescent="0.35">
      <c r="A4343">
        <v>7006096573</v>
      </c>
      <c r="B4343" t="s">
        <v>582</v>
      </c>
      <c r="C4343" t="str">
        <f>_xlfn.XLOOKUP(A4343,[1]Affiliations!$J$2:$J$5328,[1]Affiliations!$K$2:$K$5328,0)</f>
        <v>Pontifical Catholic University of Rio de Janeiro (+2 more)</v>
      </c>
      <c r="D4343">
        <v>43</v>
      </c>
      <c r="E4343">
        <v>693</v>
      </c>
      <c r="F4343">
        <v>16.11628</v>
      </c>
      <c r="G4343">
        <v>18</v>
      </c>
      <c r="H4343">
        <v>0.66</v>
      </c>
      <c r="I4343">
        <v>0</v>
      </c>
      <c r="J4343">
        <v>3</v>
      </c>
      <c r="K4343">
        <v>9</v>
      </c>
      <c r="L4343">
        <v>11</v>
      </c>
      <c r="M4343">
        <v>25</v>
      </c>
      <c r="N4343">
        <v>40</v>
      </c>
      <c r="P4343">
        <v>0</v>
      </c>
      <c r="Q4343">
        <v>2</v>
      </c>
      <c r="R4343">
        <v>5</v>
      </c>
      <c r="S4343">
        <v>8</v>
      </c>
    </row>
    <row r="4344" spans="1:19" x14ac:dyDescent="0.35">
      <c r="A4344">
        <v>24450364400</v>
      </c>
      <c r="B4344" t="s">
        <v>938</v>
      </c>
      <c r="C4344" t="str">
        <f>_xlfn.XLOOKUP(A4344,[1]Affiliations!$J$2:$J$5328,[1]Affiliations!$K$2:$K$5328,0)</f>
        <v>Universidade Federal Fluminense</v>
      </c>
      <c r="D4344">
        <v>135</v>
      </c>
      <c r="E4344">
        <v>1000</v>
      </c>
      <c r="F4344">
        <v>7.4074073</v>
      </c>
      <c r="G4344">
        <v>20</v>
      </c>
      <c r="H4344">
        <v>0.66</v>
      </c>
      <c r="I4344">
        <v>0</v>
      </c>
      <c r="J4344">
        <v>3</v>
      </c>
      <c r="K4344">
        <v>7</v>
      </c>
      <c r="L4344">
        <v>16</v>
      </c>
      <c r="M4344">
        <v>60</v>
      </c>
      <c r="N4344">
        <v>74</v>
      </c>
      <c r="P4344">
        <v>0</v>
      </c>
      <c r="Q4344">
        <v>2</v>
      </c>
      <c r="R4344">
        <v>3</v>
      </c>
      <c r="S4344">
        <v>15</v>
      </c>
    </row>
    <row r="4345" spans="1:19" x14ac:dyDescent="0.35">
      <c r="A4345">
        <v>6506915174</v>
      </c>
      <c r="B4345" t="s">
        <v>1132</v>
      </c>
      <c r="C4345" t="str">
        <f>_xlfn.XLOOKUP(A4345,[1]Affiliations!$J$2:$J$5328,[1]Affiliations!$K$2:$K$5328,0)</f>
        <v>Pontifical Catholic University of Rio de Janeiro</v>
      </c>
      <c r="D4345">
        <v>45</v>
      </c>
      <c r="E4345">
        <v>573</v>
      </c>
      <c r="F4345">
        <v>12.733333999999999</v>
      </c>
      <c r="G4345">
        <v>23</v>
      </c>
      <c r="H4345">
        <v>0.66</v>
      </c>
      <c r="I4345">
        <v>0</v>
      </c>
      <c r="J4345">
        <v>0</v>
      </c>
      <c r="K4345">
        <v>7</v>
      </c>
      <c r="L4345">
        <v>29</v>
      </c>
      <c r="M4345">
        <v>43</v>
      </c>
      <c r="N4345">
        <v>45</v>
      </c>
      <c r="P4345">
        <v>0</v>
      </c>
      <c r="Q4345">
        <v>1</v>
      </c>
      <c r="R4345">
        <v>3</v>
      </c>
      <c r="S4345">
        <v>13</v>
      </c>
    </row>
    <row r="4346" spans="1:19" hidden="1" x14ac:dyDescent="0.35">
      <c r="A4346">
        <v>15045644600</v>
      </c>
      <c r="B4346" t="s">
        <v>4345</v>
      </c>
      <c r="C4346" t="str">
        <f>_xlfn.XLOOKUP(A4346,[1]Affiliations!$J$2:$J$5328,[1]Affiliations!$K$2:$K$5328,0)</f>
        <v>Prima-7S</v>
      </c>
      <c r="D4346">
        <v>2</v>
      </c>
      <c r="E4346">
        <v>8</v>
      </c>
      <c r="F4346">
        <v>4</v>
      </c>
      <c r="G4346">
        <v>3</v>
      </c>
      <c r="H4346">
        <v>0.12</v>
      </c>
      <c r="I4346">
        <v>0</v>
      </c>
      <c r="J4346">
        <v>0</v>
      </c>
      <c r="K4346">
        <v>0</v>
      </c>
      <c r="L4346">
        <v>0</v>
      </c>
      <c r="M4346">
        <v>1</v>
      </c>
      <c r="N4346">
        <v>2</v>
      </c>
      <c r="P4346">
        <v>0</v>
      </c>
      <c r="Q4346">
        <v>0</v>
      </c>
      <c r="R4346">
        <v>0</v>
      </c>
      <c r="S4346">
        <v>0</v>
      </c>
    </row>
    <row r="4347" spans="1:19" hidden="1" x14ac:dyDescent="0.35">
      <c r="A4347">
        <v>57924190000</v>
      </c>
      <c r="B4347" t="s">
        <v>4346</v>
      </c>
      <c r="C4347" t="str">
        <f>_xlfn.XLOOKUP(A4347,[1]Affiliations!$J$2:$J$5328,[1]Affiliations!$K$2:$K$5328,0)</f>
        <v>Engineering Simulation and Scientific Software (ESSS) (+1 more)</v>
      </c>
      <c r="D4347">
        <v>3</v>
      </c>
      <c r="E4347">
        <v>6</v>
      </c>
      <c r="F4347">
        <v>2</v>
      </c>
      <c r="G4347">
        <v>1</v>
      </c>
      <c r="H4347">
        <v>1.1200000000000001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1</v>
      </c>
      <c r="P4347">
        <v>0</v>
      </c>
      <c r="Q4347">
        <v>0</v>
      </c>
      <c r="R4347">
        <v>0</v>
      </c>
      <c r="S4347">
        <v>0</v>
      </c>
    </row>
    <row r="4348" spans="1:19" hidden="1" x14ac:dyDescent="0.35">
      <c r="A4348">
        <v>57880875800</v>
      </c>
      <c r="B4348" t="s">
        <v>4347</v>
      </c>
      <c r="C4348" t="str">
        <f>_xlfn.XLOOKUP(A4348,[1]Affiliations!$J$2:$J$5328,[1]Affiliations!$K$2:$K$5328,0)</f>
        <v>Universidade de São Paulo (+1 more)</v>
      </c>
      <c r="D4348">
        <v>4</v>
      </c>
      <c r="E4348">
        <v>10</v>
      </c>
      <c r="F4348">
        <v>2.5</v>
      </c>
      <c r="G4348">
        <v>2</v>
      </c>
      <c r="H4348">
        <v>0.61</v>
      </c>
      <c r="I4348">
        <v>0</v>
      </c>
      <c r="J4348">
        <v>0</v>
      </c>
      <c r="K4348">
        <v>0</v>
      </c>
      <c r="L4348">
        <v>1</v>
      </c>
      <c r="M4348">
        <v>2</v>
      </c>
      <c r="N4348">
        <v>2</v>
      </c>
      <c r="P4348">
        <v>0</v>
      </c>
      <c r="Q4348">
        <v>0</v>
      </c>
      <c r="R4348">
        <v>0</v>
      </c>
      <c r="S4348">
        <v>0</v>
      </c>
    </row>
    <row r="4349" spans="1:19" hidden="1" x14ac:dyDescent="0.35">
      <c r="A4349">
        <v>36085032100</v>
      </c>
      <c r="B4349" t="s">
        <v>4348</v>
      </c>
      <c r="C4349" t="str">
        <f>_xlfn.XLOOKUP(A4349,[1]Affiliations!$J$2:$J$5328,[1]Affiliations!$K$2:$K$5328,0)</f>
        <v>Universidade de São Paulo</v>
      </c>
      <c r="D4349">
        <v>14</v>
      </c>
      <c r="E4349">
        <v>267</v>
      </c>
      <c r="F4349">
        <v>19.071428000000001</v>
      </c>
      <c r="G4349">
        <v>18</v>
      </c>
      <c r="H4349">
        <v>2.4300000000000002</v>
      </c>
      <c r="I4349">
        <v>0</v>
      </c>
      <c r="J4349">
        <v>0</v>
      </c>
      <c r="K4349">
        <v>0</v>
      </c>
      <c r="L4349">
        <v>4</v>
      </c>
      <c r="M4349">
        <v>5</v>
      </c>
      <c r="N4349">
        <v>12</v>
      </c>
      <c r="P4349">
        <v>0</v>
      </c>
      <c r="Q4349">
        <v>1</v>
      </c>
      <c r="R4349">
        <v>1</v>
      </c>
      <c r="S4349">
        <v>4</v>
      </c>
    </row>
    <row r="4350" spans="1:19" x14ac:dyDescent="0.35">
      <c r="A4350">
        <v>7005610914</v>
      </c>
      <c r="B4350" t="s">
        <v>2137</v>
      </c>
      <c r="C4350" t="str">
        <f>_xlfn.XLOOKUP(A4350,[1]Affiliations!$J$2:$J$5328,[1]Affiliations!$K$2:$K$5328,0)</f>
        <v>Federal University of Rio de Janeiro</v>
      </c>
      <c r="D4350">
        <v>46</v>
      </c>
      <c r="E4350">
        <v>879</v>
      </c>
      <c r="F4350">
        <v>19.108695999999998</v>
      </c>
      <c r="G4350">
        <v>17</v>
      </c>
      <c r="H4350">
        <v>0.66</v>
      </c>
      <c r="I4350">
        <v>0</v>
      </c>
      <c r="J4350">
        <v>4</v>
      </c>
      <c r="K4350">
        <v>8</v>
      </c>
      <c r="L4350">
        <v>27</v>
      </c>
      <c r="M4350">
        <v>31</v>
      </c>
      <c r="N4350">
        <v>43</v>
      </c>
      <c r="P4350">
        <v>0</v>
      </c>
      <c r="Q4350">
        <v>2</v>
      </c>
      <c r="R4350">
        <v>4</v>
      </c>
      <c r="S4350">
        <v>16</v>
      </c>
    </row>
    <row r="4351" spans="1:19" hidden="1" x14ac:dyDescent="0.35">
      <c r="A4351">
        <v>57510108500</v>
      </c>
      <c r="B4351" t="s">
        <v>4350</v>
      </c>
      <c r="C4351" t="str">
        <f>_xlfn.XLOOKUP(A4351,[1]Affiliations!$J$2:$J$5328,[1]Affiliations!$K$2:$K$5328,0)</f>
        <v>Universidade Tecnológica Federal do Paraná</v>
      </c>
      <c r="D4351">
        <v>2</v>
      </c>
      <c r="E4351">
        <v>6</v>
      </c>
      <c r="F4351">
        <v>3</v>
      </c>
      <c r="G4351">
        <v>2</v>
      </c>
      <c r="H4351">
        <v>0.17</v>
      </c>
      <c r="I4351">
        <v>0</v>
      </c>
      <c r="J4351">
        <v>0</v>
      </c>
      <c r="K4351">
        <v>0</v>
      </c>
      <c r="L4351">
        <v>1</v>
      </c>
      <c r="M4351">
        <v>1</v>
      </c>
      <c r="N4351">
        <v>1</v>
      </c>
      <c r="P4351">
        <v>0</v>
      </c>
      <c r="Q4351">
        <v>0</v>
      </c>
      <c r="R4351">
        <v>0</v>
      </c>
      <c r="S4351">
        <v>0</v>
      </c>
    </row>
    <row r="4352" spans="1:19" hidden="1" x14ac:dyDescent="0.35">
      <c r="A4352">
        <v>58677199100</v>
      </c>
      <c r="B4352" t="s">
        <v>4351</v>
      </c>
      <c r="C4352" t="str">
        <f>_xlfn.XLOOKUP(A4352,[1]Affiliations!$J$2:$J$5328,[1]Affiliations!$K$2:$K$5328,0)</f>
        <v>Universidade Federal do Rio Grande do Sul</v>
      </c>
      <c r="D4352">
        <v>2</v>
      </c>
      <c r="E4352">
        <v>1</v>
      </c>
      <c r="F4352">
        <v>0.5</v>
      </c>
      <c r="G4352">
        <v>1</v>
      </c>
      <c r="H4352">
        <v>0.35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1</v>
      </c>
      <c r="P4352">
        <v>0</v>
      </c>
      <c r="Q4352">
        <v>0</v>
      </c>
      <c r="R4352">
        <v>0</v>
      </c>
      <c r="S4352">
        <v>0</v>
      </c>
    </row>
    <row r="4353" spans="1:19" x14ac:dyDescent="0.35">
      <c r="A4353">
        <v>57212237824</v>
      </c>
      <c r="B4353" t="s">
        <v>2210</v>
      </c>
      <c r="C4353" t="str">
        <f>_xlfn.XLOOKUP(A4353,[1]Affiliations!$J$2:$J$5328,[1]Affiliations!$K$2:$K$5328,0)</f>
        <v>University of Campinas</v>
      </c>
      <c r="D4353">
        <v>109</v>
      </c>
      <c r="E4353">
        <v>323</v>
      </c>
      <c r="F4353">
        <v>2.9633029</v>
      </c>
      <c r="G4353">
        <v>11</v>
      </c>
      <c r="H4353">
        <v>0.66</v>
      </c>
      <c r="I4353">
        <v>0</v>
      </c>
      <c r="J4353">
        <v>0</v>
      </c>
      <c r="K4353">
        <v>5</v>
      </c>
      <c r="L4353">
        <v>19</v>
      </c>
      <c r="M4353">
        <v>27</v>
      </c>
      <c r="N4353">
        <v>33</v>
      </c>
      <c r="P4353">
        <v>0</v>
      </c>
      <c r="Q4353">
        <v>0</v>
      </c>
      <c r="R4353">
        <v>2</v>
      </c>
      <c r="S4353">
        <v>10</v>
      </c>
    </row>
    <row r="4354" spans="1:19" hidden="1" x14ac:dyDescent="0.35">
      <c r="A4354">
        <v>59911883500</v>
      </c>
      <c r="B4354" t="s">
        <v>4352</v>
      </c>
      <c r="C4354" t="str">
        <f>_xlfn.XLOOKUP(A4354,[1]Affiliations!$J$2:$J$5328,[1]Affiliations!$K$2:$K$5328,0)</f>
        <v>Universidade Federal de Mato Grosso</v>
      </c>
      <c r="D4354">
        <v>1</v>
      </c>
      <c r="E4354">
        <v>0</v>
      </c>
      <c r="F4354">
        <v>0</v>
      </c>
      <c r="G4354">
        <v>1</v>
      </c>
      <c r="H4354">
        <v>0</v>
      </c>
      <c r="P4354">
        <v>0</v>
      </c>
      <c r="Q4354">
        <v>0</v>
      </c>
      <c r="R4354">
        <v>0</v>
      </c>
      <c r="S4354">
        <v>0</v>
      </c>
    </row>
    <row r="4355" spans="1:19" hidden="1" x14ac:dyDescent="0.35">
      <c r="A4355">
        <v>59912269300</v>
      </c>
      <c r="B4355" t="s">
        <v>4353</v>
      </c>
      <c r="C4355" t="str">
        <f>_xlfn.XLOOKUP(A4355,[1]Affiliations!$J$2:$J$5328,[1]Affiliations!$K$2:$K$5328,0)</f>
        <v>Laboratório de Geologia Sedimentar - Lagesed (+1 more)</v>
      </c>
      <c r="D4355">
        <v>1</v>
      </c>
      <c r="E4355">
        <v>0</v>
      </c>
      <c r="F4355">
        <v>0</v>
      </c>
      <c r="G4355">
        <v>1</v>
      </c>
      <c r="H4355">
        <v>0</v>
      </c>
      <c r="P4355">
        <v>0</v>
      </c>
      <c r="Q4355">
        <v>0</v>
      </c>
      <c r="R4355">
        <v>0</v>
      </c>
      <c r="S4355">
        <v>0</v>
      </c>
    </row>
    <row r="4356" spans="1:19" hidden="1" x14ac:dyDescent="0.35">
      <c r="A4356">
        <v>58090948800</v>
      </c>
      <c r="B4356" t="s">
        <v>4354</v>
      </c>
      <c r="C4356" t="str">
        <f>_xlfn.XLOOKUP(A4356,[1]Affiliations!$J$2:$J$5328,[1]Affiliations!$K$2:$K$5328,0)</f>
        <v>Federal University of Rio de Janeiro</v>
      </c>
      <c r="D4356">
        <v>3</v>
      </c>
      <c r="E4356">
        <v>20</v>
      </c>
      <c r="F4356">
        <v>6.6666664999999998</v>
      </c>
      <c r="G4356">
        <v>2</v>
      </c>
      <c r="H4356">
        <v>0.41</v>
      </c>
      <c r="I4356">
        <v>0</v>
      </c>
      <c r="J4356">
        <v>2</v>
      </c>
      <c r="K4356">
        <v>2</v>
      </c>
      <c r="L4356">
        <v>2</v>
      </c>
      <c r="M4356">
        <v>3</v>
      </c>
      <c r="N4356">
        <v>3</v>
      </c>
      <c r="P4356">
        <v>0</v>
      </c>
      <c r="Q4356">
        <v>0</v>
      </c>
      <c r="R4356">
        <v>0</v>
      </c>
      <c r="S4356">
        <v>0</v>
      </c>
    </row>
    <row r="4357" spans="1:19" x14ac:dyDescent="0.35">
      <c r="A4357">
        <v>57193570540</v>
      </c>
      <c r="B4357" t="s">
        <v>2597</v>
      </c>
      <c r="C4357" t="str">
        <f>_xlfn.XLOOKUP(A4357,[1]Affiliations!$J$2:$J$5328,[1]Affiliations!$K$2:$K$5328,0)</f>
        <v>Federal University of Rio de Janeiro</v>
      </c>
      <c r="D4357">
        <v>15</v>
      </c>
      <c r="E4357">
        <v>174</v>
      </c>
      <c r="F4357">
        <v>11.6</v>
      </c>
      <c r="G4357">
        <v>8</v>
      </c>
      <c r="H4357">
        <v>0.66</v>
      </c>
      <c r="I4357">
        <v>0</v>
      </c>
      <c r="J4357">
        <v>1</v>
      </c>
      <c r="K4357">
        <v>4</v>
      </c>
      <c r="L4357">
        <v>11</v>
      </c>
      <c r="M4357">
        <v>11</v>
      </c>
      <c r="N4357">
        <v>14</v>
      </c>
      <c r="P4357">
        <v>0</v>
      </c>
      <c r="Q4357">
        <v>0</v>
      </c>
      <c r="R4357">
        <v>1</v>
      </c>
      <c r="S4357">
        <v>5</v>
      </c>
    </row>
    <row r="4358" spans="1:19" hidden="1" x14ac:dyDescent="0.35">
      <c r="A4358">
        <v>57644106300</v>
      </c>
      <c r="B4358" t="s">
        <v>4356</v>
      </c>
      <c r="C4358" t="str">
        <f>_xlfn.XLOOKUP(A4358,[1]Affiliations!$J$2:$J$5328,[1]Affiliations!$K$2:$K$5328,0)</f>
        <v>University of Campinas</v>
      </c>
      <c r="D4358">
        <v>3</v>
      </c>
      <c r="E4358">
        <v>23</v>
      </c>
      <c r="F4358">
        <v>7.6666664999999998</v>
      </c>
      <c r="G4358">
        <v>1</v>
      </c>
      <c r="H4358">
        <v>1.08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2</v>
      </c>
      <c r="P4358">
        <v>0</v>
      </c>
      <c r="Q4358">
        <v>0</v>
      </c>
      <c r="R4358">
        <v>0</v>
      </c>
      <c r="S4358">
        <v>1</v>
      </c>
    </row>
    <row r="4359" spans="1:19" hidden="1" x14ac:dyDescent="0.35">
      <c r="A4359">
        <v>59012193100</v>
      </c>
      <c r="B4359" t="s">
        <v>4357</v>
      </c>
      <c r="C4359" t="str">
        <f>_xlfn.XLOOKUP(A4359,[1]Affiliations!$J$2:$J$5328,[1]Affiliations!$K$2:$K$5328,0)</f>
        <v>Universidade Federal do Rio Grande do Sul (+1 more)</v>
      </c>
      <c r="D4359">
        <v>1</v>
      </c>
      <c r="E4359">
        <v>6</v>
      </c>
      <c r="F4359">
        <v>6</v>
      </c>
      <c r="G4359">
        <v>1</v>
      </c>
      <c r="H4359">
        <v>1.55</v>
      </c>
      <c r="I4359">
        <v>0</v>
      </c>
      <c r="J4359">
        <v>0</v>
      </c>
      <c r="K4359">
        <v>0</v>
      </c>
      <c r="L4359">
        <v>1</v>
      </c>
      <c r="M4359">
        <v>1</v>
      </c>
      <c r="N4359">
        <v>1</v>
      </c>
      <c r="P4359">
        <v>0</v>
      </c>
      <c r="Q4359">
        <v>0</v>
      </c>
      <c r="R4359">
        <v>0</v>
      </c>
      <c r="S4359">
        <v>1</v>
      </c>
    </row>
    <row r="4360" spans="1:19" hidden="1" x14ac:dyDescent="0.35">
      <c r="A4360">
        <v>57679132300</v>
      </c>
      <c r="B4360" t="s">
        <v>4358</v>
      </c>
      <c r="C4360" t="str">
        <f>_xlfn.XLOOKUP(A4360,[1]Affiliations!$J$2:$J$5328,[1]Affiliations!$K$2:$K$5328,0)</f>
        <v>Vizlab - X-Reality and GeoInformatics Lab</v>
      </c>
      <c r="D4360">
        <v>1</v>
      </c>
      <c r="E4360">
        <v>3</v>
      </c>
      <c r="F4360">
        <v>3</v>
      </c>
      <c r="G4360">
        <v>1</v>
      </c>
      <c r="H4360">
        <v>0.76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1</v>
      </c>
      <c r="P4360">
        <v>0</v>
      </c>
      <c r="Q4360">
        <v>0</v>
      </c>
      <c r="R4360">
        <v>0</v>
      </c>
      <c r="S4360">
        <v>0</v>
      </c>
    </row>
    <row r="4361" spans="1:19" x14ac:dyDescent="0.35">
      <c r="A4361">
        <v>7102932641</v>
      </c>
      <c r="B4361" t="s">
        <v>2832</v>
      </c>
      <c r="C4361" t="str">
        <f>_xlfn.XLOOKUP(A4361,[1]Affiliations!$J$2:$J$5328,[1]Affiliations!$K$2:$K$5328,0)</f>
        <v>DEMa</v>
      </c>
      <c r="D4361">
        <v>108</v>
      </c>
      <c r="E4361">
        <v>1763</v>
      </c>
      <c r="F4361">
        <v>16.324074</v>
      </c>
      <c r="G4361">
        <v>69</v>
      </c>
      <c r="H4361">
        <v>0.66</v>
      </c>
      <c r="I4361">
        <v>0</v>
      </c>
      <c r="J4361">
        <v>9</v>
      </c>
      <c r="K4361">
        <v>43</v>
      </c>
      <c r="L4361">
        <v>83</v>
      </c>
      <c r="M4361">
        <v>96</v>
      </c>
      <c r="N4361">
        <v>104</v>
      </c>
      <c r="P4361">
        <v>0</v>
      </c>
      <c r="Q4361">
        <v>2</v>
      </c>
      <c r="R4361">
        <v>8</v>
      </c>
      <c r="S4361">
        <v>37</v>
      </c>
    </row>
    <row r="4362" spans="1:19" x14ac:dyDescent="0.35">
      <c r="A4362">
        <v>54932575400</v>
      </c>
      <c r="B4362" t="s">
        <v>2870</v>
      </c>
      <c r="C4362" t="str">
        <f>_xlfn.XLOOKUP(A4362,[1]Affiliations!$J$2:$J$5328,[1]Affiliations!$K$2:$K$5328,0)</f>
        <v>Federal University of Rio de Janeiro</v>
      </c>
      <c r="D4362">
        <v>38</v>
      </c>
      <c r="E4362">
        <v>502</v>
      </c>
      <c r="F4362">
        <v>13.210526</v>
      </c>
      <c r="G4362">
        <v>16</v>
      </c>
      <c r="H4362">
        <v>0.66</v>
      </c>
      <c r="I4362">
        <v>0</v>
      </c>
      <c r="J4362">
        <v>1</v>
      </c>
      <c r="K4362">
        <v>3</v>
      </c>
      <c r="L4362">
        <v>21</v>
      </c>
      <c r="M4362">
        <v>35</v>
      </c>
      <c r="N4362">
        <v>37</v>
      </c>
      <c r="P4362">
        <v>0</v>
      </c>
      <c r="Q4362">
        <v>0</v>
      </c>
      <c r="R4362">
        <v>2</v>
      </c>
      <c r="S4362">
        <v>12</v>
      </c>
    </row>
    <row r="4363" spans="1:19" hidden="1" x14ac:dyDescent="0.35">
      <c r="A4363">
        <v>55809927300</v>
      </c>
      <c r="B4363" t="s">
        <v>4361</v>
      </c>
      <c r="C4363" t="str">
        <f>_xlfn.XLOOKUP(A4363,[1]Affiliations!$J$2:$J$5328,[1]Affiliations!$K$2:$K$5328,0)</f>
        <v>Universidade de São Paulo</v>
      </c>
      <c r="D4363">
        <v>14</v>
      </c>
      <c r="E4363">
        <v>148</v>
      </c>
      <c r="F4363">
        <v>10.571427999999999</v>
      </c>
      <c r="G4363">
        <v>12</v>
      </c>
      <c r="H4363">
        <v>0.47</v>
      </c>
      <c r="I4363">
        <v>0</v>
      </c>
      <c r="J4363">
        <v>0</v>
      </c>
      <c r="K4363">
        <v>0</v>
      </c>
      <c r="L4363">
        <v>4</v>
      </c>
      <c r="M4363">
        <v>12</v>
      </c>
      <c r="N4363">
        <v>13</v>
      </c>
      <c r="P4363">
        <v>0</v>
      </c>
      <c r="Q4363">
        <v>0</v>
      </c>
      <c r="R4363">
        <v>0</v>
      </c>
      <c r="S4363">
        <v>2</v>
      </c>
    </row>
    <row r="4364" spans="1:19" x14ac:dyDescent="0.35">
      <c r="A4364">
        <v>6603472174</v>
      </c>
      <c r="B4364" t="s">
        <v>3021</v>
      </c>
      <c r="C4364" t="str">
        <f>_xlfn.XLOOKUP(A4364,[1]Affiliations!$J$2:$J$5328,[1]Affiliations!$K$2:$K$5328,0)</f>
        <v>Universidade Federal de Pernambuco</v>
      </c>
      <c r="D4364">
        <v>49</v>
      </c>
      <c r="E4364">
        <v>567</v>
      </c>
      <c r="F4364">
        <v>11.571427999999999</v>
      </c>
      <c r="G4364">
        <v>19</v>
      </c>
      <c r="H4364">
        <v>0.66</v>
      </c>
      <c r="I4364">
        <v>1</v>
      </c>
      <c r="J4364">
        <v>9</v>
      </c>
      <c r="K4364">
        <v>23</v>
      </c>
      <c r="L4364">
        <v>32</v>
      </c>
      <c r="M4364">
        <v>41</v>
      </c>
      <c r="N4364">
        <v>42</v>
      </c>
      <c r="P4364">
        <v>0</v>
      </c>
      <c r="Q4364">
        <v>0</v>
      </c>
      <c r="R4364">
        <v>2</v>
      </c>
      <c r="S4364">
        <v>11</v>
      </c>
    </row>
    <row r="4365" spans="1:19" hidden="1" x14ac:dyDescent="0.35">
      <c r="A4365">
        <v>57211472617</v>
      </c>
      <c r="B4365" t="s">
        <v>4363</v>
      </c>
      <c r="C4365" t="str">
        <f>_xlfn.XLOOKUP(A4365,[1]Affiliations!$J$2:$J$5328,[1]Affiliations!$K$2:$K$5328,0)</f>
        <v>Pontifical Catholic University of Rio de Janeiro</v>
      </c>
      <c r="D4365">
        <v>2</v>
      </c>
      <c r="E4365">
        <v>11</v>
      </c>
      <c r="F4365">
        <v>5.5</v>
      </c>
      <c r="G4365">
        <v>2</v>
      </c>
      <c r="H4365">
        <v>2.74</v>
      </c>
      <c r="P4365">
        <v>0</v>
      </c>
      <c r="Q4365">
        <v>0</v>
      </c>
      <c r="R4365">
        <v>0</v>
      </c>
      <c r="S4365">
        <v>0</v>
      </c>
    </row>
    <row r="4366" spans="1:19" x14ac:dyDescent="0.35">
      <c r="A4366">
        <v>55350154000</v>
      </c>
      <c r="B4366" t="s">
        <v>3426</v>
      </c>
      <c r="C4366" t="str">
        <f>_xlfn.XLOOKUP(A4366,[1]Affiliations!$J$2:$J$5328,[1]Affiliations!$K$2:$K$5328,0)</f>
        <v>Universidade de São Paulo</v>
      </c>
      <c r="D4366">
        <v>35</v>
      </c>
      <c r="E4366">
        <v>456</v>
      </c>
      <c r="F4366">
        <v>13.028570999999999</v>
      </c>
      <c r="G4366">
        <v>14</v>
      </c>
      <c r="H4366">
        <v>0.66</v>
      </c>
      <c r="I4366">
        <v>0</v>
      </c>
      <c r="J4366">
        <v>6</v>
      </c>
      <c r="K4366">
        <v>12</v>
      </c>
      <c r="L4366">
        <v>22</v>
      </c>
      <c r="M4366">
        <v>27</v>
      </c>
      <c r="N4366">
        <v>33</v>
      </c>
      <c r="P4366">
        <v>0</v>
      </c>
      <c r="Q4366">
        <v>0</v>
      </c>
      <c r="R4366">
        <v>1</v>
      </c>
      <c r="S4366">
        <v>13</v>
      </c>
    </row>
    <row r="4367" spans="1:19" hidden="1" x14ac:dyDescent="0.35">
      <c r="A4367">
        <v>56017641900</v>
      </c>
      <c r="B4367" t="s">
        <v>4365</v>
      </c>
      <c r="C4367" t="str">
        <f>_xlfn.XLOOKUP(A4367,[1]Affiliations!$J$2:$J$5328,[1]Affiliations!$K$2:$K$5328,0)</f>
        <v>Universidade de São Paulo (+2 more)</v>
      </c>
      <c r="D4367">
        <v>25</v>
      </c>
      <c r="E4367">
        <v>242</v>
      </c>
      <c r="F4367">
        <v>9.68</v>
      </c>
      <c r="G4367">
        <v>8</v>
      </c>
      <c r="H4367">
        <v>0.94</v>
      </c>
      <c r="I4367">
        <v>0</v>
      </c>
      <c r="J4367">
        <v>0</v>
      </c>
      <c r="K4367">
        <v>0</v>
      </c>
      <c r="L4367">
        <v>4</v>
      </c>
      <c r="M4367">
        <v>10</v>
      </c>
      <c r="N4367">
        <v>15</v>
      </c>
      <c r="P4367">
        <v>0</v>
      </c>
      <c r="Q4367">
        <v>0</v>
      </c>
      <c r="R4367">
        <v>1</v>
      </c>
      <c r="S4367">
        <v>3</v>
      </c>
    </row>
    <row r="4368" spans="1:19" x14ac:dyDescent="0.35">
      <c r="A4368">
        <v>15745424900</v>
      </c>
      <c r="B4368" t="s">
        <v>3442</v>
      </c>
      <c r="C4368" t="str">
        <f>_xlfn.XLOOKUP(A4368,[1]Affiliations!$J$2:$J$5328,[1]Affiliations!$K$2:$K$5328,0)</f>
        <v>Federal University of Santa Catarina</v>
      </c>
      <c r="D4368">
        <v>21</v>
      </c>
      <c r="E4368">
        <v>261</v>
      </c>
      <c r="F4368">
        <v>12.428572000000001</v>
      </c>
      <c r="G4368">
        <v>11</v>
      </c>
      <c r="H4368">
        <v>0.66</v>
      </c>
      <c r="I4368">
        <v>1</v>
      </c>
      <c r="J4368">
        <v>2</v>
      </c>
      <c r="K4368">
        <v>6</v>
      </c>
      <c r="L4368">
        <v>12</v>
      </c>
      <c r="M4368">
        <v>19</v>
      </c>
      <c r="N4368">
        <v>21</v>
      </c>
      <c r="P4368">
        <v>0</v>
      </c>
      <c r="Q4368">
        <v>0</v>
      </c>
      <c r="R4368">
        <v>1</v>
      </c>
      <c r="S4368">
        <v>7</v>
      </c>
    </row>
    <row r="4369" spans="1:19" hidden="1" x14ac:dyDescent="0.35">
      <c r="A4369">
        <v>16200237200</v>
      </c>
      <c r="B4369" t="s">
        <v>4367</v>
      </c>
      <c r="C4369" t="str">
        <f>_xlfn.XLOOKUP(A4369,[1]Affiliations!$J$2:$J$5328,[1]Affiliations!$K$2:$K$5328,0)</f>
        <v>Instituto Nacional de Tecnologia (+1 more)</v>
      </c>
      <c r="D4369">
        <v>17</v>
      </c>
      <c r="E4369">
        <v>290</v>
      </c>
      <c r="F4369">
        <v>17.058823</v>
      </c>
      <c r="G4369">
        <v>17</v>
      </c>
      <c r="H4369">
        <v>0.64</v>
      </c>
      <c r="I4369">
        <v>2</v>
      </c>
      <c r="J4369">
        <v>5</v>
      </c>
      <c r="K4369">
        <v>7</v>
      </c>
      <c r="L4369">
        <v>13</v>
      </c>
      <c r="M4369">
        <v>15</v>
      </c>
      <c r="N4369">
        <v>16</v>
      </c>
      <c r="P4369">
        <v>0</v>
      </c>
      <c r="Q4369">
        <v>0</v>
      </c>
      <c r="R4369">
        <v>0</v>
      </c>
      <c r="S4369">
        <v>8</v>
      </c>
    </row>
    <row r="4370" spans="1:19" hidden="1" x14ac:dyDescent="0.35">
      <c r="A4370">
        <v>57225342960</v>
      </c>
      <c r="B4370" t="s">
        <v>4368</v>
      </c>
      <c r="C4370" t="str">
        <f>_xlfn.XLOOKUP(A4370,[1]Affiliations!$J$2:$J$5328,[1]Affiliations!$K$2:$K$5328,0)</f>
        <v>Pontifical Catholic University of Rio de Janeiro</v>
      </c>
      <c r="D4370">
        <v>2</v>
      </c>
      <c r="E4370">
        <v>30</v>
      </c>
      <c r="F4370">
        <v>15</v>
      </c>
      <c r="G4370">
        <v>4</v>
      </c>
      <c r="H4370">
        <v>0.69</v>
      </c>
      <c r="I4370">
        <v>0</v>
      </c>
      <c r="J4370">
        <v>0</v>
      </c>
      <c r="K4370">
        <v>1</v>
      </c>
      <c r="L4370">
        <v>1</v>
      </c>
      <c r="M4370">
        <v>2</v>
      </c>
      <c r="N4370">
        <v>2</v>
      </c>
      <c r="P4370">
        <v>0</v>
      </c>
      <c r="Q4370">
        <v>0</v>
      </c>
      <c r="R4370">
        <v>0</v>
      </c>
      <c r="S4370">
        <v>1</v>
      </c>
    </row>
    <row r="4371" spans="1:19" x14ac:dyDescent="0.35">
      <c r="A4371">
        <v>23028384900</v>
      </c>
      <c r="B4371" t="s">
        <v>3573</v>
      </c>
      <c r="C4371" t="str">
        <f>_xlfn.XLOOKUP(A4371,[1]Affiliations!$J$2:$J$5328,[1]Affiliations!$K$2:$K$5328,0)</f>
        <v>Universidade Tecnológica Federal do Paraná (+2 more)</v>
      </c>
      <c r="D4371">
        <v>38</v>
      </c>
      <c r="E4371">
        <v>528</v>
      </c>
      <c r="F4371">
        <v>13.894736999999999</v>
      </c>
      <c r="G4371">
        <v>17</v>
      </c>
      <c r="H4371">
        <v>0.66</v>
      </c>
      <c r="I4371">
        <v>0</v>
      </c>
      <c r="J4371">
        <v>3</v>
      </c>
      <c r="K4371">
        <v>9</v>
      </c>
      <c r="L4371">
        <v>21</v>
      </c>
      <c r="M4371">
        <v>28</v>
      </c>
      <c r="N4371">
        <v>30</v>
      </c>
      <c r="P4371">
        <v>0</v>
      </c>
      <c r="Q4371">
        <v>1</v>
      </c>
      <c r="R4371">
        <v>1</v>
      </c>
      <c r="S4371">
        <v>13</v>
      </c>
    </row>
    <row r="4372" spans="1:19" hidden="1" x14ac:dyDescent="0.35">
      <c r="A4372">
        <v>57224979553</v>
      </c>
      <c r="B4372" t="s">
        <v>4370</v>
      </c>
      <c r="C4372" t="str">
        <f>_xlfn.XLOOKUP(A4372,[1]Affiliations!$J$2:$J$5328,[1]Affiliations!$K$2:$K$5328,0)</f>
        <v>Federal University of Rio de Janeiro</v>
      </c>
      <c r="D4372">
        <v>1</v>
      </c>
      <c r="E4372">
        <v>7</v>
      </c>
      <c r="F4372">
        <v>7</v>
      </c>
      <c r="G4372">
        <v>1</v>
      </c>
      <c r="H4372">
        <v>0.44</v>
      </c>
      <c r="I4372">
        <v>0</v>
      </c>
      <c r="J4372">
        <v>1</v>
      </c>
      <c r="K4372">
        <v>1</v>
      </c>
      <c r="L4372">
        <v>1</v>
      </c>
      <c r="M4372">
        <v>1</v>
      </c>
      <c r="N4372">
        <v>1</v>
      </c>
      <c r="P4372">
        <v>0</v>
      </c>
      <c r="Q4372">
        <v>0</v>
      </c>
      <c r="R4372">
        <v>0</v>
      </c>
      <c r="S4372">
        <v>0</v>
      </c>
    </row>
    <row r="4373" spans="1:19" hidden="1" x14ac:dyDescent="0.35">
      <c r="A4373">
        <v>57201403674</v>
      </c>
      <c r="B4373" t="s">
        <v>4371</v>
      </c>
      <c r="C4373" t="str">
        <f>_xlfn.XLOOKUP(A4373,[1]Affiliations!$J$2:$J$5328,[1]Affiliations!$K$2:$K$5328,0)</f>
        <v>Universidade Santa Cecília</v>
      </c>
      <c r="D4373">
        <v>2</v>
      </c>
      <c r="E4373">
        <v>1</v>
      </c>
      <c r="F4373">
        <v>0.5</v>
      </c>
      <c r="G4373">
        <v>1</v>
      </c>
      <c r="H4373">
        <v>0</v>
      </c>
      <c r="P4373">
        <v>0</v>
      </c>
      <c r="Q4373">
        <v>0</v>
      </c>
      <c r="R4373">
        <v>0</v>
      </c>
      <c r="S4373">
        <v>0</v>
      </c>
    </row>
    <row r="4374" spans="1:19" hidden="1" x14ac:dyDescent="0.35">
      <c r="A4374">
        <v>57193738826</v>
      </c>
      <c r="B4374" t="s">
        <v>4372</v>
      </c>
      <c r="C4374" t="str">
        <f>_xlfn.XLOOKUP(A4374,[1]Affiliations!$J$2:$J$5328,[1]Affiliations!$K$2:$K$5328,0)</f>
        <v>Universidade Federal Rural do Rio de Janeiro</v>
      </c>
      <c r="D4374">
        <v>2</v>
      </c>
      <c r="E4374">
        <v>13</v>
      </c>
      <c r="F4374">
        <v>6.5</v>
      </c>
      <c r="G4374">
        <v>1</v>
      </c>
      <c r="H4374">
        <v>0.11</v>
      </c>
      <c r="I4374">
        <v>0</v>
      </c>
      <c r="J4374">
        <v>0</v>
      </c>
      <c r="K4374">
        <v>0</v>
      </c>
      <c r="L4374">
        <v>0</v>
      </c>
      <c r="M4374">
        <v>1</v>
      </c>
      <c r="N4374">
        <v>1</v>
      </c>
      <c r="P4374">
        <v>0</v>
      </c>
      <c r="Q4374">
        <v>0</v>
      </c>
      <c r="R4374">
        <v>0</v>
      </c>
      <c r="S4374">
        <v>0</v>
      </c>
    </row>
    <row r="4375" spans="1:19" hidden="1" x14ac:dyDescent="0.35">
      <c r="A4375">
        <v>57201408285</v>
      </c>
      <c r="B4375" t="s">
        <v>4373</v>
      </c>
      <c r="C4375" t="str">
        <f>_xlfn.XLOOKUP(A4375,[1]Affiliations!$J$2:$J$5328,[1]Affiliations!$K$2:$K$5328,0)</f>
        <v>IMC Saste</v>
      </c>
      <c r="D4375">
        <v>1</v>
      </c>
      <c r="E4375">
        <v>1</v>
      </c>
      <c r="F4375">
        <v>1</v>
      </c>
      <c r="G4375">
        <v>1</v>
      </c>
      <c r="H4375">
        <v>1.19</v>
      </c>
      <c r="P4375">
        <v>0</v>
      </c>
      <c r="Q4375">
        <v>0</v>
      </c>
      <c r="R4375">
        <v>0</v>
      </c>
      <c r="S4375">
        <v>0</v>
      </c>
    </row>
    <row r="4376" spans="1:19" hidden="1" x14ac:dyDescent="0.35">
      <c r="A4376">
        <v>57983379100</v>
      </c>
      <c r="B4376" t="s">
        <v>4374</v>
      </c>
      <c r="C4376" t="str">
        <f>_xlfn.XLOOKUP(A4376,[1]Affiliations!$J$2:$J$5328,[1]Affiliations!$K$2:$K$5328,0)</f>
        <v>SIMWORX</v>
      </c>
      <c r="D4376">
        <v>3</v>
      </c>
      <c r="E4376">
        <v>0</v>
      </c>
      <c r="F4376">
        <v>0</v>
      </c>
      <c r="G4376">
        <v>0</v>
      </c>
      <c r="H4376">
        <v>0</v>
      </c>
      <c r="P4376">
        <v>0</v>
      </c>
      <c r="Q4376">
        <v>0</v>
      </c>
      <c r="R4376">
        <v>0</v>
      </c>
      <c r="S4376">
        <v>0</v>
      </c>
    </row>
    <row r="4377" spans="1:19" hidden="1" x14ac:dyDescent="0.35">
      <c r="A4377">
        <v>56572933300</v>
      </c>
      <c r="B4377" t="s">
        <v>4375</v>
      </c>
      <c r="C4377" t="str">
        <f>_xlfn.XLOOKUP(A4377,[1]Affiliations!$J$2:$J$5328,[1]Affiliations!$K$2:$K$5328,0)</f>
        <v>Universidade Federal de Juiz de Fora</v>
      </c>
      <c r="D4377">
        <v>1</v>
      </c>
      <c r="E4377">
        <v>6</v>
      </c>
      <c r="F4377">
        <v>6</v>
      </c>
      <c r="G4377">
        <v>1</v>
      </c>
      <c r="H4377">
        <v>0.09</v>
      </c>
      <c r="I4377">
        <v>0</v>
      </c>
      <c r="J4377">
        <v>0</v>
      </c>
      <c r="K4377">
        <v>0</v>
      </c>
      <c r="L4377">
        <v>1</v>
      </c>
      <c r="M4377">
        <v>1</v>
      </c>
      <c r="N4377">
        <v>1</v>
      </c>
      <c r="P4377">
        <v>0</v>
      </c>
      <c r="Q4377">
        <v>0</v>
      </c>
      <c r="R4377">
        <v>0</v>
      </c>
      <c r="S4377">
        <v>0</v>
      </c>
    </row>
    <row r="4378" spans="1:19" hidden="1" x14ac:dyDescent="0.35">
      <c r="A4378">
        <v>56606020600</v>
      </c>
      <c r="B4378" t="s">
        <v>4376</v>
      </c>
      <c r="C4378" t="str">
        <f>_xlfn.XLOOKUP(A4378,[1]Affiliations!$J$2:$J$5328,[1]Affiliations!$K$2:$K$5328,0)</f>
        <v>Pontifical Catholic University of Rio de Janeiro (+1 more)</v>
      </c>
      <c r="D4378">
        <v>1</v>
      </c>
      <c r="E4378">
        <v>2</v>
      </c>
      <c r="F4378">
        <v>2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1</v>
      </c>
      <c r="P4378">
        <v>0</v>
      </c>
      <c r="Q4378">
        <v>0</v>
      </c>
      <c r="R4378">
        <v>0</v>
      </c>
      <c r="S4378">
        <v>0</v>
      </c>
    </row>
    <row r="4379" spans="1:19" hidden="1" x14ac:dyDescent="0.35">
      <c r="A4379">
        <v>57218168949</v>
      </c>
      <c r="B4379" t="s">
        <v>4377</v>
      </c>
      <c r="C4379" t="str">
        <f>_xlfn.XLOOKUP(A4379,[1]Affiliations!$J$2:$J$5328,[1]Affiliations!$K$2:$K$5328,0)</f>
        <v>Federal University of Rio de Janeiro</v>
      </c>
      <c r="D4379">
        <v>5</v>
      </c>
      <c r="E4379">
        <v>37</v>
      </c>
      <c r="F4379">
        <v>7.4</v>
      </c>
      <c r="G4379">
        <v>4</v>
      </c>
      <c r="H4379">
        <v>0.36</v>
      </c>
      <c r="I4379">
        <v>0</v>
      </c>
      <c r="J4379">
        <v>1</v>
      </c>
      <c r="K4379">
        <v>1</v>
      </c>
      <c r="L4379">
        <v>2</v>
      </c>
      <c r="M4379">
        <v>4</v>
      </c>
      <c r="N4379">
        <v>5</v>
      </c>
      <c r="P4379">
        <v>0</v>
      </c>
      <c r="Q4379">
        <v>0</v>
      </c>
      <c r="R4379">
        <v>0</v>
      </c>
      <c r="S4379">
        <v>0</v>
      </c>
    </row>
    <row r="4380" spans="1:19" x14ac:dyDescent="0.35">
      <c r="A4380">
        <v>57195511208</v>
      </c>
      <c r="B4380" t="s">
        <v>4339</v>
      </c>
      <c r="C4380" t="str">
        <f>_xlfn.XLOOKUP(A4380,[1]Affiliations!$J$2:$J$5328,[1]Affiliations!$K$2:$K$5328,0)</f>
        <v>Universidade Federal de Santa Maria</v>
      </c>
      <c r="D4380">
        <v>37</v>
      </c>
      <c r="E4380">
        <v>497</v>
      </c>
      <c r="F4380">
        <v>13.432432</v>
      </c>
      <c r="G4380">
        <v>16</v>
      </c>
      <c r="H4380">
        <v>0.66</v>
      </c>
      <c r="I4380">
        <v>0</v>
      </c>
      <c r="J4380">
        <v>5</v>
      </c>
      <c r="K4380">
        <v>7</v>
      </c>
      <c r="L4380">
        <v>17</v>
      </c>
      <c r="M4380">
        <v>27</v>
      </c>
      <c r="N4380">
        <v>36</v>
      </c>
      <c r="P4380">
        <v>0</v>
      </c>
      <c r="Q4380">
        <v>1</v>
      </c>
      <c r="R4380">
        <v>2</v>
      </c>
      <c r="S4380">
        <v>8</v>
      </c>
    </row>
    <row r="4381" spans="1:19" hidden="1" x14ac:dyDescent="0.35">
      <c r="A4381">
        <v>57188553894</v>
      </c>
      <c r="B4381" t="s">
        <v>4379</v>
      </c>
      <c r="C4381" t="str">
        <f>_xlfn.XLOOKUP(A4381,[1]Affiliations!$J$2:$J$5328,[1]Affiliations!$K$2:$K$5328,0)</f>
        <v>Federal University of Rio de Janeiro</v>
      </c>
      <c r="D4381">
        <v>3</v>
      </c>
      <c r="E4381">
        <v>59</v>
      </c>
      <c r="F4381">
        <v>19.666665999999999</v>
      </c>
      <c r="G4381">
        <v>4</v>
      </c>
      <c r="H4381">
        <v>0.7</v>
      </c>
      <c r="I4381">
        <v>0</v>
      </c>
      <c r="J4381">
        <v>1</v>
      </c>
      <c r="K4381">
        <v>1</v>
      </c>
      <c r="L4381">
        <v>2</v>
      </c>
      <c r="M4381">
        <v>3</v>
      </c>
      <c r="N4381">
        <v>3</v>
      </c>
      <c r="P4381">
        <v>0</v>
      </c>
      <c r="Q4381">
        <v>0</v>
      </c>
      <c r="R4381">
        <v>0</v>
      </c>
      <c r="S4381">
        <v>1</v>
      </c>
    </row>
    <row r="4382" spans="1:19" hidden="1" x14ac:dyDescent="0.35">
      <c r="A4382">
        <v>36922842400</v>
      </c>
      <c r="B4382" t="s">
        <v>4380</v>
      </c>
      <c r="C4382" t="str">
        <f>_xlfn.XLOOKUP(A4382,[1]Affiliations!$J$2:$J$5328,[1]Affiliations!$K$2:$K$5328,0)</f>
        <v>Federal University of Rio de Janeiro</v>
      </c>
      <c r="D4382">
        <v>7</v>
      </c>
      <c r="E4382">
        <v>2134</v>
      </c>
      <c r="F4382">
        <v>304.85714999999999</v>
      </c>
      <c r="G4382">
        <v>8</v>
      </c>
      <c r="H4382">
        <v>22.97</v>
      </c>
      <c r="I4382">
        <v>0</v>
      </c>
      <c r="J4382">
        <v>0</v>
      </c>
      <c r="K4382">
        <v>0</v>
      </c>
      <c r="L4382">
        <v>3</v>
      </c>
      <c r="M4382">
        <v>7</v>
      </c>
      <c r="N4382">
        <v>7</v>
      </c>
      <c r="P4382">
        <v>3</v>
      </c>
      <c r="Q4382">
        <v>3</v>
      </c>
      <c r="R4382">
        <v>3</v>
      </c>
      <c r="S4382">
        <v>4</v>
      </c>
    </row>
    <row r="4383" spans="1:19" x14ac:dyDescent="0.35">
      <c r="A4383">
        <v>55587285400</v>
      </c>
      <c r="B4383" t="s">
        <v>5162</v>
      </c>
      <c r="C4383" t="str">
        <f>_xlfn.XLOOKUP(A4383,[1]Affiliations!$J$2:$J$5328,[1]Affiliations!$K$2:$K$5328,0)</f>
        <v>Universidade de São Paulo</v>
      </c>
      <c r="D4383">
        <v>18</v>
      </c>
      <c r="E4383">
        <v>170</v>
      </c>
      <c r="F4383">
        <v>9.444445</v>
      </c>
      <c r="G4383">
        <v>9</v>
      </c>
      <c r="H4383">
        <v>0.66</v>
      </c>
      <c r="I4383">
        <v>1</v>
      </c>
      <c r="J4383">
        <v>3</v>
      </c>
      <c r="K4383">
        <v>7</v>
      </c>
      <c r="L4383">
        <v>8</v>
      </c>
      <c r="M4383">
        <v>13</v>
      </c>
      <c r="N4383">
        <v>16</v>
      </c>
      <c r="P4383">
        <v>0</v>
      </c>
      <c r="Q4383">
        <v>1</v>
      </c>
      <c r="R4383">
        <v>2</v>
      </c>
      <c r="S4383">
        <v>2</v>
      </c>
    </row>
    <row r="4384" spans="1:19" hidden="1" x14ac:dyDescent="0.35">
      <c r="A4384">
        <v>57224527786</v>
      </c>
      <c r="B4384" t="s">
        <v>4382</v>
      </c>
      <c r="C4384" t="str">
        <f>_xlfn.XLOOKUP(A4384,[1]Affiliations!$J$2:$J$5328,[1]Affiliations!$K$2:$K$5328,0)</f>
        <v>Universidade Federal de São João del-Rei (+1 more)</v>
      </c>
      <c r="D4384">
        <v>2</v>
      </c>
      <c r="E4384">
        <v>7</v>
      </c>
      <c r="F4384">
        <v>3.5</v>
      </c>
      <c r="G4384">
        <v>1</v>
      </c>
      <c r="H4384">
        <v>0.91</v>
      </c>
      <c r="I4384">
        <v>0</v>
      </c>
      <c r="J4384">
        <v>0</v>
      </c>
      <c r="K4384">
        <v>0</v>
      </c>
      <c r="L4384">
        <v>1</v>
      </c>
      <c r="M4384">
        <v>1</v>
      </c>
      <c r="N4384">
        <v>1</v>
      </c>
      <c r="P4384">
        <v>0</v>
      </c>
      <c r="Q4384">
        <v>0</v>
      </c>
      <c r="R4384">
        <v>0</v>
      </c>
      <c r="S4384">
        <v>0</v>
      </c>
    </row>
    <row r="4385" spans="1:19" hidden="1" x14ac:dyDescent="0.35">
      <c r="A4385">
        <v>57218871830</v>
      </c>
      <c r="B4385" t="s">
        <v>4383</v>
      </c>
      <c r="C4385" t="str">
        <f>_xlfn.XLOOKUP(A4385,[1]Affiliations!$J$2:$J$5328,[1]Affiliations!$K$2:$K$5328,0)</f>
        <v>Universidade Federal de São João del-Rei (+1 more)</v>
      </c>
      <c r="D4385">
        <v>2</v>
      </c>
      <c r="E4385">
        <v>8</v>
      </c>
      <c r="F4385">
        <v>4</v>
      </c>
      <c r="G4385">
        <v>2</v>
      </c>
      <c r="H4385">
        <v>0.7</v>
      </c>
      <c r="I4385">
        <v>0</v>
      </c>
      <c r="J4385">
        <v>0</v>
      </c>
      <c r="K4385">
        <v>0</v>
      </c>
      <c r="L4385">
        <v>1</v>
      </c>
      <c r="M4385">
        <v>1</v>
      </c>
      <c r="N4385">
        <v>1</v>
      </c>
      <c r="P4385">
        <v>0</v>
      </c>
      <c r="Q4385">
        <v>0</v>
      </c>
      <c r="R4385">
        <v>0</v>
      </c>
      <c r="S4385">
        <v>0</v>
      </c>
    </row>
    <row r="4386" spans="1:19" x14ac:dyDescent="0.35">
      <c r="A4386">
        <v>6603933261</v>
      </c>
      <c r="B4386" t="s">
        <v>5253</v>
      </c>
      <c r="C4386" t="str">
        <f>_xlfn.XLOOKUP(A4386,[1]Affiliations!$J$2:$J$5328,[1]Affiliations!$K$2:$K$5328,0)</f>
        <v>Petróleo Brasileiro S.A. (+1 more)</v>
      </c>
      <c r="D4386">
        <v>76</v>
      </c>
      <c r="E4386">
        <v>778</v>
      </c>
      <c r="F4386">
        <v>10.236841999999999</v>
      </c>
      <c r="G4386">
        <v>23</v>
      </c>
      <c r="H4386">
        <v>0.66</v>
      </c>
      <c r="I4386">
        <v>0</v>
      </c>
      <c r="J4386">
        <v>3</v>
      </c>
      <c r="K4386">
        <v>8</v>
      </c>
      <c r="L4386">
        <v>26</v>
      </c>
      <c r="M4386">
        <v>31</v>
      </c>
      <c r="N4386">
        <v>40</v>
      </c>
      <c r="P4386">
        <v>0</v>
      </c>
      <c r="Q4386">
        <v>2</v>
      </c>
      <c r="R4386">
        <v>5</v>
      </c>
      <c r="S4386">
        <v>20</v>
      </c>
    </row>
    <row r="4387" spans="1:19" x14ac:dyDescent="0.35">
      <c r="A4387">
        <v>8390964300</v>
      </c>
      <c r="B4387" t="s">
        <v>19</v>
      </c>
      <c r="C4387" t="str">
        <f>_xlfn.XLOOKUP(A4387,[1]Affiliations!$J$2:$J$5328,[1]Affiliations!$K$2:$K$5328,0)</f>
        <v>Universidade Federal do Rio Grande do Sul</v>
      </c>
      <c r="D4387">
        <v>74</v>
      </c>
      <c r="E4387">
        <v>588</v>
      </c>
      <c r="F4387">
        <v>7.9459457000000002</v>
      </c>
      <c r="G4387">
        <v>17</v>
      </c>
      <c r="H4387">
        <v>0.65</v>
      </c>
      <c r="I4387">
        <v>2</v>
      </c>
      <c r="J4387">
        <v>6</v>
      </c>
      <c r="K4387">
        <v>11</v>
      </c>
      <c r="L4387">
        <v>12</v>
      </c>
      <c r="M4387">
        <v>21</v>
      </c>
      <c r="N4387">
        <v>25</v>
      </c>
      <c r="P4387">
        <v>0</v>
      </c>
      <c r="Q4387">
        <v>2</v>
      </c>
      <c r="R4387">
        <v>5</v>
      </c>
      <c r="S4387">
        <v>13</v>
      </c>
    </row>
    <row r="4388" spans="1:19" hidden="1" x14ac:dyDescent="0.35">
      <c r="A4388">
        <v>56209151500</v>
      </c>
      <c r="B4388" t="s">
        <v>4386</v>
      </c>
      <c r="C4388" t="str">
        <f>_xlfn.XLOOKUP(A4388,[1]Affiliations!$J$2:$J$5328,[1]Affiliations!$K$2:$K$5328,0)</f>
        <v>Federal University of Santa Catarina</v>
      </c>
      <c r="D4388">
        <v>2</v>
      </c>
      <c r="E4388">
        <v>10</v>
      </c>
      <c r="F4388">
        <v>5</v>
      </c>
      <c r="G4388">
        <v>2</v>
      </c>
      <c r="H4388">
        <v>0.4</v>
      </c>
      <c r="I4388">
        <v>0</v>
      </c>
      <c r="J4388">
        <v>1</v>
      </c>
      <c r="K4388">
        <v>1</v>
      </c>
      <c r="L4388">
        <v>1</v>
      </c>
      <c r="M4388">
        <v>1</v>
      </c>
      <c r="N4388">
        <v>2</v>
      </c>
      <c r="P4388">
        <v>0</v>
      </c>
      <c r="Q4388">
        <v>0</v>
      </c>
      <c r="R4388">
        <v>0</v>
      </c>
      <c r="S4388">
        <v>0</v>
      </c>
    </row>
    <row r="4389" spans="1:19" x14ac:dyDescent="0.35">
      <c r="A4389">
        <v>52863114900</v>
      </c>
      <c r="B4389" t="s">
        <v>87</v>
      </c>
      <c r="C4389" t="str">
        <f>_xlfn.XLOOKUP(A4389,[1]Affiliations!$J$2:$J$5328,[1]Affiliations!$K$2:$K$5328,0)</f>
        <v>Federal University of Rio de Janeiro (+1 more)</v>
      </c>
      <c r="D4389">
        <v>61</v>
      </c>
      <c r="E4389">
        <v>581</v>
      </c>
      <c r="F4389">
        <v>9.5245905000000004</v>
      </c>
      <c r="G4389">
        <v>15</v>
      </c>
      <c r="H4389">
        <v>0.65</v>
      </c>
      <c r="I4389">
        <v>0</v>
      </c>
      <c r="J4389">
        <v>2</v>
      </c>
      <c r="K4389">
        <v>4</v>
      </c>
      <c r="L4389">
        <v>17</v>
      </c>
      <c r="M4389">
        <v>21</v>
      </c>
      <c r="N4389">
        <v>26</v>
      </c>
      <c r="P4389">
        <v>0</v>
      </c>
      <c r="Q4389">
        <v>2</v>
      </c>
      <c r="R4389">
        <v>5</v>
      </c>
      <c r="S4389">
        <v>13</v>
      </c>
    </row>
    <row r="4390" spans="1:19" hidden="1" x14ac:dyDescent="0.35">
      <c r="A4390">
        <v>56403176500</v>
      </c>
      <c r="B4390" t="s">
        <v>4388</v>
      </c>
      <c r="C4390" t="str">
        <f>_xlfn.XLOOKUP(A4390,[1]Affiliations!$J$2:$J$5328,[1]Affiliations!$K$2:$K$5328,0)</f>
        <v>Universidade Estadual do Norte Fluminense</v>
      </c>
      <c r="D4390">
        <v>1</v>
      </c>
      <c r="E4390">
        <v>63</v>
      </c>
      <c r="F4390">
        <v>63</v>
      </c>
      <c r="G4390">
        <v>1</v>
      </c>
      <c r="H4390">
        <v>4.13</v>
      </c>
      <c r="I4390">
        <v>0</v>
      </c>
      <c r="J4390">
        <v>0</v>
      </c>
      <c r="K4390">
        <v>0</v>
      </c>
      <c r="L4390">
        <v>1</v>
      </c>
      <c r="M4390">
        <v>1</v>
      </c>
      <c r="N4390">
        <v>1</v>
      </c>
      <c r="P4390">
        <v>0</v>
      </c>
      <c r="Q4390">
        <v>0</v>
      </c>
      <c r="R4390">
        <v>1</v>
      </c>
      <c r="S4390">
        <v>1</v>
      </c>
    </row>
    <row r="4391" spans="1:19" x14ac:dyDescent="0.35">
      <c r="A4391">
        <v>7005455741</v>
      </c>
      <c r="B4391" t="s">
        <v>259</v>
      </c>
      <c r="C4391" t="str">
        <f>_xlfn.XLOOKUP(A4391,[1]Affiliations!$J$2:$J$5328,[1]Affiliations!$K$2:$K$5328,0)</f>
        <v>Centro de Desenvolvimento da Tecnologia Nuclear</v>
      </c>
      <c r="D4391">
        <v>108</v>
      </c>
      <c r="E4391">
        <v>1869</v>
      </c>
      <c r="F4391">
        <v>17.305554999999998</v>
      </c>
      <c r="G4391">
        <v>42</v>
      </c>
      <c r="H4391">
        <v>0.65</v>
      </c>
      <c r="I4391">
        <v>0</v>
      </c>
      <c r="J4391">
        <v>9</v>
      </c>
      <c r="K4391">
        <v>19</v>
      </c>
      <c r="L4391">
        <v>58</v>
      </c>
      <c r="M4391">
        <v>88</v>
      </c>
      <c r="N4391">
        <v>103</v>
      </c>
      <c r="P4391">
        <v>0</v>
      </c>
      <c r="Q4391">
        <v>3</v>
      </c>
      <c r="R4391">
        <v>10</v>
      </c>
      <c r="S4391">
        <v>34</v>
      </c>
    </row>
    <row r="4392" spans="1:19" hidden="1" x14ac:dyDescent="0.35">
      <c r="A4392">
        <v>59773187100</v>
      </c>
      <c r="B4392" t="s">
        <v>4390</v>
      </c>
      <c r="C4392" t="str">
        <f>_xlfn.XLOOKUP(A4392,[1]Affiliations!$J$2:$J$5328,[1]Affiliations!$K$2:$K$5328,0)</f>
        <v>Universidade Federal de Pernambuco</v>
      </c>
      <c r="D4392">
        <v>2</v>
      </c>
      <c r="E4392">
        <v>0</v>
      </c>
      <c r="F4392">
        <v>0</v>
      </c>
      <c r="G4392">
        <v>0</v>
      </c>
      <c r="H4392">
        <v>0</v>
      </c>
      <c r="P4392">
        <v>0</v>
      </c>
      <c r="Q4392">
        <v>0</v>
      </c>
      <c r="R4392">
        <v>0</v>
      </c>
      <c r="S4392">
        <v>0</v>
      </c>
    </row>
    <row r="4393" spans="1:19" hidden="1" x14ac:dyDescent="0.35">
      <c r="A4393">
        <v>6602813709</v>
      </c>
      <c r="B4393" t="s">
        <v>4391</v>
      </c>
      <c r="C4393" t="str">
        <f>_xlfn.XLOOKUP(A4393,[1]Affiliations!$J$2:$J$5328,[1]Affiliations!$K$2:$K$5328,0)</f>
        <v>Federal University of Rio de Janeiro</v>
      </c>
      <c r="D4393">
        <v>60</v>
      </c>
      <c r="E4393">
        <v>361</v>
      </c>
      <c r="F4393">
        <v>6.016667</v>
      </c>
      <c r="G4393">
        <v>19</v>
      </c>
      <c r="H4393">
        <v>0.8</v>
      </c>
      <c r="I4393">
        <v>0</v>
      </c>
      <c r="J4393">
        <v>2</v>
      </c>
      <c r="K4393">
        <v>3</v>
      </c>
      <c r="L4393">
        <v>16</v>
      </c>
      <c r="M4393">
        <v>30</v>
      </c>
      <c r="N4393">
        <v>51</v>
      </c>
      <c r="P4393">
        <v>0</v>
      </c>
      <c r="Q4393">
        <v>0</v>
      </c>
      <c r="R4393">
        <v>0</v>
      </c>
      <c r="S4393">
        <v>5</v>
      </c>
    </row>
    <row r="4394" spans="1:19" hidden="1" x14ac:dyDescent="0.35">
      <c r="A4394">
        <v>57211438380</v>
      </c>
      <c r="B4394" t="s">
        <v>4392</v>
      </c>
      <c r="C4394" t="str">
        <f>_xlfn.XLOOKUP(A4394,[1]Affiliations!$J$2:$J$5328,[1]Affiliations!$K$2:$K$5328,0)</f>
        <v>Universidade Federal do Espírito Santo</v>
      </c>
      <c r="D4394">
        <v>1</v>
      </c>
      <c r="E4394">
        <v>9</v>
      </c>
      <c r="F4394">
        <v>9</v>
      </c>
      <c r="G4394">
        <v>1</v>
      </c>
      <c r="H4394">
        <v>0.38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1</v>
      </c>
      <c r="P4394">
        <v>0</v>
      </c>
      <c r="Q4394">
        <v>0</v>
      </c>
      <c r="R4394">
        <v>0</v>
      </c>
      <c r="S4394">
        <v>0</v>
      </c>
    </row>
    <row r="4395" spans="1:19" x14ac:dyDescent="0.35">
      <c r="A4395">
        <v>56131595200</v>
      </c>
      <c r="B4395" t="s">
        <v>318</v>
      </c>
      <c r="C4395" t="str">
        <f>_xlfn.XLOOKUP(A4395,[1]Affiliations!$J$2:$J$5328,[1]Affiliations!$K$2:$K$5328,0)</f>
        <v>Universidade Federal do Ceará (+1 more)</v>
      </c>
      <c r="D4395">
        <v>42</v>
      </c>
      <c r="E4395">
        <v>623</v>
      </c>
      <c r="F4395">
        <v>14.833333</v>
      </c>
      <c r="G4395">
        <v>16</v>
      </c>
      <c r="H4395">
        <v>0.65</v>
      </c>
      <c r="I4395">
        <v>0</v>
      </c>
      <c r="J4395">
        <v>8</v>
      </c>
      <c r="K4395">
        <v>12</v>
      </c>
      <c r="L4395">
        <v>21</v>
      </c>
      <c r="M4395">
        <v>29</v>
      </c>
      <c r="N4395">
        <v>37</v>
      </c>
      <c r="P4395">
        <v>0</v>
      </c>
      <c r="Q4395">
        <v>1</v>
      </c>
      <c r="R4395">
        <v>5</v>
      </c>
      <c r="S4395">
        <v>15</v>
      </c>
    </row>
    <row r="4396" spans="1:19" x14ac:dyDescent="0.35">
      <c r="A4396">
        <v>56437324700</v>
      </c>
      <c r="B4396" t="s">
        <v>359</v>
      </c>
      <c r="C4396" t="str">
        <f>_xlfn.XLOOKUP(A4396,[1]Affiliations!$J$2:$J$5328,[1]Affiliations!$K$2:$K$5328,0)</f>
        <v>Universidade Federal de Pernambuco</v>
      </c>
      <c r="D4396">
        <v>30</v>
      </c>
      <c r="E4396">
        <v>538</v>
      </c>
      <c r="F4396">
        <v>17.933332</v>
      </c>
      <c r="G4396">
        <v>15</v>
      </c>
      <c r="H4396">
        <v>0.65</v>
      </c>
      <c r="I4396">
        <v>0</v>
      </c>
      <c r="J4396">
        <v>1</v>
      </c>
      <c r="K4396">
        <v>5</v>
      </c>
      <c r="L4396">
        <v>17</v>
      </c>
      <c r="M4396">
        <v>23</v>
      </c>
      <c r="N4396">
        <v>27</v>
      </c>
      <c r="P4396">
        <v>0</v>
      </c>
      <c r="Q4396">
        <v>1</v>
      </c>
      <c r="R4396">
        <v>2</v>
      </c>
      <c r="S4396">
        <v>14</v>
      </c>
    </row>
    <row r="4397" spans="1:19" hidden="1" x14ac:dyDescent="0.35">
      <c r="A4397">
        <v>57197835515</v>
      </c>
      <c r="B4397" t="s">
        <v>4395</v>
      </c>
      <c r="C4397" t="str">
        <f>_xlfn.XLOOKUP(A4397,[1]Affiliations!$J$2:$J$5328,[1]Affiliations!$K$2:$K$5328,0)</f>
        <v>Fundação Gorceix</v>
      </c>
      <c r="D4397">
        <v>1</v>
      </c>
      <c r="E4397">
        <v>6</v>
      </c>
      <c r="F4397">
        <v>6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1</v>
      </c>
      <c r="N4397">
        <v>1</v>
      </c>
      <c r="P4397">
        <v>0</v>
      </c>
      <c r="Q4397">
        <v>0</v>
      </c>
      <c r="R4397">
        <v>0</v>
      </c>
      <c r="S4397">
        <v>0</v>
      </c>
    </row>
    <row r="4398" spans="1:19" hidden="1" x14ac:dyDescent="0.35">
      <c r="A4398">
        <v>56857342100</v>
      </c>
      <c r="B4398" t="s">
        <v>4396</v>
      </c>
      <c r="C4398" t="str">
        <f>_xlfn.XLOOKUP(A4398,[1]Affiliations!$J$2:$J$5328,[1]Affiliations!$K$2:$K$5328,0)</f>
        <v>Federal University of Santa Catarina</v>
      </c>
      <c r="D4398">
        <v>5</v>
      </c>
      <c r="E4398">
        <v>43</v>
      </c>
      <c r="F4398">
        <v>8.6</v>
      </c>
      <c r="G4398">
        <v>3</v>
      </c>
      <c r="H4398">
        <v>0.3</v>
      </c>
      <c r="I4398">
        <v>0</v>
      </c>
      <c r="J4398">
        <v>1</v>
      </c>
      <c r="K4398">
        <v>1</v>
      </c>
      <c r="L4398">
        <v>3</v>
      </c>
      <c r="M4398">
        <v>5</v>
      </c>
      <c r="N4398">
        <v>5</v>
      </c>
      <c r="P4398">
        <v>0</v>
      </c>
      <c r="Q4398">
        <v>0</v>
      </c>
      <c r="R4398">
        <v>0</v>
      </c>
      <c r="S4398">
        <v>0</v>
      </c>
    </row>
    <row r="4399" spans="1:19" hidden="1" x14ac:dyDescent="0.35">
      <c r="A4399">
        <v>57219028914</v>
      </c>
      <c r="B4399" t="s">
        <v>4397</v>
      </c>
      <c r="C4399" t="str">
        <f>_xlfn.XLOOKUP(A4399,[1]Affiliations!$J$2:$J$5328,[1]Affiliations!$K$2:$K$5328,0)</f>
        <v>Federal University of Santa Catarina</v>
      </c>
      <c r="D4399">
        <v>6</v>
      </c>
      <c r="E4399">
        <v>29</v>
      </c>
      <c r="F4399">
        <v>4.8333335000000002</v>
      </c>
      <c r="G4399">
        <v>4</v>
      </c>
      <c r="H4399">
        <v>0.84</v>
      </c>
      <c r="I4399">
        <v>0</v>
      </c>
      <c r="J4399">
        <v>0</v>
      </c>
      <c r="K4399">
        <v>0</v>
      </c>
      <c r="L4399">
        <v>0</v>
      </c>
      <c r="M4399">
        <v>6</v>
      </c>
      <c r="N4399">
        <v>6</v>
      </c>
      <c r="P4399">
        <v>0</v>
      </c>
      <c r="Q4399">
        <v>0</v>
      </c>
      <c r="R4399">
        <v>0</v>
      </c>
      <c r="S4399">
        <v>0</v>
      </c>
    </row>
    <row r="4400" spans="1:19" x14ac:dyDescent="0.35">
      <c r="A4400">
        <v>57196448737</v>
      </c>
      <c r="B4400" t="s">
        <v>608</v>
      </c>
      <c r="C4400" t="str">
        <f>_xlfn.XLOOKUP(A4400,[1]Affiliations!$J$2:$J$5328,[1]Affiliations!$K$2:$K$5328,0)</f>
        <v>Federal University of Rio de Janeiro</v>
      </c>
      <c r="D4400">
        <v>13</v>
      </c>
      <c r="E4400">
        <v>163</v>
      </c>
      <c r="F4400">
        <v>12.538462000000001</v>
      </c>
      <c r="G4400">
        <v>6</v>
      </c>
      <c r="H4400">
        <v>0.65</v>
      </c>
      <c r="I4400">
        <v>0</v>
      </c>
      <c r="J4400">
        <v>0</v>
      </c>
      <c r="K4400">
        <v>2</v>
      </c>
      <c r="L4400">
        <v>7</v>
      </c>
      <c r="M4400">
        <v>9</v>
      </c>
      <c r="N4400">
        <v>11</v>
      </c>
      <c r="P4400">
        <v>0</v>
      </c>
      <c r="Q4400">
        <v>0</v>
      </c>
      <c r="R4400">
        <v>2</v>
      </c>
      <c r="S4400">
        <v>6</v>
      </c>
    </row>
    <row r="4401" spans="1:19" hidden="1" x14ac:dyDescent="0.35">
      <c r="A4401">
        <v>59921334800</v>
      </c>
      <c r="B4401" t="s">
        <v>4399</v>
      </c>
      <c r="C4401" t="str">
        <f>_xlfn.XLOOKUP(A4401,[1]Affiliations!$J$2:$J$5328,[1]Affiliations!$K$2:$K$5328,0)</f>
        <v>Universidade de Brasília</v>
      </c>
      <c r="D4401">
        <v>0</v>
      </c>
      <c r="G4401">
        <v>0</v>
      </c>
    </row>
    <row r="4402" spans="1:19" hidden="1" x14ac:dyDescent="0.35">
      <c r="A4402">
        <v>7003399486</v>
      </c>
      <c r="B4402" t="s">
        <v>4400</v>
      </c>
      <c r="C4402" t="str">
        <f>_xlfn.XLOOKUP(A4402,[1]Affiliations!$J$2:$J$5328,[1]Affiliations!$K$2:$K$5328,0)</f>
        <v>Comissão Nacional de Energia Nuclear</v>
      </c>
      <c r="D4402">
        <v>9</v>
      </c>
      <c r="E4402">
        <v>17</v>
      </c>
      <c r="F4402">
        <v>1.8888887999999999</v>
      </c>
      <c r="G4402">
        <v>4</v>
      </c>
      <c r="H4402">
        <v>0.09</v>
      </c>
      <c r="I4402">
        <v>0</v>
      </c>
      <c r="J4402">
        <v>0</v>
      </c>
      <c r="K4402">
        <v>0</v>
      </c>
      <c r="L4402">
        <v>0</v>
      </c>
      <c r="M4402">
        <v>5</v>
      </c>
      <c r="N4402">
        <v>5</v>
      </c>
      <c r="P4402">
        <v>0</v>
      </c>
      <c r="Q4402">
        <v>0</v>
      </c>
      <c r="R4402">
        <v>0</v>
      </c>
      <c r="S4402">
        <v>0</v>
      </c>
    </row>
    <row r="4403" spans="1:19" hidden="1" x14ac:dyDescent="0.35">
      <c r="A4403">
        <v>8427901500</v>
      </c>
      <c r="B4403" t="s">
        <v>4401</v>
      </c>
      <c r="C4403" t="str">
        <f>_xlfn.XLOOKUP(A4403,[1]Affiliations!$J$2:$J$5328,[1]Affiliations!$K$2:$K$5328,0)</f>
        <v>Universidade de São Paulo</v>
      </c>
      <c r="D4403">
        <v>8</v>
      </c>
      <c r="E4403">
        <v>80</v>
      </c>
      <c r="F4403">
        <v>10</v>
      </c>
      <c r="G4403">
        <v>10</v>
      </c>
      <c r="H4403">
        <v>1.08</v>
      </c>
      <c r="I4403">
        <v>0</v>
      </c>
      <c r="J4403">
        <v>1</v>
      </c>
      <c r="K4403">
        <v>2</v>
      </c>
      <c r="L4403">
        <v>2</v>
      </c>
      <c r="M4403">
        <v>4</v>
      </c>
      <c r="N4403">
        <v>6</v>
      </c>
      <c r="P4403">
        <v>0</v>
      </c>
      <c r="Q4403">
        <v>0</v>
      </c>
      <c r="R4403">
        <v>0</v>
      </c>
      <c r="S4403">
        <v>3</v>
      </c>
    </row>
    <row r="4404" spans="1:19" hidden="1" x14ac:dyDescent="0.35">
      <c r="A4404">
        <v>57219025546</v>
      </c>
      <c r="B4404" t="s">
        <v>4402</v>
      </c>
      <c r="C4404" t="str">
        <f>_xlfn.XLOOKUP(A4404,[1]Affiliations!$J$2:$J$5328,[1]Affiliations!$K$2:$K$5328,0)</f>
        <v>Federal University of Santa Catarina</v>
      </c>
      <c r="D4404">
        <v>1</v>
      </c>
      <c r="E4404">
        <v>7</v>
      </c>
      <c r="F4404">
        <v>7</v>
      </c>
      <c r="G4404">
        <v>1</v>
      </c>
      <c r="H4404">
        <v>1.52</v>
      </c>
      <c r="I4404">
        <v>0</v>
      </c>
      <c r="J4404">
        <v>0</v>
      </c>
      <c r="K4404">
        <v>0</v>
      </c>
      <c r="L4404">
        <v>0</v>
      </c>
      <c r="M4404">
        <v>1</v>
      </c>
      <c r="N4404">
        <v>1</v>
      </c>
      <c r="P4404">
        <v>0</v>
      </c>
      <c r="Q4404">
        <v>0</v>
      </c>
      <c r="R4404">
        <v>0</v>
      </c>
      <c r="S4404">
        <v>0</v>
      </c>
    </row>
    <row r="4405" spans="1:19" hidden="1" x14ac:dyDescent="0.35">
      <c r="A4405">
        <v>7102456231</v>
      </c>
      <c r="B4405" t="s">
        <v>4403</v>
      </c>
      <c r="C4405" t="str">
        <f>_xlfn.XLOOKUP(A4405,[1]Affiliations!$J$2:$J$5328,[1]Affiliations!$K$2:$K$5328,0)</f>
        <v>LabOceano Wave Basin (+2 more)</v>
      </c>
      <c r="D4405">
        <v>34</v>
      </c>
      <c r="E4405">
        <v>107</v>
      </c>
      <c r="F4405">
        <v>3.1470587000000001</v>
      </c>
      <c r="G4405">
        <v>9</v>
      </c>
      <c r="H4405">
        <v>0.56999999999999995</v>
      </c>
      <c r="I4405">
        <v>0</v>
      </c>
      <c r="J4405">
        <v>1</v>
      </c>
      <c r="K4405">
        <v>3</v>
      </c>
      <c r="L4405">
        <v>7</v>
      </c>
      <c r="M4405">
        <v>9</v>
      </c>
      <c r="N4405">
        <v>21</v>
      </c>
      <c r="P4405">
        <v>0</v>
      </c>
      <c r="Q4405">
        <v>0</v>
      </c>
      <c r="R4405">
        <v>0</v>
      </c>
      <c r="S4405">
        <v>2</v>
      </c>
    </row>
    <row r="4406" spans="1:19" hidden="1" x14ac:dyDescent="0.35">
      <c r="A4406">
        <v>57190568594</v>
      </c>
      <c r="B4406" t="s">
        <v>4404</v>
      </c>
      <c r="C4406" t="str">
        <f>_xlfn.XLOOKUP(A4406,[1]Affiliations!$J$2:$J$5328,[1]Affiliations!$K$2:$K$5328,0)</f>
        <v>Federal University of Rio de Janeiro</v>
      </c>
      <c r="D4406">
        <v>9</v>
      </c>
      <c r="E4406">
        <v>123</v>
      </c>
      <c r="F4406">
        <v>13.666667</v>
      </c>
      <c r="G4406">
        <v>7</v>
      </c>
      <c r="H4406">
        <v>0.74</v>
      </c>
      <c r="I4406">
        <v>0</v>
      </c>
      <c r="J4406">
        <v>0</v>
      </c>
      <c r="K4406">
        <v>0</v>
      </c>
      <c r="L4406">
        <v>3</v>
      </c>
      <c r="M4406">
        <v>8</v>
      </c>
      <c r="N4406">
        <v>9</v>
      </c>
      <c r="P4406">
        <v>0</v>
      </c>
      <c r="Q4406">
        <v>0</v>
      </c>
      <c r="R4406">
        <v>1</v>
      </c>
      <c r="S4406">
        <v>5</v>
      </c>
    </row>
    <row r="4407" spans="1:19" hidden="1" x14ac:dyDescent="0.35">
      <c r="A4407">
        <v>12141669900</v>
      </c>
      <c r="B4407" t="s">
        <v>4405</v>
      </c>
      <c r="C4407" t="str">
        <f>_xlfn.XLOOKUP(A4407,[1]Affiliations!$J$2:$J$5328,[1]Affiliations!$K$2:$K$5328,0)</f>
        <v>Universidade Federal de Goiás</v>
      </c>
      <c r="D4407">
        <v>22</v>
      </c>
      <c r="E4407">
        <v>130</v>
      </c>
      <c r="F4407">
        <v>5.9090910000000001</v>
      </c>
      <c r="G4407">
        <v>8</v>
      </c>
      <c r="H4407">
        <v>0.28000000000000003</v>
      </c>
      <c r="I4407">
        <v>0</v>
      </c>
      <c r="J4407">
        <v>2</v>
      </c>
      <c r="K4407">
        <v>3</v>
      </c>
      <c r="L4407">
        <v>8</v>
      </c>
      <c r="M4407">
        <v>12</v>
      </c>
      <c r="N4407">
        <v>13</v>
      </c>
      <c r="P4407">
        <v>0</v>
      </c>
      <c r="Q4407">
        <v>0</v>
      </c>
      <c r="R4407">
        <v>0</v>
      </c>
      <c r="S4407">
        <v>2</v>
      </c>
    </row>
    <row r="4408" spans="1:19" hidden="1" x14ac:dyDescent="0.35">
      <c r="A4408">
        <v>57219140687</v>
      </c>
      <c r="B4408" t="s">
        <v>4406</v>
      </c>
      <c r="C4408" t="str">
        <f>_xlfn.XLOOKUP(A4408,[1]Affiliations!$J$2:$J$5328,[1]Affiliations!$K$2:$K$5328,0)</f>
        <v>Pontifical Catholic University of Rio de Janeiro</v>
      </c>
      <c r="D4408">
        <v>1</v>
      </c>
      <c r="E4408">
        <v>0</v>
      </c>
      <c r="F4408">
        <v>0</v>
      </c>
      <c r="G4408">
        <v>0</v>
      </c>
      <c r="H4408">
        <v>0</v>
      </c>
      <c r="P4408">
        <v>0</v>
      </c>
      <c r="Q4408">
        <v>0</v>
      </c>
      <c r="R4408">
        <v>0</v>
      </c>
      <c r="S4408">
        <v>0</v>
      </c>
    </row>
    <row r="4409" spans="1:19" hidden="1" x14ac:dyDescent="0.35">
      <c r="A4409">
        <v>57222239826</v>
      </c>
      <c r="B4409" t="s">
        <v>4407</v>
      </c>
      <c r="C4409" t="str">
        <f>_xlfn.XLOOKUP(A4409,[1]Affiliations!$J$2:$J$5328,[1]Affiliations!$K$2:$K$5328,0)</f>
        <v>Vizlab - X-Reality and GeoInformatics Lab</v>
      </c>
      <c r="D4409">
        <v>13</v>
      </c>
      <c r="E4409">
        <v>21</v>
      </c>
      <c r="F4409">
        <v>1.6153846000000001</v>
      </c>
      <c r="G4409">
        <v>3</v>
      </c>
      <c r="H4409">
        <v>0.36</v>
      </c>
      <c r="I4409">
        <v>0</v>
      </c>
      <c r="J4409">
        <v>1</v>
      </c>
      <c r="K4409">
        <v>1</v>
      </c>
      <c r="L4409">
        <v>3</v>
      </c>
      <c r="M4409">
        <v>3</v>
      </c>
      <c r="N4409">
        <v>12</v>
      </c>
      <c r="P4409">
        <v>0</v>
      </c>
      <c r="Q4409">
        <v>0</v>
      </c>
      <c r="R4409">
        <v>0</v>
      </c>
      <c r="S4409">
        <v>0</v>
      </c>
    </row>
    <row r="4410" spans="1:19" hidden="1" x14ac:dyDescent="0.35">
      <c r="A4410">
        <v>8291605100</v>
      </c>
      <c r="B4410" t="s">
        <v>4408</v>
      </c>
      <c r="C4410" t="str">
        <f>_xlfn.XLOOKUP(A4410,[1]Affiliations!$J$2:$J$5328,[1]Affiliations!$K$2:$K$5328,0)</f>
        <v>Universidade Federal de Alfenas</v>
      </c>
      <c r="D4410">
        <v>9</v>
      </c>
      <c r="E4410">
        <v>33</v>
      </c>
      <c r="F4410">
        <v>3.6666666999999999</v>
      </c>
      <c r="G4410">
        <v>7</v>
      </c>
      <c r="H4410">
        <v>0.47</v>
      </c>
      <c r="I4410">
        <v>0</v>
      </c>
      <c r="J4410">
        <v>0</v>
      </c>
      <c r="K4410">
        <v>0</v>
      </c>
      <c r="L4410">
        <v>1</v>
      </c>
      <c r="M4410">
        <v>2</v>
      </c>
      <c r="N4410">
        <v>5</v>
      </c>
      <c r="P4410">
        <v>0</v>
      </c>
      <c r="Q4410">
        <v>0</v>
      </c>
      <c r="R4410">
        <v>0</v>
      </c>
      <c r="S4410">
        <v>0</v>
      </c>
    </row>
    <row r="4411" spans="1:19" hidden="1" x14ac:dyDescent="0.35">
      <c r="A4411">
        <v>37662185100</v>
      </c>
      <c r="B4411" t="s">
        <v>4409</v>
      </c>
      <c r="C4411" t="str">
        <f>_xlfn.XLOOKUP(A4411,[1]Affiliations!$J$2:$J$5328,[1]Affiliations!$K$2:$K$5328,0)</f>
        <v>Universidade de São Paulo</v>
      </c>
      <c r="D4411">
        <v>8</v>
      </c>
      <c r="E4411">
        <v>87</v>
      </c>
      <c r="F4411">
        <v>10.875</v>
      </c>
      <c r="G4411">
        <v>6</v>
      </c>
      <c r="H4411">
        <v>1.35</v>
      </c>
      <c r="I4411">
        <v>0</v>
      </c>
      <c r="J4411">
        <v>0</v>
      </c>
      <c r="K4411">
        <v>0</v>
      </c>
      <c r="L4411">
        <v>1</v>
      </c>
      <c r="M4411">
        <v>2</v>
      </c>
      <c r="N4411">
        <v>5</v>
      </c>
      <c r="P4411">
        <v>0</v>
      </c>
      <c r="Q4411">
        <v>0</v>
      </c>
      <c r="R4411">
        <v>0</v>
      </c>
      <c r="S4411">
        <v>1</v>
      </c>
    </row>
    <row r="4412" spans="1:19" hidden="1" x14ac:dyDescent="0.35">
      <c r="A4412">
        <v>36144587800</v>
      </c>
      <c r="B4412" t="s">
        <v>4410</v>
      </c>
      <c r="C4412" t="str">
        <f>_xlfn.XLOOKUP(A4412,[1]Affiliations!$J$2:$J$5328,[1]Affiliations!$K$2:$K$5328,0)</f>
        <v>Universidade Federal Fluminense (+1 more)</v>
      </c>
      <c r="D4412">
        <v>2</v>
      </c>
      <c r="E4412">
        <v>8</v>
      </c>
      <c r="F4412">
        <v>4</v>
      </c>
      <c r="G4412">
        <v>3</v>
      </c>
      <c r="H4412">
        <v>0.34</v>
      </c>
      <c r="I4412">
        <v>0</v>
      </c>
      <c r="J4412">
        <v>0</v>
      </c>
      <c r="K4412">
        <v>0</v>
      </c>
      <c r="L4412">
        <v>0</v>
      </c>
      <c r="M4412">
        <v>1</v>
      </c>
      <c r="N4412">
        <v>2</v>
      </c>
      <c r="P4412">
        <v>0</v>
      </c>
      <c r="Q4412">
        <v>0</v>
      </c>
      <c r="R4412">
        <v>0</v>
      </c>
      <c r="S4412">
        <v>0</v>
      </c>
    </row>
    <row r="4413" spans="1:19" x14ac:dyDescent="0.35">
      <c r="A4413">
        <v>37046797100</v>
      </c>
      <c r="B4413" t="s">
        <v>625</v>
      </c>
      <c r="C4413" t="str">
        <f>_xlfn.XLOOKUP(A4413,[1]Affiliations!$J$2:$J$5328,[1]Affiliations!$K$2:$K$5328,0)</f>
        <v>Universidade Federal do Rio Grande do Sul</v>
      </c>
      <c r="D4413">
        <v>16</v>
      </c>
      <c r="E4413">
        <v>121</v>
      </c>
      <c r="F4413">
        <v>7.5625</v>
      </c>
      <c r="G4413">
        <v>8</v>
      </c>
      <c r="H4413">
        <v>0.65</v>
      </c>
      <c r="I4413">
        <v>0</v>
      </c>
      <c r="J4413">
        <v>1</v>
      </c>
      <c r="K4413">
        <v>1</v>
      </c>
      <c r="L4413">
        <v>8</v>
      </c>
      <c r="M4413">
        <v>10</v>
      </c>
      <c r="N4413">
        <v>11</v>
      </c>
      <c r="P4413">
        <v>0</v>
      </c>
      <c r="Q4413">
        <v>0</v>
      </c>
      <c r="R4413">
        <v>1</v>
      </c>
      <c r="S4413">
        <v>5</v>
      </c>
    </row>
    <row r="4414" spans="1:19" hidden="1" x14ac:dyDescent="0.35">
      <c r="A4414">
        <v>57833419300</v>
      </c>
      <c r="B4414" t="s">
        <v>4412</v>
      </c>
      <c r="C4414" t="str">
        <f>_xlfn.XLOOKUP(A4414,[1]Affiliations!$J$2:$J$5328,[1]Affiliations!$K$2:$K$5328,0)</f>
        <v>Federal University of Rio de Janeiro</v>
      </c>
      <c r="D4414">
        <v>1</v>
      </c>
      <c r="E4414">
        <v>3</v>
      </c>
      <c r="F4414">
        <v>3</v>
      </c>
      <c r="G4414">
        <v>1</v>
      </c>
      <c r="H4414">
        <v>0.25</v>
      </c>
      <c r="I4414">
        <v>0</v>
      </c>
      <c r="J4414">
        <v>0</v>
      </c>
      <c r="K4414">
        <v>0</v>
      </c>
      <c r="L4414">
        <v>1</v>
      </c>
      <c r="M4414">
        <v>1</v>
      </c>
      <c r="N4414">
        <v>1</v>
      </c>
      <c r="P4414">
        <v>0</v>
      </c>
      <c r="Q4414">
        <v>0</v>
      </c>
      <c r="R4414">
        <v>0</v>
      </c>
      <c r="S4414">
        <v>0</v>
      </c>
    </row>
    <row r="4415" spans="1:19" hidden="1" x14ac:dyDescent="0.35">
      <c r="A4415">
        <v>57195035139</v>
      </c>
      <c r="B4415" t="s">
        <v>4413</v>
      </c>
      <c r="C4415" t="str">
        <f>_xlfn.XLOOKUP(A4415,[1]Affiliations!$J$2:$J$5328,[1]Affiliations!$K$2:$K$5328,0)</f>
        <v>Federal University of Santa Catarina</v>
      </c>
      <c r="D4415">
        <v>3</v>
      </c>
      <c r="E4415">
        <v>35</v>
      </c>
      <c r="F4415">
        <v>11.666667</v>
      </c>
      <c r="G4415">
        <v>3</v>
      </c>
      <c r="H4415">
        <v>0.73</v>
      </c>
      <c r="I4415">
        <v>0</v>
      </c>
      <c r="J4415">
        <v>0</v>
      </c>
      <c r="K4415">
        <v>1</v>
      </c>
      <c r="L4415">
        <v>3</v>
      </c>
      <c r="M4415">
        <v>3</v>
      </c>
      <c r="N4415">
        <v>3</v>
      </c>
      <c r="P4415">
        <v>0</v>
      </c>
      <c r="Q4415">
        <v>0</v>
      </c>
      <c r="R4415">
        <v>0</v>
      </c>
      <c r="S4415">
        <v>1</v>
      </c>
    </row>
    <row r="4416" spans="1:19" hidden="1" x14ac:dyDescent="0.35">
      <c r="A4416">
        <v>60069134200</v>
      </c>
      <c r="B4416" t="s">
        <v>4414</v>
      </c>
      <c r="C4416" t="str">
        <f>_xlfn.XLOOKUP(A4416,[1]Affiliations!$J$2:$J$5328,[1]Affiliations!$K$2:$K$5328,0)</f>
        <v>Universidade de São Paulo</v>
      </c>
      <c r="D4416">
        <v>0</v>
      </c>
      <c r="G4416">
        <v>0</v>
      </c>
    </row>
    <row r="4417" spans="1:19" hidden="1" x14ac:dyDescent="0.35">
      <c r="A4417">
        <v>26031672000</v>
      </c>
      <c r="B4417" t="s">
        <v>4415</v>
      </c>
      <c r="C4417" t="str">
        <f>_xlfn.XLOOKUP(A4417,[1]Affiliations!$J$2:$J$5328,[1]Affiliations!$K$2:$K$5328,0)</f>
        <v>Universidade de São Paulo (+1 more)</v>
      </c>
      <c r="D4417">
        <v>13</v>
      </c>
      <c r="E4417">
        <v>121</v>
      </c>
      <c r="F4417">
        <v>9.3076930000000004</v>
      </c>
      <c r="G4417">
        <v>6</v>
      </c>
      <c r="H4417">
        <v>0.55000000000000004</v>
      </c>
      <c r="I4417">
        <v>1</v>
      </c>
      <c r="J4417">
        <v>1</v>
      </c>
      <c r="K4417">
        <v>2</v>
      </c>
      <c r="L4417">
        <v>3</v>
      </c>
      <c r="M4417">
        <v>4</v>
      </c>
      <c r="N4417">
        <v>6</v>
      </c>
      <c r="P4417">
        <v>0</v>
      </c>
      <c r="Q4417">
        <v>0</v>
      </c>
      <c r="R4417">
        <v>0</v>
      </c>
      <c r="S4417">
        <v>3</v>
      </c>
    </row>
    <row r="4418" spans="1:19" x14ac:dyDescent="0.35">
      <c r="A4418">
        <v>6701605185</v>
      </c>
      <c r="B4418" t="s">
        <v>692</v>
      </c>
      <c r="C4418" t="str">
        <f>_xlfn.XLOOKUP(A4418,[1]Affiliations!$J$2:$J$5328,[1]Affiliations!$K$2:$K$5328,0)</f>
        <v>Universidade Federal do Rio Grande do Sul</v>
      </c>
      <c r="D4418">
        <v>43</v>
      </c>
      <c r="E4418">
        <v>575</v>
      </c>
      <c r="F4418">
        <v>13.372093</v>
      </c>
      <c r="G4418">
        <v>29</v>
      </c>
      <c r="H4418">
        <v>0.65</v>
      </c>
      <c r="I4418">
        <v>1</v>
      </c>
      <c r="J4418">
        <v>3</v>
      </c>
      <c r="K4418">
        <v>9</v>
      </c>
      <c r="L4418">
        <v>22</v>
      </c>
      <c r="M4418">
        <v>31</v>
      </c>
      <c r="N4418">
        <v>41</v>
      </c>
      <c r="P4418">
        <v>0</v>
      </c>
      <c r="Q4418">
        <v>1</v>
      </c>
      <c r="R4418">
        <v>1</v>
      </c>
      <c r="S4418">
        <v>10</v>
      </c>
    </row>
    <row r="4419" spans="1:19" x14ac:dyDescent="0.35">
      <c r="A4419">
        <v>57223117673</v>
      </c>
      <c r="B4419" t="s">
        <v>816</v>
      </c>
      <c r="C4419" t="str">
        <f>_xlfn.XLOOKUP(A4419,[1]Affiliations!$J$2:$J$5328,[1]Affiliations!$K$2:$K$5328,0)</f>
        <v>Pontifical Catholic University of Rio de Janeiro (+1 more)</v>
      </c>
      <c r="D4419">
        <v>90</v>
      </c>
      <c r="E4419">
        <v>1181</v>
      </c>
      <c r="F4419">
        <v>13.122222000000001</v>
      </c>
      <c r="G4419">
        <v>34</v>
      </c>
      <c r="H4419">
        <v>0.65</v>
      </c>
      <c r="I4419">
        <v>0</v>
      </c>
      <c r="J4419">
        <v>6</v>
      </c>
      <c r="K4419">
        <v>26</v>
      </c>
      <c r="L4419">
        <v>68</v>
      </c>
      <c r="M4419">
        <v>80</v>
      </c>
      <c r="N4419">
        <v>84</v>
      </c>
      <c r="P4419">
        <v>0</v>
      </c>
      <c r="Q4419">
        <v>0</v>
      </c>
      <c r="R4419">
        <v>1</v>
      </c>
      <c r="S4419">
        <v>24</v>
      </c>
    </row>
    <row r="4420" spans="1:19" hidden="1" x14ac:dyDescent="0.35">
      <c r="A4420">
        <v>57194774675</v>
      </c>
      <c r="B4420" t="s">
        <v>4418</v>
      </c>
      <c r="C4420" t="str">
        <f>_xlfn.XLOOKUP(A4420,[1]Affiliations!$J$2:$J$5328,[1]Affiliations!$K$2:$K$5328,0)</f>
        <v>University of Campinas (+1 more)</v>
      </c>
      <c r="D4420">
        <v>11</v>
      </c>
      <c r="E4420">
        <v>133</v>
      </c>
      <c r="F4420">
        <v>12.090909</v>
      </c>
      <c r="G4420">
        <v>7</v>
      </c>
      <c r="H4420">
        <v>0.68</v>
      </c>
      <c r="I4420">
        <v>0</v>
      </c>
      <c r="J4420">
        <v>0</v>
      </c>
      <c r="K4420">
        <v>1</v>
      </c>
      <c r="L4420">
        <v>7</v>
      </c>
      <c r="M4420">
        <v>9</v>
      </c>
      <c r="N4420">
        <v>10</v>
      </c>
      <c r="P4420">
        <v>0</v>
      </c>
      <c r="Q4420">
        <v>0</v>
      </c>
      <c r="R4420">
        <v>0</v>
      </c>
      <c r="S4420">
        <v>7</v>
      </c>
    </row>
    <row r="4421" spans="1:19" x14ac:dyDescent="0.35">
      <c r="A4421">
        <v>57199984687</v>
      </c>
      <c r="B4421" t="s">
        <v>1011</v>
      </c>
      <c r="C4421" t="str">
        <f>_xlfn.XLOOKUP(A4421,[1]Affiliations!$J$2:$J$5328,[1]Affiliations!$K$2:$K$5328,0)</f>
        <v>Pontifical Catholic University of Rio de Janeiro</v>
      </c>
      <c r="D4421">
        <v>14</v>
      </c>
      <c r="E4421">
        <v>196</v>
      </c>
      <c r="F4421">
        <v>14</v>
      </c>
      <c r="G4421">
        <v>10</v>
      </c>
      <c r="H4421">
        <v>0.65</v>
      </c>
      <c r="I4421">
        <v>0</v>
      </c>
      <c r="J4421">
        <v>3</v>
      </c>
      <c r="K4421">
        <v>3</v>
      </c>
      <c r="L4421">
        <v>10</v>
      </c>
      <c r="M4421">
        <v>12</v>
      </c>
      <c r="N4421">
        <v>13</v>
      </c>
      <c r="P4421">
        <v>0</v>
      </c>
      <c r="Q4421">
        <v>0</v>
      </c>
      <c r="R4421">
        <v>1</v>
      </c>
      <c r="S4421">
        <v>3</v>
      </c>
    </row>
    <row r="4422" spans="1:19" x14ac:dyDescent="0.35">
      <c r="A4422">
        <v>14047980400</v>
      </c>
      <c r="B4422" t="s">
        <v>1533</v>
      </c>
      <c r="C4422" t="str">
        <f>_xlfn.XLOOKUP(A4422,[1]Affiliations!$J$2:$J$5328,[1]Affiliations!$K$2:$K$5328,0)</f>
        <v>Universidade Federal de Uberlândia</v>
      </c>
      <c r="D4422">
        <v>28</v>
      </c>
      <c r="E4422">
        <v>336</v>
      </c>
      <c r="F4422">
        <v>12</v>
      </c>
      <c r="G4422">
        <v>15</v>
      </c>
      <c r="H4422">
        <v>0.65</v>
      </c>
      <c r="I4422">
        <v>3</v>
      </c>
      <c r="J4422">
        <v>6</v>
      </c>
      <c r="K4422">
        <v>9</v>
      </c>
      <c r="L4422">
        <v>14</v>
      </c>
      <c r="M4422">
        <v>24</v>
      </c>
      <c r="N4422">
        <v>25</v>
      </c>
      <c r="P4422">
        <v>0</v>
      </c>
      <c r="Q4422">
        <v>0</v>
      </c>
      <c r="R4422">
        <v>1</v>
      </c>
      <c r="S4422">
        <v>6</v>
      </c>
    </row>
    <row r="4423" spans="1:19" x14ac:dyDescent="0.35">
      <c r="A4423">
        <v>25027672500</v>
      </c>
      <c r="B4423" t="s">
        <v>2611</v>
      </c>
      <c r="C4423" t="str">
        <f>_xlfn.XLOOKUP(A4423,[1]Affiliations!$J$2:$J$5328,[1]Affiliations!$K$2:$K$5328,0)</f>
        <v>Universidade Federal do Ceará</v>
      </c>
      <c r="D4423">
        <v>19</v>
      </c>
      <c r="E4423">
        <v>292</v>
      </c>
      <c r="F4423">
        <v>15.368421</v>
      </c>
      <c r="G4423">
        <v>12</v>
      </c>
      <c r="H4423">
        <v>0.65</v>
      </c>
      <c r="I4423">
        <v>0</v>
      </c>
      <c r="J4423">
        <v>3</v>
      </c>
      <c r="K4423">
        <v>3</v>
      </c>
      <c r="L4423">
        <v>6</v>
      </c>
      <c r="M4423">
        <v>16</v>
      </c>
      <c r="N4423">
        <v>18</v>
      </c>
      <c r="P4423">
        <v>0</v>
      </c>
      <c r="Q4423">
        <v>1</v>
      </c>
      <c r="R4423">
        <v>1</v>
      </c>
      <c r="S4423">
        <v>6</v>
      </c>
    </row>
    <row r="4424" spans="1:19" hidden="1" x14ac:dyDescent="0.35">
      <c r="A4424">
        <v>50961625400</v>
      </c>
      <c r="B4424" t="s">
        <v>4422</v>
      </c>
      <c r="C4424" t="str">
        <f>_xlfn.XLOOKUP(A4424,[1]Affiliations!$J$2:$J$5328,[1]Affiliations!$K$2:$K$5328,0)</f>
        <v>Pontifical Catholic University of Rio de Janeiro</v>
      </c>
      <c r="D4424">
        <v>2</v>
      </c>
      <c r="E4424">
        <v>1</v>
      </c>
      <c r="F4424">
        <v>0.5</v>
      </c>
      <c r="G4424">
        <v>3</v>
      </c>
      <c r="H4424">
        <v>0.27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P4424">
        <v>0</v>
      </c>
      <c r="Q4424">
        <v>0</v>
      </c>
      <c r="R4424">
        <v>0</v>
      </c>
      <c r="S4424">
        <v>0</v>
      </c>
    </row>
    <row r="4425" spans="1:19" hidden="1" x14ac:dyDescent="0.35">
      <c r="A4425">
        <v>57210324864</v>
      </c>
      <c r="B4425" t="s">
        <v>4423</v>
      </c>
      <c r="C4425" t="str">
        <f>_xlfn.XLOOKUP(A4425,[1]Affiliations!$J$2:$J$5328,[1]Affiliations!$K$2:$K$5328,0)</f>
        <v>Ergostech Renewable Energy Solutions</v>
      </c>
      <c r="D4425">
        <v>2</v>
      </c>
      <c r="E4425">
        <v>74</v>
      </c>
      <c r="F4425">
        <v>37</v>
      </c>
      <c r="G4425">
        <v>2</v>
      </c>
      <c r="H4425">
        <v>0.87</v>
      </c>
      <c r="I4425">
        <v>0</v>
      </c>
      <c r="J4425">
        <v>0</v>
      </c>
      <c r="K4425">
        <v>0</v>
      </c>
      <c r="L4425">
        <v>1</v>
      </c>
      <c r="M4425">
        <v>2</v>
      </c>
      <c r="N4425">
        <v>2</v>
      </c>
      <c r="P4425">
        <v>0</v>
      </c>
      <c r="Q4425">
        <v>0</v>
      </c>
      <c r="R4425">
        <v>1</v>
      </c>
      <c r="S4425">
        <v>1</v>
      </c>
    </row>
    <row r="4426" spans="1:19" hidden="1" x14ac:dyDescent="0.35">
      <c r="A4426">
        <v>55497430800</v>
      </c>
      <c r="B4426" t="s">
        <v>4424</v>
      </c>
      <c r="C4426" t="str">
        <f>_xlfn.XLOOKUP(A4426,[1]Affiliations!$J$2:$J$5328,[1]Affiliations!$K$2:$K$5328,0)</f>
        <v>Universidade Federal dos Vales do Jequitinhonha e Mucuri</v>
      </c>
      <c r="D4426">
        <v>13</v>
      </c>
      <c r="E4426">
        <v>137</v>
      </c>
      <c r="F4426">
        <v>10.538462000000001</v>
      </c>
      <c r="G4426">
        <v>7</v>
      </c>
      <c r="H4426">
        <v>0.56999999999999995</v>
      </c>
      <c r="I4426">
        <v>0</v>
      </c>
      <c r="J4426">
        <v>1</v>
      </c>
      <c r="K4426">
        <v>2</v>
      </c>
      <c r="L4426">
        <v>2</v>
      </c>
      <c r="M4426">
        <v>7</v>
      </c>
      <c r="N4426">
        <v>10</v>
      </c>
      <c r="P4426">
        <v>0</v>
      </c>
      <c r="Q4426">
        <v>0</v>
      </c>
      <c r="R4426">
        <v>0</v>
      </c>
      <c r="S4426">
        <v>2</v>
      </c>
    </row>
    <row r="4427" spans="1:19" hidden="1" x14ac:dyDescent="0.35">
      <c r="A4427">
        <v>58677927000</v>
      </c>
      <c r="B4427" t="s">
        <v>4425</v>
      </c>
      <c r="C4427" t="str">
        <f>_xlfn.XLOOKUP(A4427,[1]Affiliations!$J$2:$J$5328,[1]Affiliations!$K$2:$K$5328,0)</f>
        <v>Universidade Federal Fluminense</v>
      </c>
      <c r="D4427">
        <v>1</v>
      </c>
      <c r="E4427">
        <v>0</v>
      </c>
      <c r="F4427">
        <v>0</v>
      </c>
      <c r="G4427">
        <v>0</v>
      </c>
      <c r="H4427">
        <v>0</v>
      </c>
      <c r="P4427">
        <v>0</v>
      </c>
      <c r="Q4427">
        <v>0</v>
      </c>
      <c r="R4427">
        <v>0</v>
      </c>
      <c r="S4427">
        <v>0</v>
      </c>
    </row>
    <row r="4428" spans="1:19" x14ac:dyDescent="0.35">
      <c r="A4428">
        <v>35310606700</v>
      </c>
      <c r="B4428" t="s">
        <v>2688</v>
      </c>
      <c r="C4428" t="str">
        <f>_xlfn.XLOOKUP(A4428,[1]Affiliations!$J$2:$J$5328,[1]Affiliations!$K$2:$K$5328,0)</f>
        <v>Federal University of Rio de Janeiro</v>
      </c>
      <c r="D4428">
        <v>51</v>
      </c>
      <c r="E4428">
        <v>926</v>
      </c>
      <c r="F4428">
        <v>18.156862</v>
      </c>
      <c r="G4428">
        <v>20</v>
      </c>
      <c r="H4428">
        <v>0.65</v>
      </c>
      <c r="I4428">
        <v>0</v>
      </c>
      <c r="J4428">
        <v>6</v>
      </c>
      <c r="K4428">
        <v>10</v>
      </c>
      <c r="L4428">
        <v>34</v>
      </c>
      <c r="M4428">
        <v>46</v>
      </c>
      <c r="N4428">
        <v>50</v>
      </c>
      <c r="P4428">
        <v>0</v>
      </c>
      <c r="Q4428">
        <v>2</v>
      </c>
      <c r="R4428">
        <v>4</v>
      </c>
      <c r="S4428">
        <v>21</v>
      </c>
    </row>
    <row r="4429" spans="1:19" x14ac:dyDescent="0.35">
      <c r="A4429">
        <v>22734715900</v>
      </c>
      <c r="B4429" t="s">
        <v>4036</v>
      </c>
      <c r="C4429" t="str">
        <f>_xlfn.XLOOKUP(A4429,[1]Affiliations!$J$2:$J$5328,[1]Affiliations!$K$2:$K$5328,0)</f>
        <v>Laboratório Nacional de Computação Científica</v>
      </c>
      <c r="D4429">
        <v>48</v>
      </c>
      <c r="E4429">
        <v>408</v>
      </c>
      <c r="F4429">
        <v>8.5</v>
      </c>
      <c r="G4429">
        <v>14</v>
      </c>
      <c r="H4429">
        <v>0.65</v>
      </c>
      <c r="I4429">
        <v>1</v>
      </c>
      <c r="J4429">
        <v>5</v>
      </c>
      <c r="K4429">
        <v>9</v>
      </c>
      <c r="L4429">
        <v>12</v>
      </c>
      <c r="M4429">
        <v>23</v>
      </c>
      <c r="N4429">
        <v>32</v>
      </c>
      <c r="P4429">
        <v>0</v>
      </c>
      <c r="Q4429">
        <v>2</v>
      </c>
      <c r="R4429">
        <v>2</v>
      </c>
      <c r="S4429">
        <v>6</v>
      </c>
    </row>
    <row r="4430" spans="1:19" x14ac:dyDescent="0.35">
      <c r="A4430">
        <v>57191039262</v>
      </c>
      <c r="B4430" t="s">
        <v>4349</v>
      </c>
      <c r="C4430" t="str">
        <f>_xlfn.XLOOKUP(A4430,[1]Affiliations!$J$2:$J$5328,[1]Affiliations!$K$2:$K$5328,0)</f>
        <v>X-Reality GeoInformatics Lab Unisinos University (+1 more)</v>
      </c>
      <c r="D4430">
        <v>20</v>
      </c>
      <c r="E4430">
        <v>124</v>
      </c>
      <c r="F4430">
        <v>6.2</v>
      </c>
      <c r="G4430">
        <v>5</v>
      </c>
      <c r="H4430">
        <v>0.65</v>
      </c>
      <c r="I4430">
        <v>1</v>
      </c>
      <c r="J4430">
        <v>1</v>
      </c>
      <c r="K4430">
        <v>2</v>
      </c>
      <c r="L4430">
        <v>3</v>
      </c>
      <c r="M4430">
        <v>4</v>
      </c>
      <c r="N4430">
        <v>9</v>
      </c>
      <c r="P4430">
        <v>0</v>
      </c>
      <c r="Q4430">
        <v>0</v>
      </c>
      <c r="R4430">
        <v>2</v>
      </c>
      <c r="S4430">
        <v>2</v>
      </c>
    </row>
    <row r="4431" spans="1:19" hidden="1" x14ac:dyDescent="0.35">
      <c r="A4431">
        <v>56993764100</v>
      </c>
      <c r="B4431" t="s">
        <v>4429</v>
      </c>
      <c r="C4431" t="str">
        <f>_xlfn.XLOOKUP(A4431,[1]Affiliations!$J$2:$J$5328,[1]Affiliations!$K$2:$K$5328,0)</f>
        <v>Federal University of Rio de Janeiro</v>
      </c>
      <c r="D4431">
        <v>2</v>
      </c>
      <c r="E4431">
        <v>105</v>
      </c>
      <c r="F4431">
        <v>52.5</v>
      </c>
      <c r="G4431">
        <v>2</v>
      </c>
      <c r="H4431">
        <v>1.25</v>
      </c>
      <c r="I4431">
        <v>0</v>
      </c>
      <c r="J4431">
        <v>0</v>
      </c>
      <c r="K4431">
        <v>1</v>
      </c>
      <c r="L4431">
        <v>2</v>
      </c>
      <c r="M4431">
        <v>2</v>
      </c>
      <c r="N4431">
        <v>2</v>
      </c>
      <c r="P4431">
        <v>0</v>
      </c>
      <c r="Q4431">
        <v>0</v>
      </c>
      <c r="R4431">
        <v>1</v>
      </c>
      <c r="S4431">
        <v>2</v>
      </c>
    </row>
    <row r="4432" spans="1:19" x14ac:dyDescent="0.35">
      <c r="A4432">
        <v>16176505900</v>
      </c>
      <c r="B4432" t="s">
        <v>4555</v>
      </c>
      <c r="C4432" t="str">
        <f>_xlfn.XLOOKUP(A4432,[1]Affiliations!$J$2:$J$5328,[1]Affiliations!$K$2:$K$5328,0)</f>
        <v>Universidade Federal do Espírito Santo</v>
      </c>
      <c r="D4432">
        <v>31</v>
      </c>
      <c r="E4432">
        <v>560</v>
      </c>
      <c r="F4432">
        <v>18.064516000000001</v>
      </c>
      <c r="G4432">
        <v>15</v>
      </c>
      <c r="H4432">
        <v>0.65</v>
      </c>
      <c r="I4432">
        <v>0</v>
      </c>
      <c r="J4432">
        <v>2</v>
      </c>
      <c r="K4432">
        <v>6</v>
      </c>
      <c r="L4432">
        <v>19</v>
      </c>
      <c r="M4432">
        <v>24</v>
      </c>
      <c r="N4432">
        <v>28</v>
      </c>
      <c r="P4432">
        <v>0</v>
      </c>
      <c r="Q4432">
        <v>1</v>
      </c>
      <c r="R4432">
        <v>3</v>
      </c>
      <c r="S4432">
        <v>11</v>
      </c>
    </row>
    <row r="4433" spans="1:19" x14ac:dyDescent="0.35">
      <c r="A4433">
        <v>57200935667</v>
      </c>
      <c r="B4433" t="s">
        <v>4635</v>
      </c>
      <c r="C4433" t="str">
        <f>_xlfn.XLOOKUP(A4433,[1]Affiliations!$J$2:$J$5328,[1]Affiliations!$K$2:$K$5328,0)</f>
        <v>Universidade Federal de Juiz de Fora</v>
      </c>
      <c r="D4433">
        <v>8</v>
      </c>
      <c r="E4433">
        <v>93</v>
      </c>
      <c r="F4433">
        <v>11.625</v>
      </c>
      <c r="G4433">
        <v>6</v>
      </c>
      <c r="H4433">
        <v>0.65</v>
      </c>
      <c r="I4433">
        <v>0</v>
      </c>
      <c r="J4433">
        <v>2</v>
      </c>
      <c r="K4433">
        <v>3</v>
      </c>
      <c r="L4433">
        <v>7</v>
      </c>
      <c r="M4433">
        <v>7</v>
      </c>
      <c r="N4433">
        <v>8</v>
      </c>
      <c r="P4433">
        <v>0</v>
      </c>
      <c r="Q4433">
        <v>0</v>
      </c>
      <c r="R4433">
        <v>1</v>
      </c>
      <c r="S4433">
        <v>1</v>
      </c>
    </row>
    <row r="4434" spans="1:19" hidden="1" x14ac:dyDescent="0.35">
      <c r="A4434">
        <v>58204893900</v>
      </c>
      <c r="B4434" t="s">
        <v>4432</v>
      </c>
      <c r="C4434" t="str">
        <f>_xlfn.XLOOKUP(A4434,[1]Affiliations!$J$2:$J$5328,[1]Affiliations!$K$2:$K$5328,0)</f>
        <v>Universidade Estadual Paulista “Júlio de Mesquita Filho” (+1 more)</v>
      </c>
      <c r="D4434">
        <v>1</v>
      </c>
      <c r="E4434">
        <v>33</v>
      </c>
      <c r="F4434">
        <v>33</v>
      </c>
      <c r="G4434">
        <v>1</v>
      </c>
      <c r="H4434">
        <v>2.54</v>
      </c>
      <c r="I4434">
        <v>0</v>
      </c>
      <c r="J4434">
        <v>0</v>
      </c>
      <c r="K4434">
        <v>1</v>
      </c>
      <c r="L4434">
        <v>1</v>
      </c>
      <c r="M4434">
        <v>1</v>
      </c>
      <c r="N4434">
        <v>1</v>
      </c>
      <c r="P4434">
        <v>0</v>
      </c>
      <c r="Q4434">
        <v>1</v>
      </c>
      <c r="R4434">
        <v>1</v>
      </c>
      <c r="S4434">
        <v>1</v>
      </c>
    </row>
    <row r="4435" spans="1:19" hidden="1" x14ac:dyDescent="0.35">
      <c r="A4435">
        <v>55936632700</v>
      </c>
      <c r="B4435" t="s">
        <v>4433</v>
      </c>
      <c r="C4435" t="str">
        <f>_xlfn.XLOOKUP(A4435,[1]Affiliations!$J$2:$J$5328,[1]Affiliations!$K$2:$K$5328,0)</f>
        <v>Universidade de Brasília (+1 more)</v>
      </c>
      <c r="D4435">
        <v>3</v>
      </c>
      <c r="E4435">
        <v>128</v>
      </c>
      <c r="F4435">
        <v>42.666668000000001</v>
      </c>
      <c r="G4435">
        <v>3</v>
      </c>
      <c r="H4435">
        <v>1.98</v>
      </c>
      <c r="I4435">
        <v>1</v>
      </c>
      <c r="J4435">
        <v>1</v>
      </c>
      <c r="K4435">
        <v>1</v>
      </c>
      <c r="L4435">
        <v>1</v>
      </c>
      <c r="M4435">
        <v>3</v>
      </c>
      <c r="N4435">
        <v>3</v>
      </c>
      <c r="P4435">
        <v>0</v>
      </c>
      <c r="Q4435">
        <v>1</v>
      </c>
      <c r="R4435">
        <v>1</v>
      </c>
      <c r="S4435">
        <v>2</v>
      </c>
    </row>
    <row r="4436" spans="1:19" hidden="1" x14ac:dyDescent="0.35">
      <c r="A4436">
        <v>57218543384</v>
      </c>
      <c r="B4436" t="s">
        <v>4434</v>
      </c>
      <c r="C4436" t="str">
        <f>_xlfn.XLOOKUP(A4436,[1]Affiliations!$J$2:$J$5328,[1]Affiliations!$K$2:$K$5328,0)</f>
        <v>Universidade Tecnológica Federal do Paraná</v>
      </c>
      <c r="D4436">
        <v>5</v>
      </c>
      <c r="E4436">
        <v>42</v>
      </c>
      <c r="F4436">
        <v>8.4</v>
      </c>
      <c r="G4436">
        <v>3</v>
      </c>
      <c r="H4436">
        <v>0.86</v>
      </c>
      <c r="I4436">
        <v>0</v>
      </c>
      <c r="J4436">
        <v>0</v>
      </c>
      <c r="K4436">
        <v>0</v>
      </c>
      <c r="L4436">
        <v>3</v>
      </c>
      <c r="M4436">
        <v>3</v>
      </c>
      <c r="N4436">
        <v>3</v>
      </c>
      <c r="P4436">
        <v>0</v>
      </c>
      <c r="Q4436">
        <v>1</v>
      </c>
      <c r="R4436">
        <v>1</v>
      </c>
      <c r="S4436">
        <v>1</v>
      </c>
    </row>
    <row r="4437" spans="1:19" x14ac:dyDescent="0.35">
      <c r="A4437">
        <v>55839022200</v>
      </c>
      <c r="B4437" t="s">
        <v>4757</v>
      </c>
      <c r="C4437" t="str">
        <f>_xlfn.XLOOKUP(A4437,[1]Affiliations!$J$2:$J$5328,[1]Affiliations!$K$2:$K$5328,0)</f>
        <v>Federal University of Rio de Janeiro</v>
      </c>
      <c r="D4437">
        <v>8</v>
      </c>
      <c r="E4437">
        <v>139</v>
      </c>
      <c r="F4437">
        <v>17.375</v>
      </c>
      <c r="G4437">
        <v>8</v>
      </c>
      <c r="H4437">
        <v>0.65</v>
      </c>
      <c r="I4437">
        <v>0</v>
      </c>
      <c r="J4437">
        <v>0</v>
      </c>
      <c r="K4437">
        <v>1</v>
      </c>
      <c r="L4437">
        <v>5</v>
      </c>
      <c r="M4437">
        <v>7</v>
      </c>
      <c r="N4437">
        <v>8</v>
      </c>
      <c r="P4437">
        <v>0</v>
      </c>
      <c r="Q4437">
        <v>0</v>
      </c>
      <c r="R4437">
        <v>1</v>
      </c>
      <c r="S4437">
        <v>3</v>
      </c>
    </row>
    <row r="4438" spans="1:19" hidden="1" x14ac:dyDescent="0.35">
      <c r="A4438">
        <v>55220701200</v>
      </c>
      <c r="B4438" t="s">
        <v>4436</v>
      </c>
      <c r="C4438" t="str">
        <f>_xlfn.XLOOKUP(A4438,[1]Affiliations!$J$2:$J$5328,[1]Affiliations!$K$2:$K$5328,0)</f>
        <v>PRH-229 - UFRN</v>
      </c>
      <c r="D4438">
        <v>11</v>
      </c>
      <c r="E4438">
        <v>61</v>
      </c>
      <c r="F4438">
        <v>5.5454545</v>
      </c>
      <c r="G4438">
        <v>6</v>
      </c>
      <c r="H4438">
        <v>0.54</v>
      </c>
      <c r="I4438">
        <v>0</v>
      </c>
      <c r="J4438">
        <v>1</v>
      </c>
      <c r="K4438">
        <v>2</v>
      </c>
      <c r="L4438">
        <v>5</v>
      </c>
      <c r="M4438">
        <v>8</v>
      </c>
      <c r="N4438">
        <v>9</v>
      </c>
      <c r="P4438">
        <v>0</v>
      </c>
      <c r="Q4438">
        <v>0</v>
      </c>
      <c r="R4438">
        <v>0</v>
      </c>
      <c r="S4438">
        <v>1</v>
      </c>
    </row>
    <row r="4439" spans="1:19" hidden="1" x14ac:dyDescent="0.35">
      <c r="A4439">
        <v>57218209054</v>
      </c>
      <c r="B4439" t="s">
        <v>4437</v>
      </c>
      <c r="C4439" t="str">
        <f>_xlfn.XLOOKUP(A4439,[1]Affiliations!$J$2:$J$5328,[1]Affiliations!$K$2:$K$5328,0)</f>
        <v>Universidade Federal da Paraíba</v>
      </c>
      <c r="D4439">
        <v>1</v>
      </c>
      <c r="E4439">
        <v>11</v>
      </c>
      <c r="F4439">
        <v>11</v>
      </c>
      <c r="G4439">
        <v>1</v>
      </c>
      <c r="H4439">
        <v>0.65</v>
      </c>
      <c r="I4439">
        <v>0</v>
      </c>
      <c r="J4439">
        <v>0</v>
      </c>
      <c r="K4439">
        <v>0</v>
      </c>
      <c r="L4439">
        <v>1</v>
      </c>
      <c r="M4439">
        <v>1</v>
      </c>
      <c r="N4439">
        <v>1</v>
      </c>
      <c r="P4439">
        <v>0</v>
      </c>
      <c r="Q4439">
        <v>0</v>
      </c>
      <c r="R4439">
        <v>0</v>
      </c>
      <c r="S4439">
        <v>0</v>
      </c>
    </row>
    <row r="4440" spans="1:19" hidden="1" x14ac:dyDescent="0.35">
      <c r="A4440">
        <v>57222331724</v>
      </c>
      <c r="B4440" t="s">
        <v>4438</v>
      </c>
      <c r="C4440" t="str">
        <f>_xlfn.XLOOKUP(A4440,[1]Affiliations!$J$2:$J$5328,[1]Affiliations!$K$2:$K$5328,0)</f>
        <v>Universidade Federal de Pernambuco</v>
      </c>
      <c r="D4440">
        <v>6</v>
      </c>
      <c r="E4440">
        <v>48</v>
      </c>
      <c r="F4440">
        <v>8</v>
      </c>
      <c r="G4440">
        <v>3</v>
      </c>
      <c r="H4440">
        <v>0.51</v>
      </c>
      <c r="I4440">
        <v>0</v>
      </c>
      <c r="J4440">
        <v>0</v>
      </c>
      <c r="K4440">
        <v>1</v>
      </c>
      <c r="L4440">
        <v>2</v>
      </c>
      <c r="M4440">
        <v>3</v>
      </c>
      <c r="N4440">
        <v>3</v>
      </c>
      <c r="P4440">
        <v>0</v>
      </c>
      <c r="Q4440">
        <v>0</v>
      </c>
      <c r="R4440">
        <v>0</v>
      </c>
      <c r="S4440">
        <v>1</v>
      </c>
    </row>
    <row r="4441" spans="1:19" hidden="1" x14ac:dyDescent="0.35">
      <c r="A4441">
        <v>57203130960</v>
      </c>
      <c r="B4441" t="s">
        <v>4439</v>
      </c>
      <c r="C4441" t="str">
        <f>_xlfn.XLOOKUP(A4441,[1]Affiliations!$J$2:$J$5328,[1]Affiliations!$K$2:$K$5328,0)</f>
        <v>Vizlab - X-Reality and GeoInformatics Lab (+1 more)</v>
      </c>
      <c r="D4441">
        <v>4</v>
      </c>
      <c r="E4441">
        <v>41</v>
      </c>
      <c r="F4441">
        <v>10.25</v>
      </c>
      <c r="G4441">
        <v>4</v>
      </c>
      <c r="H4441">
        <v>1.03</v>
      </c>
      <c r="I4441">
        <v>1</v>
      </c>
      <c r="J4441">
        <v>1</v>
      </c>
      <c r="K4441">
        <v>1</v>
      </c>
      <c r="L4441">
        <v>1</v>
      </c>
      <c r="M4441">
        <v>1</v>
      </c>
      <c r="N4441">
        <v>1</v>
      </c>
      <c r="P4441">
        <v>0</v>
      </c>
      <c r="Q4441">
        <v>0</v>
      </c>
      <c r="R4441">
        <v>0</v>
      </c>
      <c r="S4441">
        <v>0</v>
      </c>
    </row>
    <row r="4442" spans="1:19" x14ac:dyDescent="0.35">
      <c r="A4442">
        <v>55362724200</v>
      </c>
      <c r="B4442" t="s">
        <v>4843</v>
      </c>
      <c r="C4442" t="str">
        <f>_xlfn.XLOOKUP(A4442,[1]Affiliations!$J$2:$J$5328,[1]Affiliations!$K$2:$K$5328,0)</f>
        <v>Federal University of Rio de Janeiro</v>
      </c>
      <c r="D4442">
        <v>5</v>
      </c>
      <c r="E4442">
        <v>115</v>
      </c>
      <c r="F4442">
        <v>23</v>
      </c>
      <c r="G4442">
        <v>6</v>
      </c>
      <c r="H4442">
        <v>0.65</v>
      </c>
      <c r="I4442">
        <v>0</v>
      </c>
      <c r="J4442">
        <v>0</v>
      </c>
      <c r="K4442">
        <v>1</v>
      </c>
      <c r="L4442">
        <v>1</v>
      </c>
      <c r="M4442">
        <v>4</v>
      </c>
      <c r="N4442">
        <v>5</v>
      </c>
      <c r="P4442">
        <v>0</v>
      </c>
      <c r="Q4442">
        <v>0</v>
      </c>
      <c r="R4442">
        <v>1</v>
      </c>
      <c r="S4442">
        <v>2</v>
      </c>
    </row>
    <row r="4443" spans="1:19" hidden="1" x14ac:dyDescent="0.35">
      <c r="A4443">
        <v>59267097900</v>
      </c>
      <c r="B4443" t="s">
        <v>4441</v>
      </c>
      <c r="C4443" t="str">
        <f>_xlfn.XLOOKUP(A4443,[1]Affiliations!$J$2:$J$5328,[1]Affiliations!$K$2:$K$5328,0)</f>
        <v>IFSP</v>
      </c>
      <c r="D4443">
        <v>3</v>
      </c>
      <c r="E4443">
        <v>1</v>
      </c>
      <c r="F4443">
        <v>0.33333333999999998</v>
      </c>
      <c r="G4443">
        <v>1</v>
      </c>
      <c r="H4443">
        <v>0.19</v>
      </c>
      <c r="P4443">
        <v>0</v>
      </c>
      <c r="Q4443">
        <v>0</v>
      </c>
      <c r="R4443">
        <v>0</v>
      </c>
      <c r="S4443">
        <v>0</v>
      </c>
    </row>
    <row r="4444" spans="1:19" x14ac:dyDescent="0.35">
      <c r="A4444">
        <v>15845100200</v>
      </c>
      <c r="B4444" t="s">
        <v>477</v>
      </c>
      <c r="C4444" t="str">
        <f>_xlfn.XLOOKUP(A4444,[1]Affiliations!$J$2:$J$5328,[1]Affiliations!$K$2:$K$5328,0)</f>
        <v>Universidade Federal Fluminense</v>
      </c>
      <c r="D4444">
        <v>87</v>
      </c>
      <c r="E4444">
        <v>533</v>
      </c>
      <c r="F4444">
        <v>6.1264367000000002</v>
      </c>
      <c r="G4444">
        <v>13</v>
      </c>
      <c r="H4444">
        <v>0.64</v>
      </c>
      <c r="I4444">
        <v>1</v>
      </c>
      <c r="J4444">
        <v>2</v>
      </c>
      <c r="K4444">
        <v>5</v>
      </c>
      <c r="L4444">
        <v>11</v>
      </c>
      <c r="M4444">
        <v>23</v>
      </c>
      <c r="N4444">
        <v>33</v>
      </c>
      <c r="P4444">
        <v>0</v>
      </c>
      <c r="Q4444">
        <v>1</v>
      </c>
      <c r="R4444">
        <v>3</v>
      </c>
      <c r="S4444">
        <v>9</v>
      </c>
    </row>
    <row r="4445" spans="1:19" hidden="1" x14ac:dyDescent="0.35">
      <c r="A4445">
        <v>57329110800</v>
      </c>
      <c r="B4445" t="s">
        <v>4443</v>
      </c>
      <c r="C4445" t="str">
        <f>_xlfn.XLOOKUP(A4445,[1]Affiliations!$J$2:$J$5328,[1]Affiliations!$K$2:$K$5328,0)</f>
        <v>DEMa</v>
      </c>
      <c r="D4445">
        <v>3</v>
      </c>
      <c r="E4445">
        <v>37</v>
      </c>
      <c r="F4445">
        <v>12.333333</v>
      </c>
      <c r="G4445">
        <v>3</v>
      </c>
      <c r="H4445">
        <v>0.65</v>
      </c>
      <c r="I4445">
        <v>0</v>
      </c>
      <c r="J4445">
        <v>0</v>
      </c>
      <c r="K4445">
        <v>0</v>
      </c>
      <c r="L4445">
        <v>1</v>
      </c>
      <c r="M4445">
        <v>3</v>
      </c>
      <c r="N4445">
        <v>3</v>
      </c>
      <c r="P4445">
        <v>0</v>
      </c>
      <c r="Q4445">
        <v>0</v>
      </c>
      <c r="R4445">
        <v>0</v>
      </c>
      <c r="S4445">
        <v>2</v>
      </c>
    </row>
    <row r="4446" spans="1:19" x14ac:dyDescent="0.35">
      <c r="A4446">
        <v>56960017500</v>
      </c>
      <c r="B4446" t="s">
        <v>490</v>
      </c>
      <c r="C4446" t="str">
        <f>_xlfn.XLOOKUP(A4446,[1]Affiliations!$J$2:$J$5328,[1]Affiliations!$K$2:$K$5328,0)</f>
        <v>Universidade Federal de Viçosa</v>
      </c>
      <c r="D4446">
        <v>11</v>
      </c>
      <c r="E4446">
        <v>54</v>
      </c>
      <c r="F4446">
        <v>4.9090910000000001</v>
      </c>
      <c r="G4446">
        <v>5</v>
      </c>
      <c r="H4446">
        <v>0.64</v>
      </c>
      <c r="I4446">
        <v>0</v>
      </c>
      <c r="J4446">
        <v>0</v>
      </c>
      <c r="K4446">
        <v>1</v>
      </c>
      <c r="L4446">
        <v>2</v>
      </c>
      <c r="M4446">
        <v>4</v>
      </c>
      <c r="N4446">
        <v>6</v>
      </c>
      <c r="P4446">
        <v>0</v>
      </c>
      <c r="Q4446">
        <v>1</v>
      </c>
      <c r="R4446">
        <v>1</v>
      </c>
      <c r="S4446">
        <v>1</v>
      </c>
    </row>
    <row r="4447" spans="1:19" hidden="1" x14ac:dyDescent="0.35">
      <c r="A4447">
        <v>57204177098</v>
      </c>
      <c r="B4447" t="s">
        <v>4445</v>
      </c>
      <c r="C4447" t="str">
        <f>_xlfn.XLOOKUP(A4447,[1]Affiliations!$J$2:$J$5328,[1]Affiliations!$K$2:$K$5328,0)</f>
        <v>Universidade Federal do Rio Grande do Norte</v>
      </c>
      <c r="D4447">
        <v>1</v>
      </c>
      <c r="E4447">
        <v>3</v>
      </c>
      <c r="F4447">
        <v>3</v>
      </c>
      <c r="G4447">
        <v>1</v>
      </c>
      <c r="H4447">
        <v>1.05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1</v>
      </c>
      <c r="P4447">
        <v>0</v>
      </c>
      <c r="Q4447">
        <v>0</v>
      </c>
      <c r="R4447">
        <v>0</v>
      </c>
      <c r="S4447">
        <v>0</v>
      </c>
    </row>
    <row r="4448" spans="1:19" hidden="1" x14ac:dyDescent="0.35">
      <c r="A4448">
        <v>57213194398</v>
      </c>
      <c r="B4448" t="s">
        <v>4446</v>
      </c>
      <c r="C4448" t="str">
        <f>_xlfn.XLOOKUP(A4448,[1]Affiliations!$J$2:$J$5328,[1]Affiliations!$K$2:$K$5328,0)</f>
        <v>Vizlab - X-Reality and GeoInformatics Lab</v>
      </c>
      <c r="D4448">
        <v>1</v>
      </c>
      <c r="E4448">
        <v>1</v>
      </c>
      <c r="F4448">
        <v>1</v>
      </c>
      <c r="G4448">
        <v>1</v>
      </c>
      <c r="H4448">
        <v>0.39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1</v>
      </c>
      <c r="P4448">
        <v>0</v>
      </c>
      <c r="Q4448">
        <v>0</v>
      </c>
      <c r="R4448">
        <v>0</v>
      </c>
      <c r="S4448">
        <v>0</v>
      </c>
    </row>
    <row r="4449" spans="1:19" x14ac:dyDescent="0.35">
      <c r="A4449">
        <v>6602096513</v>
      </c>
      <c r="B4449" t="s">
        <v>498</v>
      </c>
      <c r="C4449" t="str">
        <f>_xlfn.XLOOKUP(A4449,[1]Affiliations!$J$2:$J$5328,[1]Affiliations!$K$2:$K$5328,0)</f>
        <v>Universidade Federal Fluminense</v>
      </c>
      <c r="D4449">
        <v>28</v>
      </c>
      <c r="E4449">
        <v>375</v>
      </c>
      <c r="F4449">
        <v>13.392858</v>
      </c>
      <c r="G4449">
        <v>18</v>
      </c>
      <c r="H4449">
        <v>0.64</v>
      </c>
      <c r="I4449">
        <v>1</v>
      </c>
      <c r="J4449">
        <v>7</v>
      </c>
      <c r="K4449">
        <v>10</v>
      </c>
      <c r="L4449">
        <v>13</v>
      </c>
      <c r="M4449">
        <v>21</v>
      </c>
      <c r="N4449">
        <v>22</v>
      </c>
      <c r="P4449">
        <v>0</v>
      </c>
      <c r="Q4449">
        <v>0</v>
      </c>
      <c r="R4449">
        <v>1</v>
      </c>
      <c r="S4449">
        <v>6</v>
      </c>
    </row>
    <row r="4450" spans="1:19" x14ac:dyDescent="0.35">
      <c r="A4450">
        <v>35820907700</v>
      </c>
      <c r="B4450" t="s">
        <v>545</v>
      </c>
      <c r="C4450" t="str">
        <f>_xlfn.XLOOKUP(A4450,[1]Affiliations!$J$2:$J$5328,[1]Affiliations!$K$2:$K$5328,0)</f>
        <v>Federal University of Rio de Janeiro</v>
      </c>
      <c r="D4450">
        <v>68</v>
      </c>
      <c r="E4450">
        <v>1097</v>
      </c>
      <c r="F4450">
        <v>16.132352999999998</v>
      </c>
      <c r="G4450">
        <v>33</v>
      </c>
      <c r="H4450">
        <v>0.64</v>
      </c>
      <c r="I4450">
        <v>0</v>
      </c>
      <c r="J4450">
        <v>10</v>
      </c>
      <c r="K4450">
        <v>14</v>
      </c>
      <c r="L4450">
        <v>38</v>
      </c>
      <c r="M4450">
        <v>53</v>
      </c>
      <c r="N4450">
        <v>61</v>
      </c>
      <c r="P4450">
        <v>0</v>
      </c>
      <c r="Q4450">
        <v>1</v>
      </c>
      <c r="R4450">
        <v>7</v>
      </c>
      <c r="S4450">
        <v>20</v>
      </c>
    </row>
    <row r="4451" spans="1:19" hidden="1" x14ac:dyDescent="0.35">
      <c r="A4451">
        <v>55583943500</v>
      </c>
      <c r="B4451" t="s">
        <v>4449</v>
      </c>
      <c r="C4451" t="str">
        <f>_xlfn.XLOOKUP(A4451,[1]Affiliations!$J$2:$J$5328,[1]Affiliations!$K$2:$K$5328,0)</f>
        <v>Universidade de São Paulo</v>
      </c>
      <c r="D4451">
        <v>8</v>
      </c>
      <c r="E4451">
        <v>82</v>
      </c>
      <c r="F4451">
        <v>10.25</v>
      </c>
      <c r="G4451">
        <v>6</v>
      </c>
      <c r="H4451">
        <v>0.49</v>
      </c>
      <c r="I4451">
        <v>0</v>
      </c>
      <c r="J4451">
        <v>1</v>
      </c>
      <c r="K4451">
        <v>2</v>
      </c>
      <c r="L4451">
        <v>4</v>
      </c>
      <c r="M4451">
        <v>6</v>
      </c>
      <c r="N4451">
        <v>8</v>
      </c>
      <c r="P4451">
        <v>0</v>
      </c>
      <c r="Q4451">
        <v>0</v>
      </c>
      <c r="R4451">
        <v>0</v>
      </c>
      <c r="S4451">
        <v>0</v>
      </c>
    </row>
    <row r="4452" spans="1:19" x14ac:dyDescent="0.35">
      <c r="A4452">
        <v>57195858023</v>
      </c>
      <c r="B4452" t="s">
        <v>587</v>
      </c>
      <c r="C4452" t="str">
        <f>_xlfn.XLOOKUP(A4452,[1]Affiliations!$J$2:$J$5328,[1]Affiliations!$K$2:$K$5328,0)</f>
        <v>Universidade Federal do Ceará</v>
      </c>
      <c r="D4452">
        <v>9</v>
      </c>
      <c r="E4452">
        <v>143</v>
      </c>
      <c r="F4452">
        <v>15.888889000000001</v>
      </c>
      <c r="G4452">
        <v>5</v>
      </c>
      <c r="H4452">
        <v>0.64</v>
      </c>
      <c r="I4452">
        <v>0</v>
      </c>
      <c r="J4452">
        <v>2</v>
      </c>
      <c r="K4452">
        <v>2</v>
      </c>
      <c r="L4452">
        <v>4</v>
      </c>
      <c r="M4452">
        <v>4</v>
      </c>
      <c r="N4452">
        <v>5</v>
      </c>
      <c r="P4452">
        <v>0</v>
      </c>
      <c r="Q4452">
        <v>1</v>
      </c>
      <c r="R4452">
        <v>1</v>
      </c>
      <c r="S4452">
        <v>4</v>
      </c>
    </row>
    <row r="4453" spans="1:19" hidden="1" x14ac:dyDescent="0.35">
      <c r="A4453">
        <v>57201419832</v>
      </c>
      <c r="B4453" t="s">
        <v>4451</v>
      </c>
      <c r="C4453" t="str">
        <f>_xlfn.XLOOKUP(A4453,[1]Affiliations!$J$2:$J$5328,[1]Affiliations!$K$2:$K$5328,0)</f>
        <v>Transpetro (+1 more)</v>
      </c>
      <c r="D4453">
        <v>2</v>
      </c>
      <c r="E4453">
        <v>0</v>
      </c>
      <c r="F4453">
        <v>0</v>
      </c>
      <c r="G4453">
        <v>0</v>
      </c>
      <c r="H4453">
        <v>0</v>
      </c>
      <c r="P4453">
        <v>0</v>
      </c>
      <c r="Q4453">
        <v>0</v>
      </c>
      <c r="R4453">
        <v>0</v>
      </c>
      <c r="S4453">
        <v>0</v>
      </c>
    </row>
    <row r="4454" spans="1:19" x14ac:dyDescent="0.35">
      <c r="A4454">
        <v>55902270900</v>
      </c>
      <c r="B4454" t="s">
        <v>688</v>
      </c>
      <c r="C4454" t="str">
        <f>_xlfn.XLOOKUP(A4454,[1]Affiliations!$J$2:$J$5328,[1]Affiliations!$K$2:$K$5328,0)</f>
        <v>Pontifical Catholic University of Rio de Janeiro</v>
      </c>
      <c r="D4454">
        <v>48</v>
      </c>
      <c r="E4454">
        <v>563</v>
      </c>
      <c r="F4454">
        <v>11.729167</v>
      </c>
      <c r="G4454">
        <v>13</v>
      </c>
      <c r="H4454">
        <v>0.64</v>
      </c>
      <c r="I4454">
        <v>1</v>
      </c>
      <c r="J4454">
        <v>5</v>
      </c>
      <c r="K4454">
        <v>8</v>
      </c>
      <c r="L4454">
        <v>22</v>
      </c>
      <c r="M4454">
        <v>25</v>
      </c>
      <c r="N4454">
        <v>31</v>
      </c>
      <c r="P4454">
        <v>0</v>
      </c>
      <c r="Q4454">
        <v>2</v>
      </c>
      <c r="R4454">
        <v>4</v>
      </c>
      <c r="S4454">
        <v>14</v>
      </c>
    </row>
    <row r="4455" spans="1:19" hidden="1" x14ac:dyDescent="0.35">
      <c r="A4455">
        <v>57204004815</v>
      </c>
      <c r="B4455" t="s">
        <v>4453</v>
      </c>
      <c r="C4455" t="str">
        <f>_xlfn.XLOOKUP(A4455,[1]Affiliations!$J$2:$J$5328,[1]Affiliations!$K$2:$K$5328,0)</f>
        <v>Universidade Federal da Bahia</v>
      </c>
      <c r="D4455">
        <v>1</v>
      </c>
      <c r="E4455">
        <v>1</v>
      </c>
      <c r="F4455">
        <v>1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P4455">
        <v>0</v>
      </c>
      <c r="Q4455">
        <v>0</v>
      </c>
      <c r="R4455">
        <v>0</v>
      </c>
      <c r="S4455">
        <v>0</v>
      </c>
    </row>
    <row r="4456" spans="1:19" x14ac:dyDescent="0.35">
      <c r="A4456">
        <v>7102707103</v>
      </c>
      <c r="B4456" t="s">
        <v>987</v>
      </c>
      <c r="C4456" t="str">
        <f>_xlfn.XLOOKUP(A4456,[1]Affiliations!$J$2:$J$5328,[1]Affiliations!$K$2:$K$5328,0)</f>
        <v>Federal University of Rio de Janeiro</v>
      </c>
      <c r="D4456">
        <v>16</v>
      </c>
      <c r="E4456">
        <v>217</v>
      </c>
      <c r="F4456">
        <v>13.5625</v>
      </c>
      <c r="G4456">
        <v>20</v>
      </c>
      <c r="H4456">
        <v>0.64</v>
      </c>
      <c r="I4456">
        <v>0</v>
      </c>
      <c r="J4456">
        <v>0</v>
      </c>
      <c r="K4456">
        <v>1</v>
      </c>
      <c r="L4456">
        <v>13</v>
      </c>
      <c r="M4456">
        <v>14</v>
      </c>
      <c r="N4456">
        <v>16</v>
      </c>
      <c r="P4456">
        <v>0</v>
      </c>
      <c r="Q4456">
        <v>0</v>
      </c>
      <c r="R4456">
        <v>1</v>
      </c>
      <c r="S4456">
        <v>6</v>
      </c>
    </row>
    <row r="4457" spans="1:19" hidden="1" x14ac:dyDescent="0.35">
      <c r="A4457">
        <v>57217869682</v>
      </c>
      <c r="B4457" t="s">
        <v>4455</v>
      </c>
      <c r="C4457" t="str">
        <f>_xlfn.XLOOKUP(A4457,[1]Affiliations!$J$2:$J$5328,[1]Affiliations!$K$2:$K$5328,0)</f>
        <v>Universidade Federal de Minas Gerais</v>
      </c>
      <c r="D4457">
        <v>3</v>
      </c>
      <c r="E4457">
        <v>24</v>
      </c>
      <c r="F4457">
        <v>8</v>
      </c>
      <c r="G4457">
        <v>3</v>
      </c>
      <c r="H4457">
        <v>0.79</v>
      </c>
      <c r="I4457">
        <v>0</v>
      </c>
      <c r="J4457">
        <v>0</v>
      </c>
      <c r="K4457">
        <v>0</v>
      </c>
      <c r="L4457">
        <v>2</v>
      </c>
      <c r="M4457">
        <v>3</v>
      </c>
      <c r="N4457">
        <v>3</v>
      </c>
      <c r="P4457">
        <v>0</v>
      </c>
      <c r="Q4457">
        <v>0</v>
      </c>
      <c r="R4457">
        <v>0</v>
      </c>
      <c r="S4457">
        <v>1</v>
      </c>
    </row>
    <row r="4458" spans="1:19" hidden="1" x14ac:dyDescent="0.35">
      <c r="A4458">
        <v>57214721772</v>
      </c>
      <c r="B4458" t="s">
        <v>4456</v>
      </c>
      <c r="C4458" t="str">
        <f>_xlfn.XLOOKUP(A4458,[1]Affiliations!$J$2:$J$5328,[1]Affiliations!$K$2:$K$5328,0)</f>
        <v>Universidade Federal de Goiás</v>
      </c>
      <c r="D4458">
        <v>2</v>
      </c>
      <c r="E4458">
        <v>34</v>
      </c>
      <c r="F4458">
        <v>17</v>
      </c>
      <c r="G4458">
        <v>2</v>
      </c>
      <c r="H4458">
        <v>0.96</v>
      </c>
      <c r="I4458">
        <v>0</v>
      </c>
      <c r="J4458">
        <v>1</v>
      </c>
      <c r="K4458">
        <v>2</v>
      </c>
      <c r="L4458">
        <v>2</v>
      </c>
      <c r="M4458">
        <v>2</v>
      </c>
      <c r="N4458">
        <v>2</v>
      </c>
      <c r="P4458">
        <v>0</v>
      </c>
      <c r="Q4458">
        <v>0</v>
      </c>
      <c r="R4458">
        <v>0</v>
      </c>
      <c r="S4458">
        <v>1</v>
      </c>
    </row>
    <row r="4459" spans="1:19" hidden="1" x14ac:dyDescent="0.35">
      <c r="A4459">
        <v>56871036100</v>
      </c>
      <c r="B4459" t="s">
        <v>4457</v>
      </c>
      <c r="C4459" t="str">
        <f>_xlfn.XLOOKUP(A4459,[1]Affiliations!$J$2:$J$5328,[1]Affiliations!$K$2:$K$5328,0)</f>
        <v>São Paulo State Secretariat of Environment (+1 more)</v>
      </c>
      <c r="D4459">
        <v>5</v>
      </c>
      <c r="E4459">
        <v>51</v>
      </c>
      <c r="F4459">
        <v>10.199999999999999</v>
      </c>
      <c r="G4459">
        <v>4</v>
      </c>
      <c r="H4459">
        <v>0.56999999999999995</v>
      </c>
      <c r="I4459">
        <v>0</v>
      </c>
      <c r="J4459">
        <v>0</v>
      </c>
      <c r="K4459">
        <v>1</v>
      </c>
      <c r="L4459">
        <v>1</v>
      </c>
      <c r="M4459">
        <v>3</v>
      </c>
      <c r="N4459">
        <v>4</v>
      </c>
      <c r="P4459">
        <v>0</v>
      </c>
      <c r="Q4459">
        <v>0</v>
      </c>
      <c r="R4459">
        <v>0</v>
      </c>
      <c r="S4459">
        <v>1</v>
      </c>
    </row>
    <row r="4460" spans="1:19" hidden="1" x14ac:dyDescent="0.35">
      <c r="A4460">
        <v>59243802100</v>
      </c>
      <c r="B4460" t="s">
        <v>4458</v>
      </c>
      <c r="C4460" t="str">
        <f>_xlfn.XLOOKUP(A4460,[1]Affiliations!$J$2:$J$5328,[1]Affiliations!$K$2:$K$5328,0)</f>
        <v>Universidade Federal de Ouro Preto</v>
      </c>
      <c r="D4460">
        <v>1</v>
      </c>
      <c r="E4460">
        <v>3</v>
      </c>
      <c r="F4460">
        <v>3</v>
      </c>
      <c r="G4460">
        <v>1</v>
      </c>
      <c r="H4460">
        <v>0.85</v>
      </c>
      <c r="I4460">
        <v>0</v>
      </c>
      <c r="J4460">
        <v>0</v>
      </c>
      <c r="K4460">
        <v>0</v>
      </c>
      <c r="L4460">
        <v>1</v>
      </c>
      <c r="M4460">
        <v>1</v>
      </c>
      <c r="N4460">
        <v>1</v>
      </c>
      <c r="P4460">
        <v>0</v>
      </c>
      <c r="Q4460">
        <v>0</v>
      </c>
      <c r="R4460">
        <v>0</v>
      </c>
      <c r="S4460">
        <v>0</v>
      </c>
    </row>
    <row r="4461" spans="1:19" hidden="1" x14ac:dyDescent="0.35">
      <c r="A4461">
        <v>57203904092</v>
      </c>
      <c r="B4461" t="s">
        <v>4459</v>
      </c>
      <c r="C4461" t="str">
        <f>_xlfn.XLOOKUP(A4461,[1]Affiliations!$J$2:$J$5328,[1]Affiliations!$K$2:$K$5328,0)</f>
        <v>Pontifical Catholic University of Rio de Janeiro</v>
      </c>
      <c r="D4461">
        <v>1</v>
      </c>
      <c r="E4461">
        <v>0</v>
      </c>
      <c r="F4461">
        <v>0</v>
      </c>
      <c r="G4461">
        <v>0</v>
      </c>
      <c r="H4461">
        <v>0</v>
      </c>
      <c r="P4461">
        <v>0</v>
      </c>
      <c r="Q4461">
        <v>0</v>
      </c>
      <c r="R4461">
        <v>0</v>
      </c>
      <c r="S4461">
        <v>0</v>
      </c>
    </row>
    <row r="4462" spans="1:19" hidden="1" x14ac:dyDescent="0.35">
      <c r="A4462">
        <v>58625875000</v>
      </c>
      <c r="B4462" t="s">
        <v>4460</v>
      </c>
      <c r="C4462" t="str">
        <f>_xlfn.XLOOKUP(A4462,[1]Affiliations!$J$2:$J$5328,[1]Affiliations!$K$2:$K$5328,0)</f>
        <v>Universidade Federal de Viçosa</v>
      </c>
      <c r="D4462">
        <v>4</v>
      </c>
      <c r="E4462">
        <v>10</v>
      </c>
      <c r="F4462">
        <v>2.5</v>
      </c>
      <c r="G4462">
        <v>2</v>
      </c>
      <c r="H4462">
        <v>0.2</v>
      </c>
      <c r="I4462">
        <v>0</v>
      </c>
      <c r="J4462">
        <v>0</v>
      </c>
      <c r="K4462">
        <v>0</v>
      </c>
      <c r="L4462">
        <v>1</v>
      </c>
      <c r="M4462">
        <v>3</v>
      </c>
      <c r="N4462">
        <v>4</v>
      </c>
      <c r="P4462">
        <v>0</v>
      </c>
      <c r="Q4462">
        <v>0</v>
      </c>
      <c r="R4462">
        <v>0</v>
      </c>
      <c r="S4462">
        <v>0</v>
      </c>
    </row>
    <row r="4463" spans="1:19" x14ac:dyDescent="0.35">
      <c r="A4463">
        <v>7102909691</v>
      </c>
      <c r="B4463" t="s">
        <v>1051</v>
      </c>
      <c r="C4463" t="str">
        <f>_xlfn.XLOOKUP(A4463,[1]Affiliations!$J$2:$J$5328,[1]Affiliations!$K$2:$K$5328,0)</f>
        <v>Federal University of Rio de Janeiro</v>
      </c>
      <c r="D4463">
        <v>49</v>
      </c>
      <c r="E4463">
        <v>489</v>
      </c>
      <c r="F4463">
        <v>9.9795909999999992</v>
      </c>
      <c r="G4463">
        <v>23</v>
      </c>
      <c r="H4463">
        <v>0.64</v>
      </c>
      <c r="I4463">
        <v>1</v>
      </c>
      <c r="J4463">
        <v>12</v>
      </c>
      <c r="K4463">
        <v>16</v>
      </c>
      <c r="L4463">
        <v>28</v>
      </c>
      <c r="M4463">
        <v>36</v>
      </c>
      <c r="N4463">
        <v>40</v>
      </c>
      <c r="P4463">
        <v>0</v>
      </c>
      <c r="Q4463">
        <v>0</v>
      </c>
      <c r="R4463">
        <v>1</v>
      </c>
      <c r="S4463">
        <v>13</v>
      </c>
    </row>
    <row r="4464" spans="1:19" x14ac:dyDescent="0.35">
      <c r="A4464">
        <v>56580230700</v>
      </c>
      <c r="B4464" t="s">
        <v>1121</v>
      </c>
      <c r="C4464" t="str">
        <f>_xlfn.XLOOKUP(A4464,[1]Affiliations!$J$2:$J$5328,[1]Affiliations!$K$2:$K$5328,0)</f>
        <v>Universidade Federal Fluminense</v>
      </c>
      <c r="D4464">
        <v>41</v>
      </c>
      <c r="E4464">
        <v>613</v>
      </c>
      <c r="F4464">
        <v>14.951219999999999</v>
      </c>
      <c r="G4464">
        <v>22</v>
      </c>
      <c r="H4464">
        <v>0.64</v>
      </c>
      <c r="I4464">
        <v>1</v>
      </c>
      <c r="J4464">
        <v>4</v>
      </c>
      <c r="K4464">
        <v>10</v>
      </c>
      <c r="L4464">
        <v>23</v>
      </c>
      <c r="M4464">
        <v>37</v>
      </c>
      <c r="N4464">
        <v>39</v>
      </c>
      <c r="P4464">
        <v>0</v>
      </c>
      <c r="Q4464">
        <v>1</v>
      </c>
      <c r="R4464">
        <v>2</v>
      </c>
      <c r="S4464">
        <v>12</v>
      </c>
    </row>
    <row r="4465" spans="1:19" x14ac:dyDescent="0.35">
      <c r="A4465">
        <v>55179037900</v>
      </c>
      <c r="B4465" t="s">
        <v>1411</v>
      </c>
      <c r="C4465" t="str">
        <f>_xlfn.XLOOKUP(A4465,[1]Affiliations!$J$2:$J$5328,[1]Affiliations!$K$2:$K$5328,0)</f>
        <v>Universidade de São Paulo</v>
      </c>
      <c r="D4465">
        <v>16</v>
      </c>
      <c r="E4465">
        <v>209</v>
      </c>
      <c r="F4465">
        <v>13.0625</v>
      </c>
      <c r="G4465">
        <v>9</v>
      </c>
      <c r="H4465">
        <v>0.64</v>
      </c>
      <c r="I4465">
        <v>0</v>
      </c>
      <c r="J4465">
        <v>3</v>
      </c>
      <c r="K4465">
        <v>4</v>
      </c>
      <c r="L4465">
        <v>8</v>
      </c>
      <c r="M4465">
        <v>14</v>
      </c>
      <c r="N4465">
        <v>14</v>
      </c>
      <c r="P4465">
        <v>0</v>
      </c>
      <c r="Q4465">
        <v>0</v>
      </c>
      <c r="R4465">
        <v>1</v>
      </c>
      <c r="S4465">
        <v>3</v>
      </c>
    </row>
    <row r="4466" spans="1:19" x14ac:dyDescent="0.35">
      <c r="A4466">
        <v>35242060800</v>
      </c>
      <c r="B4466" t="s">
        <v>1628</v>
      </c>
      <c r="C4466" t="str">
        <f>_xlfn.XLOOKUP(A4466,[1]Affiliations!$J$2:$J$5328,[1]Affiliations!$K$2:$K$5328,0)</f>
        <v>Universidade Federal Fluminense</v>
      </c>
      <c r="D4466">
        <v>83</v>
      </c>
      <c r="E4466">
        <v>647</v>
      </c>
      <c r="F4466">
        <v>7.7951810000000004</v>
      </c>
      <c r="G4466">
        <v>20</v>
      </c>
      <c r="H4466">
        <v>0.64</v>
      </c>
      <c r="I4466">
        <v>1</v>
      </c>
      <c r="J4466">
        <v>13</v>
      </c>
      <c r="K4466">
        <v>15</v>
      </c>
      <c r="L4466">
        <v>18</v>
      </c>
      <c r="M4466">
        <v>46</v>
      </c>
      <c r="N4466">
        <v>60</v>
      </c>
      <c r="P4466">
        <v>0</v>
      </c>
      <c r="Q4466">
        <v>0</v>
      </c>
      <c r="R4466">
        <v>3</v>
      </c>
      <c r="S4466">
        <v>9</v>
      </c>
    </row>
    <row r="4467" spans="1:19" x14ac:dyDescent="0.35">
      <c r="A4467">
        <v>8609297500</v>
      </c>
      <c r="B4467" t="s">
        <v>1742</v>
      </c>
      <c r="C4467" t="str">
        <f>_xlfn.XLOOKUP(A4467,[1]Affiliations!$J$2:$J$5328,[1]Affiliations!$K$2:$K$5328,0)</f>
        <v>X-Reality GeoInformatics Lab Unisinos University (+2 more)</v>
      </c>
      <c r="D4467">
        <v>47</v>
      </c>
      <c r="E4467">
        <v>486</v>
      </c>
      <c r="F4467">
        <v>10.3404255</v>
      </c>
      <c r="G4467">
        <v>12</v>
      </c>
      <c r="H4467">
        <v>0.64</v>
      </c>
      <c r="I4467">
        <v>1</v>
      </c>
      <c r="J4467">
        <v>2</v>
      </c>
      <c r="K4467">
        <v>9</v>
      </c>
      <c r="L4467">
        <v>18</v>
      </c>
      <c r="M4467">
        <v>28</v>
      </c>
      <c r="N4467">
        <v>42</v>
      </c>
      <c r="P4467">
        <v>0</v>
      </c>
      <c r="Q4467">
        <v>0</v>
      </c>
      <c r="R4467">
        <v>4</v>
      </c>
      <c r="S4467">
        <v>8</v>
      </c>
    </row>
    <row r="4468" spans="1:19" hidden="1" x14ac:dyDescent="0.35">
      <c r="A4468">
        <v>37102684800</v>
      </c>
      <c r="B4468" t="s">
        <v>4466</v>
      </c>
      <c r="C4468" t="str">
        <f>_xlfn.XLOOKUP(A4468,[1]Affiliations!$J$2:$J$5328,[1]Affiliations!$K$2:$K$5328,0)</f>
        <v>Federal University of Rio de Janeiro</v>
      </c>
      <c r="D4468">
        <v>5</v>
      </c>
      <c r="E4468">
        <v>111</v>
      </c>
      <c r="F4468">
        <v>22.2</v>
      </c>
      <c r="G4468">
        <v>6</v>
      </c>
      <c r="H4468">
        <v>1.27</v>
      </c>
      <c r="I4468">
        <v>0</v>
      </c>
      <c r="J4468">
        <v>0</v>
      </c>
      <c r="K4468">
        <v>0</v>
      </c>
      <c r="L4468">
        <v>2</v>
      </c>
      <c r="M4468">
        <v>4</v>
      </c>
      <c r="N4468">
        <v>4</v>
      </c>
      <c r="P4468">
        <v>0</v>
      </c>
      <c r="Q4468">
        <v>0</v>
      </c>
      <c r="R4468">
        <v>2</v>
      </c>
      <c r="S4468">
        <v>4</v>
      </c>
    </row>
    <row r="4469" spans="1:19" hidden="1" x14ac:dyDescent="0.35">
      <c r="A4469">
        <v>58741320400</v>
      </c>
      <c r="B4469" t="s">
        <v>4467</v>
      </c>
      <c r="C4469" t="str">
        <f>_xlfn.XLOOKUP(A4469,[1]Affiliations!$J$2:$J$5328,[1]Affiliations!$K$2:$K$5328,0)</f>
        <v>Universidade Federal de Alagoas</v>
      </c>
      <c r="D4469">
        <v>1</v>
      </c>
      <c r="E4469">
        <v>7</v>
      </c>
      <c r="F4469">
        <v>7</v>
      </c>
      <c r="G4469">
        <v>1</v>
      </c>
      <c r="H4469">
        <v>0.63</v>
      </c>
      <c r="I4469">
        <v>0</v>
      </c>
      <c r="J4469">
        <v>0</v>
      </c>
      <c r="K4469">
        <v>0</v>
      </c>
      <c r="L4469">
        <v>1</v>
      </c>
      <c r="M4469">
        <v>1</v>
      </c>
      <c r="N4469">
        <v>1</v>
      </c>
      <c r="P4469">
        <v>0</v>
      </c>
      <c r="Q4469">
        <v>0</v>
      </c>
      <c r="R4469">
        <v>0</v>
      </c>
      <c r="S4469">
        <v>0</v>
      </c>
    </row>
    <row r="4470" spans="1:19" x14ac:dyDescent="0.35">
      <c r="A4470">
        <v>36542423000</v>
      </c>
      <c r="B4470" t="s">
        <v>1947</v>
      </c>
      <c r="C4470" t="str">
        <f>_xlfn.XLOOKUP(A4470,[1]Affiliations!$J$2:$J$5328,[1]Affiliations!$K$2:$K$5328,0)</f>
        <v>National Laboratory for Scientific Computation-LNCC</v>
      </c>
      <c r="D4470">
        <v>18</v>
      </c>
      <c r="E4470">
        <v>284</v>
      </c>
      <c r="F4470">
        <v>15.777778</v>
      </c>
      <c r="G4470">
        <v>10</v>
      </c>
      <c r="H4470">
        <v>0.64</v>
      </c>
      <c r="I4470">
        <v>1</v>
      </c>
      <c r="J4470">
        <v>2</v>
      </c>
      <c r="K4470">
        <v>4</v>
      </c>
      <c r="L4470">
        <v>6</v>
      </c>
      <c r="M4470">
        <v>8</v>
      </c>
      <c r="N4470">
        <v>10</v>
      </c>
      <c r="P4470">
        <v>0</v>
      </c>
      <c r="Q4470">
        <v>0</v>
      </c>
      <c r="R4470">
        <v>3</v>
      </c>
      <c r="S4470">
        <v>5</v>
      </c>
    </row>
    <row r="4471" spans="1:19" hidden="1" x14ac:dyDescent="0.35">
      <c r="A4471">
        <v>57214387252</v>
      </c>
      <c r="B4471" t="s">
        <v>4469</v>
      </c>
      <c r="C4471" t="str">
        <f>_xlfn.XLOOKUP(A4471,[1]Affiliations!$J$2:$J$5328,[1]Affiliations!$K$2:$K$5328,0)</f>
        <v>Federal University of Rio de Janeiro</v>
      </c>
      <c r="D4471">
        <v>1</v>
      </c>
      <c r="E4471">
        <v>20</v>
      </c>
      <c r="F4471">
        <v>20</v>
      </c>
      <c r="G4471">
        <v>1</v>
      </c>
      <c r="H4471">
        <v>1.1599999999999999</v>
      </c>
      <c r="I4471">
        <v>0</v>
      </c>
      <c r="J4471">
        <v>0</v>
      </c>
      <c r="K4471">
        <v>1</v>
      </c>
      <c r="L4471">
        <v>1</v>
      </c>
      <c r="M4471">
        <v>1</v>
      </c>
      <c r="N4471">
        <v>1</v>
      </c>
      <c r="P4471">
        <v>0</v>
      </c>
      <c r="Q4471">
        <v>0</v>
      </c>
      <c r="R4471">
        <v>0</v>
      </c>
      <c r="S4471">
        <v>0</v>
      </c>
    </row>
    <row r="4472" spans="1:19" hidden="1" x14ac:dyDescent="0.35">
      <c r="A4472">
        <v>56432028800</v>
      </c>
      <c r="B4472" t="s">
        <v>4470</v>
      </c>
      <c r="C4472" t="str">
        <f>_xlfn.XLOOKUP(A4472,[1]Affiliations!$J$2:$J$5328,[1]Affiliations!$K$2:$K$5328,0)</f>
        <v>Universidade de São Paulo</v>
      </c>
      <c r="D4472">
        <v>10</v>
      </c>
      <c r="E4472">
        <v>120</v>
      </c>
      <c r="F4472">
        <v>12</v>
      </c>
      <c r="G4472">
        <v>6</v>
      </c>
      <c r="H4472">
        <v>0.75</v>
      </c>
      <c r="I4472">
        <v>0</v>
      </c>
      <c r="J4472">
        <v>0</v>
      </c>
      <c r="K4472">
        <v>1</v>
      </c>
      <c r="L4472">
        <v>4</v>
      </c>
      <c r="M4472">
        <v>5</v>
      </c>
      <c r="N4472">
        <v>9</v>
      </c>
      <c r="P4472">
        <v>0</v>
      </c>
      <c r="Q4472">
        <v>0</v>
      </c>
      <c r="R4472">
        <v>0</v>
      </c>
      <c r="S4472">
        <v>2</v>
      </c>
    </row>
    <row r="4473" spans="1:19" hidden="1" x14ac:dyDescent="0.35">
      <c r="A4473">
        <v>57192807868</v>
      </c>
      <c r="B4473" t="s">
        <v>4471</v>
      </c>
      <c r="C4473" t="str">
        <f>_xlfn.XLOOKUP(A4473,[1]Affiliations!$J$2:$J$5328,[1]Affiliations!$K$2:$K$5328,0)</f>
        <v>Federal University of Rio de Janeiro</v>
      </c>
      <c r="D4473">
        <v>1</v>
      </c>
      <c r="E4473">
        <v>28</v>
      </c>
      <c r="F4473">
        <v>28</v>
      </c>
      <c r="G4473">
        <v>1</v>
      </c>
      <c r="H4473">
        <v>1.87</v>
      </c>
      <c r="I4473">
        <v>0</v>
      </c>
      <c r="J4473">
        <v>0</v>
      </c>
      <c r="K4473">
        <v>0</v>
      </c>
      <c r="L4473">
        <v>1</v>
      </c>
      <c r="M4473">
        <v>1</v>
      </c>
      <c r="N4473">
        <v>1</v>
      </c>
      <c r="P4473">
        <v>0</v>
      </c>
      <c r="Q4473">
        <v>0</v>
      </c>
      <c r="R4473">
        <v>0</v>
      </c>
      <c r="S4473">
        <v>1</v>
      </c>
    </row>
    <row r="4474" spans="1:19" x14ac:dyDescent="0.35">
      <c r="A4474">
        <v>57915968000</v>
      </c>
      <c r="B4474" t="s">
        <v>2289</v>
      </c>
      <c r="C4474" t="str">
        <f>_xlfn.XLOOKUP(A4474,[1]Affiliations!$J$2:$J$5328,[1]Affiliations!$K$2:$K$5328,0)</f>
        <v>Universidade Federal de Goiás</v>
      </c>
      <c r="D4474">
        <v>7</v>
      </c>
      <c r="E4474">
        <v>37</v>
      </c>
      <c r="F4474">
        <v>5.2857139999999996</v>
      </c>
      <c r="G4474">
        <v>4</v>
      </c>
      <c r="H4474">
        <v>0.64</v>
      </c>
      <c r="I4474">
        <v>0</v>
      </c>
      <c r="J4474">
        <v>1</v>
      </c>
      <c r="K4474">
        <v>1</v>
      </c>
      <c r="L4474">
        <v>2</v>
      </c>
      <c r="M4474">
        <v>6</v>
      </c>
      <c r="N4474">
        <v>6</v>
      </c>
      <c r="P4474">
        <v>0</v>
      </c>
      <c r="Q4474">
        <v>0</v>
      </c>
      <c r="R4474">
        <v>1</v>
      </c>
      <c r="S4474">
        <v>2</v>
      </c>
    </row>
    <row r="4475" spans="1:19" x14ac:dyDescent="0.35">
      <c r="A4475">
        <v>55652760700</v>
      </c>
      <c r="B4475" t="s">
        <v>2360</v>
      </c>
      <c r="C4475" t="str">
        <f>_xlfn.XLOOKUP(A4475,[1]Affiliations!$J$2:$J$5328,[1]Affiliations!$K$2:$K$5328,0)</f>
        <v>Universidade de São Paulo (+1 more)</v>
      </c>
      <c r="D4475">
        <v>39</v>
      </c>
      <c r="E4475">
        <v>495</v>
      </c>
      <c r="F4475">
        <v>12.692307</v>
      </c>
      <c r="G4475">
        <v>15</v>
      </c>
      <c r="H4475">
        <v>0.64</v>
      </c>
      <c r="I4475">
        <v>0</v>
      </c>
      <c r="J4475">
        <v>1</v>
      </c>
      <c r="K4475">
        <v>6</v>
      </c>
      <c r="L4475">
        <v>22</v>
      </c>
      <c r="M4475">
        <v>30</v>
      </c>
      <c r="N4475">
        <v>32</v>
      </c>
      <c r="P4475">
        <v>0</v>
      </c>
      <c r="Q4475">
        <v>0</v>
      </c>
      <c r="R4475">
        <v>1</v>
      </c>
      <c r="S4475">
        <v>14</v>
      </c>
    </row>
    <row r="4476" spans="1:19" hidden="1" x14ac:dyDescent="0.35">
      <c r="A4476">
        <v>57204015151</v>
      </c>
      <c r="B4476" t="s">
        <v>4474</v>
      </c>
      <c r="C4476" t="str">
        <f>_xlfn.XLOOKUP(A4476,[1]Affiliations!$J$2:$J$5328,[1]Affiliations!$K$2:$K$5328,0)</f>
        <v>Federal University of Rio de Janeiro</v>
      </c>
      <c r="D4476">
        <v>2</v>
      </c>
      <c r="E4476">
        <v>36</v>
      </c>
      <c r="F4476">
        <v>18</v>
      </c>
      <c r="G4476">
        <v>2</v>
      </c>
      <c r="H4476">
        <v>1.79</v>
      </c>
      <c r="I4476">
        <v>0</v>
      </c>
      <c r="J4476">
        <v>0</v>
      </c>
      <c r="K4476">
        <v>1</v>
      </c>
      <c r="L4476">
        <v>2</v>
      </c>
      <c r="M4476">
        <v>2</v>
      </c>
      <c r="N4476">
        <v>2</v>
      </c>
      <c r="P4476">
        <v>0</v>
      </c>
      <c r="Q4476">
        <v>0</v>
      </c>
      <c r="R4476">
        <v>0</v>
      </c>
      <c r="S4476">
        <v>0</v>
      </c>
    </row>
    <row r="4477" spans="1:19" x14ac:dyDescent="0.35">
      <c r="A4477">
        <v>6603789671</v>
      </c>
      <c r="B4477" t="s">
        <v>3483</v>
      </c>
      <c r="C4477" t="str">
        <f>_xlfn.XLOOKUP(A4477,[1]Affiliations!$J$2:$J$5328,[1]Affiliations!$K$2:$K$5328,0)</f>
        <v>Federal University of Rio de Janeiro</v>
      </c>
      <c r="D4477">
        <v>15</v>
      </c>
      <c r="E4477">
        <v>260</v>
      </c>
      <c r="F4477">
        <v>17.333334000000001</v>
      </c>
      <c r="G4477">
        <v>22</v>
      </c>
      <c r="H4477">
        <v>0.64</v>
      </c>
      <c r="I4477">
        <v>0</v>
      </c>
      <c r="J4477">
        <v>3</v>
      </c>
      <c r="K4477">
        <v>4</v>
      </c>
      <c r="L4477">
        <v>7</v>
      </c>
      <c r="M4477">
        <v>14</v>
      </c>
      <c r="N4477">
        <v>15</v>
      </c>
      <c r="P4477">
        <v>0</v>
      </c>
      <c r="Q4477">
        <v>1</v>
      </c>
      <c r="R4477">
        <v>1</v>
      </c>
      <c r="S4477">
        <v>6</v>
      </c>
    </row>
    <row r="4478" spans="1:19" x14ac:dyDescent="0.35">
      <c r="A4478">
        <v>57204054846</v>
      </c>
      <c r="B4478" t="s">
        <v>3721</v>
      </c>
      <c r="C4478" t="str">
        <f>_xlfn.XLOOKUP(A4478,[1]Affiliations!$J$2:$J$5328,[1]Affiliations!$K$2:$K$5328,0)</f>
        <v>Pontifícia Universidade Católica do Rio Grande do Sul (+1 more)</v>
      </c>
      <c r="D4478">
        <v>17</v>
      </c>
      <c r="E4478">
        <v>281</v>
      </c>
      <c r="F4478">
        <v>16.529411</v>
      </c>
      <c r="G4478">
        <v>12</v>
      </c>
      <c r="H4478">
        <v>0.64</v>
      </c>
      <c r="I4478">
        <v>0</v>
      </c>
      <c r="J4478">
        <v>1</v>
      </c>
      <c r="K4478">
        <v>2</v>
      </c>
      <c r="L4478">
        <v>8</v>
      </c>
      <c r="M4478">
        <v>15</v>
      </c>
      <c r="N4478">
        <v>17</v>
      </c>
      <c r="P4478">
        <v>0</v>
      </c>
      <c r="Q4478">
        <v>0</v>
      </c>
      <c r="R4478">
        <v>1</v>
      </c>
      <c r="S4478">
        <v>3</v>
      </c>
    </row>
    <row r="4479" spans="1:19" x14ac:dyDescent="0.35">
      <c r="A4479">
        <v>36700317400</v>
      </c>
      <c r="B4479" t="s">
        <v>3834</v>
      </c>
      <c r="C4479" t="str">
        <f>_xlfn.XLOOKUP(A4479,[1]Affiliations!$J$2:$J$5328,[1]Affiliations!$K$2:$K$5328,0)</f>
        <v>Universidade Estadual Paulista “Júlio de Mesquita Filho”</v>
      </c>
      <c r="D4479">
        <v>66</v>
      </c>
      <c r="E4479">
        <v>655</v>
      </c>
      <c r="F4479">
        <v>9.9242419999999996</v>
      </c>
      <c r="G4479">
        <v>18</v>
      </c>
      <c r="H4479">
        <v>0.64</v>
      </c>
      <c r="I4479">
        <v>0</v>
      </c>
      <c r="J4479">
        <v>11</v>
      </c>
      <c r="K4479">
        <v>15</v>
      </c>
      <c r="L4479">
        <v>27</v>
      </c>
      <c r="M4479">
        <v>34</v>
      </c>
      <c r="N4479">
        <v>38</v>
      </c>
      <c r="P4479">
        <v>0</v>
      </c>
      <c r="Q4479">
        <v>0</v>
      </c>
      <c r="R4479">
        <v>2</v>
      </c>
      <c r="S4479">
        <v>13</v>
      </c>
    </row>
    <row r="4480" spans="1:19" hidden="1" x14ac:dyDescent="0.35">
      <c r="A4480">
        <v>57201401445</v>
      </c>
      <c r="B4480" t="s">
        <v>4478</v>
      </c>
      <c r="C4480" t="str">
        <f>_xlfn.XLOOKUP(A4480,[1]Affiliations!$J$2:$J$5328,[1]Affiliations!$K$2:$K$5328,0)</f>
        <v>Universidade de São Paulo (+1 more)</v>
      </c>
      <c r="D4480">
        <v>5</v>
      </c>
      <c r="E4480">
        <v>57</v>
      </c>
      <c r="F4480">
        <v>11.4</v>
      </c>
      <c r="G4480">
        <v>3</v>
      </c>
      <c r="H4480">
        <v>0.65</v>
      </c>
      <c r="I4480">
        <v>0</v>
      </c>
      <c r="J4480">
        <v>0</v>
      </c>
      <c r="K4480">
        <v>0</v>
      </c>
      <c r="L4480">
        <v>0</v>
      </c>
      <c r="M4480">
        <v>4</v>
      </c>
      <c r="N4480">
        <v>4</v>
      </c>
      <c r="P4480">
        <v>0</v>
      </c>
      <c r="Q4480">
        <v>0</v>
      </c>
      <c r="R4480">
        <v>0</v>
      </c>
      <c r="S4480">
        <v>2</v>
      </c>
    </row>
    <row r="4481" spans="1:19" hidden="1" x14ac:dyDescent="0.35">
      <c r="A4481">
        <v>58677923100</v>
      </c>
      <c r="B4481" t="s">
        <v>4479</v>
      </c>
      <c r="C4481" t="str">
        <f>_xlfn.XLOOKUP(A4481,[1]Affiliations!$J$2:$J$5328,[1]Affiliations!$K$2:$K$5328,0)</f>
        <v>SIMWORX</v>
      </c>
      <c r="D4481">
        <v>1</v>
      </c>
      <c r="E4481">
        <v>0</v>
      </c>
      <c r="F4481">
        <v>0</v>
      </c>
      <c r="G4481">
        <v>0</v>
      </c>
      <c r="H4481">
        <v>0</v>
      </c>
      <c r="P4481">
        <v>0</v>
      </c>
      <c r="Q4481">
        <v>0</v>
      </c>
      <c r="R4481">
        <v>0</v>
      </c>
      <c r="S4481">
        <v>0</v>
      </c>
    </row>
    <row r="4482" spans="1:19" x14ac:dyDescent="0.35">
      <c r="A4482">
        <v>7004079050</v>
      </c>
      <c r="B4482" t="s">
        <v>4366</v>
      </c>
      <c r="C4482" t="str">
        <f>_xlfn.XLOOKUP(A4482,[1]Affiliations!$J$2:$J$5328,[1]Affiliations!$K$2:$K$5328,0)</f>
        <v>Universidade de São Paulo (+1 more)</v>
      </c>
      <c r="D4482">
        <v>75</v>
      </c>
      <c r="E4482">
        <v>720</v>
      </c>
      <c r="F4482">
        <v>9.6</v>
      </c>
      <c r="G4482">
        <v>27</v>
      </c>
      <c r="H4482">
        <v>0.64</v>
      </c>
      <c r="I4482">
        <v>0</v>
      </c>
      <c r="J4482">
        <v>2</v>
      </c>
      <c r="K4482">
        <v>10</v>
      </c>
      <c r="L4482">
        <v>33</v>
      </c>
      <c r="M4482">
        <v>38</v>
      </c>
      <c r="N4482">
        <v>51</v>
      </c>
      <c r="P4482">
        <v>0</v>
      </c>
      <c r="Q4482">
        <v>0</v>
      </c>
      <c r="R4482">
        <v>2</v>
      </c>
      <c r="S4482">
        <v>10</v>
      </c>
    </row>
    <row r="4483" spans="1:19" x14ac:dyDescent="0.35">
      <c r="A4483">
        <v>39362327200</v>
      </c>
      <c r="B4483" t="s">
        <v>4558</v>
      </c>
      <c r="C4483" t="str">
        <f>_xlfn.XLOOKUP(A4483,[1]Affiliations!$J$2:$J$5328,[1]Affiliations!$K$2:$K$5328,0)</f>
        <v>Universidade de São Paulo (+1 more)</v>
      </c>
      <c r="D4483">
        <v>29</v>
      </c>
      <c r="E4483">
        <v>167</v>
      </c>
      <c r="F4483">
        <v>5.7586206999999998</v>
      </c>
      <c r="G4483">
        <v>7</v>
      </c>
      <c r="H4483">
        <v>0.64</v>
      </c>
      <c r="I4483">
        <v>0</v>
      </c>
      <c r="J4483">
        <v>2</v>
      </c>
      <c r="K4483">
        <v>2</v>
      </c>
      <c r="L4483">
        <v>5</v>
      </c>
      <c r="M4483">
        <v>6</v>
      </c>
      <c r="N4483">
        <v>13</v>
      </c>
      <c r="P4483">
        <v>0</v>
      </c>
      <c r="Q4483">
        <v>0</v>
      </c>
      <c r="R4483">
        <v>1</v>
      </c>
      <c r="S4483">
        <v>3</v>
      </c>
    </row>
    <row r="4484" spans="1:19" hidden="1" x14ac:dyDescent="0.35">
      <c r="A4484">
        <v>57843418100</v>
      </c>
      <c r="B4484" t="s">
        <v>4482</v>
      </c>
      <c r="C4484" t="str">
        <f>_xlfn.XLOOKUP(A4484,[1]Affiliations!$J$2:$J$5328,[1]Affiliations!$K$2:$K$5328,0)</f>
        <v>Federal University of Rio de Janeiro</v>
      </c>
      <c r="D4484">
        <v>1</v>
      </c>
      <c r="E4484">
        <v>7</v>
      </c>
      <c r="F4484">
        <v>7</v>
      </c>
      <c r="G4484">
        <v>1</v>
      </c>
      <c r="H4484">
        <v>0.12</v>
      </c>
      <c r="I4484">
        <v>0</v>
      </c>
      <c r="J4484">
        <v>0</v>
      </c>
      <c r="K4484">
        <v>0</v>
      </c>
      <c r="L4484">
        <v>1</v>
      </c>
      <c r="M4484">
        <v>1</v>
      </c>
      <c r="N4484">
        <v>1</v>
      </c>
      <c r="P4484">
        <v>0</v>
      </c>
      <c r="Q4484">
        <v>0</v>
      </c>
      <c r="R4484">
        <v>0</v>
      </c>
      <c r="S4484">
        <v>0</v>
      </c>
    </row>
    <row r="4485" spans="1:19" x14ac:dyDescent="0.35">
      <c r="A4485">
        <v>6701555098</v>
      </c>
      <c r="B4485" t="s">
        <v>214</v>
      </c>
      <c r="C4485" t="str">
        <f>_xlfn.XLOOKUP(A4485,[1]Affiliations!$J$2:$J$5328,[1]Affiliations!$K$2:$K$5328,0)</f>
        <v>Instituto de Química (+1 more)</v>
      </c>
      <c r="D4485">
        <v>53</v>
      </c>
      <c r="E4485">
        <v>704</v>
      </c>
      <c r="F4485">
        <v>13.283018999999999</v>
      </c>
      <c r="G4485">
        <v>35</v>
      </c>
      <c r="H4485">
        <v>0.63</v>
      </c>
      <c r="I4485">
        <v>0</v>
      </c>
      <c r="J4485">
        <v>2</v>
      </c>
      <c r="K4485">
        <v>7</v>
      </c>
      <c r="L4485">
        <v>30</v>
      </c>
      <c r="M4485">
        <v>47</v>
      </c>
      <c r="N4485">
        <v>51</v>
      </c>
      <c r="P4485">
        <v>0</v>
      </c>
      <c r="Q4485">
        <v>0</v>
      </c>
      <c r="R4485">
        <v>1</v>
      </c>
      <c r="S4485">
        <v>12</v>
      </c>
    </row>
    <row r="4486" spans="1:19" hidden="1" x14ac:dyDescent="0.35">
      <c r="A4486">
        <v>32868178300</v>
      </c>
      <c r="B4486" t="s">
        <v>4484</v>
      </c>
      <c r="C4486" t="str">
        <f>_xlfn.XLOOKUP(A4486,[1]Affiliations!$J$2:$J$5328,[1]Affiliations!$K$2:$K$5328,0)</f>
        <v>Universidade Federal Fluminense</v>
      </c>
      <c r="D4486">
        <v>1</v>
      </c>
      <c r="E4486">
        <v>5</v>
      </c>
      <c r="F4486">
        <v>5</v>
      </c>
      <c r="G4486">
        <v>3</v>
      </c>
      <c r="H4486">
        <v>0.28999999999999998</v>
      </c>
      <c r="I4486">
        <v>0</v>
      </c>
      <c r="J4486">
        <v>0</v>
      </c>
      <c r="K4486">
        <v>0</v>
      </c>
      <c r="L4486">
        <v>1</v>
      </c>
      <c r="M4486">
        <v>1</v>
      </c>
      <c r="N4486">
        <v>1</v>
      </c>
      <c r="P4486">
        <v>0</v>
      </c>
      <c r="Q4486">
        <v>0</v>
      </c>
      <c r="R4486">
        <v>0</v>
      </c>
      <c r="S4486">
        <v>0</v>
      </c>
    </row>
    <row r="4487" spans="1:19" hidden="1" x14ac:dyDescent="0.35">
      <c r="A4487">
        <v>57221100282</v>
      </c>
      <c r="B4487" t="s">
        <v>4485</v>
      </c>
      <c r="C4487" t="str">
        <f>_xlfn.XLOOKUP(A4487,[1]Affiliations!$J$2:$J$5328,[1]Affiliations!$K$2:$K$5328,0)</f>
        <v>Federal University of Rio de Janeiro (+1 more)</v>
      </c>
      <c r="D4487">
        <v>8</v>
      </c>
      <c r="E4487">
        <v>53</v>
      </c>
      <c r="F4487">
        <v>6.625</v>
      </c>
      <c r="G4487">
        <v>4</v>
      </c>
      <c r="H4487">
        <v>0.45</v>
      </c>
      <c r="I4487">
        <v>0</v>
      </c>
      <c r="J4487">
        <v>4</v>
      </c>
      <c r="K4487">
        <v>5</v>
      </c>
      <c r="L4487">
        <v>6</v>
      </c>
      <c r="M4487">
        <v>6</v>
      </c>
      <c r="N4487">
        <v>6</v>
      </c>
      <c r="P4487">
        <v>0</v>
      </c>
      <c r="Q4487">
        <v>0</v>
      </c>
      <c r="R4487">
        <v>0</v>
      </c>
      <c r="S4487">
        <v>1</v>
      </c>
    </row>
    <row r="4488" spans="1:19" x14ac:dyDescent="0.35">
      <c r="A4488">
        <v>11540315000</v>
      </c>
      <c r="B4488" t="s">
        <v>929</v>
      </c>
      <c r="C4488" t="str">
        <f>_xlfn.XLOOKUP(A4488,[1]Affiliations!$J$2:$J$5328,[1]Affiliations!$K$2:$K$5328,0)</f>
        <v>Universidade Federal do Piauí</v>
      </c>
      <c r="D4488">
        <v>34</v>
      </c>
      <c r="E4488">
        <v>487</v>
      </c>
      <c r="F4488">
        <v>14.323529000000001</v>
      </c>
      <c r="G4488">
        <v>24</v>
      </c>
      <c r="H4488">
        <v>0.63</v>
      </c>
      <c r="I4488">
        <v>0</v>
      </c>
      <c r="J4488">
        <v>0</v>
      </c>
      <c r="K4488">
        <v>3</v>
      </c>
      <c r="L4488">
        <v>9</v>
      </c>
      <c r="M4488">
        <v>24</v>
      </c>
      <c r="N4488">
        <v>32</v>
      </c>
      <c r="P4488">
        <v>0</v>
      </c>
      <c r="Q4488">
        <v>0</v>
      </c>
      <c r="R4488">
        <v>2</v>
      </c>
      <c r="S4488">
        <v>8</v>
      </c>
    </row>
    <row r="4489" spans="1:19" hidden="1" x14ac:dyDescent="0.35">
      <c r="A4489">
        <v>57193064242</v>
      </c>
      <c r="B4489" t="s">
        <v>4487</v>
      </c>
      <c r="C4489" t="str">
        <f>_xlfn.XLOOKUP(A4489,[1]Affiliations!$J$2:$J$5328,[1]Affiliations!$K$2:$K$5328,0)</f>
        <v>Universidade Tecnológica Federal do Paraná (+1 more)</v>
      </c>
      <c r="D4489">
        <v>14</v>
      </c>
      <c r="E4489">
        <v>96</v>
      </c>
      <c r="F4489">
        <v>6.8571429999999998</v>
      </c>
      <c r="G4489">
        <v>5</v>
      </c>
      <c r="H4489">
        <v>0.62</v>
      </c>
      <c r="I4489">
        <v>0</v>
      </c>
      <c r="J4489">
        <v>0</v>
      </c>
      <c r="K4489">
        <v>1</v>
      </c>
      <c r="L4489">
        <v>5</v>
      </c>
      <c r="M4489">
        <v>5</v>
      </c>
      <c r="N4489">
        <v>7</v>
      </c>
      <c r="P4489">
        <v>0</v>
      </c>
      <c r="Q4489">
        <v>0</v>
      </c>
      <c r="R4489">
        <v>0</v>
      </c>
      <c r="S4489">
        <v>1</v>
      </c>
    </row>
    <row r="4490" spans="1:19" hidden="1" x14ac:dyDescent="0.35">
      <c r="A4490">
        <v>20434807900</v>
      </c>
      <c r="B4490" t="s">
        <v>4488</v>
      </c>
      <c r="C4490" t="str">
        <f>_xlfn.XLOOKUP(A4490,[1]Affiliations!$J$2:$J$5328,[1]Affiliations!$K$2:$K$5328,0)</f>
        <v>SENAI Innovation Institute of Green Chemistry</v>
      </c>
      <c r="D4490">
        <v>19</v>
      </c>
      <c r="E4490">
        <v>43</v>
      </c>
      <c r="F4490">
        <v>2.2631578000000001</v>
      </c>
      <c r="G4490">
        <v>5</v>
      </c>
      <c r="H4490">
        <v>0.23</v>
      </c>
      <c r="I4490">
        <v>0</v>
      </c>
      <c r="J4490">
        <v>0</v>
      </c>
      <c r="K4490">
        <v>1</v>
      </c>
      <c r="L4490">
        <v>4</v>
      </c>
      <c r="M4490">
        <v>13</v>
      </c>
      <c r="N4490">
        <v>17</v>
      </c>
      <c r="P4490">
        <v>0</v>
      </c>
      <c r="Q4490">
        <v>0</v>
      </c>
      <c r="R4490">
        <v>0</v>
      </c>
      <c r="S4490">
        <v>0</v>
      </c>
    </row>
    <row r="4491" spans="1:19" hidden="1" x14ac:dyDescent="0.35">
      <c r="A4491">
        <v>59234804900</v>
      </c>
      <c r="B4491" t="s">
        <v>4489</v>
      </c>
      <c r="C4491" t="str">
        <f>_xlfn.XLOOKUP(A4491,[1]Affiliations!$J$2:$J$5328,[1]Affiliations!$K$2:$K$5328,0)</f>
        <v>Universidade Federal do Espírito Santo</v>
      </c>
      <c r="D4491">
        <v>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1</v>
      </c>
      <c r="M4491">
        <v>1</v>
      </c>
      <c r="N4491">
        <v>1</v>
      </c>
      <c r="P4491">
        <v>0</v>
      </c>
      <c r="Q4491">
        <v>0</v>
      </c>
      <c r="R4491">
        <v>0</v>
      </c>
      <c r="S4491">
        <v>0</v>
      </c>
    </row>
    <row r="4492" spans="1:19" x14ac:dyDescent="0.35">
      <c r="A4492">
        <v>57204790284</v>
      </c>
      <c r="B4492" t="s">
        <v>1415</v>
      </c>
      <c r="C4492">
        <f>_xlfn.XLOOKUP(A4492,[1]Affiliations!$J$2:$J$5328,[1]Affiliations!$K$2:$K$5328,0)</f>
        <v>0</v>
      </c>
      <c r="D4492">
        <v>37</v>
      </c>
      <c r="E4492">
        <v>511</v>
      </c>
      <c r="F4492">
        <v>13.810810999999999</v>
      </c>
      <c r="G4492">
        <v>15</v>
      </c>
      <c r="H4492">
        <v>0.63</v>
      </c>
      <c r="I4492">
        <v>0</v>
      </c>
      <c r="J4492">
        <v>6</v>
      </c>
      <c r="K4492">
        <v>6</v>
      </c>
      <c r="L4492">
        <v>22</v>
      </c>
      <c r="M4492">
        <v>29</v>
      </c>
      <c r="N4492">
        <v>32</v>
      </c>
      <c r="P4492">
        <v>0</v>
      </c>
      <c r="Q4492">
        <v>1</v>
      </c>
      <c r="R4492">
        <v>4</v>
      </c>
      <c r="S4492">
        <v>7</v>
      </c>
    </row>
    <row r="4493" spans="1:19" hidden="1" x14ac:dyDescent="0.35">
      <c r="A4493">
        <v>57194452160</v>
      </c>
      <c r="B4493" t="s">
        <v>4491</v>
      </c>
      <c r="C4493" t="str">
        <f>_xlfn.XLOOKUP(A4493,[1]Affiliations!$J$2:$J$5328,[1]Affiliations!$K$2:$K$5328,0)</f>
        <v>University of Campinas</v>
      </c>
      <c r="D4493">
        <v>7</v>
      </c>
      <c r="E4493">
        <v>74</v>
      </c>
      <c r="F4493">
        <v>10.571427999999999</v>
      </c>
      <c r="G4493">
        <v>5</v>
      </c>
      <c r="H4493">
        <v>1.66</v>
      </c>
      <c r="I4493">
        <v>0</v>
      </c>
      <c r="J4493">
        <v>2</v>
      </c>
      <c r="K4493">
        <v>2</v>
      </c>
      <c r="L4493">
        <v>2</v>
      </c>
      <c r="M4493">
        <v>3</v>
      </c>
      <c r="N4493">
        <v>4</v>
      </c>
      <c r="P4493">
        <v>0</v>
      </c>
      <c r="Q4493">
        <v>0</v>
      </c>
      <c r="R4493">
        <v>0</v>
      </c>
      <c r="S4493">
        <v>2</v>
      </c>
    </row>
    <row r="4494" spans="1:19" hidden="1" x14ac:dyDescent="0.35">
      <c r="A4494">
        <v>57199986535</v>
      </c>
      <c r="B4494" t="s">
        <v>4492</v>
      </c>
      <c r="C4494" t="str">
        <f>_xlfn.XLOOKUP(A4494,[1]Affiliations!$J$2:$J$5328,[1]Affiliations!$K$2:$K$5328,0)</f>
        <v>UniversidadeFederal de Alagoas (+1 more)</v>
      </c>
      <c r="D4494">
        <v>8</v>
      </c>
      <c r="E4494">
        <v>23</v>
      </c>
      <c r="F4494">
        <v>2.875</v>
      </c>
      <c r="G4494">
        <v>3</v>
      </c>
      <c r="H4494">
        <v>0.23</v>
      </c>
      <c r="I4494">
        <v>0</v>
      </c>
      <c r="J4494">
        <v>0</v>
      </c>
      <c r="K4494">
        <v>0</v>
      </c>
      <c r="L4494">
        <v>2</v>
      </c>
      <c r="M4494">
        <v>3</v>
      </c>
      <c r="N4494">
        <v>4</v>
      </c>
      <c r="P4494">
        <v>0</v>
      </c>
      <c r="Q4494">
        <v>0</v>
      </c>
      <c r="R4494">
        <v>0</v>
      </c>
      <c r="S4494">
        <v>0</v>
      </c>
    </row>
    <row r="4495" spans="1:19" x14ac:dyDescent="0.35">
      <c r="A4495">
        <v>35577636800</v>
      </c>
      <c r="B4495" t="s">
        <v>1811</v>
      </c>
      <c r="C4495" t="str">
        <f>_xlfn.XLOOKUP(A4495,[1]Affiliations!$J$2:$J$5328,[1]Affiliations!$K$2:$K$5328,0)</f>
        <v>University of Campinas</v>
      </c>
      <c r="D4495">
        <v>51</v>
      </c>
      <c r="E4495">
        <v>496</v>
      </c>
      <c r="F4495">
        <v>9.7254909999999999</v>
      </c>
      <c r="G4495">
        <v>15</v>
      </c>
      <c r="H4495">
        <v>0.63</v>
      </c>
      <c r="I4495">
        <v>0</v>
      </c>
      <c r="J4495">
        <v>11</v>
      </c>
      <c r="K4495">
        <v>21</v>
      </c>
      <c r="L4495">
        <v>36</v>
      </c>
      <c r="M4495">
        <v>43</v>
      </c>
      <c r="N4495">
        <v>45</v>
      </c>
      <c r="P4495">
        <v>0</v>
      </c>
      <c r="Q4495">
        <v>1</v>
      </c>
      <c r="R4495">
        <v>1</v>
      </c>
      <c r="S4495">
        <v>7</v>
      </c>
    </row>
    <row r="4496" spans="1:19" hidden="1" x14ac:dyDescent="0.35">
      <c r="A4496">
        <v>59548430400</v>
      </c>
      <c r="B4496" t="s">
        <v>4494</v>
      </c>
      <c r="C4496" t="str">
        <f>_xlfn.XLOOKUP(A4496,[1]Affiliations!$J$2:$J$5328,[1]Affiliations!$K$2:$K$5328,0)</f>
        <v>Universidade Federal da Paraíba</v>
      </c>
      <c r="D4496">
        <v>0</v>
      </c>
      <c r="G4496">
        <v>1</v>
      </c>
    </row>
    <row r="4497" spans="1:19" hidden="1" x14ac:dyDescent="0.35">
      <c r="A4497">
        <v>59158049200</v>
      </c>
      <c r="B4497" t="s">
        <v>4495</v>
      </c>
      <c r="C4497" t="str">
        <f>_xlfn.XLOOKUP(A4497,[1]Affiliations!$J$2:$J$5328,[1]Affiliations!$K$2:$K$5328,0)</f>
        <v>Universidade de São Paulo</v>
      </c>
      <c r="D4497">
        <v>20</v>
      </c>
      <c r="E4497">
        <v>38</v>
      </c>
      <c r="F4497">
        <v>1.9</v>
      </c>
      <c r="G4497">
        <v>3</v>
      </c>
      <c r="H4497">
        <v>0.49</v>
      </c>
      <c r="I4497">
        <v>0</v>
      </c>
      <c r="J4497">
        <v>0</v>
      </c>
      <c r="K4497">
        <v>0</v>
      </c>
      <c r="L4497">
        <v>1</v>
      </c>
      <c r="M4497">
        <v>4</v>
      </c>
      <c r="N4497">
        <v>8</v>
      </c>
      <c r="P4497">
        <v>0</v>
      </c>
      <c r="Q4497">
        <v>0</v>
      </c>
      <c r="R4497">
        <v>0</v>
      </c>
      <c r="S4497">
        <v>0</v>
      </c>
    </row>
    <row r="4498" spans="1:19" hidden="1" x14ac:dyDescent="0.35">
      <c r="A4498">
        <v>57210642731</v>
      </c>
      <c r="B4498" t="s">
        <v>4496</v>
      </c>
      <c r="C4498" t="str">
        <f>_xlfn.XLOOKUP(A4498,[1]Affiliations!$J$2:$J$5328,[1]Affiliations!$K$2:$K$5328,0)</f>
        <v>Pontifícia Universidade Católica do Rio Grande do Sul</v>
      </c>
      <c r="D4498">
        <v>11</v>
      </c>
      <c r="E4498">
        <v>88</v>
      </c>
      <c r="F4498">
        <v>8</v>
      </c>
      <c r="G4498">
        <v>5</v>
      </c>
      <c r="H4498">
        <v>1.32</v>
      </c>
      <c r="I4498">
        <v>0</v>
      </c>
      <c r="J4498">
        <v>0</v>
      </c>
      <c r="K4498">
        <v>0</v>
      </c>
      <c r="L4498">
        <v>0</v>
      </c>
      <c r="M4498">
        <v>2</v>
      </c>
      <c r="N4498">
        <v>4</v>
      </c>
      <c r="P4498">
        <v>0</v>
      </c>
      <c r="Q4498">
        <v>0</v>
      </c>
      <c r="R4498">
        <v>0</v>
      </c>
      <c r="S4498">
        <v>2</v>
      </c>
    </row>
    <row r="4499" spans="1:19" hidden="1" x14ac:dyDescent="0.35">
      <c r="A4499">
        <v>57671324000</v>
      </c>
      <c r="B4499" t="s">
        <v>4497</v>
      </c>
      <c r="C4499" t="str">
        <f>_xlfn.XLOOKUP(A4499,[1]Affiliations!$J$2:$J$5328,[1]Affiliations!$K$2:$K$5328,0)</f>
        <v>Universidade Federal de Minas Gerais</v>
      </c>
      <c r="D4499">
        <v>1</v>
      </c>
      <c r="E4499">
        <v>4</v>
      </c>
      <c r="F4499">
        <v>4</v>
      </c>
      <c r="G4499">
        <v>1</v>
      </c>
      <c r="H4499">
        <v>0.22</v>
      </c>
      <c r="I4499">
        <v>0</v>
      </c>
      <c r="J4499">
        <v>0</v>
      </c>
      <c r="K4499">
        <v>0</v>
      </c>
      <c r="L4499">
        <v>0</v>
      </c>
      <c r="M4499">
        <v>1</v>
      </c>
      <c r="N4499">
        <v>1</v>
      </c>
      <c r="P4499">
        <v>0</v>
      </c>
      <c r="Q4499">
        <v>0</v>
      </c>
      <c r="R4499">
        <v>0</v>
      </c>
      <c r="S4499">
        <v>0</v>
      </c>
    </row>
    <row r="4500" spans="1:19" hidden="1" x14ac:dyDescent="0.35">
      <c r="A4500">
        <v>57210527839</v>
      </c>
      <c r="B4500" t="s">
        <v>4498</v>
      </c>
      <c r="C4500" t="str">
        <f>_xlfn.XLOOKUP(A4500,[1]Affiliations!$J$2:$J$5328,[1]Affiliations!$K$2:$K$5328,0)</f>
        <v>Universidade Federal de Viçosa</v>
      </c>
      <c r="D4500">
        <v>2</v>
      </c>
      <c r="E4500">
        <v>40</v>
      </c>
      <c r="F4500">
        <v>20</v>
      </c>
      <c r="G4500">
        <v>2</v>
      </c>
      <c r="H4500">
        <v>0.8</v>
      </c>
      <c r="I4500">
        <v>0</v>
      </c>
      <c r="J4500">
        <v>1</v>
      </c>
      <c r="K4500">
        <v>1</v>
      </c>
      <c r="L4500">
        <v>2</v>
      </c>
      <c r="M4500">
        <v>2</v>
      </c>
      <c r="N4500">
        <v>2</v>
      </c>
      <c r="P4500">
        <v>0</v>
      </c>
      <c r="Q4500">
        <v>0</v>
      </c>
      <c r="R4500">
        <v>0</v>
      </c>
      <c r="S4500">
        <v>2</v>
      </c>
    </row>
    <row r="4501" spans="1:19" x14ac:dyDescent="0.35">
      <c r="A4501">
        <v>55635783600</v>
      </c>
      <c r="B4501" t="s">
        <v>2179</v>
      </c>
      <c r="C4501" t="str">
        <f>_xlfn.XLOOKUP(A4501,[1]Affiliations!$J$2:$J$5328,[1]Affiliations!$K$2:$K$5328,0)</f>
        <v>Federal University of Rio de Janeiro</v>
      </c>
      <c r="D4501">
        <v>29</v>
      </c>
      <c r="E4501">
        <v>251</v>
      </c>
      <c r="F4501">
        <v>8.6551720000000003</v>
      </c>
      <c r="G4501">
        <v>12</v>
      </c>
      <c r="H4501">
        <v>0.63</v>
      </c>
      <c r="I4501">
        <v>0</v>
      </c>
      <c r="J4501">
        <v>5</v>
      </c>
      <c r="K4501">
        <v>8</v>
      </c>
      <c r="L4501">
        <v>17</v>
      </c>
      <c r="M4501">
        <v>20</v>
      </c>
      <c r="N4501">
        <v>22</v>
      </c>
      <c r="P4501">
        <v>0</v>
      </c>
      <c r="Q4501">
        <v>1</v>
      </c>
      <c r="R4501">
        <v>2</v>
      </c>
      <c r="S4501">
        <v>7</v>
      </c>
    </row>
    <row r="4502" spans="1:19" x14ac:dyDescent="0.35">
      <c r="A4502">
        <v>16315641300</v>
      </c>
      <c r="B4502" t="s">
        <v>2301</v>
      </c>
      <c r="C4502" t="str">
        <f>_xlfn.XLOOKUP(A4502,[1]Affiliations!$J$2:$J$5328,[1]Affiliations!$K$2:$K$5328,0)</f>
        <v>Universidade Federal Fluminense (+2 more)</v>
      </c>
      <c r="D4502">
        <v>26</v>
      </c>
      <c r="E4502">
        <v>248</v>
      </c>
      <c r="F4502">
        <v>9.5384620000000009</v>
      </c>
      <c r="G4502">
        <v>9</v>
      </c>
      <c r="H4502">
        <v>0.63</v>
      </c>
      <c r="I4502">
        <v>0</v>
      </c>
      <c r="J4502">
        <v>3</v>
      </c>
      <c r="K4502">
        <v>8</v>
      </c>
      <c r="L4502">
        <v>12</v>
      </c>
      <c r="M4502">
        <v>17</v>
      </c>
      <c r="N4502">
        <v>17</v>
      </c>
      <c r="P4502">
        <v>0</v>
      </c>
      <c r="Q4502">
        <v>0</v>
      </c>
      <c r="R4502">
        <v>1</v>
      </c>
      <c r="S4502">
        <v>5</v>
      </c>
    </row>
    <row r="4503" spans="1:19" hidden="1" x14ac:dyDescent="0.35">
      <c r="A4503">
        <v>57214914685</v>
      </c>
      <c r="B4503" t="s">
        <v>4501</v>
      </c>
      <c r="C4503" t="str">
        <f>_xlfn.XLOOKUP(A4503,[1]Affiliations!$J$2:$J$5328,[1]Affiliations!$K$2:$K$5328,0)</f>
        <v>Pontifical Catholic University of Rio de Janeiro</v>
      </c>
      <c r="D4503">
        <v>7</v>
      </c>
      <c r="E4503">
        <v>22</v>
      </c>
      <c r="F4503">
        <v>3.1428569999999998</v>
      </c>
      <c r="G4503">
        <v>3</v>
      </c>
      <c r="H4503">
        <v>1.5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P4503">
        <v>0</v>
      </c>
      <c r="Q4503">
        <v>0</v>
      </c>
      <c r="R4503">
        <v>0</v>
      </c>
      <c r="S4503">
        <v>0</v>
      </c>
    </row>
    <row r="4504" spans="1:19" x14ac:dyDescent="0.35">
      <c r="A4504">
        <v>34770571800</v>
      </c>
      <c r="B4504" t="s">
        <v>2488</v>
      </c>
      <c r="C4504" t="str">
        <f>_xlfn.XLOOKUP(A4504,[1]Affiliations!$J$2:$J$5328,[1]Affiliations!$K$2:$K$5328,0)</f>
        <v>Federal University of Rio de Janeiro</v>
      </c>
      <c r="D4504">
        <v>16</v>
      </c>
      <c r="E4504">
        <v>364</v>
      </c>
      <c r="F4504">
        <v>22.75</v>
      </c>
      <c r="G4504">
        <v>13</v>
      </c>
      <c r="H4504">
        <v>0.63</v>
      </c>
      <c r="I4504">
        <v>0</v>
      </c>
      <c r="J4504">
        <v>2</v>
      </c>
      <c r="K4504">
        <v>4</v>
      </c>
      <c r="L4504">
        <v>9</v>
      </c>
      <c r="M4504">
        <v>11</v>
      </c>
      <c r="N4504">
        <v>13</v>
      </c>
      <c r="P4504">
        <v>0</v>
      </c>
      <c r="Q4504">
        <v>1</v>
      </c>
      <c r="R4504">
        <v>3</v>
      </c>
      <c r="S4504">
        <v>4</v>
      </c>
    </row>
    <row r="4505" spans="1:19" x14ac:dyDescent="0.35">
      <c r="A4505">
        <v>7006826636</v>
      </c>
      <c r="B4505" t="s">
        <v>2648</v>
      </c>
      <c r="C4505" t="str">
        <f>_xlfn.XLOOKUP(A4505,[1]Affiliations!$J$2:$J$5328,[1]Affiliations!$K$2:$K$5328,0)</f>
        <v>Universidade Federal de Juiz de Fora</v>
      </c>
      <c r="D4505">
        <v>20</v>
      </c>
      <c r="E4505">
        <v>274</v>
      </c>
      <c r="F4505">
        <v>13.7</v>
      </c>
      <c r="G4505">
        <v>20</v>
      </c>
      <c r="H4505">
        <v>0.63</v>
      </c>
      <c r="I4505">
        <v>0</v>
      </c>
      <c r="J4505">
        <v>1</v>
      </c>
      <c r="K4505">
        <v>3</v>
      </c>
      <c r="L4505">
        <v>9</v>
      </c>
      <c r="M4505">
        <v>14</v>
      </c>
      <c r="N4505">
        <v>20</v>
      </c>
      <c r="P4505">
        <v>0</v>
      </c>
      <c r="Q4505">
        <v>0</v>
      </c>
      <c r="R4505">
        <v>2</v>
      </c>
      <c r="S4505">
        <v>6</v>
      </c>
    </row>
    <row r="4506" spans="1:19" hidden="1" x14ac:dyDescent="0.35">
      <c r="A4506">
        <v>57224519421</v>
      </c>
      <c r="B4506" t="s">
        <v>4504</v>
      </c>
      <c r="C4506" t="str">
        <f>_xlfn.XLOOKUP(A4506,[1]Affiliations!$J$2:$J$5328,[1]Affiliations!$K$2:$K$5328,0)</f>
        <v>Universidade Federal de São João del-Rei (+1 more)</v>
      </c>
      <c r="D4506">
        <v>5</v>
      </c>
      <c r="E4506">
        <v>8</v>
      </c>
      <c r="F4506">
        <v>1.6</v>
      </c>
      <c r="G4506">
        <v>1</v>
      </c>
      <c r="H4506">
        <v>0.64</v>
      </c>
      <c r="I4506">
        <v>0</v>
      </c>
      <c r="J4506">
        <v>0</v>
      </c>
      <c r="K4506">
        <v>0</v>
      </c>
      <c r="L4506">
        <v>1</v>
      </c>
      <c r="M4506">
        <v>1</v>
      </c>
      <c r="N4506">
        <v>3</v>
      </c>
      <c r="P4506">
        <v>0</v>
      </c>
      <c r="Q4506">
        <v>0</v>
      </c>
      <c r="R4506">
        <v>0</v>
      </c>
      <c r="S4506">
        <v>0</v>
      </c>
    </row>
    <row r="4507" spans="1:19" hidden="1" x14ac:dyDescent="0.35">
      <c r="A4507">
        <v>57202763834</v>
      </c>
      <c r="B4507" t="s">
        <v>4505</v>
      </c>
      <c r="C4507" t="str">
        <f>_xlfn.XLOOKUP(A4507,[1]Affiliations!$J$2:$J$5328,[1]Affiliations!$K$2:$K$5328,0)</f>
        <v>Pontifical Catholic University of Rio de Janeiro</v>
      </c>
      <c r="D4507">
        <v>2</v>
      </c>
      <c r="E4507">
        <v>10</v>
      </c>
      <c r="F4507">
        <v>5</v>
      </c>
      <c r="G4507">
        <v>2</v>
      </c>
      <c r="H4507">
        <v>1.49</v>
      </c>
      <c r="I4507">
        <v>0</v>
      </c>
      <c r="J4507">
        <v>0</v>
      </c>
      <c r="K4507">
        <v>0</v>
      </c>
      <c r="L4507">
        <v>1</v>
      </c>
      <c r="M4507">
        <v>1</v>
      </c>
      <c r="N4507">
        <v>1</v>
      </c>
      <c r="P4507">
        <v>0</v>
      </c>
      <c r="Q4507">
        <v>0</v>
      </c>
      <c r="R4507">
        <v>0</v>
      </c>
      <c r="S4507">
        <v>0</v>
      </c>
    </row>
    <row r="4508" spans="1:19" hidden="1" x14ac:dyDescent="0.35">
      <c r="A4508">
        <v>59299639600</v>
      </c>
      <c r="B4508" t="s">
        <v>4506</v>
      </c>
      <c r="C4508" t="str">
        <f>_xlfn.XLOOKUP(A4508,[1]Affiliations!$J$2:$J$5328,[1]Affiliations!$K$2:$K$5328,0)</f>
        <v>Universidade do Estado do Rio de Janeiro</v>
      </c>
      <c r="D4508">
        <v>0</v>
      </c>
      <c r="G4508">
        <v>1</v>
      </c>
    </row>
    <row r="4509" spans="1:19" hidden="1" x14ac:dyDescent="0.35">
      <c r="A4509">
        <v>57200640556</v>
      </c>
      <c r="B4509" t="s">
        <v>4507</v>
      </c>
      <c r="C4509" t="str">
        <f>_xlfn.XLOOKUP(A4509,[1]Affiliations!$J$2:$J$5328,[1]Affiliations!$K$2:$K$5328,0)</f>
        <v>Universidade Federal da Paraíba</v>
      </c>
      <c r="D4509">
        <v>16</v>
      </c>
      <c r="E4509">
        <v>124</v>
      </c>
      <c r="F4509">
        <v>7.75</v>
      </c>
      <c r="G4509">
        <v>7</v>
      </c>
      <c r="H4509">
        <v>0.4</v>
      </c>
      <c r="I4509">
        <v>0</v>
      </c>
      <c r="J4509">
        <v>1</v>
      </c>
      <c r="K4509">
        <v>3</v>
      </c>
      <c r="L4509">
        <v>11</v>
      </c>
      <c r="M4509">
        <v>12</v>
      </c>
      <c r="N4509">
        <v>13</v>
      </c>
      <c r="P4509">
        <v>0</v>
      </c>
      <c r="Q4509">
        <v>0</v>
      </c>
      <c r="R4509">
        <v>0</v>
      </c>
      <c r="S4509">
        <v>2</v>
      </c>
    </row>
    <row r="4510" spans="1:19" hidden="1" x14ac:dyDescent="0.35">
      <c r="A4510">
        <v>57217474320</v>
      </c>
      <c r="B4510" t="s">
        <v>4508</v>
      </c>
      <c r="C4510" t="str">
        <f>_xlfn.XLOOKUP(A4510,[1]Affiliations!$J$2:$J$5328,[1]Affiliations!$K$2:$K$5328,0)</f>
        <v>Empresa Brasileira de Pesquisa Agropecuária</v>
      </c>
      <c r="D4510">
        <v>3</v>
      </c>
      <c r="E4510">
        <v>28</v>
      </c>
      <c r="F4510">
        <v>9.3333329999999997</v>
      </c>
      <c r="G4510">
        <v>3</v>
      </c>
      <c r="H4510">
        <v>0.43</v>
      </c>
      <c r="I4510">
        <v>0</v>
      </c>
      <c r="J4510">
        <v>0</v>
      </c>
      <c r="K4510">
        <v>1</v>
      </c>
      <c r="L4510">
        <v>1</v>
      </c>
      <c r="M4510">
        <v>1</v>
      </c>
      <c r="N4510">
        <v>3</v>
      </c>
      <c r="P4510">
        <v>0</v>
      </c>
      <c r="Q4510">
        <v>0</v>
      </c>
      <c r="R4510">
        <v>0</v>
      </c>
      <c r="S4510">
        <v>1</v>
      </c>
    </row>
    <row r="4511" spans="1:19" x14ac:dyDescent="0.35">
      <c r="A4511">
        <v>8752692700</v>
      </c>
      <c r="B4511" t="s">
        <v>2743</v>
      </c>
      <c r="C4511" t="str">
        <f>_xlfn.XLOOKUP(A4511,[1]Affiliations!$J$2:$J$5328,[1]Affiliations!$K$2:$K$5328,0)</f>
        <v>DEMa</v>
      </c>
      <c r="D4511">
        <v>32</v>
      </c>
      <c r="E4511">
        <v>558</v>
      </c>
      <c r="F4511">
        <v>17.4375</v>
      </c>
      <c r="G4511">
        <v>18</v>
      </c>
      <c r="H4511">
        <v>0.63</v>
      </c>
      <c r="I4511">
        <v>0</v>
      </c>
      <c r="J4511">
        <v>0</v>
      </c>
      <c r="K4511">
        <v>5</v>
      </c>
      <c r="L4511">
        <v>10</v>
      </c>
      <c r="M4511">
        <v>18</v>
      </c>
      <c r="N4511">
        <v>24</v>
      </c>
      <c r="P4511">
        <v>0</v>
      </c>
      <c r="Q4511">
        <v>0</v>
      </c>
      <c r="R4511">
        <v>2</v>
      </c>
      <c r="S4511">
        <v>10</v>
      </c>
    </row>
    <row r="4512" spans="1:19" hidden="1" x14ac:dyDescent="0.35">
      <c r="A4512">
        <v>59234433800</v>
      </c>
      <c r="B4512" t="s">
        <v>4510</v>
      </c>
      <c r="C4512" t="str">
        <f>_xlfn.XLOOKUP(A4512,[1]Affiliations!$J$2:$J$5328,[1]Affiliations!$K$2:$K$5328,0)</f>
        <v>Federal University of Pará</v>
      </c>
      <c r="D4512">
        <v>1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1</v>
      </c>
      <c r="M4512">
        <v>1</v>
      </c>
      <c r="N4512">
        <v>1</v>
      </c>
      <c r="P4512">
        <v>0</v>
      </c>
      <c r="Q4512">
        <v>0</v>
      </c>
      <c r="R4512">
        <v>0</v>
      </c>
      <c r="S4512">
        <v>0</v>
      </c>
    </row>
    <row r="4513" spans="1:19" hidden="1" x14ac:dyDescent="0.35">
      <c r="A4513">
        <v>59158302000</v>
      </c>
      <c r="B4513" t="s">
        <v>4511</v>
      </c>
      <c r="C4513" t="str">
        <f>_xlfn.XLOOKUP(A4513,[1]Affiliations!$J$2:$J$5328,[1]Affiliations!$K$2:$K$5328,0)</f>
        <v>Universidade Federal Fluminense</v>
      </c>
      <c r="D4513">
        <v>5</v>
      </c>
      <c r="E4513">
        <v>13</v>
      </c>
      <c r="F4513">
        <v>2.6</v>
      </c>
      <c r="G4513">
        <v>2</v>
      </c>
      <c r="H4513">
        <v>0.18</v>
      </c>
      <c r="I4513">
        <v>0</v>
      </c>
      <c r="J4513">
        <v>0</v>
      </c>
      <c r="K4513">
        <v>0</v>
      </c>
      <c r="L4513">
        <v>1</v>
      </c>
      <c r="M4513">
        <v>2</v>
      </c>
      <c r="N4513">
        <v>3</v>
      </c>
      <c r="P4513">
        <v>0</v>
      </c>
      <c r="Q4513">
        <v>0</v>
      </c>
      <c r="R4513">
        <v>0</v>
      </c>
      <c r="S4513">
        <v>0</v>
      </c>
    </row>
    <row r="4514" spans="1:19" hidden="1" x14ac:dyDescent="0.35">
      <c r="A4514">
        <v>55470260900</v>
      </c>
      <c r="B4514" t="s">
        <v>4512</v>
      </c>
      <c r="C4514" t="str">
        <f>_xlfn.XLOOKUP(A4514,[1]Affiliations!$J$2:$J$5328,[1]Affiliations!$K$2:$K$5328,0)</f>
        <v>Universidade Federal do Espírito Santo (+3 more)</v>
      </c>
      <c r="D4514">
        <v>14</v>
      </c>
      <c r="E4514">
        <v>161</v>
      </c>
      <c r="F4514">
        <v>11.5</v>
      </c>
      <c r="G4514">
        <v>13</v>
      </c>
      <c r="H4514">
        <v>0.54</v>
      </c>
      <c r="I4514">
        <v>0</v>
      </c>
      <c r="J4514">
        <v>4</v>
      </c>
      <c r="K4514">
        <v>6</v>
      </c>
      <c r="L4514">
        <v>10</v>
      </c>
      <c r="M4514">
        <v>13</v>
      </c>
      <c r="N4514">
        <v>14</v>
      </c>
      <c r="P4514">
        <v>0</v>
      </c>
      <c r="Q4514">
        <v>0</v>
      </c>
      <c r="R4514">
        <v>0</v>
      </c>
      <c r="S4514">
        <v>3</v>
      </c>
    </row>
    <row r="4515" spans="1:19" hidden="1" x14ac:dyDescent="0.35">
      <c r="A4515">
        <v>59509629600</v>
      </c>
      <c r="B4515" t="s">
        <v>4513</v>
      </c>
      <c r="C4515" t="str">
        <f>_xlfn.XLOOKUP(A4515,[1]Affiliations!$J$2:$J$5328,[1]Affiliations!$K$2:$K$5328,0)</f>
        <v>Federal University of Rio de Janeiro</v>
      </c>
      <c r="D4515">
        <v>1</v>
      </c>
      <c r="E4515">
        <v>0</v>
      </c>
      <c r="F4515">
        <v>0</v>
      </c>
      <c r="G4515">
        <v>1</v>
      </c>
      <c r="H4515">
        <v>0</v>
      </c>
      <c r="P4515">
        <v>0</v>
      </c>
      <c r="Q4515">
        <v>0</v>
      </c>
      <c r="R4515">
        <v>0</v>
      </c>
      <c r="S4515">
        <v>0</v>
      </c>
    </row>
    <row r="4516" spans="1:19" hidden="1" x14ac:dyDescent="0.35">
      <c r="A4516">
        <v>57199695548</v>
      </c>
      <c r="B4516" t="s">
        <v>4514</v>
      </c>
      <c r="C4516" t="str">
        <f>_xlfn.XLOOKUP(A4516,[1]Affiliations!$J$2:$J$5328,[1]Affiliations!$K$2:$K$5328,0)</f>
        <v>Universidade Federal de Uberlândia</v>
      </c>
      <c r="D4516">
        <v>10</v>
      </c>
      <c r="E4516">
        <v>96</v>
      </c>
      <c r="F4516">
        <v>9.6</v>
      </c>
      <c r="G4516">
        <v>6</v>
      </c>
      <c r="H4516">
        <v>0.41</v>
      </c>
      <c r="I4516">
        <v>0</v>
      </c>
      <c r="J4516">
        <v>1</v>
      </c>
      <c r="K4516">
        <v>2</v>
      </c>
      <c r="L4516">
        <v>5</v>
      </c>
      <c r="M4516">
        <v>9</v>
      </c>
      <c r="N4516">
        <v>9</v>
      </c>
      <c r="P4516">
        <v>0</v>
      </c>
      <c r="Q4516">
        <v>0</v>
      </c>
      <c r="R4516">
        <v>0</v>
      </c>
      <c r="S4516">
        <v>1</v>
      </c>
    </row>
    <row r="4517" spans="1:19" hidden="1" x14ac:dyDescent="0.35">
      <c r="A4517">
        <v>57220083742</v>
      </c>
      <c r="B4517" t="s">
        <v>4515</v>
      </c>
      <c r="C4517" t="str">
        <f>_xlfn.XLOOKUP(A4517,[1]Affiliations!$J$2:$J$5328,[1]Affiliations!$K$2:$K$5328,0)</f>
        <v>Pontifícia Universidade Católica do Rio Grande do Sul</v>
      </c>
      <c r="D4517">
        <v>1</v>
      </c>
      <c r="E4517">
        <v>21</v>
      </c>
      <c r="F4517">
        <v>21</v>
      </c>
      <c r="G4517">
        <v>1</v>
      </c>
      <c r="H4517">
        <v>1.52</v>
      </c>
      <c r="I4517">
        <v>1</v>
      </c>
      <c r="J4517">
        <v>1</v>
      </c>
      <c r="K4517">
        <v>1</v>
      </c>
      <c r="L4517">
        <v>1</v>
      </c>
      <c r="M4517">
        <v>1</v>
      </c>
      <c r="N4517">
        <v>1</v>
      </c>
      <c r="P4517">
        <v>0</v>
      </c>
      <c r="Q4517">
        <v>0</v>
      </c>
      <c r="R4517">
        <v>0</v>
      </c>
      <c r="S4517">
        <v>1</v>
      </c>
    </row>
    <row r="4518" spans="1:19" hidden="1" x14ac:dyDescent="0.35">
      <c r="A4518">
        <v>36009196900</v>
      </c>
      <c r="B4518" t="s">
        <v>4516</v>
      </c>
      <c r="C4518" t="str">
        <f>_xlfn.XLOOKUP(A4518,[1]Affiliations!$J$2:$J$5328,[1]Affiliations!$K$2:$K$5328,0)</f>
        <v>Universidade Tecnológica Federal do Paraná</v>
      </c>
      <c r="D4518">
        <v>18</v>
      </c>
      <c r="E4518">
        <v>94</v>
      </c>
      <c r="F4518">
        <v>5.2222223000000003</v>
      </c>
      <c r="G4518">
        <v>8</v>
      </c>
      <c r="H4518">
        <v>0.3</v>
      </c>
      <c r="I4518">
        <v>0</v>
      </c>
      <c r="J4518">
        <v>2</v>
      </c>
      <c r="K4518">
        <v>4</v>
      </c>
      <c r="L4518">
        <v>5</v>
      </c>
      <c r="M4518">
        <v>8</v>
      </c>
      <c r="N4518">
        <v>12</v>
      </c>
      <c r="P4518">
        <v>0</v>
      </c>
      <c r="Q4518">
        <v>0</v>
      </c>
      <c r="R4518">
        <v>0</v>
      </c>
      <c r="S4518">
        <v>1</v>
      </c>
    </row>
    <row r="4519" spans="1:19" hidden="1" x14ac:dyDescent="0.35">
      <c r="A4519">
        <v>57220551149</v>
      </c>
      <c r="B4519" t="s">
        <v>4517</v>
      </c>
      <c r="C4519" t="str">
        <f>_xlfn.XLOOKUP(A4519,[1]Affiliations!$J$2:$J$5328,[1]Affiliations!$K$2:$K$5328,0)</f>
        <v>Federal University of Rio de Janeiro</v>
      </c>
      <c r="D4519">
        <v>1</v>
      </c>
      <c r="E4519">
        <v>23</v>
      </c>
      <c r="F4519">
        <v>23</v>
      </c>
      <c r="G4519">
        <v>1</v>
      </c>
      <c r="H4519">
        <v>1.07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1</v>
      </c>
      <c r="P4519">
        <v>0</v>
      </c>
      <c r="Q4519">
        <v>0</v>
      </c>
      <c r="R4519">
        <v>0</v>
      </c>
      <c r="S4519">
        <v>1</v>
      </c>
    </row>
    <row r="4520" spans="1:19" x14ac:dyDescent="0.35">
      <c r="A4520">
        <v>6505660214</v>
      </c>
      <c r="B4520" t="s">
        <v>2790</v>
      </c>
      <c r="C4520" t="str">
        <f>_xlfn.XLOOKUP(A4520,[1]Affiliations!$J$2:$J$5328,[1]Affiliations!$K$2:$K$5328,0)</f>
        <v>Federal University of Pará</v>
      </c>
      <c r="D4520">
        <v>22</v>
      </c>
      <c r="E4520">
        <v>264</v>
      </c>
      <c r="F4520">
        <v>12</v>
      </c>
      <c r="G4520">
        <v>13</v>
      </c>
      <c r="H4520">
        <v>0.63</v>
      </c>
      <c r="I4520">
        <v>0</v>
      </c>
      <c r="J4520">
        <v>1</v>
      </c>
      <c r="K4520">
        <v>3</v>
      </c>
      <c r="L4520">
        <v>5</v>
      </c>
      <c r="M4520">
        <v>16</v>
      </c>
      <c r="N4520">
        <v>18</v>
      </c>
      <c r="P4520">
        <v>0</v>
      </c>
      <c r="Q4520">
        <v>0</v>
      </c>
      <c r="R4520">
        <v>1</v>
      </c>
      <c r="S4520">
        <v>6</v>
      </c>
    </row>
    <row r="4521" spans="1:19" hidden="1" x14ac:dyDescent="0.35">
      <c r="A4521">
        <v>60151496100</v>
      </c>
      <c r="B4521" t="s">
        <v>4519</v>
      </c>
      <c r="C4521" t="str">
        <f>_xlfn.XLOOKUP(A4521,[1]Affiliations!$J$2:$J$5328,[1]Affiliations!$K$2:$K$5328,0)</f>
        <v>Universidade Federal Fluminense</v>
      </c>
      <c r="D4521">
        <v>0</v>
      </c>
      <c r="G4521">
        <v>0</v>
      </c>
    </row>
    <row r="4522" spans="1:19" x14ac:dyDescent="0.35">
      <c r="A4522">
        <v>7801448332</v>
      </c>
      <c r="B4522" t="s">
        <v>2809</v>
      </c>
      <c r="C4522" t="str">
        <f>_xlfn.XLOOKUP(A4522,[1]Affiliations!$J$2:$J$5328,[1]Affiliations!$K$2:$K$5328,0)</f>
        <v>Federal University of Rio de Janeiro</v>
      </c>
      <c r="D4522">
        <v>16</v>
      </c>
      <c r="E4522">
        <v>163</v>
      </c>
      <c r="F4522">
        <v>10.1875</v>
      </c>
      <c r="G4522">
        <v>15</v>
      </c>
      <c r="H4522">
        <v>0.63</v>
      </c>
      <c r="I4522">
        <v>0</v>
      </c>
      <c r="J4522">
        <v>1</v>
      </c>
      <c r="K4522">
        <v>1</v>
      </c>
      <c r="L4522">
        <v>7</v>
      </c>
      <c r="M4522">
        <v>13</v>
      </c>
      <c r="N4522">
        <v>16</v>
      </c>
      <c r="P4522">
        <v>0</v>
      </c>
      <c r="Q4522">
        <v>0</v>
      </c>
      <c r="R4522">
        <v>1</v>
      </c>
      <c r="S4522">
        <v>3</v>
      </c>
    </row>
    <row r="4523" spans="1:19" hidden="1" x14ac:dyDescent="0.35">
      <c r="A4523">
        <v>57944127200</v>
      </c>
      <c r="B4523" t="s">
        <v>4521</v>
      </c>
      <c r="C4523" t="str">
        <f>_xlfn.XLOOKUP(A4523,[1]Affiliations!$J$2:$J$5328,[1]Affiliations!$K$2:$K$5328,0)</f>
        <v>Universidade de São Paulo</v>
      </c>
      <c r="D4523">
        <v>1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1</v>
      </c>
      <c r="P4523">
        <v>0</v>
      </c>
      <c r="Q4523">
        <v>0</v>
      </c>
      <c r="R4523">
        <v>0</v>
      </c>
      <c r="S4523">
        <v>0</v>
      </c>
    </row>
    <row r="4524" spans="1:19" hidden="1" x14ac:dyDescent="0.35">
      <c r="A4524">
        <v>55491136200</v>
      </c>
      <c r="B4524" t="s">
        <v>4522</v>
      </c>
      <c r="C4524" t="str">
        <f>_xlfn.XLOOKUP(A4524,[1]Affiliations!$J$2:$J$5328,[1]Affiliations!$K$2:$K$5328,0)</f>
        <v>DEMa</v>
      </c>
      <c r="D4524">
        <v>8</v>
      </c>
      <c r="E4524">
        <v>116</v>
      </c>
      <c r="F4524">
        <v>14.5</v>
      </c>
      <c r="G4524">
        <v>7</v>
      </c>
      <c r="H4524">
        <v>0.63</v>
      </c>
      <c r="I4524">
        <v>0</v>
      </c>
      <c r="J4524">
        <v>0</v>
      </c>
      <c r="K4524">
        <v>1</v>
      </c>
      <c r="L4524">
        <v>6</v>
      </c>
      <c r="M4524">
        <v>6</v>
      </c>
      <c r="N4524">
        <v>7</v>
      </c>
      <c r="P4524">
        <v>0</v>
      </c>
      <c r="Q4524">
        <v>0</v>
      </c>
      <c r="R4524">
        <v>0</v>
      </c>
      <c r="S4524">
        <v>3</v>
      </c>
    </row>
    <row r="4525" spans="1:19" x14ac:dyDescent="0.35">
      <c r="A4525">
        <v>8699740700</v>
      </c>
      <c r="B4525" t="s">
        <v>3005</v>
      </c>
      <c r="C4525" t="str">
        <f>_xlfn.XLOOKUP(A4525,[1]Affiliations!$J$2:$J$5328,[1]Affiliations!$K$2:$K$5328,0)</f>
        <v>Universidade de São Paulo</v>
      </c>
      <c r="D4525">
        <v>27</v>
      </c>
      <c r="E4525">
        <v>324</v>
      </c>
      <c r="F4525">
        <v>12</v>
      </c>
      <c r="G4525">
        <v>11</v>
      </c>
      <c r="H4525">
        <v>0.63</v>
      </c>
      <c r="I4525">
        <v>0</v>
      </c>
      <c r="J4525">
        <v>3</v>
      </c>
      <c r="K4525">
        <v>5</v>
      </c>
      <c r="L4525">
        <v>11</v>
      </c>
      <c r="M4525">
        <v>21</v>
      </c>
      <c r="N4525">
        <v>23</v>
      </c>
      <c r="P4525">
        <v>0</v>
      </c>
      <c r="Q4525">
        <v>1</v>
      </c>
      <c r="R4525">
        <v>2</v>
      </c>
      <c r="S4525">
        <v>6</v>
      </c>
    </row>
    <row r="4526" spans="1:19" hidden="1" x14ac:dyDescent="0.35">
      <c r="A4526">
        <v>55983274800</v>
      </c>
      <c r="B4526" t="s">
        <v>4524</v>
      </c>
      <c r="C4526" t="str">
        <f>_xlfn.XLOOKUP(A4526,[1]Affiliations!$J$2:$J$5328,[1]Affiliations!$K$2:$K$5328,0)</f>
        <v>Petrosoft Design</v>
      </c>
      <c r="D4526">
        <v>2</v>
      </c>
      <c r="E4526">
        <v>4</v>
      </c>
      <c r="F4526">
        <v>2</v>
      </c>
      <c r="G4526">
        <v>1</v>
      </c>
      <c r="H4526">
        <v>0.3</v>
      </c>
      <c r="I4526">
        <v>0</v>
      </c>
      <c r="J4526">
        <v>1</v>
      </c>
      <c r="K4526">
        <v>1</v>
      </c>
      <c r="L4526">
        <v>2</v>
      </c>
      <c r="M4526">
        <v>2</v>
      </c>
      <c r="N4526">
        <v>2</v>
      </c>
      <c r="P4526">
        <v>0</v>
      </c>
      <c r="Q4526">
        <v>0</v>
      </c>
      <c r="R4526">
        <v>0</v>
      </c>
      <c r="S4526">
        <v>0</v>
      </c>
    </row>
    <row r="4527" spans="1:19" x14ac:dyDescent="0.35">
      <c r="A4527">
        <v>57191444165</v>
      </c>
      <c r="B4527" t="s">
        <v>3166</v>
      </c>
      <c r="C4527" t="str">
        <f>_xlfn.XLOOKUP(A4527,[1]Affiliations!$J$2:$J$5328,[1]Affiliations!$K$2:$K$5328,0)</f>
        <v>Federal University of Rio de Janeiro</v>
      </c>
      <c r="D4527">
        <v>112</v>
      </c>
      <c r="E4527">
        <v>1763</v>
      </c>
      <c r="F4527">
        <v>15.741072000000001</v>
      </c>
      <c r="G4527">
        <v>24</v>
      </c>
      <c r="H4527">
        <v>0.63</v>
      </c>
      <c r="I4527">
        <v>0</v>
      </c>
      <c r="J4527">
        <v>4</v>
      </c>
      <c r="K4527">
        <v>5</v>
      </c>
      <c r="L4527">
        <v>47</v>
      </c>
      <c r="M4527">
        <v>95</v>
      </c>
      <c r="N4527">
        <v>108</v>
      </c>
      <c r="P4527">
        <v>0</v>
      </c>
      <c r="Q4527">
        <v>5</v>
      </c>
      <c r="R4527">
        <v>10</v>
      </c>
      <c r="S4527">
        <v>36</v>
      </c>
    </row>
    <row r="4528" spans="1:19" x14ac:dyDescent="0.35">
      <c r="A4528">
        <v>7402262363</v>
      </c>
      <c r="B4528" t="s">
        <v>3196</v>
      </c>
      <c r="C4528" t="str">
        <f>_xlfn.XLOOKUP(A4528,[1]Affiliations!$J$2:$J$5328,[1]Affiliations!$K$2:$K$5328,0)</f>
        <v>Universidade de São Paulo</v>
      </c>
      <c r="D4528">
        <v>119</v>
      </c>
      <c r="E4528">
        <v>679</v>
      </c>
      <c r="F4528">
        <v>5.7058825000000004</v>
      </c>
      <c r="G4528">
        <v>18</v>
      </c>
      <c r="H4528">
        <v>0.63</v>
      </c>
      <c r="I4528">
        <v>0</v>
      </c>
      <c r="J4528">
        <v>8</v>
      </c>
      <c r="K4528">
        <v>12</v>
      </c>
      <c r="L4528">
        <v>21</v>
      </c>
      <c r="M4528">
        <v>31</v>
      </c>
      <c r="N4528">
        <v>50</v>
      </c>
      <c r="P4528">
        <v>0</v>
      </c>
      <c r="Q4528">
        <v>1</v>
      </c>
      <c r="R4528">
        <v>6</v>
      </c>
      <c r="S4528">
        <v>17</v>
      </c>
    </row>
    <row r="4529" spans="1:19" hidden="1" x14ac:dyDescent="0.35">
      <c r="A4529">
        <v>57192208478</v>
      </c>
      <c r="B4529" t="s">
        <v>4527</v>
      </c>
      <c r="C4529" t="str">
        <f>_xlfn.XLOOKUP(A4529,[1]Affiliations!$J$2:$J$5328,[1]Affiliations!$K$2:$K$5328,0)</f>
        <v>University of Campinas</v>
      </c>
      <c r="D4529">
        <v>2</v>
      </c>
      <c r="E4529">
        <v>75</v>
      </c>
      <c r="F4529">
        <v>37.5</v>
      </c>
      <c r="G4529">
        <v>2</v>
      </c>
      <c r="H4529">
        <v>1.0900000000000001</v>
      </c>
      <c r="I4529">
        <v>1</v>
      </c>
      <c r="J4529">
        <v>1</v>
      </c>
      <c r="K4529">
        <v>1</v>
      </c>
      <c r="L4529">
        <v>1</v>
      </c>
      <c r="M4529">
        <v>2</v>
      </c>
      <c r="N4529">
        <v>2</v>
      </c>
      <c r="P4529">
        <v>0</v>
      </c>
      <c r="Q4529">
        <v>0</v>
      </c>
      <c r="R4529">
        <v>0</v>
      </c>
      <c r="S4529">
        <v>2</v>
      </c>
    </row>
    <row r="4530" spans="1:19" hidden="1" x14ac:dyDescent="0.35">
      <c r="A4530">
        <v>57219128909</v>
      </c>
      <c r="B4530" t="s">
        <v>4528</v>
      </c>
      <c r="C4530" t="str">
        <f>_xlfn.XLOOKUP(A4530,[1]Affiliations!$J$2:$J$5328,[1]Affiliations!$K$2:$K$5328,0)</f>
        <v>Universidade Federal Rural do Rio de Janeiro</v>
      </c>
      <c r="D4530">
        <v>4</v>
      </c>
      <c r="E4530">
        <v>15</v>
      </c>
      <c r="F4530">
        <v>3.75</v>
      </c>
      <c r="G4530">
        <v>3</v>
      </c>
      <c r="H4530">
        <v>0.34</v>
      </c>
      <c r="I4530">
        <v>0</v>
      </c>
      <c r="J4530">
        <v>0</v>
      </c>
      <c r="K4530">
        <v>0</v>
      </c>
      <c r="L4530">
        <v>1</v>
      </c>
      <c r="M4530">
        <v>2</v>
      </c>
      <c r="N4530">
        <v>4</v>
      </c>
      <c r="P4530">
        <v>0</v>
      </c>
      <c r="Q4530">
        <v>0</v>
      </c>
      <c r="R4530">
        <v>0</v>
      </c>
      <c r="S4530">
        <v>0</v>
      </c>
    </row>
    <row r="4531" spans="1:19" hidden="1" x14ac:dyDescent="0.35">
      <c r="A4531">
        <v>57224992511</v>
      </c>
      <c r="B4531" t="s">
        <v>4529</v>
      </c>
      <c r="C4531" t="str">
        <f>_xlfn.XLOOKUP(A4531,[1]Affiliations!$J$2:$J$5328,[1]Affiliations!$K$2:$K$5328,0)</f>
        <v>Universidade Federal do Rio Grande do Norte</v>
      </c>
      <c r="D4531">
        <v>1</v>
      </c>
      <c r="E4531">
        <v>29</v>
      </c>
      <c r="F4531">
        <v>29</v>
      </c>
      <c r="G4531">
        <v>1</v>
      </c>
      <c r="H4531">
        <v>1.1200000000000001</v>
      </c>
      <c r="I4531">
        <v>0</v>
      </c>
      <c r="J4531">
        <v>1</v>
      </c>
      <c r="K4531">
        <v>1</v>
      </c>
      <c r="L4531">
        <v>1</v>
      </c>
      <c r="M4531">
        <v>1</v>
      </c>
      <c r="N4531">
        <v>1</v>
      </c>
      <c r="P4531">
        <v>0</v>
      </c>
      <c r="Q4531">
        <v>0</v>
      </c>
      <c r="R4531">
        <v>0</v>
      </c>
      <c r="S4531">
        <v>1</v>
      </c>
    </row>
    <row r="4532" spans="1:19" x14ac:dyDescent="0.35">
      <c r="A4532">
        <v>57169482800</v>
      </c>
      <c r="B4532" t="s">
        <v>3197</v>
      </c>
      <c r="C4532" t="str">
        <f>_xlfn.XLOOKUP(A4532,[1]Affiliations!$J$2:$J$5328,[1]Affiliations!$K$2:$K$5328,0)</f>
        <v>Universidade de São Paulo (+1 more)</v>
      </c>
      <c r="D4532">
        <v>53</v>
      </c>
      <c r="E4532">
        <v>552</v>
      </c>
      <c r="F4532">
        <v>10.415094</v>
      </c>
      <c r="G4532">
        <v>16</v>
      </c>
      <c r="H4532">
        <v>0.63</v>
      </c>
      <c r="I4532">
        <v>0</v>
      </c>
      <c r="J4532">
        <v>5</v>
      </c>
      <c r="K4532">
        <v>14</v>
      </c>
      <c r="L4532">
        <v>33</v>
      </c>
      <c r="M4532">
        <v>40</v>
      </c>
      <c r="N4532">
        <v>47</v>
      </c>
      <c r="P4532">
        <v>0</v>
      </c>
      <c r="Q4532">
        <v>0</v>
      </c>
      <c r="R4532">
        <v>2</v>
      </c>
      <c r="S4532">
        <v>12</v>
      </c>
    </row>
    <row r="4533" spans="1:19" x14ac:dyDescent="0.35">
      <c r="A4533">
        <v>16686761100</v>
      </c>
      <c r="B4533" t="s">
        <v>3527</v>
      </c>
      <c r="C4533" t="str">
        <f>_xlfn.XLOOKUP(A4533,[1]Affiliations!$J$2:$J$5328,[1]Affiliations!$K$2:$K$5328,0)</f>
        <v>Pontifical Catholic University of Rio de Janeiro</v>
      </c>
      <c r="D4533">
        <v>15</v>
      </c>
      <c r="E4533">
        <v>370</v>
      </c>
      <c r="F4533">
        <v>24.666665999999999</v>
      </c>
      <c r="G4533">
        <v>18</v>
      </c>
      <c r="H4533">
        <v>0.63</v>
      </c>
      <c r="I4533">
        <v>0</v>
      </c>
      <c r="J4533">
        <v>0</v>
      </c>
      <c r="K4533">
        <v>2</v>
      </c>
      <c r="L4533">
        <v>7</v>
      </c>
      <c r="M4533">
        <v>12</v>
      </c>
      <c r="N4533">
        <v>12</v>
      </c>
      <c r="P4533">
        <v>0</v>
      </c>
      <c r="Q4533">
        <v>2</v>
      </c>
      <c r="R4533">
        <v>2</v>
      </c>
      <c r="S4533">
        <v>6</v>
      </c>
    </row>
    <row r="4534" spans="1:19" hidden="1" x14ac:dyDescent="0.35">
      <c r="A4534">
        <v>57200631203</v>
      </c>
      <c r="B4534" t="s">
        <v>4532</v>
      </c>
      <c r="C4534" t="str">
        <f>_xlfn.XLOOKUP(A4534,[1]Affiliations!$J$2:$J$5328,[1]Affiliations!$K$2:$K$5328,0)</f>
        <v>Federal University of Rio de Janeiro</v>
      </c>
      <c r="D4534">
        <v>2</v>
      </c>
      <c r="E4534">
        <v>16</v>
      </c>
      <c r="F4534">
        <v>8</v>
      </c>
      <c r="G4534">
        <v>2</v>
      </c>
      <c r="H4534">
        <v>0.35</v>
      </c>
      <c r="I4534">
        <v>0</v>
      </c>
      <c r="J4534">
        <v>1</v>
      </c>
      <c r="K4534">
        <v>1</v>
      </c>
      <c r="L4534">
        <v>2</v>
      </c>
      <c r="M4534">
        <v>2</v>
      </c>
      <c r="N4534">
        <v>2</v>
      </c>
      <c r="P4534">
        <v>0</v>
      </c>
      <c r="Q4534">
        <v>0</v>
      </c>
      <c r="R4534">
        <v>0</v>
      </c>
      <c r="S4534">
        <v>0</v>
      </c>
    </row>
    <row r="4535" spans="1:19" x14ac:dyDescent="0.35">
      <c r="A4535">
        <v>57190975632</v>
      </c>
      <c r="B4535" t="s">
        <v>3844</v>
      </c>
      <c r="C4535" t="str">
        <f>_xlfn.XLOOKUP(A4535,[1]Affiliations!$J$2:$J$5328,[1]Affiliations!$K$2:$K$5328,0)</f>
        <v>Universidade Federal de Minas Gerais (+1 more)</v>
      </c>
      <c r="D4535">
        <v>11</v>
      </c>
      <c r="E4535">
        <v>105</v>
      </c>
      <c r="F4535">
        <v>9.5454550000000005</v>
      </c>
      <c r="G4535">
        <v>5</v>
      </c>
      <c r="H4535">
        <v>0.63</v>
      </c>
      <c r="I4535">
        <v>0</v>
      </c>
      <c r="J4535">
        <v>1</v>
      </c>
      <c r="K4535">
        <v>1</v>
      </c>
      <c r="L4535">
        <v>6</v>
      </c>
      <c r="M4535">
        <v>7</v>
      </c>
      <c r="N4535">
        <v>10</v>
      </c>
      <c r="P4535">
        <v>0</v>
      </c>
      <c r="Q4535">
        <v>0</v>
      </c>
      <c r="R4535">
        <v>1</v>
      </c>
      <c r="S4535">
        <v>3</v>
      </c>
    </row>
    <row r="4536" spans="1:19" x14ac:dyDescent="0.35">
      <c r="A4536">
        <v>57197964630</v>
      </c>
      <c r="B4536" t="s">
        <v>4116</v>
      </c>
      <c r="C4536" t="str">
        <f>_xlfn.XLOOKUP(A4536,[1]Affiliations!$J$2:$J$5328,[1]Affiliations!$K$2:$K$5328,0)</f>
        <v>Universidade Federal do Espírito Santo</v>
      </c>
      <c r="D4536">
        <v>20</v>
      </c>
      <c r="E4536">
        <v>154</v>
      </c>
      <c r="F4536">
        <v>7.7</v>
      </c>
      <c r="G4536">
        <v>10</v>
      </c>
      <c r="H4536">
        <v>0.63</v>
      </c>
      <c r="I4536">
        <v>0</v>
      </c>
      <c r="J4536">
        <v>5</v>
      </c>
      <c r="K4536">
        <v>7</v>
      </c>
      <c r="L4536">
        <v>9</v>
      </c>
      <c r="M4536">
        <v>12</v>
      </c>
      <c r="N4536">
        <v>14</v>
      </c>
      <c r="P4536">
        <v>0</v>
      </c>
      <c r="Q4536">
        <v>1</v>
      </c>
      <c r="R4536">
        <v>1</v>
      </c>
      <c r="S4536">
        <v>4</v>
      </c>
    </row>
    <row r="4537" spans="1:19" x14ac:dyDescent="0.35">
      <c r="A4537">
        <v>57216792419</v>
      </c>
      <c r="B4537" t="s">
        <v>4237</v>
      </c>
      <c r="C4537" t="str">
        <f>_xlfn.XLOOKUP(A4537,[1]Affiliations!$J$2:$J$5328,[1]Affiliations!$K$2:$K$5328,0)</f>
        <v>Universidade Federal de Viçosa</v>
      </c>
      <c r="D4537">
        <v>9</v>
      </c>
      <c r="E4537">
        <v>124</v>
      </c>
      <c r="F4537">
        <v>13.777778</v>
      </c>
      <c r="G4537">
        <v>5</v>
      </c>
      <c r="H4537">
        <v>0.63</v>
      </c>
      <c r="I4537">
        <v>0</v>
      </c>
      <c r="J4537">
        <v>5</v>
      </c>
      <c r="K4537">
        <v>7</v>
      </c>
      <c r="L4537">
        <v>7</v>
      </c>
      <c r="M4537">
        <v>9</v>
      </c>
      <c r="N4537">
        <v>9</v>
      </c>
      <c r="P4537">
        <v>0</v>
      </c>
      <c r="Q4537">
        <v>0</v>
      </c>
      <c r="R4537">
        <v>1</v>
      </c>
      <c r="S4537">
        <v>3</v>
      </c>
    </row>
    <row r="4538" spans="1:19" hidden="1" x14ac:dyDescent="0.35">
      <c r="A4538">
        <v>57225318219</v>
      </c>
      <c r="B4538" t="s">
        <v>4536</v>
      </c>
      <c r="C4538" t="str">
        <f>_xlfn.XLOOKUP(A4538,[1]Affiliations!$J$2:$J$5328,[1]Affiliations!$K$2:$K$5328,0)</f>
        <v>Universidade Federal do Rio Grande do Sul</v>
      </c>
      <c r="D4538">
        <v>2</v>
      </c>
      <c r="E4538">
        <v>5</v>
      </c>
      <c r="F4538">
        <v>2.5</v>
      </c>
      <c r="G4538">
        <v>1</v>
      </c>
      <c r="H4538">
        <v>0.04</v>
      </c>
      <c r="I4538">
        <v>0</v>
      </c>
      <c r="J4538">
        <v>0</v>
      </c>
      <c r="K4538">
        <v>0</v>
      </c>
      <c r="L4538">
        <v>1</v>
      </c>
      <c r="M4538">
        <v>1</v>
      </c>
      <c r="N4538">
        <v>1</v>
      </c>
      <c r="P4538">
        <v>0</v>
      </c>
      <c r="Q4538">
        <v>0</v>
      </c>
      <c r="R4538">
        <v>0</v>
      </c>
      <c r="S4538">
        <v>0</v>
      </c>
    </row>
    <row r="4539" spans="1:19" hidden="1" x14ac:dyDescent="0.35">
      <c r="A4539">
        <v>56115264500</v>
      </c>
      <c r="B4539" t="s">
        <v>4537</v>
      </c>
      <c r="C4539" t="str">
        <f>_xlfn.XLOOKUP(A4539,[1]Affiliations!$J$2:$J$5328,[1]Affiliations!$K$2:$K$5328,0)</f>
        <v>Federal University of Santa Catarina</v>
      </c>
      <c r="D4539">
        <v>1</v>
      </c>
      <c r="E4539">
        <v>13</v>
      </c>
      <c r="F4539">
        <v>13</v>
      </c>
      <c r="G4539">
        <v>2</v>
      </c>
      <c r="H4539">
        <v>0.84</v>
      </c>
      <c r="I4539">
        <v>0</v>
      </c>
      <c r="J4539">
        <v>0</v>
      </c>
      <c r="K4539">
        <v>1</v>
      </c>
      <c r="L4539">
        <v>1</v>
      </c>
      <c r="M4539">
        <v>1</v>
      </c>
      <c r="N4539">
        <v>1</v>
      </c>
      <c r="P4539">
        <v>0</v>
      </c>
      <c r="Q4539">
        <v>0</v>
      </c>
      <c r="R4539">
        <v>0</v>
      </c>
      <c r="S4539">
        <v>1</v>
      </c>
    </row>
    <row r="4540" spans="1:19" hidden="1" x14ac:dyDescent="0.35">
      <c r="A4540">
        <v>55382965000</v>
      </c>
      <c r="B4540" t="s">
        <v>4538</v>
      </c>
      <c r="C4540" t="str">
        <f>_xlfn.XLOOKUP(A4540,[1]Affiliations!$J$2:$J$5328,[1]Affiliations!$K$2:$K$5328,0)</f>
        <v>Universidade de São Paulo</v>
      </c>
      <c r="D4540">
        <v>37</v>
      </c>
      <c r="E4540">
        <v>246</v>
      </c>
      <c r="F4540">
        <v>6.6486486999999999</v>
      </c>
      <c r="G4540">
        <v>11</v>
      </c>
      <c r="H4540">
        <v>0.74</v>
      </c>
      <c r="I4540">
        <v>0</v>
      </c>
      <c r="J4540">
        <v>2</v>
      </c>
      <c r="K4540">
        <v>6</v>
      </c>
      <c r="L4540">
        <v>13</v>
      </c>
      <c r="M4540">
        <v>16</v>
      </c>
      <c r="N4540">
        <v>20</v>
      </c>
      <c r="P4540">
        <v>0</v>
      </c>
      <c r="Q4540">
        <v>0</v>
      </c>
      <c r="R4540">
        <v>0</v>
      </c>
      <c r="S4540">
        <v>3</v>
      </c>
    </row>
    <row r="4541" spans="1:19" x14ac:dyDescent="0.35">
      <c r="A4541">
        <v>57214182178</v>
      </c>
      <c r="B4541" t="s">
        <v>4256</v>
      </c>
      <c r="C4541" t="str">
        <f>_xlfn.XLOOKUP(A4541,[1]Affiliations!$J$2:$J$5328,[1]Affiliations!$K$2:$K$5328,0)</f>
        <v>University of Campinas (+1 more)</v>
      </c>
      <c r="D4541">
        <v>30</v>
      </c>
      <c r="E4541">
        <v>237</v>
      </c>
      <c r="F4541">
        <v>7.9</v>
      </c>
      <c r="G4541">
        <v>6</v>
      </c>
      <c r="H4541">
        <v>0.63</v>
      </c>
      <c r="I4541">
        <v>1</v>
      </c>
      <c r="J4541">
        <v>2</v>
      </c>
      <c r="K4541">
        <v>4</v>
      </c>
      <c r="L4541">
        <v>6</v>
      </c>
      <c r="M4541">
        <v>12</v>
      </c>
      <c r="N4541">
        <v>16</v>
      </c>
      <c r="P4541">
        <v>1</v>
      </c>
      <c r="Q4541">
        <v>1</v>
      </c>
      <c r="R4541">
        <v>2</v>
      </c>
      <c r="S4541">
        <v>5</v>
      </c>
    </row>
    <row r="4542" spans="1:19" hidden="1" x14ac:dyDescent="0.35">
      <c r="A4542">
        <v>7410397953</v>
      </c>
      <c r="B4542" t="s">
        <v>4540</v>
      </c>
      <c r="C4542" t="str">
        <f>_xlfn.XLOOKUP(A4542,[1]Affiliations!$J$2:$J$5328,[1]Affiliations!$K$2:$K$5328,0)</f>
        <v>Universidade Federal da Bahia</v>
      </c>
      <c r="D4542">
        <v>5</v>
      </c>
      <c r="E4542">
        <v>8</v>
      </c>
      <c r="F4542">
        <v>1.6</v>
      </c>
      <c r="G4542">
        <v>4</v>
      </c>
      <c r="H4542">
        <v>0.1</v>
      </c>
      <c r="I4542">
        <v>0</v>
      </c>
      <c r="J4542">
        <v>0</v>
      </c>
      <c r="K4542">
        <v>0</v>
      </c>
      <c r="L4542">
        <v>1</v>
      </c>
      <c r="M4542">
        <v>4</v>
      </c>
      <c r="N4542">
        <v>4</v>
      </c>
      <c r="P4542">
        <v>0</v>
      </c>
      <c r="Q4542">
        <v>0</v>
      </c>
      <c r="R4542">
        <v>0</v>
      </c>
      <c r="S4542">
        <v>0</v>
      </c>
    </row>
    <row r="4543" spans="1:19" hidden="1" x14ac:dyDescent="0.35">
      <c r="A4543">
        <v>37098938600</v>
      </c>
      <c r="B4543" t="s">
        <v>4541</v>
      </c>
      <c r="C4543" t="str">
        <f>_xlfn.XLOOKUP(A4543,[1]Affiliations!$J$2:$J$5328,[1]Affiliations!$K$2:$K$5328,0)</f>
        <v>Universidade Regional Integrada do Alto Uruguai e das Missões</v>
      </c>
      <c r="D4543">
        <v>19</v>
      </c>
      <c r="E4543">
        <v>147</v>
      </c>
      <c r="F4543">
        <v>7.7368420000000002</v>
      </c>
      <c r="G4543">
        <v>8</v>
      </c>
      <c r="H4543">
        <v>0.52</v>
      </c>
      <c r="I4543">
        <v>0</v>
      </c>
      <c r="J4543">
        <v>2</v>
      </c>
      <c r="K4543">
        <v>2</v>
      </c>
      <c r="L4543">
        <v>5</v>
      </c>
      <c r="M4543">
        <v>9</v>
      </c>
      <c r="N4543">
        <v>16</v>
      </c>
      <c r="P4543">
        <v>0</v>
      </c>
      <c r="Q4543">
        <v>0</v>
      </c>
      <c r="R4543">
        <v>0</v>
      </c>
      <c r="S4543">
        <v>4</v>
      </c>
    </row>
    <row r="4544" spans="1:19" x14ac:dyDescent="0.35">
      <c r="A4544">
        <v>55672910200</v>
      </c>
      <c r="B4544" t="s">
        <v>4580</v>
      </c>
      <c r="C4544" t="str">
        <f>_xlfn.XLOOKUP(A4544,[1]Affiliations!$J$2:$J$5328,[1]Affiliations!$K$2:$K$5328,0)</f>
        <v>Universidade Federal do Rio Grande do Norte</v>
      </c>
      <c r="D4544">
        <v>31</v>
      </c>
      <c r="E4544">
        <v>290</v>
      </c>
      <c r="F4544">
        <v>9.3548380000000009</v>
      </c>
      <c r="G4544">
        <v>12</v>
      </c>
      <c r="H4544">
        <v>0.63</v>
      </c>
      <c r="I4544">
        <v>1</v>
      </c>
      <c r="J4544">
        <v>1</v>
      </c>
      <c r="K4544">
        <v>9</v>
      </c>
      <c r="L4544">
        <v>14</v>
      </c>
      <c r="M4544">
        <v>21</v>
      </c>
      <c r="N4544">
        <v>23</v>
      </c>
      <c r="P4544">
        <v>0</v>
      </c>
      <c r="Q4544">
        <v>1</v>
      </c>
      <c r="R4544">
        <v>1</v>
      </c>
      <c r="S4544">
        <v>5</v>
      </c>
    </row>
    <row r="4545" spans="1:19" hidden="1" x14ac:dyDescent="0.35">
      <c r="A4545">
        <v>56940104900</v>
      </c>
      <c r="B4545" t="s">
        <v>4543</v>
      </c>
      <c r="C4545" t="str">
        <f>_xlfn.XLOOKUP(A4545,[1]Affiliations!$J$2:$J$5328,[1]Affiliations!$K$2:$K$5328,0)</f>
        <v>University of Campinas</v>
      </c>
      <c r="D4545">
        <v>17</v>
      </c>
      <c r="E4545">
        <v>237</v>
      </c>
      <c r="F4545">
        <v>13.941176</v>
      </c>
      <c r="G4545">
        <v>10</v>
      </c>
      <c r="H4545">
        <v>0.51</v>
      </c>
      <c r="I4545">
        <v>1</v>
      </c>
      <c r="J4545">
        <v>2</v>
      </c>
      <c r="K4545">
        <v>3</v>
      </c>
      <c r="L4545">
        <v>8</v>
      </c>
      <c r="M4545">
        <v>13</v>
      </c>
      <c r="N4545">
        <v>17</v>
      </c>
      <c r="P4545">
        <v>0</v>
      </c>
      <c r="Q4545">
        <v>0</v>
      </c>
      <c r="R4545">
        <v>0</v>
      </c>
      <c r="S4545">
        <v>8</v>
      </c>
    </row>
    <row r="4546" spans="1:19" hidden="1" x14ac:dyDescent="0.35">
      <c r="A4546">
        <v>36521737000</v>
      </c>
      <c r="B4546" t="s">
        <v>4544</v>
      </c>
      <c r="C4546" t="str">
        <f>_xlfn.XLOOKUP(A4546,[1]Affiliations!$J$2:$J$5328,[1]Affiliations!$K$2:$K$5328,0)</f>
        <v>University of Campinas</v>
      </c>
      <c r="D4546">
        <v>5</v>
      </c>
      <c r="E4546">
        <v>55</v>
      </c>
      <c r="F4546">
        <v>11</v>
      </c>
      <c r="G4546">
        <v>6</v>
      </c>
      <c r="H4546">
        <v>0.23</v>
      </c>
      <c r="I4546">
        <v>1</v>
      </c>
      <c r="J4546">
        <v>1</v>
      </c>
      <c r="K4546">
        <v>2</v>
      </c>
      <c r="L4546">
        <v>2</v>
      </c>
      <c r="M4546">
        <v>5</v>
      </c>
      <c r="N4546">
        <v>5</v>
      </c>
      <c r="P4546">
        <v>0</v>
      </c>
      <c r="Q4546">
        <v>0</v>
      </c>
      <c r="R4546">
        <v>0</v>
      </c>
      <c r="S4546">
        <v>2</v>
      </c>
    </row>
    <row r="4547" spans="1:19" x14ac:dyDescent="0.35">
      <c r="A4547">
        <v>56941462500</v>
      </c>
      <c r="B4547" t="s">
        <v>4798</v>
      </c>
      <c r="C4547" t="str">
        <f>_xlfn.XLOOKUP(A4547,[1]Affiliations!$J$2:$J$5328,[1]Affiliations!$K$2:$K$5328,0)</f>
        <v>Federal University of Rio de Janeiro</v>
      </c>
      <c r="D4547">
        <v>7</v>
      </c>
      <c r="E4547">
        <v>129</v>
      </c>
      <c r="F4547">
        <v>18.428571999999999</v>
      </c>
      <c r="G4547">
        <v>3</v>
      </c>
      <c r="H4547">
        <v>0.63</v>
      </c>
      <c r="I4547">
        <v>0</v>
      </c>
      <c r="J4547">
        <v>0</v>
      </c>
      <c r="K4547">
        <v>2</v>
      </c>
      <c r="L4547">
        <v>2</v>
      </c>
      <c r="M4547">
        <v>2</v>
      </c>
      <c r="N4547">
        <v>3</v>
      </c>
      <c r="P4547">
        <v>0</v>
      </c>
      <c r="Q4547">
        <v>1</v>
      </c>
      <c r="R4547">
        <v>1</v>
      </c>
      <c r="S4547">
        <v>2</v>
      </c>
    </row>
    <row r="4548" spans="1:19" x14ac:dyDescent="0.35">
      <c r="A4548">
        <v>7007128379</v>
      </c>
      <c r="B4548" t="s">
        <v>4946</v>
      </c>
      <c r="C4548" t="str">
        <f>_xlfn.XLOOKUP(A4548,[1]Affiliations!$J$2:$J$5328,[1]Affiliations!$K$2:$K$5328,0)</f>
        <v>Universidade Federal Fluminense (+2 more)</v>
      </c>
      <c r="D4548">
        <v>110</v>
      </c>
      <c r="E4548">
        <v>1179</v>
      </c>
      <c r="F4548">
        <v>10.718182000000001</v>
      </c>
      <c r="G4548">
        <v>38</v>
      </c>
      <c r="H4548">
        <v>0.63</v>
      </c>
      <c r="I4548">
        <v>0</v>
      </c>
      <c r="J4548">
        <v>2</v>
      </c>
      <c r="K4548">
        <v>4</v>
      </c>
      <c r="L4548">
        <v>46</v>
      </c>
      <c r="M4548">
        <v>77</v>
      </c>
      <c r="N4548">
        <v>96</v>
      </c>
      <c r="P4548">
        <v>0</v>
      </c>
      <c r="Q4548">
        <v>1</v>
      </c>
      <c r="R4548">
        <v>2</v>
      </c>
      <c r="S4548">
        <v>21</v>
      </c>
    </row>
    <row r="4549" spans="1:19" hidden="1" x14ac:dyDescent="0.35">
      <c r="A4549">
        <v>49261174500</v>
      </c>
      <c r="B4549" t="s">
        <v>4547</v>
      </c>
      <c r="C4549" t="str">
        <f>_xlfn.XLOOKUP(A4549,[1]Affiliations!$J$2:$J$5328,[1]Affiliations!$K$2:$K$5328,0)</f>
        <v>Pontifícia Universidade Católica do Rio Grande do Sul</v>
      </c>
      <c r="D4549">
        <v>4</v>
      </c>
      <c r="E4549">
        <v>102</v>
      </c>
      <c r="F4549">
        <v>25.5</v>
      </c>
      <c r="G4549">
        <v>5</v>
      </c>
      <c r="H4549">
        <v>1.05</v>
      </c>
      <c r="I4549">
        <v>0</v>
      </c>
      <c r="J4549">
        <v>0</v>
      </c>
      <c r="K4549">
        <v>1</v>
      </c>
      <c r="L4549">
        <v>2</v>
      </c>
      <c r="M4549">
        <v>4</v>
      </c>
      <c r="N4549">
        <v>4</v>
      </c>
      <c r="P4549">
        <v>0</v>
      </c>
      <c r="Q4549">
        <v>0</v>
      </c>
      <c r="R4549">
        <v>0</v>
      </c>
      <c r="S4549">
        <v>2</v>
      </c>
    </row>
    <row r="4550" spans="1:19" x14ac:dyDescent="0.35">
      <c r="A4550">
        <v>6602372840</v>
      </c>
      <c r="B4550" t="s">
        <v>5065</v>
      </c>
      <c r="C4550" t="str">
        <f>_xlfn.XLOOKUP(A4550,[1]Affiliations!$J$2:$J$5328,[1]Affiliations!$K$2:$K$5328,0)</f>
        <v>DEMa</v>
      </c>
      <c r="D4550">
        <v>46</v>
      </c>
      <c r="E4550">
        <v>719</v>
      </c>
      <c r="F4550">
        <v>15.630435</v>
      </c>
      <c r="G4550">
        <v>20</v>
      </c>
      <c r="H4550">
        <v>0.63</v>
      </c>
      <c r="I4550">
        <v>2</v>
      </c>
      <c r="J4550">
        <v>5</v>
      </c>
      <c r="K4550">
        <v>14</v>
      </c>
      <c r="L4550">
        <v>33</v>
      </c>
      <c r="M4550">
        <v>40</v>
      </c>
      <c r="N4550">
        <v>43</v>
      </c>
      <c r="P4550">
        <v>0</v>
      </c>
      <c r="Q4550">
        <v>0</v>
      </c>
      <c r="R4550">
        <v>3</v>
      </c>
      <c r="S4550">
        <v>17</v>
      </c>
    </row>
    <row r="4551" spans="1:19" hidden="1" x14ac:dyDescent="0.35">
      <c r="A4551">
        <v>58736189600</v>
      </c>
      <c r="B4551" t="s">
        <v>4549</v>
      </c>
      <c r="C4551" t="str">
        <f>_xlfn.XLOOKUP(A4551,[1]Affiliations!$J$2:$J$5328,[1]Affiliations!$K$2:$K$5328,0)</f>
        <v>Vizlab - X-Reality and GeoInformatics Lab</v>
      </c>
      <c r="D4551">
        <v>13</v>
      </c>
      <c r="E4551">
        <v>84</v>
      </c>
      <c r="F4551">
        <v>6.4615383</v>
      </c>
      <c r="G4551">
        <v>5</v>
      </c>
      <c r="H4551">
        <v>0.4</v>
      </c>
      <c r="I4551">
        <v>0</v>
      </c>
      <c r="J4551">
        <v>0</v>
      </c>
      <c r="K4551">
        <v>3</v>
      </c>
      <c r="L4551">
        <v>5</v>
      </c>
      <c r="M4551">
        <v>6</v>
      </c>
      <c r="N4551">
        <v>7</v>
      </c>
      <c r="P4551">
        <v>0</v>
      </c>
      <c r="Q4551">
        <v>0</v>
      </c>
      <c r="R4551">
        <v>0</v>
      </c>
      <c r="S4551">
        <v>2</v>
      </c>
    </row>
    <row r="4552" spans="1:19" hidden="1" x14ac:dyDescent="0.35">
      <c r="A4552">
        <v>57202288468</v>
      </c>
      <c r="B4552" t="s">
        <v>4550</v>
      </c>
      <c r="C4552" t="str">
        <f>_xlfn.XLOOKUP(A4552,[1]Affiliations!$J$2:$J$5328,[1]Affiliations!$K$2:$K$5328,0)</f>
        <v>Pontifical Catholic University of Rio de Janeiro</v>
      </c>
      <c r="D4552">
        <v>17</v>
      </c>
      <c r="E4552">
        <v>135</v>
      </c>
      <c r="F4552">
        <v>7.9411763999999998</v>
      </c>
      <c r="G4552">
        <v>6</v>
      </c>
      <c r="H4552">
        <v>0.72</v>
      </c>
      <c r="I4552">
        <v>2</v>
      </c>
      <c r="J4552">
        <v>2</v>
      </c>
      <c r="K4552">
        <v>4</v>
      </c>
      <c r="L4552">
        <v>10</v>
      </c>
      <c r="M4552">
        <v>10</v>
      </c>
      <c r="N4552">
        <v>11</v>
      </c>
      <c r="P4552">
        <v>0</v>
      </c>
      <c r="Q4552">
        <v>0</v>
      </c>
      <c r="R4552">
        <v>0</v>
      </c>
      <c r="S4552">
        <v>6</v>
      </c>
    </row>
    <row r="4553" spans="1:19" hidden="1" x14ac:dyDescent="0.35">
      <c r="A4553">
        <v>7004534376</v>
      </c>
      <c r="B4553" t="s">
        <v>4551</v>
      </c>
      <c r="C4553" t="str">
        <f>_xlfn.XLOOKUP(A4553,[1]Affiliations!$J$2:$J$5328,[1]Affiliations!$K$2:$K$5328,0)</f>
        <v>Universidade Federal do Rio Grande do Sul (+1 more)</v>
      </c>
      <c r="D4553">
        <v>21</v>
      </c>
      <c r="E4553">
        <v>269</v>
      </c>
      <c r="F4553">
        <v>12.809524</v>
      </c>
      <c r="G4553">
        <v>14</v>
      </c>
      <c r="H4553">
        <v>0.53</v>
      </c>
      <c r="I4553">
        <v>0</v>
      </c>
      <c r="J4553">
        <v>1</v>
      </c>
      <c r="K4553">
        <v>5</v>
      </c>
      <c r="L4553">
        <v>9</v>
      </c>
      <c r="M4553">
        <v>17</v>
      </c>
      <c r="N4553">
        <v>18</v>
      </c>
      <c r="P4553">
        <v>0</v>
      </c>
      <c r="Q4553">
        <v>0</v>
      </c>
      <c r="R4553">
        <v>0</v>
      </c>
      <c r="S4553">
        <v>7</v>
      </c>
    </row>
    <row r="4554" spans="1:19" hidden="1" x14ac:dyDescent="0.35">
      <c r="A4554">
        <v>7005706428</v>
      </c>
      <c r="B4554" t="s">
        <v>4552</v>
      </c>
      <c r="C4554" t="str">
        <f>_xlfn.XLOOKUP(A4554,[1]Affiliations!$J$2:$J$5328,[1]Affiliations!$K$2:$K$5328,0)</f>
        <v>Universidade Federal Rural do Rio de Janeiro (+3 more)</v>
      </c>
      <c r="D4554">
        <v>43</v>
      </c>
      <c r="E4554">
        <v>483</v>
      </c>
      <c r="F4554">
        <v>11.232557999999999</v>
      </c>
      <c r="G4554">
        <v>13</v>
      </c>
      <c r="H4554">
        <v>0.65</v>
      </c>
      <c r="I4554">
        <v>0</v>
      </c>
      <c r="J4554">
        <v>3</v>
      </c>
      <c r="K4554">
        <v>11</v>
      </c>
      <c r="L4554">
        <v>30</v>
      </c>
      <c r="M4554">
        <v>31</v>
      </c>
      <c r="N4554">
        <v>33</v>
      </c>
      <c r="P4554">
        <v>0</v>
      </c>
      <c r="Q4554">
        <v>0</v>
      </c>
      <c r="R4554">
        <v>0</v>
      </c>
      <c r="S4554">
        <v>7</v>
      </c>
    </row>
    <row r="4555" spans="1:19" hidden="1" x14ac:dyDescent="0.35">
      <c r="A4555">
        <v>58562153200</v>
      </c>
      <c r="B4555" t="s">
        <v>4553</v>
      </c>
      <c r="C4555" t="str">
        <f>_xlfn.XLOOKUP(A4555,[1]Affiliations!$J$2:$J$5328,[1]Affiliations!$K$2:$K$5328,0)</f>
        <v>Universidade Federal do Rio Grande do Sul</v>
      </c>
      <c r="D4555">
        <v>2</v>
      </c>
      <c r="E4555">
        <v>8</v>
      </c>
      <c r="F4555">
        <v>4</v>
      </c>
      <c r="G4555">
        <v>2</v>
      </c>
      <c r="H4555">
        <v>0.43</v>
      </c>
      <c r="I4555">
        <v>0</v>
      </c>
      <c r="J4555">
        <v>0</v>
      </c>
      <c r="K4555">
        <v>0</v>
      </c>
      <c r="L4555">
        <v>1</v>
      </c>
      <c r="M4555">
        <v>2</v>
      </c>
      <c r="N4555">
        <v>2</v>
      </c>
      <c r="P4555">
        <v>0</v>
      </c>
      <c r="Q4555">
        <v>0</v>
      </c>
      <c r="R4555">
        <v>0</v>
      </c>
      <c r="S4555">
        <v>1</v>
      </c>
    </row>
    <row r="4556" spans="1:19" hidden="1" x14ac:dyDescent="0.35">
      <c r="A4556">
        <v>60151766100</v>
      </c>
      <c r="B4556" t="s">
        <v>4554</v>
      </c>
      <c r="C4556" t="str">
        <f>_xlfn.XLOOKUP(A4556,[1]Affiliations!$J$2:$J$5328,[1]Affiliations!$K$2:$K$5328,0)</f>
        <v>Pontifical Catholic University of Rio de Janeiro</v>
      </c>
      <c r="D4556">
        <v>0</v>
      </c>
      <c r="G4556">
        <v>1</v>
      </c>
    </row>
    <row r="4557" spans="1:19" x14ac:dyDescent="0.35">
      <c r="A4557">
        <v>8091167400</v>
      </c>
      <c r="B4557" t="s">
        <v>5136</v>
      </c>
      <c r="C4557" t="str">
        <f>_xlfn.XLOOKUP(A4557,[1]Affiliations!$J$2:$J$5328,[1]Affiliations!$K$2:$K$5328,0)</f>
        <v>Pontíficia Universidade Católica (+2 more)</v>
      </c>
      <c r="D4557">
        <v>36</v>
      </c>
      <c r="E4557">
        <v>283</v>
      </c>
      <c r="F4557">
        <v>7.8611110000000002</v>
      </c>
      <c r="G4557">
        <v>12</v>
      </c>
      <c r="H4557">
        <v>0.63</v>
      </c>
      <c r="I4557">
        <v>2</v>
      </c>
      <c r="J4557">
        <v>5</v>
      </c>
      <c r="K4557">
        <v>11</v>
      </c>
      <c r="L4557">
        <v>14</v>
      </c>
      <c r="M4557">
        <v>18</v>
      </c>
      <c r="N4557">
        <v>19</v>
      </c>
      <c r="P4557">
        <v>0</v>
      </c>
      <c r="Q4557">
        <v>0</v>
      </c>
      <c r="R4557">
        <v>3</v>
      </c>
      <c r="S4557">
        <v>6</v>
      </c>
    </row>
    <row r="4558" spans="1:19" x14ac:dyDescent="0.35">
      <c r="A4558">
        <v>26322176300</v>
      </c>
      <c r="B4558" t="s">
        <v>5255</v>
      </c>
      <c r="C4558" t="str">
        <f>_xlfn.XLOOKUP(A4558,[1]Affiliations!$J$2:$J$5328,[1]Affiliations!$K$2:$K$5328,0)</f>
        <v>University of Blumenau (FURB) (+1 more)</v>
      </c>
      <c r="D4558">
        <v>38</v>
      </c>
      <c r="E4558">
        <v>505</v>
      </c>
      <c r="F4558">
        <v>13.289474</v>
      </c>
      <c r="G4558">
        <v>15</v>
      </c>
      <c r="H4558">
        <v>0.63</v>
      </c>
      <c r="I4558">
        <v>0</v>
      </c>
      <c r="J4558">
        <v>5</v>
      </c>
      <c r="K4558">
        <v>9</v>
      </c>
      <c r="L4558">
        <v>13</v>
      </c>
      <c r="M4558">
        <v>18</v>
      </c>
      <c r="N4558">
        <v>24</v>
      </c>
      <c r="P4558">
        <v>0</v>
      </c>
      <c r="Q4558">
        <v>1</v>
      </c>
      <c r="R4558">
        <v>3</v>
      </c>
      <c r="S4558">
        <v>10</v>
      </c>
    </row>
    <row r="4559" spans="1:19" x14ac:dyDescent="0.35">
      <c r="A4559">
        <v>12778261000</v>
      </c>
      <c r="B4559" t="s">
        <v>5282</v>
      </c>
      <c r="C4559" t="str">
        <f>_xlfn.XLOOKUP(A4559,[1]Affiliations!$J$2:$J$5328,[1]Affiliations!$K$2:$K$5328,0)</f>
        <v>Federal University of Rio de Janeiro</v>
      </c>
      <c r="D4559">
        <v>28</v>
      </c>
      <c r="E4559">
        <v>522</v>
      </c>
      <c r="F4559">
        <v>18.642856999999999</v>
      </c>
      <c r="G4559">
        <v>16</v>
      </c>
      <c r="H4559">
        <v>0.63</v>
      </c>
      <c r="I4559">
        <v>1</v>
      </c>
      <c r="J4559">
        <v>1</v>
      </c>
      <c r="K4559">
        <v>4</v>
      </c>
      <c r="L4559">
        <v>13</v>
      </c>
      <c r="M4559">
        <v>20</v>
      </c>
      <c r="N4559">
        <v>24</v>
      </c>
      <c r="P4559">
        <v>0</v>
      </c>
      <c r="Q4559">
        <v>1</v>
      </c>
      <c r="R4559">
        <v>2</v>
      </c>
      <c r="S4559">
        <v>7</v>
      </c>
    </row>
    <row r="4560" spans="1:19" hidden="1" x14ac:dyDescent="0.35">
      <c r="A4560">
        <v>57202285141</v>
      </c>
      <c r="B4560" t="s">
        <v>4557</v>
      </c>
      <c r="C4560" t="str">
        <f>_xlfn.XLOOKUP(A4560,[1]Affiliations!$J$2:$J$5328,[1]Affiliations!$K$2:$K$5328,0)</f>
        <v>Pontifical Catholic University of Rio de Janeiro</v>
      </c>
      <c r="D4560">
        <v>24</v>
      </c>
      <c r="E4560">
        <v>133</v>
      </c>
      <c r="F4560">
        <v>5.5416664999999998</v>
      </c>
      <c r="G4560">
        <v>7</v>
      </c>
      <c r="H4560">
        <v>0.72</v>
      </c>
      <c r="I4560">
        <v>0</v>
      </c>
      <c r="J4560">
        <v>1</v>
      </c>
      <c r="K4560">
        <v>3</v>
      </c>
      <c r="L4560">
        <v>9</v>
      </c>
      <c r="M4560">
        <v>9</v>
      </c>
      <c r="N4560">
        <v>10</v>
      </c>
      <c r="P4560">
        <v>0</v>
      </c>
      <c r="Q4560">
        <v>0</v>
      </c>
      <c r="R4560">
        <v>0</v>
      </c>
      <c r="S4560">
        <v>5</v>
      </c>
    </row>
    <row r="4561" spans="1:19" x14ac:dyDescent="0.35">
      <c r="A4561">
        <v>19640038700</v>
      </c>
      <c r="B4561" t="s">
        <v>571</v>
      </c>
      <c r="C4561" t="str">
        <f>_xlfn.XLOOKUP(A4561,[1]Affiliations!$J$2:$J$5328,[1]Affiliations!$K$2:$K$5328,0)</f>
        <v>Universidade Federal Do Estado Do Rio de Janeiro (Unirio)</v>
      </c>
      <c r="D4561">
        <v>8</v>
      </c>
      <c r="E4561">
        <v>168</v>
      </c>
      <c r="F4561">
        <v>21</v>
      </c>
      <c r="G4561">
        <v>9</v>
      </c>
      <c r="H4561">
        <v>0.62</v>
      </c>
      <c r="I4561">
        <v>0</v>
      </c>
      <c r="J4561">
        <v>0</v>
      </c>
      <c r="K4561">
        <v>1</v>
      </c>
      <c r="L4561">
        <v>2</v>
      </c>
      <c r="M4561">
        <v>5</v>
      </c>
      <c r="N4561">
        <v>8</v>
      </c>
      <c r="P4561">
        <v>0</v>
      </c>
      <c r="Q4561">
        <v>1</v>
      </c>
      <c r="R4561">
        <v>1</v>
      </c>
      <c r="S4561">
        <v>1</v>
      </c>
    </row>
    <row r="4562" spans="1:19" hidden="1" x14ac:dyDescent="0.35">
      <c r="A4562">
        <v>7005088724</v>
      </c>
      <c r="B4562" t="s">
        <v>4559</v>
      </c>
      <c r="C4562" t="str">
        <f>_xlfn.XLOOKUP(A4562,[1]Affiliations!$J$2:$J$5328,[1]Affiliations!$K$2:$K$5328,0)</f>
        <v>University of Campinas (+1 more)</v>
      </c>
      <c r="D4562">
        <v>51</v>
      </c>
      <c r="E4562">
        <v>163</v>
      </c>
      <c r="F4562">
        <v>3.1960785</v>
      </c>
      <c r="G4562">
        <v>23</v>
      </c>
      <c r="H4562">
        <v>0.33</v>
      </c>
      <c r="I4562">
        <v>0</v>
      </c>
      <c r="J4562">
        <v>0</v>
      </c>
      <c r="K4562">
        <v>0</v>
      </c>
      <c r="L4562">
        <v>9</v>
      </c>
      <c r="M4562">
        <v>23</v>
      </c>
      <c r="N4562">
        <v>24</v>
      </c>
      <c r="P4562">
        <v>0</v>
      </c>
      <c r="Q4562">
        <v>0</v>
      </c>
      <c r="R4562">
        <v>0</v>
      </c>
      <c r="S4562">
        <v>1</v>
      </c>
    </row>
    <row r="4563" spans="1:19" x14ac:dyDescent="0.35">
      <c r="A4563">
        <v>18633692300</v>
      </c>
      <c r="B4563" t="s">
        <v>1259</v>
      </c>
      <c r="C4563" t="str">
        <f>_xlfn.XLOOKUP(A4563,[1]Affiliations!$J$2:$J$5328,[1]Affiliations!$K$2:$K$5328,0)</f>
        <v>Universidade Tecnológica Federal do Paraná (+1 more)</v>
      </c>
      <c r="D4563">
        <v>91</v>
      </c>
      <c r="E4563">
        <v>943</v>
      </c>
      <c r="F4563">
        <v>10.3626375</v>
      </c>
      <c r="G4563">
        <v>28</v>
      </c>
      <c r="H4563">
        <v>0.62</v>
      </c>
      <c r="I4563">
        <v>0</v>
      </c>
      <c r="J4563">
        <v>5</v>
      </c>
      <c r="K4563">
        <v>20</v>
      </c>
      <c r="L4563">
        <v>44</v>
      </c>
      <c r="M4563">
        <v>54</v>
      </c>
      <c r="N4563">
        <v>66</v>
      </c>
      <c r="P4563">
        <v>0</v>
      </c>
      <c r="Q4563">
        <v>3</v>
      </c>
      <c r="R4563">
        <v>3</v>
      </c>
      <c r="S4563">
        <v>19</v>
      </c>
    </row>
    <row r="4564" spans="1:19" x14ac:dyDescent="0.35">
      <c r="A4564">
        <v>57862896400</v>
      </c>
      <c r="B4564" t="s">
        <v>1416</v>
      </c>
      <c r="C4564" t="str">
        <f>_xlfn.XLOOKUP(A4564,[1]Affiliations!$J$2:$J$5328,[1]Affiliations!$K$2:$K$5328,0)</f>
        <v>Universidade Tecnológica Federal do Paraná (+2 more)</v>
      </c>
      <c r="D4564">
        <v>66</v>
      </c>
      <c r="E4564">
        <v>598</v>
      </c>
      <c r="F4564">
        <v>9.0606059999999999</v>
      </c>
      <c r="G4564">
        <v>23</v>
      </c>
      <c r="H4564">
        <v>0.62</v>
      </c>
      <c r="I4564">
        <v>0</v>
      </c>
      <c r="J4564">
        <v>6</v>
      </c>
      <c r="K4564">
        <v>12</v>
      </c>
      <c r="L4564">
        <v>29</v>
      </c>
      <c r="M4564">
        <v>34</v>
      </c>
      <c r="N4564">
        <v>43</v>
      </c>
      <c r="P4564">
        <v>0</v>
      </c>
      <c r="Q4564">
        <v>0</v>
      </c>
      <c r="R4564">
        <v>1</v>
      </c>
      <c r="S4564">
        <v>12</v>
      </c>
    </row>
    <row r="4565" spans="1:19" x14ac:dyDescent="0.35">
      <c r="A4565">
        <v>35588153700</v>
      </c>
      <c r="B4565" t="s">
        <v>1424</v>
      </c>
      <c r="C4565" t="str">
        <f>_xlfn.XLOOKUP(A4565,[1]Affiliations!$J$2:$J$5328,[1]Affiliations!$K$2:$K$5328,0)</f>
        <v>Pontifical Catholic University of Rio de Janeiro</v>
      </c>
      <c r="D4565">
        <v>38</v>
      </c>
      <c r="E4565">
        <v>558</v>
      </c>
      <c r="F4565">
        <v>14.684210999999999</v>
      </c>
      <c r="G4565">
        <v>22</v>
      </c>
      <c r="H4565">
        <v>0.62</v>
      </c>
      <c r="I4565">
        <v>0</v>
      </c>
      <c r="J4565">
        <v>2</v>
      </c>
      <c r="K4565">
        <v>10</v>
      </c>
      <c r="L4565">
        <v>21</v>
      </c>
      <c r="M4565">
        <v>30</v>
      </c>
      <c r="N4565">
        <v>35</v>
      </c>
      <c r="P4565">
        <v>0</v>
      </c>
      <c r="Q4565">
        <v>1</v>
      </c>
      <c r="R4565">
        <v>5</v>
      </c>
      <c r="S4565">
        <v>13</v>
      </c>
    </row>
    <row r="4566" spans="1:19" hidden="1" x14ac:dyDescent="0.35">
      <c r="A4566">
        <v>59574178200</v>
      </c>
      <c r="B4566" t="s">
        <v>4563</v>
      </c>
      <c r="C4566" t="str">
        <f>_xlfn.XLOOKUP(A4566,[1]Affiliations!$J$2:$J$5328,[1]Affiliations!$K$2:$K$5328,0)</f>
        <v>Federal University of Rio de Janeiro</v>
      </c>
      <c r="D4566">
        <v>1</v>
      </c>
      <c r="E4566">
        <v>2</v>
      </c>
      <c r="F4566">
        <v>2</v>
      </c>
      <c r="G4566">
        <v>1</v>
      </c>
      <c r="H4566">
        <v>0.51</v>
      </c>
      <c r="P4566">
        <v>0</v>
      </c>
      <c r="Q4566">
        <v>0</v>
      </c>
      <c r="R4566">
        <v>0</v>
      </c>
      <c r="S4566">
        <v>0</v>
      </c>
    </row>
    <row r="4567" spans="1:19" x14ac:dyDescent="0.35">
      <c r="A4567">
        <v>57216893651</v>
      </c>
      <c r="B4567" t="s">
        <v>2126</v>
      </c>
      <c r="C4567" t="str">
        <f>_xlfn.XLOOKUP(A4567,[1]Affiliations!$J$2:$J$5328,[1]Affiliations!$K$2:$K$5328,0)</f>
        <v>Universidade Federal do Rio Grande do Norte</v>
      </c>
      <c r="D4567">
        <v>11</v>
      </c>
      <c r="E4567">
        <v>135</v>
      </c>
      <c r="F4567">
        <v>12.272727</v>
      </c>
      <c r="G4567">
        <v>7</v>
      </c>
      <c r="H4567">
        <v>0.62</v>
      </c>
      <c r="I4567">
        <v>0</v>
      </c>
      <c r="J4567">
        <v>3</v>
      </c>
      <c r="K4567">
        <v>5</v>
      </c>
      <c r="L4567">
        <v>8</v>
      </c>
      <c r="M4567">
        <v>9</v>
      </c>
      <c r="N4567">
        <v>11</v>
      </c>
      <c r="P4567">
        <v>0</v>
      </c>
      <c r="Q4567">
        <v>0</v>
      </c>
      <c r="R4567">
        <v>1</v>
      </c>
      <c r="S4567">
        <v>5</v>
      </c>
    </row>
    <row r="4568" spans="1:19" hidden="1" x14ac:dyDescent="0.35">
      <c r="A4568">
        <v>59861742300</v>
      </c>
      <c r="B4568" t="s">
        <v>4565</v>
      </c>
      <c r="C4568" t="str">
        <f>_xlfn.XLOOKUP(A4568,[1]Affiliations!$J$2:$J$5328,[1]Affiliations!$K$2:$K$5328,0)</f>
        <v>Universidade de Brasília</v>
      </c>
      <c r="D4568">
        <v>1</v>
      </c>
      <c r="E4568">
        <v>39</v>
      </c>
      <c r="F4568">
        <v>39</v>
      </c>
      <c r="G4568">
        <v>1</v>
      </c>
      <c r="H4568">
        <v>1.62</v>
      </c>
      <c r="I4568">
        <v>0</v>
      </c>
      <c r="J4568">
        <v>1</v>
      </c>
      <c r="K4568">
        <v>1</v>
      </c>
      <c r="L4568">
        <v>1</v>
      </c>
      <c r="M4568">
        <v>1</v>
      </c>
      <c r="N4568">
        <v>1</v>
      </c>
      <c r="P4568">
        <v>0</v>
      </c>
      <c r="Q4568">
        <v>0</v>
      </c>
      <c r="R4568">
        <v>0</v>
      </c>
      <c r="S4568">
        <v>1</v>
      </c>
    </row>
    <row r="4569" spans="1:19" x14ac:dyDescent="0.35">
      <c r="A4569">
        <v>7403252472</v>
      </c>
      <c r="B4569" t="s">
        <v>2162</v>
      </c>
      <c r="C4569" t="str">
        <f>_xlfn.XLOOKUP(A4569,[1]Affiliations!$J$2:$J$5328,[1]Affiliations!$K$2:$K$5328,0)</f>
        <v>USP</v>
      </c>
      <c r="D4569">
        <v>47</v>
      </c>
      <c r="E4569">
        <v>561</v>
      </c>
      <c r="F4569">
        <v>11.936171</v>
      </c>
      <c r="G4569">
        <v>19</v>
      </c>
      <c r="H4569">
        <v>0.62</v>
      </c>
      <c r="I4569">
        <v>0</v>
      </c>
      <c r="J4569">
        <v>5</v>
      </c>
      <c r="K4569">
        <v>12</v>
      </c>
      <c r="L4569">
        <v>21</v>
      </c>
      <c r="M4569">
        <v>32</v>
      </c>
      <c r="N4569">
        <v>36</v>
      </c>
      <c r="P4569">
        <v>0</v>
      </c>
      <c r="Q4569">
        <v>2</v>
      </c>
      <c r="R4569">
        <v>3</v>
      </c>
      <c r="S4569">
        <v>10</v>
      </c>
    </row>
    <row r="4570" spans="1:19" x14ac:dyDescent="0.35">
      <c r="A4570">
        <v>7006814841</v>
      </c>
      <c r="B4570" t="s">
        <v>2303</v>
      </c>
      <c r="C4570" t="str">
        <f>_xlfn.XLOOKUP(A4570,[1]Affiliations!$J$2:$J$5328,[1]Affiliations!$K$2:$K$5328,0)</f>
        <v>Pontifical Catholic University of Rio de Janeiro</v>
      </c>
      <c r="D4570">
        <v>47</v>
      </c>
      <c r="E4570">
        <v>575</v>
      </c>
      <c r="F4570">
        <v>12.234042000000001</v>
      </c>
      <c r="G4570">
        <v>31</v>
      </c>
      <c r="H4570">
        <v>0.62</v>
      </c>
      <c r="I4570">
        <v>0</v>
      </c>
      <c r="J4570">
        <v>4</v>
      </c>
      <c r="K4570">
        <v>14</v>
      </c>
      <c r="L4570">
        <v>34</v>
      </c>
      <c r="M4570">
        <v>45</v>
      </c>
      <c r="N4570">
        <v>47</v>
      </c>
      <c r="P4570">
        <v>0</v>
      </c>
      <c r="Q4570">
        <v>0</v>
      </c>
      <c r="R4570">
        <v>2</v>
      </c>
      <c r="S4570">
        <v>15</v>
      </c>
    </row>
    <row r="4571" spans="1:19" hidden="1" x14ac:dyDescent="0.35">
      <c r="A4571">
        <v>37089301000</v>
      </c>
      <c r="B4571" t="s">
        <v>4568</v>
      </c>
      <c r="C4571" t="str">
        <f>_xlfn.XLOOKUP(A4571,[1]Affiliations!$J$2:$J$5328,[1]Affiliations!$K$2:$K$5328,0)</f>
        <v>Federal University of Santa Catarina</v>
      </c>
      <c r="D4571">
        <v>6</v>
      </c>
      <c r="E4571">
        <v>10</v>
      </c>
      <c r="F4571">
        <v>1.6666666000000001</v>
      </c>
      <c r="G4571">
        <v>4</v>
      </c>
      <c r="H4571">
        <v>0.14000000000000001</v>
      </c>
      <c r="I4571">
        <v>0</v>
      </c>
      <c r="J4571">
        <v>0</v>
      </c>
      <c r="K4571">
        <v>0</v>
      </c>
      <c r="L4571">
        <v>2</v>
      </c>
      <c r="M4571">
        <v>3</v>
      </c>
      <c r="N4571">
        <v>3</v>
      </c>
      <c r="P4571">
        <v>0</v>
      </c>
      <c r="Q4571">
        <v>0</v>
      </c>
      <c r="R4571">
        <v>0</v>
      </c>
      <c r="S4571">
        <v>1</v>
      </c>
    </row>
    <row r="4572" spans="1:19" x14ac:dyDescent="0.35">
      <c r="A4572">
        <v>6603388477</v>
      </c>
      <c r="B4572" t="s">
        <v>2577</v>
      </c>
      <c r="C4572" t="str">
        <f>_xlfn.XLOOKUP(A4572,[1]Affiliations!$J$2:$J$5328,[1]Affiliations!$K$2:$K$5328,0)</f>
        <v>Federal University of Rio de Janeiro</v>
      </c>
      <c r="D4572">
        <v>28</v>
      </c>
      <c r="E4572">
        <v>490</v>
      </c>
      <c r="F4572">
        <v>17.5</v>
      </c>
      <c r="G4572">
        <v>21</v>
      </c>
      <c r="H4572">
        <v>0.62</v>
      </c>
      <c r="I4572">
        <v>0</v>
      </c>
      <c r="J4572">
        <v>4</v>
      </c>
      <c r="K4572">
        <v>6</v>
      </c>
      <c r="L4572">
        <v>18</v>
      </c>
      <c r="M4572">
        <v>22</v>
      </c>
      <c r="N4572">
        <v>27</v>
      </c>
      <c r="P4572">
        <v>0</v>
      </c>
      <c r="Q4572">
        <v>1</v>
      </c>
      <c r="R4572">
        <v>3</v>
      </c>
      <c r="S4572">
        <v>6</v>
      </c>
    </row>
    <row r="4573" spans="1:19" hidden="1" x14ac:dyDescent="0.35">
      <c r="A4573">
        <v>57188701356</v>
      </c>
      <c r="B4573" t="s">
        <v>4570</v>
      </c>
      <c r="C4573" t="str">
        <f>_xlfn.XLOOKUP(A4573,[1]Affiliations!$J$2:$J$5328,[1]Affiliations!$K$2:$K$5328,0)</f>
        <v>Universidade Federal do Rio Grande do Sul</v>
      </c>
      <c r="D4573">
        <v>2</v>
      </c>
      <c r="E4573">
        <v>14</v>
      </c>
      <c r="F4573">
        <v>7</v>
      </c>
      <c r="G4573">
        <v>2</v>
      </c>
      <c r="H4573">
        <v>0.16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P4573">
        <v>0</v>
      </c>
      <c r="Q4573">
        <v>0</v>
      </c>
      <c r="R4573">
        <v>0</v>
      </c>
      <c r="S4573">
        <v>0</v>
      </c>
    </row>
    <row r="4574" spans="1:19" x14ac:dyDescent="0.35">
      <c r="A4574">
        <v>7101865491</v>
      </c>
      <c r="B4574" t="s">
        <v>2706</v>
      </c>
      <c r="C4574" t="str">
        <f>_xlfn.XLOOKUP(A4574,[1]Affiliations!$J$2:$J$5328,[1]Affiliations!$K$2:$K$5328,0)</f>
        <v>Federal University of Rio de Janeiro</v>
      </c>
      <c r="D4574">
        <v>29</v>
      </c>
      <c r="E4574">
        <v>506</v>
      </c>
      <c r="F4574">
        <v>17.448277000000001</v>
      </c>
      <c r="G4574">
        <v>32</v>
      </c>
      <c r="H4574">
        <v>0.62</v>
      </c>
      <c r="I4574">
        <v>0</v>
      </c>
      <c r="J4574">
        <v>1</v>
      </c>
      <c r="K4574">
        <v>6</v>
      </c>
      <c r="L4574">
        <v>13</v>
      </c>
      <c r="M4574">
        <v>21</v>
      </c>
      <c r="N4574">
        <v>26</v>
      </c>
      <c r="P4574">
        <v>0</v>
      </c>
      <c r="Q4574">
        <v>1</v>
      </c>
      <c r="R4574">
        <v>2</v>
      </c>
      <c r="S4574">
        <v>9</v>
      </c>
    </row>
    <row r="4575" spans="1:19" hidden="1" x14ac:dyDescent="0.35">
      <c r="A4575">
        <v>58904207300</v>
      </c>
      <c r="B4575" t="s">
        <v>4572</v>
      </c>
      <c r="C4575" t="str">
        <f>_xlfn.XLOOKUP(A4575,[1]Affiliations!$J$2:$J$5328,[1]Affiliations!$K$2:$K$5328,0)</f>
        <v>SENAI Innovation Institute for Embedded Systems</v>
      </c>
      <c r="D4575">
        <v>1</v>
      </c>
      <c r="E4575">
        <v>0</v>
      </c>
      <c r="F4575">
        <v>0</v>
      </c>
      <c r="G4575">
        <v>0</v>
      </c>
      <c r="H4575">
        <v>0</v>
      </c>
      <c r="P4575">
        <v>0</v>
      </c>
      <c r="Q4575">
        <v>0</v>
      </c>
      <c r="R4575">
        <v>0</v>
      </c>
      <c r="S4575">
        <v>0</v>
      </c>
    </row>
    <row r="4576" spans="1:19" hidden="1" x14ac:dyDescent="0.35">
      <c r="A4576">
        <v>57222115235</v>
      </c>
      <c r="B4576" t="s">
        <v>4573</v>
      </c>
      <c r="C4576" t="str">
        <f>_xlfn.XLOOKUP(A4576,[1]Affiliations!$J$2:$J$5328,[1]Affiliations!$K$2:$K$5328,0)</f>
        <v>Universidade de São Paulo</v>
      </c>
      <c r="D4576">
        <v>2</v>
      </c>
      <c r="E4576">
        <v>43</v>
      </c>
      <c r="F4576">
        <v>21.5</v>
      </c>
      <c r="G4576">
        <v>2</v>
      </c>
      <c r="H4576">
        <v>1.5</v>
      </c>
      <c r="I4576">
        <v>0</v>
      </c>
      <c r="J4576">
        <v>0</v>
      </c>
      <c r="K4576">
        <v>1</v>
      </c>
      <c r="L4576">
        <v>1</v>
      </c>
      <c r="M4576">
        <v>1</v>
      </c>
      <c r="N4576">
        <v>2</v>
      </c>
      <c r="P4576">
        <v>0</v>
      </c>
      <c r="Q4576">
        <v>0</v>
      </c>
      <c r="R4576">
        <v>1</v>
      </c>
      <c r="S4576">
        <v>1</v>
      </c>
    </row>
    <row r="4577" spans="1:19" hidden="1" x14ac:dyDescent="0.35">
      <c r="A4577">
        <v>57224503227</v>
      </c>
      <c r="B4577" t="s">
        <v>4574</v>
      </c>
      <c r="C4577" t="str">
        <f>_xlfn.XLOOKUP(A4577,[1]Affiliations!$J$2:$J$5328,[1]Affiliations!$K$2:$K$5328,0)</f>
        <v>Federal University of Rio de Janeiro</v>
      </c>
      <c r="D4577">
        <v>5</v>
      </c>
      <c r="E4577">
        <v>62</v>
      </c>
      <c r="F4577">
        <v>12.4</v>
      </c>
      <c r="G4577">
        <v>5</v>
      </c>
      <c r="H4577">
        <v>1.06</v>
      </c>
      <c r="I4577">
        <v>0</v>
      </c>
      <c r="J4577">
        <v>0</v>
      </c>
      <c r="K4577">
        <v>0</v>
      </c>
      <c r="L4577">
        <v>3</v>
      </c>
      <c r="M4577">
        <v>4</v>
      </c>
      <c r="N4577">
        <v>5</v>
      </c>
      <c r="P4577">
        <v>0</v>
      </c>
      <c r="Q4577">
        <v>0</v>
      </c>
      <c r="R4577">
        <v>1</v>
      </c>
      <c r="S4577">
        <v>2</v>
      </c>
    </row>
    <row r="4578" spans="1:19" x14ac:dyDescent="0.35">
      <c r="A4578">
        <v>25121112300</v>
      </c>
      <c r="B4578" t="s">
        <v>2709</v>
      </c>
      <c r="C4578" t="str">
        <f>_xlfn.XLOOKUP(A4578,[1]Affiliations!$J$2:$J$5328,[1]Affiliations!$K$2:$K$5328,0)</f>
        <v>Universidade Federal do Sul da Bahia (+1 more)</v>
      </c>
      <c r="D4578">
        <v>43</v>
      </c>
      <c r="E4578">
        <v>860</v>
      </c>
      <c r="F4578">
        <v>20</v>
      </c>
      <c r="G4578">
        <v>16</v>
      </c>
      <c r="H4578">
        <v>0.62</v>
      </c>
      <c r="I4578">
        <v>0</v>
      </c>
      <c r="J4578">
        <v>11</v>
      </c>
      <c r="K4578">
        <v>14</v>
      </c>
      <c r="L4578">
        <v>21</v>
      </c>
      <c r="M4578">
        <v>22</v>
      </c>
      <c r="N4578">
        <v>25</v>
      </c>
      <c r="P4578">
        <v>0</v>
      </c>
      <c r="Q4578">
        <v>5</v>
      </c>
      <c r="R4578">
        <v>6</v>
      </c>
      <c r="S4578">
        <v>13</v>
      </c>
    </row>
    <row r="4579" spans="1:19" hidden="1" x14ac:dyDescent="0.35">
      <c r="A4579">
        <v>58900339800</v>
      </c>
      <c r="B4579" t="s">
        <v>4576</v>
      </c>
      <c r="C4579" t="str">
        <f>_xlfn.XLOOKUP(A4579,[1]Affiliations!$J$2:$J$5328,[1]Affiliations!$K$2:$K$5328,0)</f>
        <v>Universidade Federal do Rio Grande do Sul</v>
      </c>
      <c r="D4579">
        <v>4</v>
      </c>
      <c r="E4579">
        <v>4</v>
      </c>
      <c r="F4579">
        <v>1</v>
      </c>
      <c r="G4579">
        <v>1</v>
      </c>
      <c r="H4579">
        <v>0.71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3</v>
      </c>
      <c r="P4579">
        <v>0</v>
      </c>
      <c r="Q4579">
        <v>0</v>
      </c>
      <c r="R4579">
        <v>0</v>
      </c>
      <c r="S4579">
        <v>0</v>
      </c>
    </row>
    <row r="4580" spans="1:19" x14ac:dyDescent="0.35">
      <c r="A4580">
        <v>57192919211</v>
      </c>
      <c r="B4580" t="s">
        <v>2746</v>
      </c>
      <c r="C4580" t="str">
        <f>_xlfn.XLOOKUP(A4580,[1]Affiliations!$J$2:$J$5328,[1]Affiliations!$K$2:$K$5328,0)</f>
        <v>Federal University of Santa Catarina</v>
      </c>
      <c r="D4580">
        <v>6</v>
      </c>
      <c r="E4580">
        <v>117</v>
      </c>
      <c r="F4580">
        <v>19.5</v>
      </c>
      <c r="G4580">
        <v>4</v>
      </c>
      <c r="H4580">
        <v>0.62</v>
      </c>
      <c r="I4580">
        <v>1</v>
      </c>
      <c r="J4580">
        <v>3</v>
      </c>
      <c r="K4580">
        <v>4</v>
      </c>
      <c r="L4580">
        <v>5</v>
      </c>
      <c r="M4580">
        <v>5</v>
      </c>
      <c r="N4580">
        <v>6</v>
      </c>
      <c r="P4580">
        <v>0</v>
      </c>
      <c r="Q4580">
        <v>1</v>
      </c>
      <c r="R4580">
        <v>1</v>
      </c>
      <c r="S4580">
        <v>3</v>
      </c>
    </row>
    <row r="4581" spans="1:19" x14ac:dyDescent="0.35">
      <c r="A4581">
        <v>24328775100</v>
      </c>
      <c r="B4581" t="s">
        <v>2877</v>
      </c>
      <c r="C4581" t="str">
        <f>_xlfn.XLOOKUP(A4581,[1]Affiliations!$J$2:$J$5328,[1]Affiliations!$K$2:$K$5328,0)</f>
        <v>Universidade Federal da Bahia</v>
      </c>
      <c r="D4581">
        <v>22</v>
      </c>
      <c r="E4581">
        <v>374</v>
      </c>
      <c r="F4581">
        <v>17</v>
      </c>
      <c r="G4581">
        <v>13</v>
      </c>
      <c r="H4581">
        <v>0.62</v>
      </c>
      <c r="I4581">
        <v>0</v>
      </c>
      <c r="J4581">
        <v>4</v>
      </c>
      <c r="K4581">
        <v>9</v>
      </c>
      <c r="L4581">
        <v>14</v>
      </c>
      <c r="M4581">
        <v>16</v>
      </c>
      <c r="N4581">
        <v>18</v>
      </c>
      <c r="P4581">
        <v>0</v>
      </c>
      <c r="Q4581">
        <v>1</v>
      </c>
      <c r="R4581">
        <v>1</v>
      </c>
      <c r="S4581">
        <v>7</v>
      </c>
    </row>
    <row r="4582" spans="1:19" hidden="1" x14ac:dyDescent="0.35">
      <c r="A4582">
        <v>57205513127</v>
      </c>
      <c r="B4582" t="s">
        <v>4579</v>
      </c>
      <c r="C4582" t="str">
        <f>_xlfn.XLOOKUP(A4582,[1]Affiliations!$J$2:$J$5328,[1]Affiliations!$K$2:$K$5328,0)</f>
        <v>Pontifícia Universidade Católica do Rio Grande do Sul</v>
      </c>
      <c r="D4582">
        <v>2</v>
      </c>
      <c r="E4582">
        <v>33</v>
      </c>
      <c r="F4582">
        <v>16.5</v>
      </c>
      <c r="G4582">
        <v>2</v>
      </c>
      <c r="H4582">
        <v>0.73</v>
      </c>
      <c r="I4582">
        <v>0</v>
      </c>
      <c r="J4582">
        <v>0</v>
      </c>
      <c r="K4582">
        <v>0</v>
      </c>
      <c r="L4582">
        <v>1</v>
      </c>
      <c r="M4582">
        <v>2</v>
      </c>
      <c r="N4582">
        <v>2</v>
      </c>
      <c r="P4582">
        <v>0</v>
      </c>
      <c r="Q4582">
        <v>0</v>
      </c>
      <c r="R4582">
        <v>0</v>
      </c>
      <c r="S4582">
        <v>1</v>
      </c>
    </row>
    <row r="4583" spans="1:19" x14ac:dyDescent="0.35">
      <c r="A4583">
        <v>55561944100</v>
      </c>
      <c r="B4583" t="s">
        <v>2982</v>
      </c>
      <c r="C4583" t="str">
        <f>_xlfn.XLOOKUP(A4583,[1]Affiliations!$J$2:$J$5328,[1]Affiliations!$K$2:$K$5328,0)</f>
        <v>Universidade Federal do Rio Grande do Sul</v>
      </c>
      <c r="D4583">
        <v>93</v>
      </c>
      <c r="E4583">
        <v>554</v>
      </c>
      <c r="F4583">
        <v>5.9569893</v>
      </c>
      <c r="G4583">
        <v>12</v>
      </c>
      <c r="H4583">
        <v>0.62</v>
      </c>
      <c r="I4583">
        <v>0</v>
      </c>
      <c r="J4583">
        <v>5</v>
      </c>
      <c r="K4583">
        <v>13</v>
      </c>
      <c r="L4583">
        <v>21</v>
      </c>
      <c r="M4583">
        <v>28</v>
      </c>
      <c r="N4583">
        <v>37</v>
      </c>
      <c r="P4583">
        <v>0</v>
      </c>
      <c r="Q4583">
        <v>1</v>
      </c>
      <c r="R4583">
        <v>1</v>
      </c>
      <c r="S4583">
        <v>11</v>
      </c>
    </row>
    <row r="4584" spans="1:19" x14ac:dyDescent="0.35">
      <c r="A4584">
        <v>21739467100</v>
      </c>
      <c r="B4584" t="s">
        <v>3122</v>
      </c>
      <c r="C4584" t="str">
        <f>_xlfn.XLOOKUP(A4584,[1]Affiliations!$J$2:$J$5328,[1]Affiliations!$K$2:$K$5328,0)</f>
        <v>Federal University of Santa Catarina</v>
      </c>
      <c r="D4584">
        <v>25</v>
      </c>
      <c r="E4584">
        <v>252</v>
      </c>
      <c r="F4584">
        <v>10.08</v>
      </c>
      <c r="G4584">
        <v>13</v>
      </c>
      <c r="H4584">
        <v>0.62</v>
      </c>
      <c r="I4584">
        <v>0</v>
      </c>
      <c r="J4584">
        <v>2</v>
      </c>
      <c r="K4584">
        <v>2</v>
      </c>
      <c r="L4584">
        <v>12</v>
      </c>
      <c r="M4584">
        <v>23</v>
      </c>
      <c r="N4584">
        <v>25</v>
      </c>
      <c r="P4584">
        <v>0</v>
      </c>
      <c r="Q4584">
        <v>0</v>
      </c>
      <c r="R4584">
        <v>1</v>
      </c>
      <c r="S4584">
        <v>4</v>
      </c>
    </row>
    <row r="4585" spans="1:19" hidden="1" x14ac:dyDescent="0.35">
      <c r="A4585">
        <v>54895155800</v>
      </c>
      <c r="B4585" t="s">
        <v>4582</v>
      </c>
      <c r="C4585" t="str">
        <f>_xlfn.XLOOKUP(A4585,[1]Affiliations!$J$2:$J$5328,[1]Affiliations!$K$2:$K$5328,0)</f>
        <v>Federal University of Santa Catarina</v>
      </c>
      <c r="D4585">
        <v>26</v>
      </c>
      <c r="E4585">
        <v>268</v>
      </c>
      <c r="F4585">
        <v>10.307693</v>
      </c>
      <c r="G4585">
        <v>12</v>
      </c>
      <c r="H4585">
        <v>0.55000000000000004</v>
      </c>
      <c r="I4585">
        <v>0</v>
      </c>
      <c r="J4585">
        <v>0</v>
      </c>
      <c r="K4585">
        <v>0</v>
      </c>
      <c r="L4585">
        <v>8</v>
      </c>
      <c r="M4585">
        <v>17</v>
      </c>
      <c r="N4585">
        <v>24</v>
      </c>
      <c r="P4585">
        <v>0</v>
      </c>
      <c r="Q4585">
        <v>0</v>
      </c>
      <c r="R4585">
        <v>0</v>
      </c>
      <c r="S4585">
        <v>4</v>
      </c>
    </row>
    <row r="4586" spans="1:19" hidden="1" x14ac:dyDescent="0.35">
      <c r="A4586">
        <v>6603835448</v>
      </c>
      <c r="B4586" t="s">
        <v>4583</v>
      </c>
      <c r="C4586" t="str">
        <f>_xlfn.XLOOKUP(A4586,[1]Affiliations!$J$2:$J$5328,[1]Affiliations!$K$2:$K$5328,0)</f>
        <v>Pontifical Catholic University of Rio de Janeiro (+1 more)</v>
      </c>
      <c r="D4586">
        <v>8</v>
      </c>
      <c r="E4586">
        <v>62</v>
      </c>
      <c r="F4586">
        <v>7.75</v>
      </c>
      <c r="G4586">
        <v>15</v>
      </c>
      <c r="H4586">
        <v>0.37</v>
      </c>
      <c r="I4586">
        <v>0</v>
      </c>
      <c r="J4586">
        <v>0</v>
      </c>
      <c r="K4586">
        <v>1</v>
      </c>
      <c r="L4586">
        <v>3</v>
      </c>
      <c r="M4586">
        <v>7</v>
      </c>
      <c r="N4586">
        <v>7</v>
      </c>
      <c r="P4586">
        <v>0</v>
      </c>
      <c r="Q4586">
        <v>0</v>
      </c>
      <c r="R4586">
        <v>0</v>
      </c>
      <c r="S4586">
        <v>1</v>
      </c>
    </row>
    <row r="4587" spans="1:19" hidden="1" x14ac:dyDescent="0.35">
      <c r="A4587">
        <v>60095841800</v>
      </c>
      <c r="B4587" t="s">
        <v>4584</v>
      </c>
      <c r="C4587" t="str">
        <f>_xlfn.XLOOKUP(A4587,[1]Affiliations!$J$2:$J$5328,[1]Affiliations!$K$2:$K$5328,0)</f>
        <v>Universidade Tecnológica Federal do Paraná</v>
      </c>
      <c r="D4587">
        <v>0</v>
      </c>
      <c r="G4587">
        <v>1</v>
      </c>
    </row>
    <row r="4588" spans="1:19" x14ac:dyDescent="0.35">
      <c r="A4588">
        <v>7201994486</v>
      </c>
      <c r="B4588" t="s">
        <v>3263</v>
      </c>
      <c r="C4588" t="str">
        <f>_xlfn.XLOOKUP(A4588,[1]Affiliations!$J$2:$J$5328,[1]Affiliations!$K$2:$K$5328,0)</f>
        <v>University of Blumenau (FURB) (+1 more)</v>
      </c>
      <c r="D4588">
        <v>75</v>
      </c>
      <c r="E4588">
        <v>1011</v>
      </c>
      <c r="F4588">
        <v>13.48</v>
      </c>
      <c r="G4588">
        <v>24</v>
      </c>
      <c r="H4588">
        <v>0.62</v>
      </c>
      <c r="I4588">
        <v>0</v>
      </c>
      <c r="J4588">
        <v>3</v>
      </c>
      <c r="K4588">
        <v>8</v>
      </c>
      <c r="L4588">
        <v>36</v>
      </c>
      <c r="M4588">
        <v>51</v>
      </c>
      <c r="N4588">
        <v>56</v>
      </c>
      <c r="P4588">
        <v>0</v>
      </c>
      <c r="Q4588">
        <v>2</v>
      </c>
      <c r="R4588">
        <v>4</v>
      </c>
      <c r="S4588">
        <v>20</v>
      </c>
    </row>
    <row r="4589" spans="1:19" x14ac:dyDescent="0.35">
      <c r="A4589">
        <v>7003637352</v>
      </c>
      <c r="B4589" t="s">
        <v>3283</v>
      </c>
      <c r="C4589">
        <f>_xlfn.XLOOKUP(A4589,[1]Affiliations!$J$2:$J$5328,[1]Affiliations!$K$2:$K$5328,0)</f>
        <v>0</v>
      </c>
      <c r="D4589">
        <v>60</v>
      </c>
      <c r="E4589">
        <v>385</v>
      </c>
      <c r="F4589">
        <v>6.4166664999999998</v>
      </c>
      <c r="G4589">
        <v>16</v>
      </c>
      <c r="H4589">
        <v>0.62</v>
      </c>
      <c r="I4589">
        <v>4</v>
      </c>
      <c r="J4589">
        <v>7</v>
      </c>
      <c r="K4589">
        <v>11</v>
      </c>
      <c r="L4589">
        <v>21</v>
      </c>
      <c r="M4589">
        <v>34</v>
      </c>
      <c r="N4589">
        <v>35</v>
      </c>
      <c r="P4589">
        <v>0</v>
      </c>
      <c r="Q4589">
        <v>0</v>
      </c>
      <c r="R4589">
        <v>1</v>
      </c>
      <c r="S4589">
        <v>8</v>
      </c>
    </row>
    <row r="4590" spans="1:19" x14ac:dyDescent="0.35">
      <c r="A4590">
        <v>24336226100</v>
      </c>
      <c r="B4590" t="s">
        <v>3980</v>
      </c>
      <c r="C4590" t="str">
        <f>_xlfn.XLOOKUP(A4590,[1]Affiliations!$J$2:$J$5328,[1]Affiliations!$K$2:$K$5328,0)</f>
        <v>Universidade Federal de Mato Grosso do Sul</v>
      </c>
      <c r="D4590">
        <v>67</v>
      </c>
      <c r="E4590">
        <v>600</v>
      </c>
      <c r="F4590">
        <v>8.9552239999999994</v>
      </c>
      <c r="G4590">
        <v>23</v>
      </c>
      <c r="H4590">
        <v>0.62</v>
      </c>
      <c r="I4590">
        <v>0</v>
      </c>
      <c r="J4590">
        <v>1</v>
      </c>
      <c r="K4590">
        <v>13</v>
      </c>
      <c r="L4590">
        <v>21</v>
      </c>
      <c r="M4590">
        <v>24</v>
      </c>
      <c r="N4590">
        <v>28</v>
      </c>
      <c r="P4590">
        <v>0</v>
      </c>
      <c r="Q4590">
        <v>2</v>
      </c>
      <c r="R4590">
        <v>2</v>
      </c>
      <c r="S4590">
        <v>7</v>
      </c>
    </row>
    <row r="4591" spans="1:19" hidden="1" x14ac:dyDescent="0.35">
      <c r="A4591">
        <v>57253861900</v>
      </c>
      <c r="B4591" t="s">
        <v>4588</v>
      </c>
      <c r="C4591" t="str">
        <f>_xlfn.XLOOKUP(A4591,[1]Affiliations!$J$2:$J$5328,[1]Affiliations!$K$2:$K$5328,0)</f>
        <v>Federal University of Rio de Janeiro</v>
      </c>
      <c r="D4591">
        <v>2</v>
      </c>
      <c r="E4591">
        <v>21</v>
      </c>
      <c r="F4591">
        <v>10.5</v>
      </c>
      <c r="G4591">
        <v>2</v>
      </c>
      <c r="H4591">
        <v>0.7</v>
      </c>
      <c r="I4591">
        <v>0</v>
      </c>
      <c r="J4591">
        <v>1</v>
      </c>
      <c r="K4591">
        <v>1</v>
      </c>
      <c r="L4591">
        <v>2</v>
      </c>
      <c r="M4591">
        <v>2</v>
      </c>
      <c r="N4591">
        <v>2</v>
      </c>
      <c r="P4591">
        <v>0</v>
      </c>
      <c r="Q4591">
        <v>0</v>
      </c>
      <c r="R4591">
        <v>0</v>
      </c>
      <c r="S4591">
        <v>1</v>
      </c>
    </row>
    <row r="4592" spans="1:19" x14ac:dyDescent="0.35">
      <c r="A4592">
        <v>55962364100</v>
      </c>
      <c r="B4592" t="s">
        <v>4210</v>
      </c>
      <c r="C4592" t="str">
        <f>_xlfn.XLOOKUP(A4592,[1]Affiliations!$J$2:$J$5328,[1]Affiliations!$K$2:$K$5328,0)</f>
        <v>Universidade de São Paulo</v>
      </c>
      <c r="D4592">
        <v>31</v>
      </c>
      <c r="E4592">
        <v>447</v>
      </c>
      <c r="F4592">
        <v>14.419354</v>
      </c>
      <c r="G4592">
        <v>32</v>
      </c>
      <c r="H4592">
        <v>0.62</v>
      </c>
      <c r="I4592">
        <v>3</v>
      </c>
      <c r="J4592">
        <v>7</v>
      </c>
      <c r="K4592">
        <v>9</v>
      </c>
      <c r="L4592">
        <v>15</v>
      </c>
      <c r="M4592">
        <v>23</v>
      </c>
      <c r="N4592">
        <v>29</v>
      </c>
      <c r="P4592">
        <v>0</v>
      </c>
      <c r="Q4592">
        <v>1</v>
      </c>
      <c r="R4592">
        <v>2</v>
      </c>
      <c r="S4592">
        <v>7</v>
      </c>
    </row>
    <row r="4593" spans="1:19" hidden="1" x14ac:dyDescent="0.35">
      <c r="A4593">
        <v>58757686700</v>
      </c>
      <c r="B4593" t="s">
        <v>4590</v>
      </c>
      <c r="C4593" t="str">
        <f>_xlfn.XLOOKUP(A4593,[1]Affiliations!$J$2:$J$5328,[1]Affiliations!$K$2:$K$5328,0)</f>
        <v>Federal University of Santa Catarina</v>
      </c>
      <c r="D4593">
        <v>2</v>
      </c>
      <c r="E4593">
        <v>8</v>
      </c>
      <c r="F4593">
        <v>4</v>
      </c>
      <c r="G4593">
        <v>2</v>
      </c>
      <c r="H4593">
        <v>0.51</v>
      </c>
      <c r="I4593">
        <v>0</v>
      </c>
      <c r="J4593">
        <v>1</v>
      </c>
      <c r="K4593">
        <v>2</v>
      </c>
      <c r="L4593">
        <v>2</v>
      </c>
      <c r="M4593">
        <v>2</v>
      </c>
      <c r="N4593">
        <v>2</v>
      </c>
      <c r="P4593">
        <v>0</v>
      </c>
      <c r="Q4593">
        <v>0</v>
      </c>
      <c r="R4593">
        <v>0</v>
      </c>
      <c r="S4593">
        <v>0</v>
      </c>
    </row>
    <row r="4594" spans="1:19" hidden="1" x14ac:dyDescent="0.35">
      <c r="A4594">
        <v>59270240500</v>
      </c>
      <c r="B4594" t="s">
        <v>4591</v>
      </c>
      <c r="C4594" t="str">
        <f>_xlfn.XLOOKUP(A4594,[1]Affiliations!$J$2:$J$5328,[1]Affiliations!$K$2:$K$5328,0)</f>
        <v>Federal University of Santa Catarina</v>
      </c>
      <c r="D4594">
        <v>1</v>
      </c>
      <c r="E4594">
        <v>6</v>
      </c>
      <c r="F4594">
        <v>6</v>
      </c>
      <c r="G4594">
        <v>1</v>
      </c>
      <c r="H4594">
        <v>0.69</v>
      </c>
      <c r="I4594">
        <v>0</v>
      </c>
      <c r="J4594">
        <v>1</v>
      </c>
      <c r="K4594">
        <v>1</v>
      </c>
      <c r="L4594">
        <v>1</v>
      </c>
      <c r="M4594">
        <v>1</v>
      </c>
      <c r="N4594">
        <v>1</v>
      </c>
      <c r="P4594">
        <v>0</v>
      </c>
      <c r="Q4594">
        <v>0</v>
      </c>
      <c r="R4594">
        <v>0</v>
      </c>
      <c r="S4594">
        <v>1</v>
      </c>
    </row>
    <row r="4595" spans="1:19" x14ac:dyDescent="0.35">
      <c r="A4595">
        <v>21739820000</v>
      </c>
      <c r="B4595" t="s">
        <v>4282</v>
      </c>
      <c r="C4595" t="str">
        <f>_xlfn.XLOOKUP(A4595,[1]Affiliations!$J$2:$J$5328,[1]Affiliations!$K$2:$K$5328,0)</f>
        <v>Universidade Federal do Rio Grande (+2 more)</v>
      </c>
      <c r="D4595">
        <v>33</v>
      </c>
      <c r="E4595">
        <v>555</v>
      </c>
      <c r="F4595">
        <v>16.818182</v>
      </c>
      <c r="G4595">
        <v>16</v>
      </c>
      <c r="H4595">
        <v>0.62</v>
      </c>
      <c r="I4595">
        <v>0</v>
      </c>
      <c r="J4595">
        <v>4</v>
      </c>
      <c r="K4595">
        <v>12</v>
      </c>
      <c r="L4595">
        <v>20</v>
      </c>
      <c r="M4595">
        <v>31</v>
      </c>
      <c r="N4595">
        <v>33</v>
      </c>
      <c r="P4595">
        <v>0</v>
      </c>
      <c r="Q4595">
        <v>1</v>
      </c>
      <c r="R4595">
        <v>1</v>
      </c>
      <c r="S4595">
        <v>9</v>
      </c>
    </row>
    <row r="4596" spans="1:19" hidden="1" x14ac:dyDescent="0.35">
      <c r="A4596">
        <v>59006920800</v>
      </c>
      <c r="B4596" t="s">
        <v>4593</v>
      </c>
      <c r="C4596" t="str">
        <f>_xlfn.XLOOKUP(A4596,[1]Affiliations!$J$2:$J$5328,[1]Affiliations!$K$2:$K$5328,0)</f>
        <v>Federal University of Rio de Janeiro</v>
      </c>
      <c r="D4596">
        <v>1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1</v>
      </c>
      <c r="M4596">
        <v>1</v>
      </c>
      <c r="N4596">
        <v>1</v>
      </c>
      <c r="P4596">
        <v>0</v>
      </c>
      <c r="Q4596">
        <v>0</v>
      </c>
      <c r="R4596">
        <v>0</v>
      </c>
      <c r="S4596">
        <v>0</v>
      </c>
    </row>
    <row r="4597" spans="1:19" x14ac:dyDescent="0.35">
      <c r="A4597">
        <v>48462068100</v>
      </c>
      <c r="B4597" t="s">
        <v>5129</v>
      </c>
      <c r="C4597" t="str">
        <f>_xlfn.XLOOKUP(A4597,[1]Affiliations!$J$2:$J$5328,[1]Affiliations!$K$2:$K$5328,0)</f>
        <v>Universidade Federal de Uberlândia</v>
      </c>
      <c r="D4597">
        <v>18</v>
      </c>
      <c r="E4597">
        <v>227</v>
      </c>
      <c r="F4597">
        <v>12.611110999999999</v>
      </c>
      <c r="G4597">
        <v>10</v>
      </c>
      <c r="H4597">
        <v>0.62</v>
      </c>
      <c r="I4597">
        <v>0</v>
      </c>
      <c r="J4597">
        <v>4</v>
      </c>
      <c r="K4597">
        <v>4</v>
      </c>
      <c r="L4597">
        <v>10</v>
      </c>
      <c r="M4597">
        <v>14</v>
      </c>
      <c r="N4597">
        <v>14</v>
      </c>
      <c r="P4597">
        <v>0</v>
      </c>
      <c r="Q4597">
        <v>0</v>
      </c>
      <c r="R4597">
        <v>1</v>
      </c>
      <c r="S4597">
        <v>6</v>
      </c>
    </row>
    <row r="4598" spans="1:19" hidden="1" x14ac:dyDescent="0.35">
      <c r="A4598">
        <v>57224521840</v>
      </c>
      <c r="B4598" t="s">
        <v>4595</v>
      </c>
      <c r="C4598" t="str">
        <f>_xlfn.XLOOKUP(A4598,[1]Affiliations!$J$2:$J$5328,[1]Affiliations!$K$2:$K$5328,0)</f>
        <v>Universidade Federal de São João del-Rei</v>
      </c>
      <c r="D4598">
        <v>1</v>
      </c>
      <c r="E4598">
        <v>6</v>
      </c>
      <c r="F4598">
        <v>6</v>
      </c>
      <c r="G4598">
        <v>1</v>
      </c>
      <c r="H4598">
        <v>0.45</v>
      </c>
      <c r="I4598">
        <v>0</v>
      </c>
      <c r="J4598">
        <v>0</v>
      </c>
      <c r="K4598">
        <v>0</v>
      </c>
      <c r="L4598">
        <v>1</v>
      </c>
      <c r="M4598">
        <v>1</v>
      </c>
      <c r="N4598">
        <v>1</v>
      </c>
      <c r="P4598">
        <v>0</v>
      </c>
      <c r="Q4598">
        <v>0</v>
      </c>
      <c r="R4598">
        <v>0</v>
      </c>
      <c r="S4598">
        <v>0</v>
      </c>
    </row>
    <row r="4599" spans="1:19" hidden="1" x14ac:dyDescent="0.35">
      <c r="A4599">
        <v>57208322308</v>
      </c>
      <c r="B4599" t="s">
        <v>4596</v>
      </c>
      <c r="C4599" t="str">
        <f>_xlfn.XLOOKUP(A4599,[1]Affiliations!$J$2:$J$5328,[1]Affiliations!$K$2:$K$5328,0)</f>
        <v>Universidade Federal de Santa Maria</v>
      </c>
      <c r="D4599">
        <v>4</v>
      </c>
      <c r="E4599">
        <v>35</v>
      </c>
      <c r="F4599">
        <v>8.75</v>
      </c>
      <c r="G4599">
        <v>4</v>
      </c>
      <c r="H4599">
        <v>0.56000000000000005</v>
      </c>
      <c r="I4599">
        <v>0</v>
      </c>
      <c r="J4599">
        <v>1</v>
      </c>
      <c r="K4599">
        <v>1</v>
      </c>
      <c r="L4599">
        <v>3</v>
      </c>
      <c r="M4599">
        <v>4</v>
      </c>
      <c r="N4599">
        <v>4</v>
      </c>
      <c r="P4599">
        <v>0</v>
      </c>
      <c r="Q4599">
        <v>0</v>
      </c>
      <c r="R4599">
        <v>0</v>
      </c>
      <c r="S4599">
        <v>1</v>
      </c>
    </row>
    <row r="4600" spans="1:19" x14ac:dyDescent="0.35">
      <c r="A4600">
        <v>24778077700</v>
      </c>
      <c r="B4600" t="s">
        <v>173</v>
      </c>
      <c r="C4600" t="str">
        <f>_xlfn.XLOOKUP(A4600,[1]Affiliations!$J$2:$J$5328,[1]Affiliations!$K$2:$K$5328,0)</f>
        <v>Universidade Federal Fluminense (+1 more)</v>
      </c>
      <c r="D4600">
        <v>20</v>
      </c>
      <c r="E4600">
        <v>228</v>
      </c>
      <c r="F4600">
        <v>11.4</v>
      </c>
      <c r="G4600">
        <v>11</v>
      </c>
      <c r="H4600">
        <v>0.61</v>
      </c>
      <c r="I4600">
        <v>0</v>
      </c>
      <c r="J4600">
        <v>0</v>
      </c>
      <c r="K4600">
        <v>1</v>
      </c>
      <c r="L4600">
        <v>7</v>
      </c>
      <c r="M4600">
        <v>16</v>
      </c>
      <c r="N4600">
        <v>19</v>
      </c>
      <c r="P4600">
        <v>0</v>
      </c>
      <c r="Q4600">
        <v>0</v>
      </c>
      <c r="R4600">
        <v>2</v>
      </c>
      <c r="S4600">
        <v>7</v>
      </c>
    </row>
    <row r="4601" spans="1:19" hidden="1" x14ac:dyDescent="0.35">
      <c r="A4601">
        <v>57208510829</v>
      </c>
      <c r="B4601" t="s">
        <v>4598</v>
      </c>
      <c r="C4601" t="str">
        <f>_xlfn.XLOOKUP(A4601,[1]Affiliations!$J$2:$J$5328,[1]Affiliations!$K$2:$K$5328,0)</f>
        <v>Universidade Federal de São João del-Rei</v>
      </c>
      <c r="D4601">
        <v>14</v>
      </c>
      <c r="E4601">
        <v>83</v>
      </c>
      <c r="F4601">
        <v>5.9285709999999998</v>
      </c>
      <c r="G4601">
        <v>6</v>
      </c>
      <c r="H4601">
        <v>0.4</v>
      </c>
      <c r="I4601">
        <v>0</v>
      </c>
      <c r="J4601">
        <v>1</v>
      </c>
      <c r="K4601">
        <v>2</v>
      </c>
      <c r="L4601">
        <v>2</v>
      </c>
      <c r="M4601">
        <v>4</v>
      </c>
      <c r="N4601">
        <v>9</v>
      </c>
      <c r="P4601">
        <v>0</v>
      </c>
      <c r="Q4601">
        <v>0</v>
      </c>
      <c r="R4601">
        <v>0</v>
      </c>
      <c r="S4601">
        <v>2</v>
      </c>
    </row>
    <row r="4602" spans="1:19" hidden="1" x14ac:dyDescent="0.35">
      <c r="A4602">
        <v>57208569414</v>
      </c>
      <c r="B4602" t="s">
        <v>4599</v>
      </c>
      <c r="C4602" t="str">
        <f>_xlfn.XLOOKUP(A4602,[1]Affiliations!$J$2:$J$5328,[1]Affiliations!$K$2:$K$5328,0)</f>
        <v>Federal University of Rio de Janeiro</v>
      </c>
      <c r="D4602">
        <v>9</v>
      </c>
      <c r="E4602">
        <v>95</v>
      </c>
      <c r="F4602">
        <v>10.555555</v>
      </c>
      <c r="G4602">
        <v>7</v>
      </c>
      <c r="H4602">
        <v>0.7</v>
      </c>
      <c r="I4602">
        <v>0</v>
      </c>
      <c r="J4602">
        <v>0</v>
      </c>
      <c r="K4602">
        <v>0</v>
      </c>
      <c r="L4602">
        <v>6</v>
      </c>
      <c r="M4602">
        <v>9</v>
      </c>
      <c r="N4602">
        <v>9</v>
      </c>
      <c r="P4602">
        <v>0</v>
      </c>
      <c r="Q4602">
        <v>0</v>
      </c>
      <c r="R4602">
        <v>0</v>
      </c>
      <c r="S4602">
        <v>5</v>
      </c>
    </row>
    <row r="4603" spans="1:19" hidden="1" x14ac:dyDescent="0.35">
      <c r="A4603">
        <v>55968243400</v>
      </c>
      <c r="B4603" t="s">
        <v>4600</v>
      </c>
      <c r="C4603" t="str">
        <f>_xlfn.XLOOKUP(A4603,[1]Affiliations!$J$2:$J$5328,[1]Affiliations!$K$2:$K$5328,0)</f>
        <v>Universidade Tiradentes (+2 more)</v>
      </c>
      <c r="D4603">
        <v>6</v>
      </c>
      <c r="E4603">
        <v>31</v>
      </c>
      <c r="F4603">
        <v>5.1666664999999998</v>
      </c>
      <c r="G4603">
        <v>4</v>
      </c>
      <c r="H4603">
        <v>0.3</v>
      </c>
      <c r="I4603">
        <v>0</v>
      </c>
      <c r="J4603">
        <v>0</v>
      </c>
      <c r="K4603">
        <v>0</v>
      </c>
      <c r="L4603">
        <v>2</v>
      </c>
      <c r="M4603">
        <v>5</v>
      </c>
      <c r="N4603">
        <v>6</v>
      </c>
      <c r="P4603">
        <v>0</v>
      </c>
      <c r="Q4603">
        <v>0</v>
      </c>
      <c r="R4603">
        <v>0</v>
      </c>
      <c r="S4603">
        <v>0</v>
      </c>
    </row>
    <row r="4604" spans="1:19" hidden="1" x14ac:dyDescent="0.35">
      <c r="A4604">
        <v>57201400664</v>
      </c>
      <c r="B4604" t="s">
        <v>4601</v>
      </c>
      <c r="C4604" t="str">
        <f>_xlfn.XLOOKUP(A4604,[1]Affiliations!$J$2:$J$5328,[1]Affiliations!$K$2:$K$5328,0)</f>
        <v>Petróleo Brasileiro S.A. (+1 more)</v>
      </c>
      <c r="D4604">
        <v>2</v>
      </c>
      <c r="E4604">
        <v>1</v>
      </c>
      <c r="F4604">
        <v>0.5</v>
      </c>
      <c r="G4604">
        <v>1</v>
      </c>
      <c r="H4604">
        <v>0.59</v>
      </c>
      <c r="P4604">
        <v>0</v>
      </c>
      <c r="Q4604">
        <v>0</v>
      </c>
      <c r="R4604">
        <v>0</v>
      </c>
      <c r="S4604">
        <v>0</v>
      </c>
    </row>
    <row r="4605" spans="1:19" hidden="1" x14ac:dyDescent="0.35">
      <c r="A4605">
        <v>58577686800</v>
      </c>
      <c r="B4605" t="s">
        <v>4602</v>
      </c>
      <c r="C4605" t="str">
        <f>_xlfn.XLOOKUP(A4605,[1]Affiliations!$J$2:$J$5328,[1]Affiliations!$K$2:$K$5328,0)</f>
        <v>Pontifical Catholic University of Rio de Janeiro</v>
      </c>
      <c r="D4605">
        <v>2</v>
      </c>
      <c r="E4605">
        <v>1</v>
      </c>
      <c r="F4605">
        <v>0.5</v>
      </c>
      <c r="G4605">
        <v>1</v>
      </c>
      <c r="H4605">
        <v>0.06</v>
      </c>
      <c r="I4605">
        <v>0</v>
      </c>
      <c r="J4605">
        <v>0</v>
      </c>
      <c r="K4605">
        <v>0</v>
      </c>
      <c r="L4605">
        <v>1</v>
      </c>
      <c r="M4605">
        <v>1</v>
      </c>
      <c r="N4605">
        <v>1</v>
      </c>
      <c r="P4605">
        <v>0</v>
      </c>
      <c r="Q4605">
        <v>0</v>
      </c>
      <c r="R4605">
        <v>0</v>
      </c>
      <c r="S4605">
        <v>0</v>
      </c>
    </row>
    <row r="4606" spans="1:19" hidden="1" x14ac:dyDescent="0.35">
      <c r="A4606">
        <v>7006464535</v>
      </c>
      <c r="B4606" t="s">
        <v>4603</v>
      </c>
      <c r="C4606" t="str">
        <f>_xlfn.XLOOKUP(A4606,[1]Affiliations!$J$2:$J$5328,[1]Affiliations!$K$2:$K$5328,0)</f>
        <v>Universidade Estadual Paulista “Júlio de Mesquita Filho” (+1 more)</v>
      </c>
      <c r="D4606">
        <v>27</v>
      </c>
      <c r="E4606">
        <v>90</v>
      </c>
      <c r="F4606">
        <v>3.3333333000000001</v>
      </c>
      <c r="G4606">
        <v>9</v>
      </c>
      <c r="H4606">
        <v>0.42</v>
      </c>
      <c r="I4606">
        <v>0</v>
      </c>
      <c r="J4606">
        <v>0</v>
      </c>
      <c r="K4606">
        <v>2</v>
      </c>
      <c r="L4606">
        <v>7</v>
      </c>
      <c r="M4606">
        <v>8</v>
      </c>
      <c r="N4606">
        <v>9</v>
      </c>
      <c r="P4606">
        <v>0</v>
      </c>
      <c r="Q4606">
        <v>0</v>
      </c>
      <c r="R4606">
        <v>0</v>
      </c>
      <c r="S4606">
        <v>1</v>
      </c>
    </row>
    <row r="4607" spans="1:19" x14ac:dyDescent="0.35">
      <c r="A4607">
        <v>8701025300</v>
      </c>
      <c r="B4607" t="s">
        <v>395</v>
      </c>
      <c r="C4607" t="str">
        <f>_xlfn.XLOOKUP(A4607,[1]Affiliations!$J$2:$J$5328,[1]Affiliations!$K$2:$K$5328,0)</f>
        <v>Federal University of Rio de Janeiro</v>
      </c>
      <c r="D4607">
        <v>45</v>
      </c>
      <c r="E4607">
        <v>469</v>
      </c>
      <c r="F4607">
        <v>10.422222</v>
      </c>
      <c r="G4607">
        <v>13</v>
      </c>
      <c r="H4607">
        <v>0.61</v>
      </c>
      <c r="I4607">
        <v>0</v>
      </c>
      <c r="J4607">
        <v>0</v>
      </c>
      <c r="K4607">
        <v>2</v>
      </c>
      <c r="L4607">
        <v>26</v>
      </c>
      <c r="M4607">
        <v>40</v>
      </c>
      <c r="N4607">
        <v>43</v>
      </c>
      <c r="P4607">
        <v>0</v>
      </c>
      <c r="Q4607">
        <v>0</v>
      </c>
      <c r="R4607">
        <v>3</v>
      </c>
      <c r="S4607">
        <v>13</v>
      </c>
    </row>
    <row r="4608" spans="1:19" x14ac:dyDescent="0.35">
      <c r="A4608">
        <v>7003420478</v>
      </c>
      <c r="B4608" t="s">
        <v>534</v>
      </c>
      <c r="C4608" t="str">
        <f>_xlfn.XLOOKUP(A4608,[1]Affiliations!$J$2:$J$5328,[1]Affiliations!$K$2:$K$5328,0)</f>
        <v>Universidade de São Paulo</v>
      </c>
      <c r="D4608">
        <v>39</v>
      </c>
      <c r="E4608">
        <v>438</v>
      </c>
      <c r="F4608">
        <v>11.230769</v>
      </c>
      <c r="G4608">
        <v>35</v>
      </c>
      <c r="H4608">
        <v>0.61</v>
      </c>
      <c r="I4608">
        <v>0</v>
      </c>
      <c r="J4608">
        <v>4</v>
      </c>
      <c r="K4608">
        <v>6</v>
      </c>
      <c r="L4608">
        <v>20</v>
      </c>
      <c r="M4608">
        <v>29</v>
      </c>
      <c r="N4608">
        <v>33</v>
      </c>
      <c r="P4608">
        <v>0</v>
      </c>
      <c r="Q4608">
        <v>1</v>
      </c>
      <c r="R4608">
        <v>2</v>
      </c>
      <c r="S4608">
        <v>7</v>
      </c>
    </row>
    <row r="4609" spans="1:19" x14ac:dyDescent="0.35">
      <c r="A4609">
        <v>18433395400</v>
      </c>
      <c r="B4609" t="s">
        <v>548</v>
      </c>
      <c r="C4609" t="str">
        <f>_xlfn.XLOOKUP(A4609,[1]Affiliations!$J$2:$J$5328,[1]Affiliations!$K$2:$K$5328,0)</f>
        <v>Universidade Tiradentes (+4 more)</v>
      </c>
      <c r="D4609">
        <v>35</v>
      </c>
      <c r="E4609">
        <v>560</v>
      </c>
      <c r="F4609">
        <v>16</v>
      </c>
      <c r="G4609">
        <v>20</v>
      </c>
      <c r="H4609">
        <v>0.61</v>
      </c>
      <c r="I4609">
        <v>0</v>
      </c>
      <c r="J4609">
        <v>3</v>
      </c>
      <c r="K4609">
        <v>7</v>
      </c>
      <c r="L4609">
        <v>25</v>
      </c>
      <c r="M4609">
        <v>32</v>
      </c>
      <c r="N4609">
        <v>35</v>
      </c>
      <c r="P4609">
        <v>0</v>
      </c>
      <c r="Q4609">
        <v>1</v>
      </c>
      <c r="R4609">
        <v>1</v>
      </c>
      <c r="S4609">
        <v>13</v>
      </c>
    </row>
    <row r="4610" spans="1:19" x14ac:dyDescent="0.35">
      <c r="A4610">
        <v>35117463600</v>
      </c>
      <c r="B4610" t="s">
        <v>972</v>
      </c>
      <c r="C4610" t="str">
        <f>_xlfn.XLOOKUP(A4610,[1]Affiliations!$J$2:$J$5328,[1]Affiliations!$K$2:$K$5328,0)</f>
        <v>Universidade Federal Fluminense</v>
      </c>
      <c r="D4610">
        <v>5</v>
      </c>
      <c r="E4610">
        <v>38</v>
      </c>
      <c r="F4610">
        <v>7.6</v>
      </c>
      <c r="G4610">
        <v>4</v>
      </c>
      <c r="H4610">
        <v>0.61</v>
      </c>
      <c r="I4610">
        <v>0</v>
      </c>
      <c r="J4610">
        <v>0</v>
      </c>
      <c r="K4610">
        <v>1</v>
      </c>
      <c r="L4610">
        <v>2</v>
      </c>
      <c r="M4610">
        <v>2</v>
      </c>
      <c r="N4610">
        <v>2</v>
      </c>
      <c r="P4610">
        <v>0</v>
      </c>
      <c r="Q4610">
        <v>0</v>
      </c>
      <c r="R4610">
        <v>1</v>
      </c>
      <c r="S4610">
        <v>2</v>
      </c>
    </row>
    <row r="4611" spans="1:19" x14ac:dyDescent="0.35">
      <c r="A4611">
        <v>6603672033</v>
      </c>
      <c r="B4611" t="s">
        <v>1081</v>
      </c>
      <c r="C4611" t="str">
        <f>_xlfn.XLOOKUP(A4611,[1]Affiliations!$J$2:$J$5328,[1]Affiliations!$K$2:$K$5328,0)</f>
        <v>University of Campinas (+1 more)</v>
      </c>
      <c r="D4611">
        <v>30</v>
      </c>
      <c r="E4611">
        <v>311</v>
      </c>
      <c r="F4611">
        <v>10.366667</v>
      </c>
      <c r="G4611">
        <v>14</v>
      </c>
      <c r="H4611">
        <v>0.61</v>
      </c>
      <c r="I4611">
        <v>0</v>
      </c>
      <c r="J4611">
        <v>3</v>
      </c>
      <c r="K4611">
        <v>5</v>
      </c>
      <c r="L4611">
        <v>16</v>
      </c>
      <c r="M4611">
        <v>22</v>
      </c>
      <c r="N4611">
        <v>24</v>
      </c>
      <c r="P4611">
        <v>0</v>
      </c>
      <c r="Q4611">
        <v>0</v>
      </c>
      <c r="R4611">
        <v>2</v>
      </c>
      <c r="S4611">
        <v>5</v>
      </c>
    </row>
    <row r="4612" spans="1:19" hidden="1" x14ac:dyDescent="0.35">
      <c r="A4612">
        <v>59748642300</v>
      </c>
      <c r="B4612" t="s">
        <v>4609</v>
      </c>
      <c r="C4612" t="str">
        <f>_xlfn.XLOOKUP(A4612,[1]Affiliations!$J$2:$J$5328,[1]Affiliations!$K$2:$K$5328,0)</f>
        <v>PUC-Rio</v>
      </c>
      <c r="D4612">
        <v>0</v>
      </c>
      <c r="G4612">
        <v>0</v>
      </c>
    </row>
    <row r="4613" spans="1:19" hidden="1" x14ac:dyDescent="0.35">
      <c r="A4613">
        <v>54791365700</v>
      </c>
      <c r="B4613" t="s">
        <v>4610</v>
      </c>
      <c r="C4613" t="str">
        <f>_xlfn.XLOOKUP(A4613,[1]Affiliations!$J$2:$J$5328,[1]Affiliations!$K$2:$K$5328,0)</f>
        <v>Universidade de São Paulo</v>
      </c>
      <c r="D4613">
        <v>23</v>
      </c>
      <c r="E4613">
        <v>94</v>
      </c>
      <c r="F4613">
        <v>4.0869565000000003</v>
      </c>
      <c r="G4613">
        <v>7</v>
      </c>
      <c r="H4613">
        <v>0.75</v>
      </c>
      <c r="I4613">
        <v>0</v>
      </c>
      <c r="J4613">
        <v>0</v>
      </c>
      <c r="K4613">
        <v>1</v>
      </c>
      <c r="L4613">
        <v>4</v>
      </c>
      <c r="M4613">
        <v>5</v>
      </c>
      <c r="N4613">
        <v>5</v>
      </c>
      <c r="P4613">
        <v>0</v>
      </c>
      <c r="Q4613">
        <v>0</v>
      </c>
      <c r="R4613">
        <v>0</v>
      </c>
      <c r="S4613">
        <v>1</v>
      </c>
    </row>
    <row r="4614" spans="1:19" x14ac:dyDescent="0.35">
      <c r="A4614">
        <v>55332262100</v>
      </c>
      <c r="B4614" t="s">
        <v>1873</v>
      </c>
      <c r="C4614" t="str">
        <f>_xlfn.XLOOKUP(A4614,[1]Affiliations!$J$2:$J$5328,[1]Affiliations!$K$2:$K$5328,0)</f>
        <v>Senai Institute of Environmental Technology (+1 more)</v>
      </c>
      <c r="D4614">
        <v>11</v>
      </c>
      <c r="E4614">
        <v>89</v>
      </c>
      <c r="F4614">
        <v>8.0909089999999999</v>
      </c>
      <c r="G4614">
        <v>7</v>
      </c>
      <c r="H4614">
        <v>0.61</v>
      </c>
      <c r="I4614">
        <v>0</v>
      </c>
      <c r="J4614">
        <v>2</v>
      </c>
      <c r="K4614">
        <v>2</v>
      </c>
      <c r="L4614">
        <v>6</v>
      </c>
      <c r="M4614">
        <v>9</v>
      </c>
      <c r="N4614">
        <v>9</v>
      </c>
      <c r="P4614">
        <v>0</v>
      </c>
      <c r="Q4614">
        <v>0</v>
      </c>
      <c r="R4614">
        <v>1</v>
      </c>
      <c r="S4614">
        <v>4</v>
      </c>
    </row>
    <row r="4615" spans="1:19" x14ac:dyDescent="0.35">
      <c r="A4615">
        <v>7005224833</v>
      </c>
      <c r="B4615" t="s">
        <v>2007</v>
      </c>
      <c r="C4615" t="str">
        <f>_xlfn.XLOOKUP(A4615,[1]Affiliations!$J$2:$J$5328,[1]Affiliations!$K$2:$K$5328,0)</f>
        <v>Federal University of Rio de Janeiro</v>
      </c>
      <c r="D4615">
        <v>36</v>
      </c>
      <c r="E4615">
        <v>406</v>
      </c>
      <c r="F4615">
        <v>11.277778</v>
      </c>
      <c r="G4615">
        <v>24</v>
      </c>
      <c r="H4615">
        <v>0.61</v>
      </c>
      <c r="I4615">
        <v>2</v>
      </c>
      <c r="J4615">
        <v>5</v>
      </c>
      <c r="K4615">
        <v>10</v>
      </c>
      <c r="L4615">
        <v>16</v>
      </c>
      <c r="M4615">
        <v>23</v>
      </c>
      <c r="N4615">
        <v>28</v>
      </c>
      <c r="P4615">
        <v>0</v>
      </c>
      <c r="Q4615">
        <v>1</v>
      </c>
      <c r="R4615">
        <v>4</v>
      </c>
      <c r="S4615">
        <v>8</v>
      </c>
    </row>
    <row r="4616" spans="1:19" x14ac:dyDescent="0.35">
      <c r="A4616">
        <v>9336277100</v>
      </c>
      <c r="B4616" t="s">
        <v>2065</v>
      </c>
      <c r="C4616" t="str">
        <f>_xlfn.XLOOKUP(A4616,[1]Affiliations!$J$2:$J$5328,[1]Affiliations!$K$2:$K$5328,0)</f>
        <v>Universidade Federal do Rio Grande do Sul</v>
      </c>
      <c r="D4616">
        <v>59</v>
      </c>
      <c r="E4616">
        <v>681</v>
      </c>
      <c r="F4616">
        <v>11.542373</v>
      </c>
      <c r="G4616">
        <v>15</v>
      </c>
      <c r="H4616">
        <v>0.61</v>
      </c>
      <c r="I4616">
        <v>0</v>
      </c>
      <c r="J4616">
        <v>3</v>
      </c>
      <c r="K4616">
        <v>14</v>
      </c>
      <c r="L4616">
        <v>33</v>
      </c>
      <c r="M4616">
        <v>41</v>
      </c>
      <c r="N4616">
        <v>55</v>
      </c>
      <c r="P4616">
        <v>0</v>
      </c>
      <c r="Q4616">
        <v>1</v>
      </c>
      <c r="R4616">
        <v>3</v>
      </c>
      <c r="S4616">
        <v>10</v>
      </c>
    </row>
    <row r="4617" spans="1:19" x14ac:dyDescent="0.35">
      <c r="A4617">
        <v>7201781555</v>
      </c>
      <c r="B4617" t="s">
        <v>2107</v>
      </c>
      <c r="C4617" t="str">
        <f>_xlfn.XLOOKUP(A4617,[1]Affiliations!$J$2:$J$5328,[1]Affiliations!$K$2:$K$5328,0)</f>
        <v>Federal University of Rio de Janeiro</v>
      </c>
      <c r="D4617">
        <v>100</v>
      </c>
      <c r="E4617">
        <v>798</v>
      </c>
      <c r="F4617">
        <v>7.98</v>
      </c>
      <c r="G4617">
        <v>21</v>
      </c>
      <c r="H4617">
        <v>0.61</v>
      </c>
      <c r="I4617">
        <v>2</v>
      </c>
      <c r="J4617">
        <v>6</v>
      </c>
      <c r="K4617">
        <v>10</v>
      </c>
      <c r="L4617">
        <v>30</v>
      </c>
      <c r="M4617">
        <v>47</v>
      </c>
      <c r="N4617">
        <v>72</v>
      </c>
      <c r="P4617">
        <v>0</v>
      </c>
      <c r="Q4617">
        <v>0</v>
      </c>
      <c r="R4617">
        <v>1</v>
      </c>
      <c r="S4617">
        <v>15</v>
      </c>
    </row>
    <row r="4618" spans="1:19" hidden="1" x14ac:dyDescent="0.35">
      <c r="A4618">
        <v>17346476400</v>
      </c>
      <c r="B4618" t="s">
        <v>4615</v>
      </c>
      <c r="C4618" t="str">
        <f>_xlfn.XLOOKUP(A4618,[1]Affiliations!$J$2:$J$5328,[1]Affiliations!$K$2:$K$5328,0)</f>
        <v>Universidade do Estado de Santa Catarina (+1 more)</v>
      </c>
      <c r="D4618">
        <v>9</v>
      </c>
      <c r="E4618">
        <v>79</v>
      </c>
      <c r="F4618">
        <v>8.7777779999999996</v>
      </c>
      <c r="G4618">
        <v>9</v>
      </c>
      <c r="H4618">
        <v>0.53</v>
      </c>
      <c r="I4618">
        <v>0</v>
      </c>
      <c r="J4618">
        <v>1</v>
      </c>
      <c r="K4618">
        <v>2</v>
      </c>
      <c r="L4618">
        <v>4</v>
      </c>
      <c r="M4618">
        <v>6</v>
      </c>
      <c r="N4618">
        <v>6</v>
      </c>
      <c r="P4618">
        <v>0</v>
      </c>
      <c r="Q4618">
        <v>0</v>
      </c>
      <c r="R4618">
        <v>0</v>
      </c>
      <c r="S4618">
        <v>1</v>
      </c>
    </row>
    <row r="4619" spans="1:19" x14ac:dyDescent="0.35">
      <c r="A4619">
        <v>56562614700</v>
      </c>
      <c r="B4619" t="s">
        <v>2150</v>
      </c>
      <c r="C4619" t="str">
        <f>_xlfn.XLOOKUP(A4619,[1]Affiliations!$J$2:$J$5328,[1]Affiliations!$K$2:$K$5328,0)</f>
        <v>Pontifical Catholic University of Rio de Janeiro</v>
      </c>
      <c r="D4619">
        <v>25</v>
      </c>
      <c r="E4619">
        <v>323</v>
      </c>
      <c r="F4619">
        <v>12.92</v>
      </c>
      <c r="G4619">
        <v>10</v>
      </c>
      <c r="H4619">
        <v>0.61</v>
      </c>
      <c r="I4619">
        <v>0</v>
      </c>
      <c r="J4619">
        <v>0</v>
      </c>
      <c r="K4619">
        <v>1</v>
      </c>
      <c r="L4619">
        <v>3</v>
      </c>
      <c r="M4619">
        <v>7</v>
      </c>
      <c r="N4619">
        <v>8</v>
      </c>
      <c r="P4619">
        <v>0</v>
      </c>
      <c r="Q4619">
        <v>1</v>
      </c>
      <c r="R4619">
        <v>1</v>
      </c>
      <c r="S4619">
        <v>8</v>
      </c>
    </row>
    <row r="4620" spans="1:19" x14ac:dyDescent="0.35">
      <c r="A4620">
        <v>58094964700</v>
      </c>
      <c r="B4620" t="s">
        <v>2169</v>
      </c>
      <c r="C4620" t="str">
        <f>_xlfn.XLOOKUP(A4620,[1]Affiliations!$J$2:$J$5328,[1]Affiliations!$K$2:$K$5328,0)</f>
        <v>Universidade de São Paulo (+1 more)</v>
      </c>
      <c r="D4620">
        <v>41</v>
      </c>
      <c r="E4620">
        <v>286</v>
      </c>
      <c r="F4620">
        <v>6.9756099999999996</v>
      </c>
      <c r="G4620">
        <v>11</v>
      </c>
      <c r="H4620">
        <v>0.61</v>
      </c>
      <c r="I4620">
        <v>0</v>
      </c>
      <c r="J4620">
        <v>5</v>
      </c>
      <c r="K4620">
        <v>6</v>
      </c>
      <c r="L4620">
        <v>14</v>
      </c>
      <c r="M4620">
        <v>23</v>
      </c>
      <c r="N4620">
        <v>35</v>
      </c>
      <c r="P4620">
        <v>0</v>
      </c>
      <c r="Q4620">
        <v>1</v>
      </c>
      <c r="R4620">
        <v>1</v>
      </c>
      <c r="S4620">
        <v>7</v>
      </c>
    </row>
    <row r="4621" spans="1:19" hidden="1" x14ac:dyDescent="0.35">
      <c r="A4621">
        <v>56326319800</v>
      </c>
      <c r="B4621" t="s">
        <v>4618</v>
      </c>
      <c r="C4621" t="str">
        <f>_xlfn.XLOOKUP(A4621,[1]Affiliations!$J$2:$J$5328,[1]Affiliations!$K$2:$K$5328,0)</f>
        <v>Federal University of Rio de Janeiro</v>
      </c>
      <c r="D4621">
        <v>0</v>
      </c>
      <c r="G4621">
        <v>1</v>
      </c>
    </row>
    <row r="4622" spans="1:19" hidden="1" x14ac:dyDescent="0.35">
      <c r="A4622">
        <v>56578716300</v>
      </c>
      <c r="B4622" t="s">
        <v>4619</v>
      </c>
      <c r="C4622" t="str">
        <f>_xlfn.XLOOKUP(A4622,[1]Affiliations!$J$2:$J$5328,[1]Affiliations!$K$2:$K$5328,0)</f>
        <v>Universidade Federal do Rio Grande do Sul</v>
      </c>
      <c r="D4622">
        <v>1</v>
      </c>
      <c r="E4622">
        <v>27</v>
      </c>
      <c r="F4622">
        <v>27</v>
      </c>
      <c r="G4622">
        <v>1</v>
      </c>
      <c r="H4622">
        <v>0.89</v>
      </c>
      <c r="I4622">
        <v>0</v>
      </c>
      <c r="J4622">
        <v>0</v>
      </c>
      <c r="K4622">
        <v>1</v>
      </c>
      <c r="L4622">
        <v>1</v>
      </c>
      <c r="M4622">
        <v>1</v>
      </c>
      <c r="N4622">
        <v>1</v>
      </c>
      <c r="P4622">
        <v>0</v>
      </c>
      <c r="Q4622">
        <v>0</v>
      </c>
      <c r="R4622">
        <v>0</v>
      </c>
      <c r="S4622">
        <v>1</v>
      </c>
    </row>
    <row r="4623" spans="1:19" hidden="1" x14ac:dyDescent="0.35">
      <c r="A4623">
        <v>59449145700</v>
      </c>
      <c r="B4623" t="s">
        <v>4620</v>
      </c>
      <c r="C4623" t="str">
        <f>_xlfn.XLOOKUP(A4623,[1]Affiliations!$J$2:$J$5328,[1]Affiliations!$K$2:$K$5328,0)</f>
        <v>Pontifical Catholic University of Rio de Janeiro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1</v>
      </c>
      <c r="M4623">
        <v>1</v>
      </c>
      <c r="N4623">
        <v>1</v>
      </c>
      <c r="P4623">
        <v>0</v>
      </c>
      <c r="Q4623">
        <v>0</v>
      </c>
      <c r="R4623">
        <v>0</v>
      </c>
      <c r="S4623">
        <v>0</v>
      </c>
    </row>
    <row r="4624" spans="1:19" hidden="1" x14ac:dyDescent="0.35">
      <c r="A4624">
        <v>60086785500</v>
      </c>
      <c r="B4624" t="s">
        <v>4621</v>
      </c>
      <c r="C4624" t="str">
        <f>_xlfn.XLOOKUP(A4624,[1]Affiliations!$J$2:$J$5328,[1]Affiliations!$K$2:$K$5328,0)</f>
        <v>Universidade de São Paulo</v>
      </c>
      <c r="D4624">
        <v>0</v>
      </c>
      <c r="G4624">
        <v>0</v>
      </c>
    </row>
    <row r="4625" spans="1:19" hidden="1" x14ac:dyDescent="0.35">
      <c r="A4625">
        <v>59895491900</v>
      </c>
      <c r="B4625" t="s">
        <v>4622</v>
      </c>
      <c r="C4625" t="str">
        <f>_xlfn.XLOOKUP(A4625,[1]Affiliations!$J$2:$J$5328,[1]Affiliations!$K$2:$K$5328,0)</f>
        <v>Universidade Federal de Alagoas</v>
      </c>
      <c r="D4625">
        <v>0</v>
      </c>
      <c r="G4625">
        <v>0</v>
      </c>
    </row>
    <row r="4626" spans="1:19" hidden="1" x14ac:dyDescent="0.35">
      <c r="A4626">
        <v>57198695159</v>
      </c>
      <c r="B4626" t="s">
        <v>4623</v>
      </c>
      <c r="C4626" t="str">
        <f>_xlfn.XLOOKUP(A4626,[1]Affiliations!$J$2:$J$5328,[1]Affiliations!$K$2:$K$5328,0)</f>
        <v>Universidade Federal Fluminense (+1 more)</v>
      </c>
      <c r="D4626">
        <v>1</v>
      </c>
      <c r="E4626">
        <v>1</v>
      </c>
      <c r="F4626">
        <v>1</v>
      </c>
      <c r="G4626">
        <v>1</v>
      </c>
      <c r="H4626">
        <v>0.12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1</v>
      </c>
      <c r="P4626">
        <v>0</v>
      </c>
      <c r="Q4626">
        <v>0</v>
      </c>
      <c r="R4626">
        <v>0</v>
      </c>
      <c r="S4626">
        <v>0</v>
      </c>
    </row>
    <row r="4627" spans="1:19" x14ac:dyDescent="0.35">
      <c r="A4627">
        <v>35306973000</v>
      </c>
      <c r="B4627" t="s">
        <v>2201</v>
      </c>
      <c r="C4627" t="str">
        <f>_xlfn.XLOOKUP(A4627,[1]Affiliations!$J$2:$J$5328,[1]Affiliations!$K$2:$K$5328,0)</f>
        <v>University of Campinas</v>
      </c>
      <c r="D4627">
        <v>45</v>
      </c>
      <c r="E4627">
        <v>625</v>
      </c>
      <c r="F4627">
        <v>13.888889000000001</v>
      </c>
      <c r="G4627">
        <v>19</v>
      </c>
      <c r="H4627">
        <v>0.61</v>
      </c>
      <c r="I4627">
        <v>0</v>
      </c>
      <c r="J4627">
        <v>2</v>
      </c>
      <c r="K4627">
        <v>6</v>
      </c>
      <c r="L4627">
        <v>13</v>
      </c>
      <c r="M4627">
        <v>19</v>
      </c>
      <c r="N4627">
        <v>35</v>
      </c>
      <c r="P4627">
        <v>0</v>
      </c>
      <c r="Q4627">
        <v>2</v>
      </c>
      <c r="R4627">
        <v>3</v>
      </c>
      <c r="S4627">
        <v>11</v>
      </c>
    </row>
    <row r="4628" spans="1:19" hidden="1" x14ac:dyDescent="0.35">
      <c r="A4628">
        <v>55826393300</v>
      </c>
      <c r="B4628" t="s">
        <v>4625</v>
      </c>
      <c r="C4628" t="str">
        <f>_xlfn.XLOOKUP(A4628,[1]Affiliations!$J$2:$J$5328,[1]Affiliations!$K$2:$K$5328,0)</f>
        <v>Universidade de São Paulo (+1 more)</v>
      </c>
      <c r="D4628">
        <v>8</v>
      </c>
      <c r="E4628">
        <v>16</v>
      </c>
      <c r="F4628">
        <v>2</v>
      </c>
      <c r="G4628">
        <v>2</v>
      </c>
      <c r="H4628">
        <v>0.38</v>
      </c>
      <c r="I4628">
        <v>0</v>
      </c>
      <c r="J4628">
        <v>0</v>
      </c>
      <c r="K4628">
        <v>0</v>
      </c>
      <c r="L4628">
        <v>1</v>
      </c>
      <c r="M4628">
        <v>1</v>
      </c>
      <c r="N4628">
        <v>3</v>
      </c>
      <c r="P4628">
        <v>0</v>
      </c>
      <c r="Q4628">
        <v>0</v>
      </c>
      <c r="R4628">
        <v>0</v>
      </c>
      <c r="S4628">
        <v>0</v>
      </c>
    </row>
    <row r="4629" spans="1:19" hidden="1" x14ac:dyDescent="0.35">
      <c r="A4629">
        <v>57578219400</v>
      </c>
      <c r="B4629" t="s">
        <v>4626</v>
      </c>
      <c r="C4629" t="str">
        <f>_xlfn.XLOOKUP(A4629,[1]Affiliations!$J$2:$J$5328,[1]Affiliations!$K$2:$K$5328,0)</f>
        <v>Universidade de São Paulo</v>
      </c>
      <c r="D4629">
        <v>4</v>
      </c>
      <c r="E4629">
        <v>1</v>
      </c>
      <c r="F4629">
        <v>0.25</v>
      </c>
      <c r="G4629">
        <v>1</v>
      </c>
      <c r="H4629">
        <v>0.08</v>
      </c>
      <c r="P4629">
        <v>0</v>
      </c>
      <c r="Q4629">
        <v>0</v>
      </c>
      <c r="R4629">
        <v>0</v>
      </c>
      <c r="S4629">
        <v>0</v>
      </c>
    </row>
    <row r="4630" spans="1:19" hidden="1" x14ac:dyDescent="0.35">
      <c r="A4630">
        <v>57225937195</v>
      </c>
      <c r="B4630" t="s">
        <v>4627</v>
      </c>
      <c r="C4630" t="str">
        <f>_xlfn.XLOOKUP(A4630,[1]Affiliations!$J$2:$J$5328,[1]Affiliations!$K$2:$K$5328,0)</f>
        <v>Universidade Federal de Campina Grande</v>
      </c>
      <c r="D4630">
        <v>1</v>
      </c>
      <c r="E4630">
        <v>41</v>
      </c>
      <c r="F4630">
        <v>41</v>
      </c>
      <c r="G4630">
        <v>1</v>
      </c>
      <c r="H4630">
        <v>2.63</v>
      </c>
      <c r="I4630">
        <v>0</v>
      </c>
      <c r="J4630">
        <v>1</v>
      </c>
      <c r="K4630">
        <v>1</v>
      </c>
      <c r="L4630">
        <v>1</v>
      </c>
      <c r="M4630">
        <v>1</v>
      </c>
      <c r="N4630">
        <v>1</v>
      </c>
      <c r="P4630">
        <v>0</v>
      </c>
      <c r="Q4630">
        <v>0</v>
      </c>
      <c r="R4630">
        <v>1</v>
      </c>
      <c r="S4630">
        <v>1</v>
      </c>
    </row>
    <row r="4631" spans="1:19" hidden="1" x14ac:dyDescent="0.35">
      <c r="A4631">
        <v>56828550500</v>
      </c>
      <c r="B4631" t="s">
        <v>4628</v>
      </c>
      <c r="C4631" t="str">
        <f>_xlfn.XLOOKUP(A4631,[1]Affiliations!$J$2:$J$5328,[1]Affiliations!$K$2:$K$5328,0)</f>
        <v>Federal University of Rio de Janeiro</v>
      </c>
      <c r="D4631">
        <v>5</v>
      </c>
      <c r="E4631">
        <v>80</v>
      </c>
      <c r="F4631">
        <v>16</v>
      </c>
      <c r="G4631">
        <v>3</v>
      </c>
      <c r="H4631">
        <v>0.32</v>
      </c>
      <c r="I4631">
        <v>0</v>
      </c>
      <c r="J4631">
        <v>0</v>
      </c>
      <c r="K4631">
        <v>0</v>
      </c>
      <c r="L4631">
        <v>2</v>
      </c>
      <c r="M4631">
        <v>5</v>
      </c>
      <c r="N4631">
        <v>5</v>
      </c>
      <c r="P4631">
        <v>0</v>
      </c>
      <c r="Q4631">
        <v>0</v>
      </c>
      <c r="R4631">
        <v>0</v>
      </c>
      <c r="S4631">
        <v>2</v>
      </c>
    </row>
    <row r="4632" spans="1:19" hidden="1" x14ac:dyDescent="0.35">
      <c r="A4632">
        <v>57207964267</v>
      </c>
      <c r="B4632" t="s">
        <v>4629</v>
      </c>
      <c r="C4632" t="str">
        <f>_xlfn.XLOOKUP(A4632,[1]Affiliations!$J$2:$J$5328,[1]Affiliations!$K$2:$K$5328,0)</f>
        <v>Universidade Federal do Piauí</v>
      </c>
      <c r="D4632">
        <v>2</v>
      </c>
      <c r="E4632">
        <v>16</v>
      </c>
      <c r="F4632">
        <v>8</v>
      </c>
      <c r="G4632">
        <v>1</v>
      </c>
      <c r="H4632">
        <v>0.68</v>
      </c>
      <c r="I4632">
        <v>0</v>
      </c>
      <c r="J4632">
        <v>0</v>
      </c>
      <c r="K4632">
        <v>0</v>
      </c>
      <c r="L4632">
        <v>0</v>
      </c>
      <c r="M4632">
        <v>2</v>
      </c>
      <c r="N4632">
        <v>2</v>
      </c>
      <c r="P4632">
        <v>0</v>
      </c>
      <c r="Q4632">
        <v>0</v>
      </c>
      <c r="R4632">
        <v>0</v>
      </c>
      <c r="S4632">
        <v>0</v>
      </c>
    </row>
    <row r="4633" spans="1:19" hidden="1" x14ac:dyDescent="0.35">
      <c r="A4633">
        <v>57214829731</v>
      </c>
      <c r="B4633" t="s">
        <v>4630</v>
      </c>
      <c r="C4633" t="str">
        <f>_xlfn.XLOOKUP(A4633,[1]Affiliations!$J$2:$J$5328,[1]Affiliations!$K$2:$K$5328,0)</f>
        <v>Senai-SC (+1 more)</v>
      </c>
      <c r="D4633">
        <v>4</v>
      </c>
      <c r="E4633">
        <v>4</v>
      </c>
      <c r="F4633">
        <v>1</v>
      </c>
      <c r="G4633">
        <v>1</v>
      </c>
      <c r="H4633">
        <v>0.15</v>
      </c>
      <c r="I4633">
        <v>0</v>
      </c>
      <c r="J4633">
        <v>0</v>
      </c>
      <c r="K4633">
        <v>0</v>
      </c>
      <c r="L4633">
        <v>1</v>
      </c>
      <c r="M4633">
        <v>1</v>
      </c>
      <c r="N4633">
        <v>3</v>
      </c>
      <c r="P4633">
        <v>0</v>
      </c>
      <c r="Q4633">
        <v>0</v>
      </c>
      <c r="R4633">
        <v>0</v>
      </c>
      <c r="S4633">
        <v>0</v>
      </c>
    </row>
    <row r="4634" spans="1:19" hidden="1" x14ac:dyDescent="0.35">
      <c r="A4634">
        <v>57956953300</v>
      </c>
      <c r="B4634" t="s">
        <v>4631</v>
      </c>
      <c r="C4634">
        <f>_xlfn.XLOOKUP(A4634,[1]Affiliations!$J$2:$J$5328,[1]Affiliations!$K$2:$K$5328,0)</f>
        <v>0</v>
      </c>
      <c r="D4634">
        <v>1</v>
      </c>
      <c r="E4634">
        <v>9</v>
      </c>
      <c r="F4634">
        <v>9</v>
      </c>
      <c r="G4634">
        <v>2</v>
      </c>
      <c r="H4634">
        <v>0.79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1</v>
      </c>
      <c r="P4634">
        <v>0</v>
      </c>
      <c r="Q4634">
        <v>0</v>
      </c>
      <c r="R4634">
        <v>0</v>
      </c>
      <c r="S4634">
        <v>1</v>
      </c>
    </row>
    <row r="4635" spans="1:19" hidden="1" x14ac:dyDescent="0.35">
      <c r="A4635">
        <v>58730548600</v>
      </c>
      <c r="B4635" t="s">
        <v>4632</v>
      </c>
      <c r="C4635" t="str">
        <f>_xlfn.XLOOKUP(A4635,[1]Affiliations!$J$2:$J$5328,[1]Affiliations!$K$2:$K$5328,0)</f>
        <v>Instituto Nacional de Tecnologia</v>
      </c>
      <c r="D4635">
        <v>1</v>
      </c>
      <c r="E4635">
        <v>10</v>
      </c>
      <c r="F4635">
        <v>10</v>
      </c>
      <c r="G4635">
        <v>1</v>
      </c>
      <c r="H4635">
        <v>0.48</v>
      </c>
      <c r="I4635">
        <v>0</v>
      </c>
      <c r="J4635">
        <v>0</v>
      </c>
      <c r="K4635">
        <v>0</v>
      </c>
      <c r="L4635">
        <v>1</v>
      </c>
      <c r="M4635">
        <v>1</v>
      </c>
      <c r="N4635">
        <v>1</v>
      </c>
      <c r="P4635">
        <v>0</v>
      </c>
      <c r="Q4635">
        <v>0</v>
      </c>
      <c r="R4635">
        <v>0</v>
      </c>
      <c r="S4635">
        <v>0</v>
      </c>
    </row>
    <row r="4636" spans="1:19" hidden="1" x14ac:dyDescent="0.35">
      <c r="A4636">
        <v>57220715773</v>
      </c>
      <c r="B4636" t="s">
        <v>4633</v>
      </c>
      <c r="C4636" t="str">
        <f>_xlfn.XLOOKUP(A4636,[1]Affiliations!$J$2:$J$5328,[1]Affiliations!$K$2:$K$5328,0)</f>
        <v>Universidade Federal do Rio Grande do Sul</v>
      </c>
      <c r="D4636">
        <v>3</v>
      </c>
      <c r="E4636">
        <v>11</v>
      </c>
      <c r="F4636">
        <v>3.6666666999999999</v>
      </c>
      <c r="G4636">
        <v>2</v>
      </c>
      <c r="H4636">
        <v>0.37</v>
      </c>
      <c r="I4636">
        <v>0</v>
      </c>
      <c r="J4636">
        <v>1</v>
      </c>
      <c r="K4636">
        <v>1</v>
      </c>
      <c r="L4636">
        <v>1</v>
      </c>
      <c r="M4636">
        <v>3</v>
      </c>
      <c r="N4636">
        <v>3</v>
      </c>
      <c r="P4636">
        <v>0</v>
      </c>
      <c r="Q4636">
        <v>0</v>
      </c>
      <c r="R4636">
        <v>0</v>
      </c>
      <c r="S4636">
        <v>1</v>
      </c>
    </row>
    <row r="4637" spans="1:19" hidden="1" x14ac:dyDescent="0.35">
      <c r="A4637">
        <v>59466738300</v>
      </c>
      <c r="B4637" t="s">
        <v>4634</v>
      </c>
      <c r="C4637" t="str">
        <f>_xlfn.XLOOKUP(A4637,[1]Affiliations!$J$2:$J$5328,[1]Affiliations!$K$2:$K$5328,0)</f>
        <v>University of Campinas (+1 more)</v>
      </c>
      <c r="D4637">
        <v>1</v>
      </c>
      <c r="E4637">
        <v>0</v>
      </c>
      <c r="F4637">
        <v>0</v>
      </c>
      <c r="G4637">
        <v>0</v>
      </c>
      <c r="H4637">
        <v>0</v>
      </c>
      <c r="P4637">
        <v>0</v>
      </c>
      <c r="Q4637">
        <v>0</v>
      </c>
      <c r="R4637">
        <v>0</v>
      </c>
      <c r="S4637">
        <v>0</v>
      </c>
    </row>
    <row r="4638" spans="1:19" x14ac:dyDescent="0.35">
      <c r="A4638">
        <v>55339506500</v>
      </c>
      <c r="B4638" t="s">
        <v>2944</v>
      </c>
      <c r="C4638" t="str">
        <f>_xlfn.XLOOKUP(A4638,[1]Affiliations!$J$2:$J$5328,[1]Affiliations!$K$2:$K$5328,0)</f>
        <v>University of Campinas</v>
      </c>
      <c r="D4638">
        <v>6</v>
      </c>
      <c r="E4638">
        <v>107</v>
      </c>
      <c r="F4638">
        <v>17.833334000000001</v>
      </c>
      <c r="G4638">
        <v>9</v>
      </c>
      <c r="H4638">
        <v>0.61</v>
      </c>
      <c r="I4638">
        <v>0</v>
      </c>
      <c r="J4638">
        <v>0</v>
      </c>
      <c r="K4638">
        <v>1</v>
      </c>
      <c r="L4638">
        <v>4</v>
      </c>
      <c r="M4638">
        <v>6</v>
      </c>
      <c r="N4638">
        <v>6</v>
      </c>
      <c r="P4638">
        <v>0</v>
      </c>
      <c r="Q4638">
        <v>0</v>
      </c>
      <c r="R4638">
        <v>1</v>
      </c>
      <c r="S4638">
        <v>2</v>
      </c>
    </row>
    <row r="4639" spans="1:19" hidden="1" x14ac:dyDescent="0.35">
      <c r="A4639">
        <v>57217725652</v>
      </c>
      <c r="B4639" t="s">
        <v>4636</v>
      </c>
      <c r="C4639" t="str">
        <f>_xlfn.XLOOKUP(A4639,[1]Affiliations!$J$2:$J$5328,[1]Affiliations!$K$2:$K$5328,0)</f>
        <v>Universidade Federal de Minas Gerais</v>
      </c>
      <c r="D4639">
        <v>9</v>
      </c>
      <c r="E4639">
        <v>119</v>
      </c>
      <c r="F4639">
        <v>13.222222</v>
      </c>
      <c r="G4639">
        <v>6</v>
      </c>
      <c r="H4639">
        <v>0.61</v>
      </c>
      <c r="I4639">
        <v>0</v>
      </c>
      <c r="J4639">
        <v>0</v>
      </c>
      <c r="K4639">
        <v>0</v>
      </c>
      <c r="L4639">
        <v>3</v>
      </c>
      <c r="M4639">
        <v>9</v>
      </c>
      <c r="N4639">
        <v>9</v>
      </c>
      <c r="P4639">
        <v>0</v>
      </c>
      <c r="Q4639">
        <v>0</v>
      </c>
      <c r="R4639">
        <v>0</v>
      </c>
      <c r="S4639">
        <v>3</v>
      </c>
    </row>
    <row r="4640" spans="1:19" hidden="1" x14ac:dyDescent="0.35">
      <c r="A4640">
        <v>57444427600</v>
      </c>
      <c r="B4640" t="s">
        <v>4637</v>
      </c>
      <c r="C4640" t="str">
        <f>_xlfn.XLOOKUP(A4640,[1]Affiliations!$J$2:$J$5328,[1]Affiliations!$K$2:$K$5328,0)</f>
        <v>Federal University of Pará</v>
      </c>
      <c r="D4640">
        <v>4</v>
      </c>
      <c r="E4640">
        <v>16</v>
      </c>
      <c r="F4640">
        <v>4</v>
      </c>
      <c r="G4640">
        <v>1</v>
      </c>
      <c r="H4640">
        <v>0.56000000000000005</v>
      </c>
      <c r="I4640">
        <v>0</v>
      </c>
      <c r="J4640">
        <v>0</v>
      </c>
      <c r="K4640">
        <v>0</v>
      </c>
      <c r="L4640">
        <v>2</v>
      </c>
      <c r="M4640">
        <v>2</v>
      </c>
      <c r="N4640">
        <v>3</v>
      </c>
      <c r="P4640">
        <v>0</v>
      </c>
      <c r="Q4640">
        <v>0</v>
      </c>
      <c r="R4640">
        <v>0</v>
      </c>
      <c r="S4640">
        <v>1</v>
      </c>
    </row>
    <row r="4641" spans="1:19" hidden="1" x14ac:dyDescent="0.35">
      <c r="A4641">
        <v>57196423255</v>
      </c>
      <c r="B4641" t="s">
        <v>4638</v>
      </c>
      <c r="C4641" t="str">
        <f>_xlfn.XLOOKUP(A4641,[1]Affiliations!$J$2:$J$5328,[1]Affiliations!$K$2:$K$5328,0)</f>
        <v>DEMa</v>
      </c>
      <c r="D4641">
        <v>6</v>
      </c>
      <c r="E4641">
        <v>80</v>
      </c>
      <c r="F4641">
        <v>13.333333</v>
      </c>
      <c r="G4641">
        <v>4</v>
      </c>
      <c r="H4641">
        <v>0.54</v>
      </c>
      <c r="I4641">
        <v>0</v>
      </c>
      <c r="J4641">
        <v>1</v>
      </c>
      <c r="K4641">
        <v>1</v>
      </c>
      <c r="L4641">
        <v>2</v>
      </c>
      <c r="M4641">
        <v>3</v>
      </c>
      <c r="N4641">
        <v>5</v>
      </c>
      <c r="P4641">
        <v>0</v>
      </c>
      <c r="Q4641">
        <v>0</v>
      </c>
      <c r="R4641">
        <v>0</v>
      </c>
      <c r="S4641">
        <v>3</v>
      </c>
    </row>
    <row r="4642" spans="1:19" hidden="1" x14ac:dyDescent="0.35">
      <c r="A4642">
        <v>57197275908</v>
      </c>
      <c r="B4642" t="s">
        <v>4637</v>
      </c>
      <c r="C4642" t="str">
        <f>_xlfn.XLOOKUP(A4642,[1]Affiliations!$J$2:$J$5328,[1]Affiliations!$K$2:$K$5328,0)</f>
        <v>Federal University of Rio de Janeiro</v>
      </c>
      <c r="D4642">
        <v>6</v>
      </c>
      <c r="E4642">
        <v>30</v>
      </c>
      <c r="F4642">
        <v>5</v>
      </c>
      <c r="G4642">
        <v>2</v>
      </c>
      <c r="H4642">
        <v>0.36</v>
      </c>
      <c r="I4642">
        <v>0</v>
      </c>
      <c r="J4642">
        <v>0</v>
      </c>
      <c r="K4642">
        <v>0</v>
      </c>
      <c r="L4642">
        <v>1</v>
      </c>
      <c r="M4642">
        <v>4</v>
      </c>
      <c r="N4642">
        <v>4</v>
      </c>
      <c r="P4642">
        <v>0</v>
      </c>
      <c r="Q4642">
        <v>0</v>
      </c>
      <c r="R4642">
        <v>0</v>
      </c>
      <c r="S4642">
        <v>0</v>
      </c>
    </row>
    <row r="4643" spans="1:19" hidden="1" x14ac:dyDescent="0.35">
      <c r="A4643">
        <v>57212431597</v>
      </c>
      <c r="B4643" t="s">
        <v>4639</v>
      </c>
      <c r="C4643" t="str">
        <f>_xlfn.XLOOKUP(A4643,[1]Affiliations!$J$2:$J$5328,[1]Affiliations!$K$2:$K$5328,0)</f>
        <v>Universidade Federal da Bahia (+1 more)</v>
      </c>
      <c r="D4643">
        <v>2</v>
      </c>
      <c r="E4643">
        <v>15</v>
      </c>
      <c r="F4643">
        <v>7.5</v>
      </c>
      <c r="G4643">
        <v>2</v>
      </c>
      <c r="H4643">
        <v>6.3</v>
      </c>
      <c r="I4643">
        <v>0</v>
      </c>
      <c r="J4643">
        <v>0</v>
      </c>
      <c r="K4643">
        <v>0</v>
      </c>
      <c r="L4643">
        <v>1</v>
      </c>
      <c r="M4643">
        <v>1</v>
      </c>
      <c r="N4643">
        <v>1</v>
      </c>
      <c r="P4643">
        <v>0</v>
      </c>
      <c r="Q4643">
        <v>0</v>
      </c>
      <c r="R4643">
        <v>0</v>
      </c>
      <c r="S4643">
        <v>1</v>
      </c>
    </row>
    <row r="4644" spans="1:19" hidden="1" x14ac:dyDescent="0.35">
      <c r="A4644">
        <v>57199742975</v>
      </c>
      <c r="B4644" t="s">
        <v>4640</v>
      </c>
      <c r="C4644" t="str">
        <f>_xlfn.XLOOKUP(A4644,[1]Affiliations!$J$2:$J$5328,[1]Affiliations!$K$2:$K$5328,0)</f>
        <v>Federal University of Rio de Janeiro</v>
      </c>
      <c r="D4644">
        <v>0</v>
      </c>
      <c r="G4644">
        <v>1</v>
      </c>
    </row>
    <row r="4645" spans="1:19" hidden="1" x14ac:dyDescent="0.35">
      <c r="A4645">
        <v>56396065400</v>
      </c>
      <c r="B4645" t="s">
        <v>4641</v>
      </c>
      <c r="C4645" t="str">
        <f>_xlfn.XLOOKUP(A4645,[1]Affiliations!$J$2:$J$5328,[1]Affiliations!$K$2:$K$5328,0)</f>
        <v>Universidade de São Paulo</v>
      </c>
      <c r="D4645">
        <v>12</v>
      </c>
      <c r="E4645">
        <v>136</v>
      </c>
      <c r="F4645">
        <v>11.333333</v>
      </c>
      <c r="G4645">
        <v>6</v>
      </c>
      <c r="H4645">
        <v>0.61</v>
      </c>
      <c r="I4645">
        <v>0</v>
      </c>
      <c r="J4645">
        <v>0</v>
      </c>
      <c r="K4645">
        <v>1</v>
      </c>
      <c r="L4645">
        <v>4</v>
      </c>
      <c r="M4645">
        <v>9</v>
      </c>
      <c r="N4645">
        <v>12</v>
      </c>
      <c r="P4645">
        <v>0</v>
      </c>
      <c r="Q4645">
        <v>0</v>
      </c>
      <c r="R4645">
        <v>0</v>
      </c>
      <c r="S4645">
        <v>3</v>
      </c>
    </row>
    <row r="4646" spans="1:19" hidden="1" x14ac:dyDescent="0.35">
      <c r="A4646">
        <v>57188881188</v>
      </c>
      <c r="B4646" t="s">
        <v>4642</v>
      </c>
      <c r="C4646" t="str">
        <f>_xlfn.XLOOKUP(A4646,[1]Affiliations!$J$2:$J$5328,[1]Affiliations!$K$2:$K$5328,0)</f>
        <v>Federal University of Rio de Janeiro</v>
      </c>
      <c r="D4646">
        <v>10</v>
      </c>
      <c r="E4646">
        <v>60</v>
      </c>
      <c r="F4646">
        <v>6</v>
      </c>
      <c r="G4646">
        <v>4</v>
      </c>
      <c r="H4646">
        <v>0.26</v>
      </c>
      <c r="I4646">
        <v>0</v>
      </c>
      <c r="J4646">
        <v>0</v>
      </c>
      <c r="K4646">
        <v>0</v>
      </c>
      <c r="L4646">
        <v>1</v>
      </c>
      <c r="M4646">
        <v>3</v>
      </c>
      <c r="N4646">
        <v>9</v>
      </c>
      <c r="P4646">
        <v>0</v>
      </c>
      <c r="Q4646">
        <v>0</v>
      </c>
      <c r="R4646">
        <v>0</v>
      </c>
      <c r="S4646">
        <v>1</v>
      </c>
    </row>
    <row r="4647" spans="1:19" hidden="1" x14ac:dyDescent="0.35">
      <c r="A4647">
        <v>21644478300</v>
      </c>
      <c r="B4647" t="s">
        <v>4643</v>
      </c>
      <c r="C4647" t="str">
        <f>_xlfn.XLOOKUP(A4647,[1]Affiliations!$J$2:$J$5328,[1]Affiliations!$K$2:$K$5328,0)</f>
        <v>University of Campinas</v>
      </c>
      <c r="D4647">
        <v>7</v>
      </c>
      <c r="E4647">
        <v>85</v>
      </c>
      <c r="F4647">
        <v>12.142858</v>
      </c>
      <c r="G4647">
        <v>9</v>
      </c>
      <c r="H4647">
        <v>0.66</v>
      </c>
      <c r="I4647">
        <v>0</v>
      </c>
      <c r="J4647">
        <v>1</v>
      </c>
      <c r="K4647">
        <v>1</v>
      </c>
      <c r="L4647">
        <v>5</v>
      </c>
      <c r="M4647">
        <v>6</v>
      </c>
      <c r="N4647">
        <v>6</v>
      </c>
      <c r="P4647">
        <v>0</v>
      </c>
      <c r="Q4647">
        <v>0</v>
      </c>
      <c r="R4647">
        <v>0</v>
      </c>
      <c r="S4647">
        <v>2</v>
      </c>
    </row>
    <row r="4648" spans="1:19" hidden="1" x14ac:dyDescent="0.35">
      <c r="A4648">
        <v>57196393894</v>
      </c>
      <c r="B4648" t="s">
        <v>4644</v>
      </c>
      <c r="C4648" t="str">
        <f>_xlfn.XLOOKUP(A4648,[1]Affiliations!$J$2:$J$5328,[1]Affiliations!$K$2:$K$5328,0)</f>
        <v>Federal University of Rio de Janeiro</v>
      </c>
      <c r="D4648">
        <v>1</v>
      </c>
      <c r="E4648">
        <v>12</v>
      </c>
      <c r="F4648">
        <v>12</v>
      </c>
      <c r="G4648">
        <v>1</v>
      </c>
      <c r="H4648">
        <v>0.5</v>
      </c>
      <c r="I4648">
        <v>0</v>
      </c>
      <c r="J4648">
        <v>0</v>
      </c>
      <c r="K4648">
        <v>1</v>
      </c>
      <c r="L4648">
        <v>1</v>
      </c>
      <c r="M4648">
        <v>1</v>
      </c>
      <c r="N4648">
        <v>1</v>
      </c>
      <c r="P4648">
        <v>0</v>
      </c>
      <c r="Q4648">
        <v>0</v>
      </c>
      <c r="R4648">
        <v>0</v>
      </c>
      <c r="S4648">
        <v>0</v>
      </c>
    </row>
    <row r="4649" spans="1:19" x14ac:dyDescent="0.35">
      <c r="A4649">
        <v>7201929684</v>
      </c>
      <c r="B4649" t="s">
        <v>3663</v>
      </c>
      <c r="C4649" t="str">
        <f>_xlfn.XLOOKUP(A4649,[1]Affiliations!$J$2:$J$5328,[1]Affiliations!$K$2:$K$5328,0)</f>
        <v>Federal University of Santa Catarina</v>
      </c>
      <c r="D4649">
        <v>38</v>
      </c>
      <c r="E4649">
        <v>444</v>
      </c>
      <c r="F4649">
        <v>11.684210999999999</v>
      </c>
      <c r="G4649">
        <v>20</v>
      </c>
      <c r="H4649">
        <v>0.61</v>
      </c>
      <c r="I4649">
        <v>1</v>
      </c>
      <c r="J4649">
        <v>7</v>
      </c>
      <c r="K4649">
        <v>13</v>
      </c>
      <c r="L4649">
        <v>20</v>
      </c>
      <c r="M4649">
        <v>30</v>
      </c>
      <c r="N4649">
        <v>33</v>
      </c>
      <c r="P4649">
        <v>0</v>
      </c>
      <c r="Q4649">
        <v>2</v>
      </c>
      <c r="R4649">
        <v>3</v>
      </c>
      <c r="S4649">
        <v>11</v>
      </c>
    </row>
    <row r="4650" spans="1:19" x14ac:dyDescent="0.35">
      <c r="A4650">
        <v>14322295300</v>
      </c>
      <c r="B4650" t="s">
        <v>3797</v>
      </c>
      <c r="C4650" t="str">
        <f>_xlfn.XLOOKUP(A4650,[1]Affiliations!$J$2:$J$5328,[1]Affiliations!$K$2:$K$5328,0)</f>
        <v>Universidade Federal do Ceará</v>
      </c>
      <c r="D4650">
        <v>18</v>
      </c>
      <c r="E4650">
        <v>260</v>
      </c>
      <c r="F4650">
        <v>14.444445</v>
      </c>
      <c r="G4650">
        <v>13</v>
      </c>
      <c r="H4650">
        <v>0.61</v>
      </c>
      <c r="I4650">
        <v>0</v>
      </c>
      <c r="J4650">
        <v>3</v>
      </c>
      <c r="K4650">
        <v>8</v>
      </c>
      <c r="L4650">
        <v>12</v>
      </c>
      <c r="M4650">
        <v>17</v>
      </c>
      <c r="N4650">
        <v>18</v>
      </c>
      <c r="P4650">
        <v>0</v>
      </c>
      <c r="Q4650">
        <v>0</v>
      </c>
      <c r="R4650">
        <v>1</v>
      </c>
      <c r="S4650">
        <v>5</v>
      </c>
    </row>
    <row r="4651" spans="1:19" hidden="1" x14ac:dyDescent="0.35">
      <c r="A4651">
        <v>56314981600</v>
      </c>
      <c r="B4651" t="s">
        <v>4647</v>
      </c>
      <c r="C4651" t="str">
        <f>_xlfn.XLOOKUP(A4651,[1]Affiliations!$J$2:$J$5328,[1]Affiliations!$K$2:$K$5328,0)</f>
        <v>Universidade Federal Fluminense</v>
      </c>
      <c r="D4651">
        <v>44</v>
      </c>
      <c r="E4651">
        <v>362</v>
      </c>
      <c r="F4651">
        <v>8.2272730000000003</v>
      </c>
      <c r="G4651">
        <v>17</v>
      </c>
      <c r="H4651">
        <v>0.61</v>
      </c>
      <c r="I4651">
        <v>2</v>
      </c>
      <c r="J4651">
        <v>5</v>
      </c>
      <c r="K4651">
        <v>8</v>
      </c>
      <c r="L4651">
        <v>21</v>
      </c>
      <c r="M4651">
        <v>28</v>
      </c>
      <c r="N4651">
        <v>30</v>
      </c>
      <c r="P4651">
        <v>0</v>
      </c>
      <c r="Q4651">
        <v>0</v>
      </c>
      <c r="R4651">
        <v>0</v>
      </c>
      <c r="S4651">
        <v>4</v>
      </c>
    </row>
    <row r="4652" spans="1:19" x14ac:dyDescent="0.35">
      <c r="A4652">
        <v>57210995031</v>
      </c>
      <c r="B4652" t="s">
        <v>3837</v>
      </c>
      <c r="C4652" t="str">
        <f>_xlfn.XLOOKUP(A4652,[1]Affiliations!$J$2:$J$5328,[1]Affiliations!$K$2:$K$5328,0)</f>
        <v>Federal University of Rio de Janeiro</v>
      </c>
      <c r="D4652">
        <v>19</v>
      </c>
      <c r="E4652">
        <v>285</v>
      </c>
      <c r="F4652">
        <v>15</v>
      </c>
      <c r="G4652">
        <v>9</v>
      </c>
      <c r="H4652">
        <v>0.61</v>
      </c>
      <c r="I4652">
        <v>0</v>
      </c>
      <c r="J4652">
        <v>3</v>
      </c>
      <c r="K4652">
        <v>3</v>
      </c>
      <c r="L4652">
        <v>10</v>
      </c>
      <c r="M4652">
        <v>18</v>
      </c>
      <c r="N4652">
        <v>19</v>
      </c>
      <c r="P4652">
        <v>0</v>
      </c>
      <c r="Q4652">
        <v>1</v>
      </c>
      <c r="R4652">
        <v>2</v>
      </c>
      <c r="S4652">
        <v>4</v>
      </c>
    </row>
    <row r="4653" spans="1:19" hidden="1" x14ac:dyDescent="0.35">
      <c r="A4653">
        <v>57253094100</v>
      </c>
      <c r="B4653" t="s">
        <v>4649</v>
      </c>
      <c r="C4653" t="str">
        <f>_xlfn.XLOOKUP(A4653,[1]Affiliations!$J$2:$J$5328,[1]Affiliations!$K$2:$K$5328,0)</f>
        <v>Universidade Federal de Campina Grande</v>
      </c>
      <c r="D4653">
        <v>2</v>
      </c>
      <c r="E4653">
        <v>29</v>
      </c>
      <c r="F4653">
        <v>14.5</v>
      </c>
      <c r="G4653">
        <v>2</v>
      </c>
      <c r="H4653">
        <v>1.68</v>
      </c>
      <c r="I4653">
        <v>0</v>
      </c>
      <c r="J4653">
        <v>0</v>
      </c>
      <c r="K4653">
        <v>1</v>
      </c>
      <c r="L4653">
        <v>2</v>
      </c>
      <c r="M4653">
        <v>2</v>
      </c>
      <c r="N4653">
        <v>2</v>
      </c>
      <c r="P4653">
        <v>0</v>
      </c>
      <c r="Q4653">
        <v>0</v>
      </c>
      <c r="R4653">
        <v>0</v>
      </c>
      <c r="S4653">
        <v>2</v>
      </c>
    </row>
    <row r="4654" spans="1:19" x14ac:dyDescent="0.35">
      <c r="A4654">
        <v>35203814300</v>
      </c>
      <c r="B4654" t="s">
        <v>3866</v>
      </c>
      <c r="C4654" t="str">
        <f>_xlfn.XLOOKUP(A4654,[1]Affiliations!$J$2:$J$5328,[1]Affiliations!$K$2:$K$5328,0)</f>
        <v>Universidade Federal Fluminense (+1 more)</v>
      </c>
      <c r="D4654">
        <v>38</v>
      </c>
      <c r="E4654">
        <v>323</v>
      </c>
      <c r="F4654">
        <v>8.5</v>
      </c>
      <c r="G4654">
        <v>11</v>
      </c>
      <c r="H4654">
        <v>0.61</v>
      </c>
      <c r="I4654">
        <v>0</v>
      </c>
      <c r="J4654">
        <v>7</v>
      </c>
      <c r="K4654">
        <v>12</v>
      </c>
      <c r="L4654">
        <v>20</v>
      </c>
      <c r="M4654">
        <v>30</v>
      </c>
      <c r="N4654">
        <v>34</v>
      </c>
      <c r="P4654">
        <v>0</v>
      </c>
      <c r="Q4654">
        <v>0</v>
      </c>
      <c r="R4654">
        <v>1</v>
      </c>
      <c r="S4654">
        <v>11</v>
      </c>
    </row>
    <row r="4655" spans="1:19" hidden="1" x14ac:dyDescent="0.35">
      <c r="A4655">
        <v>56163445600</v>
      </c>
      <c r="B4655" t="s">
        <v>4651</v>
      </c>
      <c r="C4655" t="str">
        <f>_xlfn.XLOOKUP(A4655,[1]Affiliations!$J$2:$J$5328,[1]Affiliations!$K$2:$K$5328,0)</f>
        <v>Universidade Federal do Rio Grande do Norte</v>
      </c>
      <c r="D4655">
        <v>5</v>
      </c>
      <c r="E4655">
        <v>29</v>
      </c>
      <c r="F4655">
        <v>5.8</v>
      </c>
      <c r="G4655">
        <v>4</v>
      </c>
      <c r="H4655">
        <v>0.22</v>
      </c>
      <c r="I4655">
        <v>0</v>
      </c>
      <c r="J4655">
        <v>0</v>
      </c>
      <c r="K4655">
        <v>0</v>
      </c>
      <c r="L4655">
        <v>3</v>
      </c>
      <c r="M4655">
        <v>5</v>
      </c>
      <c r="N4655">
        <v>5</v>
      </c>
      <c r="P4655">
        <v>0</v>
      </c>
      <c r="Q4655">
        <v>0</v>
      </c>
      <c r="R4655">
        <v>0</v>
      </c>
      <c r="S4655">
        <v>0</v>
      </c>
    </row>
    <row r="4656" spans="1:19" x14ac:dyDescent="0.35">
      <c r="A4656">
        <v>6701396880</v>
      </c>
      <c r="B4656" t="s">
        <v>3934</v>
      </c>
      <c r="C4656" t="str">
        <f>_xlfn.XLOOKUP(A4656,[1]Affiliations!$J$2:$J$5328,[1]Affiliations!$K$2:$K$5328,0)</f>
        <v>Serviço Nacional de Aprendizagem Industrial (+4 more)</v>
      </c>
      <c r="D4656">
        <v>82</v>
      </c>
      <c r="E4656">
        <v>739</v>
      </c>
      <c r="F4656">
        <v>9.0121959999999994</v>
      </c>
      <c r="G4656">
        <v>28</v>
      </c>
      <c r="H4656">
        <v>0.61</v>
      </c>
      <c r="I4656">
        <v>2</v>
      </c>
      <c r="J4656">
        <v>10</v>
      </c>
      <c r="K4656">
        <v>19</v>
      </c>
      <c r="L4656">
        <v>41</v>
      </c>
      <c r="M4656">
        <v>48</v>
      </c>
      <c r="N4656">
        <v>68</v>
      </c>
      <c r="P4656">
        <v>0</v>
      </c>
      <c r="Q4656">
        <v>2</v>
      </c>
      <c r="R4656">
        <v>3</v>
      </c>
      <c r="S4656">
        <v>15</v>
      </c>
    </row>
    <row r="4657" spans="1:19" hidden="1" x14ac:dyDescent="0.35">
      <c r="A4657">
        <v>57198848067</v>
      </c>
      <c r="B4657" t="s">
        <v>4653</v>
      </c>
      <c r="C4657" t="str">
        <f>_xlfn.XLOOKUP(A4657,[1]Affiliations!$J$2:$J$5328,[1]Affiliations!$K$2:$K$5328,0)</f>
        <v>Universidade Federal de Alagoas</v>
      </c>
      <c r="D4657">
        <v>14</v>
      </c>
      <c r="E4657">
        <v>166</v>
      </c>
      <c r="F4657">
        <v>11.857142</v>
      </c>
      <c r="G4657">
        <v>8</v>
      </c>
      <c r="H4657">
        <v>0.69</v>
      </c>
      <c r="I4657">
        <v>0</v>
      </c>
      <c r="J4657">
        <v>0</v>
      </c>
      <c r="K4657">
        <v>4</v>
      </c>
      <c r="L4657">
        <v>10</v>
      </c>
      <c r="M4657">
        <v>13</v>
      </c>
      <c r="N4657">
        <v>14</v>
      </c>
      <c r="P4657">
        <v>0</v>
      </c>
      <c r="Q4657">
        <v>0</v>
      </c>
      <c r="R4657">
        <v>0</v>
      </c>
      <c r="S4657">
        <v>5</v>
      </c>
    </row>
    <row r="4658" spans="1:19" hidden="1" x14ac:dyDescent="0.35">
      <c r="A4658">
        <v>55189471500</v>
      </c>
      <c r="B4658" t="s">
        <v>4654</v>
      </c>
      <c r="C4658" t="str">
        <f>_xlfn.XLOOKUP(A4658,[1]Affiliations!$J$2:$J$5328,[1]Affiliations!$K$2:$K$5328,0)</f>
        <v>FIEMG</v>
      </c>
      <c r="D4658">
        <v>1</v>
      </c>
      <c r="E4658">
        <v>3</v>
      </c>
      <c r="F4658">
        <v>3</v>
      </c>
      <c r="G4658">
        <v>2</v>
      </c>
      <c r="H4658">
        <v>0.39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P4658">
        <v>0</v>
      </c>
      <c r="Q4658">
        <v>0</v>
      </c>
      <c r="R4658">
        <v>0</v>
      </c>
      <c r="S4658">
        <v>0</v>
      </c>
    </row>
    <row r="4659" spans="1:19" hidden="1" x14ac:dyDescent="0.35">
      <c r="A4659">
        <v>57204571338</v>
      </c>
      <c r="B4659" t="s">
        <v>4655</v>
      </c>
      <c r="C4659" t="str">
        <f>_xlfn.XLOOKUP(A4659,[1]Affiliations!$J$2:$J$5328,[1]Affiliations!$K$2:$K$5328,0)</f>
        <v>LNDC-COPPE-UFRJ (+1 more)</v>
      </c>
      <c r="D4659">
        <v>7</v>
      </c>
      <c r="E4659">
        <v>57</v>
      </c>
      <c r="F4659">
        <v>8.1428580000000004</v>
      </c>
      <c r="G4659">
        <v>6</v>
      </c>
      <c r="H4659">
        <v>0.36</v>
      </c>
      <c r="I4659">
        <v>0</v>
      </c>
      <c r="J4659">
        <v>0</v>
      </c>
      <c r="K4659">
        <v>1</v>
      </c>
      <c r="L4659">
        <v>2</v>
      </c>
      <c r="M4659">
        <v>3</v>
      </c>
      <c r="N4659">
        <v>5</v>
      </c>
      <c r="P4659">
        <v>0</v>
      </c>
      <c r="Q4659">
        <v>0</v>
      </c>
      <c r="R4659">
        <v>0</v>
      </c>
      <c r="S4659">
        <v>1</v>
      </c>
    </row>
    <row r="4660" spans="1:19" hidden="1" x14ac:dyDescent="0.35">
      <c r="A4660">
        <v>57190582829</v>
      </c>
      <c r="B4660" t="s">
        <v>4656</v>
      </c>
      <c r="C4660" t="str">
        <f>_xlfn.XLOOKUP(A4660,[1]Affiliations!$J$2:$J$5328,[1]Affiliations!$K$2:$K$5328,0)</f>
        <v>Federal University of Santa Catarina</v>
      </c>
      <c r="D4660">
        <v>5</v>
      </c>
      <c r="E4660">
        <v>37</v>
      </c>
      <c r="F4660">
        <v>7.4</v>
      </c>
      <c r="G4660">
        <v>2</v>
      </c>
      <c r="H4660">
        <v>0.99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3</v>
      </c>
      <c r="P4660">
        <v>0</v>
      </c>
      <c r="Q4660">
        <v>0</v>
      </c>
      <c r="R4660">
        <v>0</v>
      </c>
      <c r="S4660">
        <v>1</v>
      </c>
    </row>
    <row r="4661" spans="1:19" hidden="1" x14ac:dyDescent="0.35">
      <c r="A4661">
        <v>56427065100</v>
      </c>
      <c r="B4661" t="s">
        <v>4657</v>
      </c>
      <c r="C4661" t="str">
        <f>_xlfn.XLOOKUP(A4661,[1]Affiliations!$J$2:$J$5328,[1]Affiliations!$K$2:$K$5328,0)</f>
        <v>Universidade Federal Fluminense</v>
      </c>
      <c r="D4661">
        <v>2</v>
      </c>
      <c r="E4661">
        <v>64</v>
      </c>
      <c r="F4661">
        <v>32</v>
      </c>
      <c r="G4661">
        <v>2</v>
      </c>
      <c r="H4661">
        <v>1.1100000000000001</v>
      </c>
      <c r="I4661">
        <v>0</v>
      </c>
      <c r="J4661">
        <v>0</v>
      </c>
      <c r="K4661">
        <v>0</v>
      </c>
      <c r="L4661">
        <v>2</v>
      </c>
      <c r="M4661">
        <v>2</v>
      </c>
      <c r="N4661">
        <v>2</v>
      </c>
      <c r="P4661">
        <v>0</v>
      </c>
      <c r="Q4661">
        <v>0</v>
      </c>
      <c r="R4661">
        <v>0</v>
      </c>
      <c r="S4661">
        <v>1</v>
      </c>
    </row>
    <row r="4662" spans="1:19" x14ac:dyDescent="0.35">
      <c r="A4662">
        <v>12646175000</v>
      </c>
      <c r="B4662" t="s">
        <v>4658</v>
      </c>
      <c r="C4662" t="str">
        <f>_xlfn.XLOOKUP(A4662,[1]Affiliations!$J$2:$J$5328,[1]Affiliations!$K$2:$K$5328,0)</f>
        <v>University of Campinas</v>
      </c>
      <c r="D4662">
        <v>51</v>
      </c>
      <c r="E4662">
        <v>500</v>
      </c>
      <c r="F4662">
        <v>9.803922</v>
      </c>
      <c r="G4662">
        <v>15</v>
      </c>
      <c r="H4662">
        <v>0.61</v>
      </c>
      <c r="I4662">
        <v>0</v>
      </c>
      <c r="J4662">
        <v>5</v>
      </c>
      <c r="K4662">
        <v>10</v>
      </c>
      <c r="L4662">
        <v>17</v>
      </c>
      <c r="M4662">
        <v>24</v>
      </c>
      <c r="N4662">
        <v>38</v>
      </c>
      <c r="P4662">
        <v>0</v>
      </c>
      <c r="Q4662">
        <v>2</v>
      </c>
      <c r="R4662">
        <v>6</v>
      </c>
      <c r="S4662">
        <v>11</v>
      </c>
    </row>
    <row r="4663" spans="1:19" hidden="1" x14ac:dyDescent="0.35">
      <c r="A4663">
        <v>57194523971</v>
      </c>
      <c r="B4663" t="s">
        <v>4659</v>
      </c>
      <c r="C4663" t="str">
        <f>_xlfn.XLOOKUP(A4663,[1]Affiliations!$J$2:$J$5328,[1]Affiliations!$K$2:$K$5328,0)</f>
        <v>MAN Latin America</v>
      </c>
      <c r="D4663">
        <v>1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1</v>
      </c>
      <c r="P4663">
        <v>0</v>
      </c>
      <c r="Q4663">
        <v>0</v>
      </c>
      <c r="R4663">
        <v>0</v>
      </c>
      <c r="S4663">
        <v>0</v>
      </c>
    </row>
    <row r="4664" spans="1:19" hidden="1" x14ac:dyDescent="0.35">
      <c r="A4664">
        <v>58588094600</v>
      </c>
      <c r="B4664" t="s">
        <v>4660</v>
      </c>
      <c r="C4664" t="str">
        <f>_xlfn.XLOOKUP(A4664,[1]Affiliations!$J$2:$J$5328,[1]Affiliations!$K$2:$K$5328,0)</f>
        <v>Federal University of Rio de Janeiro</v>
      </c>
      <c r="D4664">
        <v>1</v>
      </c>
      <c r="E4664">
        <v>2</v>
      </c>
      <c r="F4664">
        <v>2</v>
      </c>
      <c r="G4664">
        <v>1</v>
      </c>
      <c r="H4664">
        <v>0.1</v>
      </c>
      <c r="I4664">
        <v>0</v>
      </c>
      <c r="J4664">
        <v>0</v>
      </c>
      <c r="K4664">
        <v>0</v>
      </c>
      <c r="L4664">
        <v>1</v>
      </c>
      <c r="M4664">
        <v>1</v>
      </c>
      <c r="N4664">
        <v>1</v>
      </c>
      <c r="P4664">
        <v>0</v>
      </c>
      <c r="Q4664">
        <v>0</v>
      </c>
      <c r="R4664">
        <v>0</v>
      </c>
      <c r="S4664">
        <v>0</v>
      </c>
    </row>
    <row r="4665" spans="1:19" hidden="1" x14ac:dyDescent="0.35">
      <c r="A4665">
        <v>57211367508</v>
      </c>
      <c r="B4665" t="s">
        <v>4661</v>
      </c>
      <c r="C4665" t="str">
        <f>_xlfn.XLOOKUP(A4665,[1]Affiliations!$J$2:$J$5328,[1]Affiliations!$K$2:$K$5328,0)</f>
        <v>Universidade Federal do Rio Grande do Norte</v>
      </c>
      <c r="D4665">
        <v>1</v>
      </c>
      <c r="E4665">
        <v>10</v>
      </c>
      <c r="F4665">
        <v>10</v>
      </c>
      <c r="G4665">
        <v>1</v>
      </c>
      <c r="H4665">
        <v>0.27</v>
      </c>
      <c r="I4665">
        <v>0</v>
      </c>
      <c r="J4665">
        <v>0</v>
      </c>
      <c r="K4665">
        <v>0</v>
      </c>
      <c r="L4665">
        <v>1</v>
      </c>
      <c r="M4665">
        <v>1</v>
      </c>
      <c r="N4665">
        <v>1</v>
      </c>
      <c r="P4665">
        <v>0</v>
      </c>
      <c r="Q4665">
        <v>0</v>
      </c>
      <c r="R4665">
        <v>0</v>
      </c>
      <c r="S4665">
        <v>0</v>
      </c>
    </row>
    <row r="4666" spans="1:19" hidden="1" x14ac:dyDescent="0.35">
      <c r="A4666">
        <v>57647558000</v>
      </c>
      <c r="B4666" t="s">
        <v>4662</v>
      </c>
      <c r="C4666" t="str">
        <f>_xlfn.XLOOKUP(A4666,[1]Affiliations!$J$2:$J$5328,[1]Affiliations!$K$2:$K$5328,0)</f>
        <v>Federal University of Rio de Janeiro</v>
      </c>
      <c r="D4666">
        <v>1</v>
      </c>
      <c r="E4666">
        <v>3</v>
      </c>
      <c r="F4666">
        <v>3</v>
      </c>
      <c r="G4666">
        <v>1</v>
      </c>
      <c r="H4666">
        <v>0.28000000000000003</v>
      </c>
      <c r="I4666">
        <v>0</v>
      </c>
      <c r="J4666">
        <v>1</v>
      </c>
      <c r="K4666">
        <v>1</v>
      </c>
      <c r="L4666">
        <v>1</v>
      </c>
      <c r="M4666">
        <v>1</v>
      </c>
      <c r="N4666">
        <v>1</v>
      </c>
      <c r="P4666">
        <v>0</v>
      </c>
      <c r="Q4666">
        <v>0</v>
      </c>
      <c r="R4666">
        <v>0</v>
      </c>
      <c r="S4666">
        <v>0</v>
      </c>
    </row>
    <row r="4667" spans="1:19" hidden="1" x14ac:dyDescent="0.35">
      <c r="A4667">
        <v>57437257600</v>
      </c>
      <c r="B4667" t="s">
        <v>4663</v>
      </c>
      <c r="C4667" t="str">
        <f>_xlfn.XLOOKUP(A4667,[1]Affiliations!$J$2:$J$5328,[1]Affiliations!$K$2:$K$5328,0)</f>
        <v>Center for Studies in Colloidal Systems (NUESC)/Institute of Technology and Research (ITP)</v>
      </c>
      <c r="D4667">
        <v>1</v>
      </c>
      <c r="E4667">
        <v>9</v>
      </c>
      <c r="F4667">
        <v>9</v>
      </c>
      <c r="G4667">
        <v>1</v>
      </c>
      <c r="H4667">
        <v>0.6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1</v>
      </c>
      <c r="P4667">
        <v>0</v>
      </c>
      <c r="Q4667">
        <v>0</v>
      </c>
      <c r="R4667">
        <v>0</v>
      </c>
      <c r="S4667">
        <v>0</v>
      </c>
    </row>
    <row r="4668" spans="1:19" hidden="1" x14ac:dyDescent="0.35">
      <c r="A4668">
        <v>23011701100</v>
      </c>
      <c r="B4668" t="s">
        <v>4664</v>
      </c>
      <c r="C4668" t="str">
        <f>_xlfn.XLOOKUP(A4668,[1]Affiliations!$J$2:$J$5328,[1]Affiliations!$K$2:$K$5328,0)</f>
        <v>Federal University of Rio de Janeiro</v>
      </c>
      <c r="D4668">
        <v>14</v>
      </c>
      <c r="E4668">
        <v>124</v>
      </c>
      <c r="F4668">
        <v>8.8571419999999996</v>
      </c>
      <c r="G4668">
        <v>7</v>
      </c>
      <c r="H4668">
        <v>0.37</v>
      </c>
      <c r="I4668">
        <v>0</v>
      </c>
      <c r="J4668">
        <v>0</v>
      </c>
      <c r="K4668">
        <v>1</v>
      </c>
      <c r="L4668">
        <v>3</v>
      </c>
      <c r="M4668">
        <v>6</v>
      </c>
      <c r="N4668">
        <v>6</v>
      </c>
      <c r="P4668">
        <v>0</v>
      </c>
      <c r="Q4668">
        <v>0</v>
      </c>
      <c r="R4668">
        <v>0</v>
      </c>
      <c r="S4668">
        <v>2</v>
      </c>
    </row>
    <row r="4669" spans="1:19" x14ac:dyDescent="0.35">
      <c r="A4669">
        <v>57206982661</v>
      </c>
      <c r="B4669" t="s">
        <v>4942</v>
      </c>
      <c r="C4669" t="str">
        <f>_xlfn.XLOOKUP(A4669,[1]Affiliations!$J$2:$J$5328,[1]Affiliations!$K$2:$K$5328,0)</f>
        <v>Federal University of Rio de Janeiro</v>
      </c>
      <c r="D4669">
        <v>132</v>
      </c>
      <c r="E4669">
        <v>1572</v>
      </c>
      <c r="F4669">
        <v>11.909091</v>
      </c>
      <c r="G4669">
        <v>32</v>
      </c>
      <c r="H4669">
        <v>0.61</v>
      </c>
      <c r="I4669">
        <v>3</v>
      </c>
      <c r="J4669">
        <v>10</v>
      </c>
      <c r="K4669">
        <v>29</v>
      </c>
      <c r="L4669">
        <v>93</v>
      </c>
      <c r="M4669">
        <v>124</v>
      </c>
      <c r="N4669">
        <v>129</v>
      </c>
      <c r="P4669">
        <v>0</v>
      </c>
      <c r="Q4669">
        <v>3</v>
      </c>
      <c r="R4669">
        <v>9</v>
      </c>
      <c r="S4669">
        <v>34</v>
      </c>
    </row>
    <row r="4670" spans="1:19" hidden="1" x14ac:dyDescent="0.35">
      <c r="A4670">
        <v>57075736000</v>
      </c>
      <c r="B4670" t="s">
        <v>4666</v>
      </c>
      <c r="C4670" t="str">
        <f>_xlfn.XLOOKUP(A4670,[1]Affiliations!$J$2:$J$5328,[1]Affiliations!$K$2:$K$5328,0)</f>
        <v>Federal University of Rio de Janeiro</v>
      </c>
      <c r="D4670">
        <v>2</v>
      </c>
      <c r="E4670">
        <v>87</v>
      </c>
      <c r="F4670">
        <v>43.5</v>
      </c>
      <c r="G4670">
        <v>2</v>
      </c>
      <c r="H4670">
        <v>0.98</v>
      </c>
      <c r="I4670">
        <v>0</v>
      </c>
      <c r="J4670">
        <v>0</v>
      </c>
      <c r="K4670">
        <v>0</v>
      </c>
      <c r="L4670">
        <v>2</v>
      </c>
      <c r="M4670">
        <v>2</v>
      </c>
      <c r="N4670">
        <v>2</v>
      </c>
      <c r="P4670">
        <v>0</v>
      </c>
      <c r="Q4670">
        <v>0</v>
      </c>
      <c r="R4670">
        <v>0</v>
      </c>
      <c r="S4670">
        <v>2</v>
      </c>
    </row>
    <row r="4671" spans="1:19" hidden="1" x14ac:dyDescent="0.35">
      <c r="A4671">
        <v>59962760900</v>
      </c>
      <c r="B4671" t="s">
        <v>4667</v>
      </c>
      <c r="C4671" t="str">
        <f>_xlfn.XLOOKUP(A4671,[1]Affiliations!$J$2:$J$5328,[1]Affiliations!$K$2:$K$5328,0)</f>
        <v>Pontifícia Universidade Católica de Campinas</v>
      </c>
      <c r="D4671">
        <v>0</v>
      </c>
      <c r="G4671">
        <v>1</v>
      </c>
    </row>
    <row r="4672" spans="1:19" hidden="1" x14ac:dyDescent="0.35">
      <c r="A4672">
        <v>57201944899</v>
      </c>
      <c r="B4672" t="s">
        <v>4668</v>
      </c>
      <c r="C4672" t="str">
        <f>_xlfn.XLOOKUP(A4672,[1]Affiliations!$J$2:$J$5328,[1]Affiliations!$K$2:$K$5328,0)</f>
        <v>Universidade Federal de Campina Grande</v>
      </c>
      <c r="D4672">
        <v>2</v>
      </c>
      <c r="E4672">
        <v>25</v>
      </c>
      <c r="F4672">
        <v>12.5</v>
      </c>
      <c r="G4672">
        <v>2</v>
      </c>
      <c r="H4672">
        <v>0.68</v>
      </c>
      <c r="I4672">
        <v>0</v>
      </c>
      <c r="J4672">
        <v>1</v>
      </c>
      <c r="K4672">
        <v>1</v>
      </c>
      <c r="L4672">
        <v>1</v>
      </c>
      <c r="M4672">
        <v>1</v>
      </c>
      <c r="N4672">
        <v>2</v>
      </c>
      <c r="P4672">
        <v>0</v>
      </c>
      <c r="Q4672">
        <v>0</v>
      </c>
      <c r="R4672">
        <v>0</v>
      </c>
      <c r="S4672">
        <v>0</v>
      </c>
    </row>
    <row r="4673" spans="1:19" hidden="1" x14ac:dyDescent="0.35">
      <c r="A4673">
        <v>57220093199</v>
      </c>
      <c r="B4673" t="s">
        <v>4669</v>
      </c>
      <c r="C4673" t="str">
        <f>_xlfn.XLOOKUP(A4673,[1]Affiliations!$J$2:$J$5328,[1]Affiliations!$K$2:$K$5328,0)</f>
        <v>Universidade Federal de Campina Grande</v>
      </c>
      <c r="D4673">
        <v>1</v>
      </c>
      <c r="E4673">
        <v>27</v>
      </c>
      <c r="F4673">
        <v>27</v>
      </c>
      <c r="G4673">
        <v>1</v>
      </c>
      <c r="H4673">
        <v>2.5299999999999998</v>
      </c>
      <c r="I4673">
        <v>0</v>
      </c>
      <c r="J4673">
        <v>1</v>
      </c>
      <c r="K4673">
        <v>1</v>
      </c>
      <c r="L4673">
        <v>1</v>
      </c>
      <c r="M4673">
        <v>1</v>
      </c>
      <c r="N4673">
        <v>1</v>
      </c>
      <c r="P4673">
        <v>0</v>
      </c>
      <c r="Q4673">
        <v>0</v>
      </c>
      <c r="R4673">
        <v>0</v>
      </c>
      <c r="S4673">
        <v>1</v>
      </c>
    </row>
    <row r="4674" spans="1:19" hidden="1" x14ac:dyDescent="0.35">
      <c r="A4674">
        <v>57200080635</v>
      </c>
      <c r="B4674" t="s">
        <v>4670</v>
      </c>
      <c r="C4674" t="str">
        <f>_xlfn.XLOOKUP(A4674,[1]Affiliations!$J$2:$J$5328,[1]Affiliations!$K$2:$K$5328,0)</f>
        <v>Universidade Federal do Piauí</v>
      </c>
      <c r="D4674">
        <v>1</v>
      </c>
      <c r="E4674">
        <v>1</v>
      </c>
      <c r="F4674">
        <v>1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1</v>
      </c>
      <c r="N4674">
        <v>1</v>
      </c>
      <c r="P4674">
        <v>0</v>
      </c>
      <c r="Q4674">
        <v>0</v>
      </c>
      <c r="R4674">
        <v>0</v>
      </c>
      <c r="S4674">
        <v>0</v>
      </c>
    </row>
    <row r="4675" spans="1:19" hidden="1" x14ac:dyDescent="0.35">
      <c r="A4675">
        <v>57226367841</v>
      </c>
      <c r="B4675" t="s">
        <v>4671</v>
      </c>
      <c r="C4675" t="str">
        <f>_xlfn.XLOOKUP(A4675,[1]Affiliations!$J$2:$J$5328,[1]Affiliations!$K$2:$K$5328,0)</f>
        <v>Universidade Federal do Rio Grande do Norte</v>
      </c>
      <c r="D4675">
        <v>1</v>
      </c>
      <c r="E4675">
        <v>4</v>
      </c>
      <c r="F4675">
        <v>4</v>
      </c>
      <c r="G4675">
        <v>1</v>
      </c>
      <c r="H4675">
        <v>0.15</v>
      </c>
      <c r="I4675">
        <v>0</v>
      </c>
      <c r="J4675">
        <v>0</v>
      </c>
      <c r="K4675">
        <v>0</v>
      </c>
      <c r="L4675">
        <v>1</v>
      </c>
      <c r="M4675">
        <v>1</v>
      </c>
      <c r="N4675">
        <v>1</v>
      </c>
      <c r="P4675">
        <v>0</v>
      </c>
      <c r="Q4675">
        <v>0</v>
      </c>
      <c r="R4675">
        <v>0</v>
      </c>
      <c r="S4675">
        <v>0</v>
      </c>
    </row>
    <row r="4676" spans="1:19" hidden="1" x14ac:dyDescent="0.35">
      <c r="A4676">
        <v>59380832600</v>
      </c>
      <c r="B4676" t="s">
        <v>4672</v>
      </c>
      <c r="C4676" t="str">
        <f>_xlfn.XLOOKUP(A4676,[1]Affiliations!$J$2:$J$5328,[1]Affiliations!$K$2:$K$5328,0)</f>
        <v>Universidade Federal de São João del-Rei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1</v>
      </c>
      <c r="P4676">
        <v>0</v>
      </c>
      <c r="Q4676">
        <v>0</v>
      </c>
      <c r="R4676">
        <v>0</v>
      </c>
      <c r="S4676">
        <v>0</v>
      </c>
    </row>
    <row r="4677" spans="1:19" x14ac:dyDescent="0.35">
      <c r="A4677">
        <v>57208871938</v>
      </c>
      <c r="B4677" t="s">
        <v>240</v>
      </c>
      <c r="C4677" t="str">
        <f>_xlfn.XLOOKUP(A4677,[1]Affiliations!$J$2:$J$5328,[1]Affiliations!$K$2:$K$5328,0)</f>
        <v>Universidade Federal do Rio Grande do Norte</v>
      </c>
      <c r="D4677">
        <v>24</v>
      </c>
      <c r="E4677">
        <v>290</v>
      </c>
      <c r="F4677">
        <v>12.083333</v>
      </c>
      <c r="G4677">
        <v>19</v>
      </c>
      <c r="H4677">
        <v>0.6</v>
      </c>
      <c r="I4677">
        <v>0</v>
      </c>
      <c r="J4677">
        <v>0</v>
      </c>
      <c r="K4677">
        <v>3</v>
      </c>
      <c r="L4677">
        <v>17</v>
      </c>
      <c r="M4677">
        <v>20</v>
      </c>
      <c r="N4677">
        <v>21</v>
      </c>
      <c r="P4677">
        <v>0</v>
      </c>
      <c r="Q4677">
        <v>0</v>
      </c>
      <c r="R4677">
        <v>1</v>
      </c>
      <c r="S4677">
        <v>9</v>
      </c>
    </row>
    <row r="4678" spans="1:19" hidden="1" x14ac:dyDescent="0.35">
      <c r="A4678">
        <v>59957215800</v>
      </c>
      <c r="B4678" t="s">
        <v>4674</v>
      </c>
      <c r="C4678" t="str">
        <f>_xlfn.XLOOKUP(A4678,[1]Affiliations!$J$2:$J$5328,[1]Affiliations!$K$2:$K$5328,0)</f>
        <v>Universidade Federal do Rio Grande do Sul (+1 more)</v>
      </c>
      <c r="D4678">
        <v>0</v>
      </c>
      <c r="G4678">
        <v>0</v>
      </c>
    </row>
    <row r="4679" spans="1:19" hidden="1" x14ac:dyDescent="0.35">
      <c r="A4679">
        <v>57217590633</v>
      </c>
      <c r="B4679" t="s">
        <v>4675</v>
      </c>
      <c r="C4679" t="str">
        <f>_xlfn.XLOOKUP(A4679,[1]Affiliations!$J$2:$J$5328,[1]Affiliations!$K$2:$K$5328,0)</f>
        <v>Federal University of Santa Catarina</v>
      </c>
      <c r="D4679">
        <v>3</v>
      </c>
      <c r="E4679">
        <v>40</v>
      </c>
      <c r="F4679">
        <v>13.333333</v>
      </c>
      <c r="G4679">
        <v>3</v>
      </c>
      <c r="H4679">
        <v>0.45</v>
      </c>
      <c r="I4679">
        <v>0</v>
      </c>
      <c r="J4679">
        <v>0</v>
      </c>
      <c r="K4679">
        <v>0</v>
      </c>
      <c r="L4679">
        <v>1</v>
      </c>
      <c r="M4679">
        <v>3</v>
      </c>
      <c r="N4679">
        <v>3</v>
      </c>
      <c r="P4679">
        <v>0</v>
      </c>
      <c r="Q4679">
        <v>0</v>
      </c>
      <c r="R4679">
        <v>0</v>
      </c>
      <c r="S4679">
        <v>1</v>
      </c>
    </row>
    <row r="4680" spans="1:19" hidden="1" x14ac:dyDescent="0.35">
      <c r="A4680">
        <v>26427816800</v>
      </c>
      <c r="B4680" t="s">
        <v>4676</v>
      </c>
      <c r="C4680" t="str">
        <f>_xlfn.XLOOKUP(A4680,[1]Affiliations!$J$2:$J$5328,[1]Affiliations!$K$2:$K$5328,0)</f>
        <v>Instituto Federal de Educação, Ciência e Tecnologia de Santa Catarina (+1 more)</v>
      </c>
      <c r="D4680">
        <v>3</v>
      </c>
      <c r="E4680">
        <v>39</v>
      </c>
      <c r="F4680">
        <v>13</v>
      </c>
      <c r="G4680">
        <v>10</v>
      </c>
      <c r="H4680">
        <v>0.48</v>
      </c>
      <c r="I4680">
        <v>0</v>
      </c>
      <c r="J4680">
        <v>0</v>
      </c>
      <c r="K4680">
        <v>1</v>
      </c>
      <c r="L4680">
        <v>1</v>
      </c>
      <c r="M4680">
        <v>2</v>
      </c>
      <c r="N4680">
        <v>3</v>
      </c>
      <c r="P4680">
        <v>0</v>
      </c>
      <c r="Q4680">
        <v>0</v>
      </c>
      <c r="R4680">
        <v>0</v>
      </c>
      <c r="S4680">
        <v>0</v>
      </c>
    </row>
    <row r="4681" spans="1:19" hidden="1" x14ac:dyDescent="0.35">
      <c r="A4681">
        <v>57219695577</v>
      </c>
      <c r="B4681" t="s">
        <v>4677</v>
      </c>
      <c r="C4681" t="str">
        <f>_xlfn.XLOOKUP(A4681,[1]Affiliations!$J$2:$J$5328,[1]Affiliations!$K$2:$K$5328,0)</f>
        <v>Universidade Federal de Viçosa</v>
      </c>
      <c r="D4681">
        <v>3</v>
      </c>
      <c r="E4681">
        <v>15</v>
      </c>
      <c r="F4681">
        <v>5</v>
      </c>
      <c r="G4681">
        <v>2</v>
      </c>
      <c r="H4681">
        <v>0.27</v>
      </c>
      <c r="I4681">
        <v>0</v>
      </c>
      <c r="J4681">
        <v>0</v>
      </c>
      <c r="K4681">
        <v>0</v>
      </c>
      <c r="L4681">
        <v>1</v>
      </c>
      <c r="M4681">
        <v>3</v>
      </c>
      <c r="N4681">
        <v>3</v>
      </c>
      <c r="P4681">
        <v>0</v>
      </c>
      <c r="Q4681">
        <v>0</v>
      </c>
      <c r="R4681">
        <v>0</v>
      </c>
      <c r="S4681">
        <v>0</v>
      </c>
    </row>
    <row r="4682" spans="1:19" hidden="1" x14ac:dyDescent="0.35">
      <c r="A4682">
        <v>7403023241</v>
      </c>
      <c r="B4682" t="s">
        <v>4678</v>
      </c>
      <c r="C4682" t="str">
        <f>_xlfn.XLOOKUP(A4682,[1]Affiliations!$J$2:$J$5328,[1]Affiliations!$K$2:$K$5328,0)</f>
        <v>Federal University of Rio de Janeiro</v>
      </c>
      <c r="D4682">
        <v>3</v>
      </c>
      <c r="E4682">
        <v>89</v>
      </c>
      <c r="F4682">
        <v>29.666665999999999</v>
      </c>
      <c r="G4682">
        <v>16</v>
      </c>
      <c r="H4682">
        <v>0.89</v>
      </c>
      <c r="I4682">
        <v>0</v>
      </c>
      <c r="J4682">
        <v>0</v>
      </c>
      <c r="K4682">
        <v>1</v>
      </c>
      <c r="L4682">
        <v>3</v>
      </c>
      <c r="M4682">
        <v>3</v>
      </c>
      <c r="N4682">
        <v>3</v>
      </c>
      <c r="P4682">
        <v>0</v>
      </c>
      <c r="Q4682">
        <v>0</v>
      </c>
      <c r="R4682">
        <v>0</v>
      </c>
      <c r="S4682">
        <v>2</v>
      </c>
    </row>
    <row r="4683" spans="1:19" hidden="1" x14ac:dyDescent="0.35">
      <c r="A4683">
        <v>56990617500</v>
      </c>
      <c r="B4683" t="s">
        <v>4679</v>
      </c>
      <c r="C4683" t="str">
        <f>_xlfn.XLOOKUP(A4683,[1]Affiliations!$J$2:$J$5328,[1]Affiliations!$K$2:$K$5328,0)</f>
        <v>Universidade do Estado do Rio de Janeiro</v>
      </c>
      <c r="D4683">
        <v>0</v>
      </c>
      <c r="G4683">
        <v>1</v>
      </c>
    </row>
    <row r="4684" spans="1:19" hidden="1" x14ac:dyDescent="0.35">
      <c r="A4684">
        <v>57194940369</v>
      </c>
      <c r="B4684" t="s">
        <v>4680</v>
      </c>
      <c r="C4684" t="str">
        <f>_xlfn.XLOOKUP(A4684,[1]Affiliations!$J$2:$J$5328,[1]Affiliations!$K$2:$K$5328,0)</f>
        <v>Universidade Federal de Uberlândia</v>
      </c>
      <c r="D4684">
        <v>1</v>
      </c>
      <c r="E4684">
        <v>8</v>
      </c>
      <c r="F4684">
        <v>8</v>
      </c>
      <c r="G4684">
        <v>1</v>
      </c>
      <c r="H4684">
        <v>0.53</v>
      </c>
      <c r="I4684">
        <v>0</v>
      </c>
      <c r="J4684">
        <v>0</v>
      </c>
      <c r="K4684">
        <v>0</v>
      </c>
      <c r="L4684">
        <v>1</v>
      </c>
      <c r="M4684">
        <v>1</v>
      </c>
      <c r="N4684">
        <v>1</v>
      </c>
      <c r="P4684">
        <v>0</v>
      </c>
      <c r="Q4684">
        <v>0</v>
      </c>
      <c r="R4684">
        <v>0</v>
      </c>
      <c r="S4684">
        <v>0</v>
      </c>
    </row>
    <row r="4685" spans="1:19" hidden="1" x14ac:dyDescent="0.35">
      <c r="A4685">
        <v>55447847200</v>
      </c>
      <c r="B4685" t="s">
        <v>4681</v>
      </c>
      <c r="C4685" t="str">
        <f>_xlfn.XLOOKUP(A4685,[1]Affiliations!$J$2:$J$5328,[1]Affiliations!$K$2:$K$5328,0)</f>
        <v>Universidade Federal de Pernambuco (+1 more)</v>
      </c>
      <c r="D4685">
        <v>17</v>
      </c>
      <c r="E4685">
        <v>141</v>
      </c>
      <c r="F4685">
        <v>8.2941179999999992</v>
      </c>
      <c r="G4685">
        <v>8</v>
      </c>
      <c r="H4685">
        <v>0.38</v>
      </c>
      <c r="I4685">
        <v>0</v>
      </c>
      <c r="J4685">
        <v>1</v>
      </c>
      <c r="K4685">
        <v>2</v>
      </c>
      <c r="L4685">
        <v>4</v>
      </c>
      <c r="M4685">
        <v>11</v>
      </c>
      <c r="N4685">
        <v>17</v>
      </c>
      <c r="P4685">
        <v>0</v>
      </c>
      <c r="Q4685">
        <v>0</v>
      </c>
      <c r="R4685">
        <v>0</v>
      </c>
      <c r="S4685">
        <v>2</v>
      </c>
    </row>
    <row r="4686" spans="1:19" hidden="1" x14ac:dyDescent="0.35">
      <c r="A4686">
        <v>57226402775</v>
      </c>
      <c r="B4686" t="s">
        <v>4682</v>
      </c>
      <c r="C4686" t="str">
        <f>_xlfn.XLOOKUP(A4686,[1]Affiliations!$J$2:$J$5328,[1]Affiliations!$K$2:$K$5328,0)</f>
        <v>Instituto Tecnológico da Aeronáutica</v>
      </c>
      <c r="D4686">
        <v>1</v>
      </c>
      <c r="E4686">
        <v>4</v>
      </c>
      <c r="F4686">
        <v>4</v>
      </c>
      <c r="G4686">
        <v>1</v>
      </c>
      <c r="H4686">
        <v>0.56000000000000005</v>
      </c>
      <c r="I4686">
        <v>0</v>
      </c>
      <c r="J4686">
        <v>1</v>
      </c>
      <c r="K4686">
        <v>1</v>
      </c>
      <c r="L4686">
        <v>1</v>
      </c>
      <c r="M4686">
        <v>1</v>
      </c>
      <c r="N4686">
        <v>1</v>
      </c>
      <c r="P4686">
        <v>0</v>
      </c>
      <c r="Q4686">
        <v>0</v>
      </c>
      <c r="R4686">
        <v>0</v>
      </c>
      <c r="S4686">
        <v>0</v>
      </c>
    </row>
    <row r="4687" spans="1:19" hidden="1" x14ac:dyDescent="0.35">
      <c r="A4687">
        <v>57201404739</v>
      </c>
      <c r="B4687" t="s">
        <v>4683</v>
      </c>
      <c r="C4687" t="str">
        <f>_xlfn.XLOOKUP(A4687,[1]Affiliations!$J$2:$J$5328,[1]Affiliations!$K$2:$K$5328,0)</f>
        <v>Vallourec Soluções Tubulares do Brasil (+1 more)</v>
      </c>
      <c r="D4687">
        <v>6</v>
      </c>
      <c r="E4687">
        <v>3</v>
      </c>
      <c r="F4687">
        <v>0.5</v>
      </c>
      <c r="G4687">
        <v>1</v>
      </c>
      <c r="H4687">
        <v>0.52</v>
      </c>
      <c r="P4687">
        <v>0</v>
      </c>
      <c r="Q4687">
        <v>0</v>
      </c>
      <c r="R4687">
        <v>0</v>
      </c>
      <c r="S4687">
        <v>0</v>
      </c>
    </row>
    <row r="4688" spans="1:19" x14ac:dyDescent="0.35">
      <c r="A4688">
        <v>8717015300</v>
      </c>
      <c r="B4688" t="s">
        <v>251</v>
      </c>
      <c r="C4688" t="str">
        <f>_xlfn.XLOOKUP(A4688,[1]Affiliations!$J$2:$J$5328,[1]Affiliations!$K$2:$K$5328,0)</f>
        <v>Universidade Federal do Ceará</v>
      </c>
      <c r="D4688">
        <v>32</v>
      </c>
      <c r="E4688">
        <v>366</v>
      </c>
      <c r="F4688">
        <v>11.4375</v>
      </c>
      <c r="G4688">
        <v>15</v>
      </c>
      <c r="H4688">
        <v>0.6</v>
      </c>
      <c r="I4688">
        <v>0</v>
      </c>
      <c r="J4688">
        <v>2</v>
      </c>
      <c r="K4688">
        <v>7</v>
      </c>
      <c r="L4688">
        <v>10</v>
      </c>
      <c r="M4688">
        <v>19</v>
      </c>
      <c r="N4688">
        <v>27</v>
      </c>
      <c r="P4688">
        <v>0</v>
      </c>
      <c r="Q4688">
        <v>0</v>
      </c>
      <c r="R4688">
        <v>3</v>
      </c>
      <c r="S4688">
        <v>10</v>
      </c>
    </row>
    <row r="4689" spans="1:19" hidden="1" x14ac:dyDescent="0.35">
      <c r="A4689">
        <v>57666484200</v>
      </c>
      <c r="B4689" t="s">
        <v>4685</v>
      </c>
      <c r="C4689" t="str">
        <f>_xlfn.XLOOKUP(A4689,[1]Affiliations!$J$2:$J$5328,[1]Affiliations!$K$2:$K$5328,0)</f>
        <v>Universidade Federal de Goiás</v>
      </c>
      <c r="D4689">
        <v>3</v>
      </c>
      <c r="E4689">
        <v>11</v>
      </c>
      <c r="F4689">
        <v>3.6666666999999999</v>
      </c>
      <c r="G4689">
        <v>2</v>
      </c>
      <c r="H4689">
        <v>0.33</v>
      </c>
      <c r="I4689">
        <v>0</v>
      </c>
      <c r="J4689">
        <v>1</v>
      </c>
      <c r="K4689">
        <v>1</v>
      </c>
      <c r="L4689">
        <v>2</v>
      </c>
      <c r="M4689">
        <v>2</v>
      </c>
      <c r="N4689">
        <v>3</v>
      </c>
      <c r="P4689">
        <v>0</v>
      </c>
      <c r="Q4689">
        <v>0</v>
      </c>
      <c r="R4689">
        <v>0</v>
      </c>
      <c r="S4689">
        <v>0</v>
      </c>
    </row>
    <row r="4690" spans="1:19" x14ac:dyDescent="0.35">
      <c r="A4690">
        <v>57203133478</v>
      </c>
      <c r="B4690" t="s">
        <v>772</v>
      </c>
      <c r="C4690" t="str">
        <f>_xlfn.XLOOKUP(A4690,[1]Affiliations!$J$2:$J$5328,[1]Affiliations!$K$2:$K$5328,0)</f>
        <v>Federal University of Rio de Janeiro</v>
      </c>
      <c r="D4690">
        <v>8</v>
      </c>
      <c r="E4690">
        <v>111</v>
      </c>
      <c r="F4690">
        <v>13.875</v>
      </c>
      <c r="G4690">
        <v>4</v>
      </c>
      <c r="H4690">
        <v>0.6</v>
      </c>
      <c r="I4690">
        <v>1</v>
      </c>
      <c r="J4690">
        <v>4</v>
      </c>
      <c r="K4690">
        <v>4</v>
      </c>
      <c r="L4690">
        <v>4</v>
      </c>
      <c r="M4690">
        <v>5</v>
      </c>
      <c r="N4690">
        <v>5</v>
      </c>
      <c r="P4690">
        <v>0</v>
      </c>
      <c r="Q4690">
        <v>0</v>
      </c>
      <c r="R4690">
        <v>1</v>
      </c>
      <c r="S4690">
        <v>2</v>
      </c>
    </row>
    <row r="4691" spans="1:19" hidden="1" x14ac:dyDescent="0.35">
      <c r="A4691">
        <v>57872049900</v>
      </c>
      <c r="B4691" t="s">
        <v>4687</v>
      </c>
      <c r="C4691" t="str">
        <f>_xlfn.XLOOKUP(A4691,[1]Affiliations!$J$2:$J$5328,[1]Affiliations!$K$2:$K$5328,0)</f>
        <v>Universidade Federal do Espírito Santo</v>
      </c>
      <c r="D4691">
        <v>1</v>
      </c>
      <c r="E4691">
        <v>20</v>
      </c>
      <c r="F4691">
        <v>20</v>
      </c>
      <c r="G4691">
        <v>1</v>
      </c>
      <c r="H4691">
        <v>1.65</v>
      </c>
      <c r="I4691">
        <v>0</v>
      </c>
      <c r="J4691">
        <v>1</v>
      </c>
      <c r="K4691">
        <v>1</v>
      </c>
      <c r="L4691">
        <v>1</v>
      </c>
      <c r="M4691">
        <v>1</v>
      </c>
      <c r="N4691">
        <v>1</v>
      </c>
      <c r="P4691">
        <v>0</v>
      </c>
      <c r="Q4691">
        <v>0</v>
      </c>
      <c r="R4691">
        <v>1</v>
      </c>
      <c r="S4691">
        <v>1</v>
      </c>
    </row>
    <row r="4692" spans="1:19" hidden="1" x14ac:dyDescent="0.35">
      <c r="A4692">
        <v>59235177600</v>
      </c>
      <c r="B4692" t="s">
        <v>4688</v>
      </c>
      <c r="C4692" t="str">
        <f>_xlfn.XLOOKUP(A4692,[1]Affiliations!$J$2:$J$5328,[1]Affiliations!$K$2:$K$5328,0)</f>
        <v>Universidade de São Paulo</v>
      </c>
      <c r="D4692">
        <v>2</v>
      </c>
      <c r="E4692">
        <v>3</v>
      </c>
      <c r="F4692">
        <v>1.5</v>
      </c>
      <c r="G4692">
        <v>1</v>
      </c>
      <c r="H4692">
        <v>0.2</v>
      </c>
      <c r="I4692">
        <v>0</v>
      </c>
      <c r="J4692">
        <v>0</v>
      </c>
      <c r="K4692">
        <v>0</v>
      </c>
      <c r="L4692">
        <v>1</v>
      </c>
      <c r="M4692">
        <v>1</v>
      </c>
      <c r="N4692">
        <v>2</v>
      </c>
      <c r="P4692">
        <v>0</v>
      </c>
      <c r="Q4692">
        <v>0</v>
      </c>
      <c r="R4692">
        <v>0</v>
      </c>
      <c r="S4692">
        <v>0</v>
      </c>
    </row>
    <row r="4693" spans="1:19" hidden="1" x14ac:dyDescent="0.35">
      <c r="A4693">
        <v>57208194065</v>
      </c>
      <c r="B4693" t="s">
        <v>4689</v>
      </c>
      <c r="C4693" t="str">
        <f>_xlfn.XLOOKUP(A4693,[1]Affiliations!$J$2:$J$5328,[1]Affiliations!$K$2:$K$5328,0)</f>
        <v>Universidade Federal do Rio Grande do Sul</v>
      </c>
      <c r="D4693">
        <v>1</v>
      </c>
      <c r="E4693">
        <v>15</v>
      </c>
      <c r="F4693">
        <v>15</v>
      </c>
      <c r="G4693">
        <v>1</v>
      </c>
      <c r="H4693">
        <v>1.06</v>
      </c>
      <c r="I4693">
        <v>0</v>
      </c>
      <c r="J4693">
        <v>0</v>
      </c>
      <c r="K4693">
        <v>0</v>
      </c>
      <c r="L4693">
        <v>0</v>
      </c>
      <c r="M4693">
        <v>1</v>
      </c>
      <c r="N4693">
        <v>1</v>
      </c>
      <c r="P4693">
        <v>0</v>
      </c>
      <c r="Q4693">
        <v>0</v>
      </c>
      <c r="R4693">
        <v>0</v>
      </c>
      <c r="S4693">
        <v>0</v>
      </c>
    </row>
    <row r="4694" spans="1:19" hidden="1" x14ac:dyDescent="0.35">
      <c r="A4694">
        <v>55415974100</v>
      </c>
      <c r="B4694" t="s">
        <v>4690</v>
      </c>
      <c r="C4694" t="str">
        <f>_xlfn.XLOOKUP(A4694,[1]Affiliations!$J$2:$J$5328,[1]Affiliations!$K$2:$K$5328,0)</f>
        <v>Federal University of Rio de Janeiro</v>
      </c>
      <c r="D4694">
        <v>17</v>
      </c>
      <c r="E4694">
        <v>167</v>
      </c>
      <c r="F4694">
        <v>9.8235290000000006</v>
      </c>
      <c r="G4694">
        <v>11</v>
      </c>
      <c r="H4694">
        <v>0.92</v>
      </c>
      <c r="I4694">
        <v>0</v>
      </c>
      <c r="J4694">
        <v>1</v>
      </c>
      <c r="K4694">
        <v>5</v>
      </c>
      <c r="L4694">
        <v>12</v>
      </c>
      <c r="M4694">
        <v>16</v>
      </c>
      <c r="N4694">
        <v>17</v>
      </c>
      <c r="P4694">
        <v>0</v>
      </c>
      <c r="Q4694">
        <v>0</v>
      </c>
      <c r="R4694">
        <v>0</v>
      </c>
      <c r="S4694">
        <v>3</v>
      </c>
    </row>
    <row r="4695" spans="1:19" hidden="1" x14ac:dyDescent="0.35">
      <c r="A4695">
        <v>57212421264</v>
      </c>
      <c r="B4695" t="s">
        <v>4691</v>
      </c>
      <c r="C4695" t="str">
        <f>_xlfn.XLOOKUP(A4695,[1]Affiliations!$J$2:$J$5328,[1]Affiliations!$K$2:$K$5328,0)</f>
        <v>Universidade do Estado do Rio de Janeiro</v>
      </c>
      <c r="D4695">
        <v>1</v>
      </c>
      <c r="E4695">
        <v>25</v>
      </c>
      <c r="F4695">
        <v>25</v>
      </c>
      <c r="G4695">
        <v>2</v>
      </c>
      <c r="H4695">
        <v>1.89</v>
      </c>
      <c r="I4695">
        <v>0</v>
      </c>
      <c r="J4695">
        <v>0</v>
      </c>
      <c r="K4695">
        <v>0</v>
      </c>
      <c r="L4695">
        <v>1</v>
      </c>
      <c r="M4695">
        <v>1</v>
      </c>
      <c r="N4695">
        <v>1</v>
      </c>
      <c r="P4695">
        <v>0</v>
      </c>
      <c r="Q4695">
        <v>0</v>
      </c>
      <c r="R4695">
        <v>0</v>
      </c>
      <c r="S4695">
        <v>1</v>
      </c>
    </row>
    <row r="4696" spans="1:19" hidden="1" x14ac:dyDescent="0.35">
      <c r="A4696">
        <v>57324291000</v>
      </c>
      <c r="B4696" t="s">
        <v>4692</v>
      </c>
      <c r="C4696" t="str">
        <f>_xlfn.XLOOKUP(A4696,[1]Affiliations!$J$2:$J$5328,[1]Affiliations!$K$2:$K$5328,0)</f>
        <v>Universidade Federal de Campina Grande (+1 more)</v>
      </c>
      <c r="D4696">
        <v>2</v>
      </c>
      <c r="E4696">
        <v>38</v>
      </c>
      <c r="F4696">
        <v>19</v>
      </c>
      <c r="G4696">
        <v>2</v>
      </c>
      <c r="H4696">
        <v>2.0299999999999998</v>
      </c>
      <c r="I4696">
        <v>0</v>
      </c>
      <c r="J4696">
        <v>1</v>
      </c>
      <c r="K4696">
        <v>1</v>
      </c>
      <c r="L4696">
        <v>2</v>
      </c>
      <c r="M4696">
        <v>2</v>
      </c>
      <c r="N4696">
        <v>2</v>
      </c>
      <c r="P4696">
        <v>0</v>
      </c>
      <c r="Q4696">
        <v>0</v>
      </c>
      <c r="R4696">
        <v>1</v>
      </c>
      <c r="S4696">
        <v>2</v>
      </c>
    </row>
    <row r="4697" spans="1:19" hidden="1" x14ac:dyDescent="0.35">
      <c r="A4697">
        <v>57201404475</v>
      </c>
      <c r="B4697" t="s">
        <v>4693</v>
      </c>
      <c r="C4697" t="str">
        <f>_xlfn.XLOOKUP(A4697,[1]Affiliations!$J$2:$J$5328,[1]Affiliations!$K$2:$K$5328,0)</f>
        <v>ATNAS</v>
      </c>
      <c r="D4697">
        <v>1</v>
      </c>
      <c r="E4697">
        <v>0</v>
      </c>
      <c r="F4697">
        <v>0</v>
      </c>
      <c r="G4697">
        <v>0</v>
      </c>
      <c r="H4697">
        <v>0</v>
      </c>
      <c r="P4697">
        <v>0</v>
      </c>
      <c r="Q4697">
        <v>0</v>
      </c>
      <c r="R4697">
        <v>0</v>
      </c>
      <c r="S4697">
        <v>0</v>
      </c>
    </row>
    <row r="4698" spans="1:19" hidden="1" x14ac:dyDescent="0.35">
      <c r="A4698">
        <v>57219842889</v>
      </c>
      <c r="B4698" t="s">
        <v>4694</v>
      </c>
      <c r="C4698" t="str">
        <f>_xlfn.XLOOKUP(A4698,[1]Affiliations!$J$2:$J$5328,[1]Affiliations!$K$2:$K$5328,0)</f>
        <v>Universidade Federal de Ouro Preto</v>
      </c>
      <c r="D4698">
        <v>7</v>
      </c>
      <c r="E4698">
        <v>66</v>
      </c>
      <c r="F4698">
        <v>9.4285720000000008</v>
      </c>
      <c r="G4698">
        <v>6</v>
      </c>
      <c r="H4698">
        <v>1.33</v>
      </c>
      <c r="I4698">
        <v>0</v>
      </c>
      <c r="J4698">
        <v>3</v>
      </c>
      <c r="K4698">
        <v>4</v>
      </c>
      <c r="L4698">
        <v>4</v>
      </c>
      <c r="M4698">
        <v>7</v>
      </c>
      <c r="N4698">
        <v>7</v>
      </c>
      <c r="P4698">
        <v>0</v>
      </c>
      <c r="Q4698">
        <v>0</v>
      </c>
      <c r="R4698">
        <v>0</v>
      </c>
      <c r="S4698">
        <v>1</v>
      </c>
    </row>
    <row r="4699" spans="1:19" hidden="1" x14ac:dyDescent="0.35">
      <c r="A4699">
        <v>56984962400</v>
      </c>
      <c r="B4699" t="s">
        <v>4695</v>
      </c>
      <c r="C4699" t="str">
        <f>_xlfn.XLOOKUP(A4699,[1]Affiliations!$J$2:$J$5328,[1]Affiliations!$K$2:$K$5328,0)</f>
        <v>Federal University of Rio de Janeiro</v>
      </c>
      <c r="D4699">
        <v>4</v>
      </c>
      <c r="E4699">
        <v>95</v>
      </c>
      <c r="F4699">
        <v>23.75</v>
      </c>
      <c r="G4699">
        <v>4</v>
      </c>
      <c r="H4699">
        <v>1.04</v>
      </c>
      <c r="I4699">
        <v>0</v>
      </c>
      <c r="J4699">
        <v>0</v>
      </c>
      <c r="K4699">
        <v>1</v>
      </c>
      <c r="L4699">
        <v>4</v>
      </c>
      <c r="M4699">
        <v>4</v>
      </c>
      <c r="N4699">
        <v>4</v>
      </c>
      <c r="P4699">
        <v>0</v>
      </c>
      <c r="Q4699">
        <v>0</v>
      </c>
      <c r="R4699">
        <v>0</v>
      </c>
      <c r="S4699">
        <v>2</v>
      </c>
    </row>
    <row r="4700" spans="1:19" hidden="1" x14ac:dyDescent="0.35">
      <c r="A4700">
        <v>59062207400</v>
      </c>
      <c r="B4700" t="s">
        <v>4696</v>
      </c>
      <c r="C4700" t="str">
        <f>_xlfn.XLOOKUP(A4700,[1]Affiliations!$J$2:$J$5328,[1]Affiliations!$K$2:$K$5328,0)</f>
        <v>Universidade Federal do Rio Grande do Norte</v>
      </c>
      <c r="D4700">
        <v>1</v>
      </c>
      <c r="E4700">
        <v>4</v>
      </c>
      <c r="F4700">
        <v>4</v>
      </c>
      <c r="G4700">
        <v>1</v>
      </c>
      <c r="H4700">
        <v>0.7</v>
      </c>
      <c r="I4700">
        <v>0</v>
      </c>
      <c r="J4700">
        <v>0</v>
      </c>
      <c r="K4700">
        <v>0</v>
      </c>
      <c r="L4700">
        <v>1</v>
      </c>
      <c r="M4700">
        <v>1</v>
      </c>
      <c r="N4700">
        <v>1</v>
      </c>
      <c r="P4700">
        <v>0</v>
      </c>
      <c r="Q4700">
        <v>0</v>
      </c>
      <c r="R4700">
        <v>0</v>
      </c>
      <c r="S4700">
        <v>0</v>
      </c>
    </row>
    <row r="4701" spans="1:19" hidden="1" x14ac:dyDescent="0.35">
      <c r="A4701">
        <v>57573985000</v>
      </c>
      <c r="B4701" t="s">
        <v>4697</v>
      </c>
      <c r="C4701" t="str">
        <f>_xlfn.XLOOKUP(A4701,[1]Affiliations!$J$2:$J$5328,[1]Affiliations!$K$2:$K$5328,0)</f>
        <v>Pontifical Catholic University of Rio de Janeiro</v>
      </c>
      <c r="D4701">
        <v>1</v>
      </c>
      <c r="E4701">
        <v>0</v>
      </c>
      <c r="F4701">
        <v>0</v>
      </c>
      <c r="G4701">
        <v>0</v>
      </c>
      <c r="H4701">
        <v>0</v>
      </c>
      <c r="P4701">
        <v>0</v>
      </c>
      <c r="Q4701">
        <v>0</v>
      </c>
      <c r="R4701">
        <v>0</v>
      </c>
      <c r="S4701">
        <v>0</v>
      </c>
    </row>
    <row r="4702" spans="1:19" hidden="1" x14ac:dyDescent="0.35">
      <c r="A4702">
        <v>57210339657</v>
      </c>
      <c r="B4702" t="s">
        <v>4698</v>
      </c>
      <c r="C4702" t="str">
        <f>_xlfn.XLOOKUP(A4702,[1]Affiliations!$J$2:$J$5328,[1]Affiliations!$K$2:$K$5328,0)</f>
        <v>Federal University of Santa Catarina</v>
      </c>
      <c r="D4702">
        <v>3</v>
      </c>
      <c r="E4702">
        <v>20</v>
      </c>
      <c r="F4702">
        <v>6.6666664999999998</v>
      </c>
      <c r="G4702">
        <v>2</v>
      </c>
      <c r="H4702">
        <v>0.5</v>
      </c>
      <c r="I4702">
        <v>0</v>
      </c>
      <c r="J4702">
        <v>1</v>
      </c>
      <c r="K4702">
        <v>2</v>
      </c>
      <c r="L4702">
        <v>2</v>
      </c>
      <c r="M4702">
        <v>3</v>
      </c>
      <c r="N4702">
        <v>3</v>
      </c>
      <c r="P4702">
        <v>0</v>
      </c>
      <c r="Q4702">
        <v>0</v>
      </c>
      <c r="R4702">
        <v>0</v>
      </c>
      <c r="S4702">
        <v>0</v>
      </c>
    </row>
    <row r="4703" spans="1:19" hidden="1" x14ac:dyDescent="0.35">
      <c r="A4703">
        <v>60201384700</v>
      </c>
      <c r="B4703" t="s">
        <v>4699</v>
      </c>
      <c r="C4703" t="str">
        <f>_xlfn.XLOOKUP(A4703,[1]Affiliations!$J$2:$J$5328,[1]Affiliations!$K$2:$K$5328,0)</f>
        <v>Pontifical Catholic University of Rio de Janeiro</v>
      </c>
      <c r="D4703">
        <v>0</v>
      </c>
      <c r="G4703">
        <v>0</v>
      </c>
    </row>
    <row r="4704" spans="1:19" hidden="1" x14ac:dyDescent="0.35">
      <c r="A4704">
        <v>57191268392</v>
      </c>
      <c r="B4704" t="s">
        <v>4700</v>
      </c>
      <c r="C4704" t="str">
        <f>_xlfn.XLOOKUP(A4704,[1]Affiliations!$J$2:$J$5328,[1]Affiliations!$K$2:$K$5328,0)</f>
        <v>Universidade Federal do Espírito Santo</v>
      </c>
      <c r="D4704">
        <v>3</v>
      </c>
      <c r="E4704">
        <v>78</v>
      </c>
      <c r="F4704">
        <v>26</v>
      </c>
      <c r="G4704">
        <v>3</v>
      </c>
      <c r="H4704">
        <v>1.17</v>
      </c>
      <c r="I4704">
        <v>0</v>
      </c>
      <c r="J4704">
        <v>1</v>
      </c>
      <c r="K4704">
        <v>1</v>
      </c>
      <c r="L4704">
        <v>3</v>
      </c>
      <c r="M4704">
        <v>3</v>
      </c>
      <c r="N4704">
        <v>3</v>
      </c>
      <c r="P4704">
        <v>0</v>
      </c>
      <c r="Q4704">
        <v>0</v>
      </c>
      <c r="R4704">
        <v>0</v>
      </c>
      <c r="S4704">
        <v>2</v>
      </c>
    </row>
    <row r="4705" spans="1:19" hidden="1" x14ac:dyDescent="0.35">
      <c r="A4705">
        <v>57221466674</v>
      </c>
      <c r="B4705" t="s">
        <v>4701</v>
      </c>
      <c r="C4705" t="str">
        <f>_xlfn.XLOOKUP(A4705,[1]Affiliations!$J$2:$J$5328,[1]Affiliations!$K$2:$K$5328,0)</f>
        <v>Universidade de São Paulo</v>
      </c>
      <c r="D4705">
        <v>2</v>
      </c>
      <c r="E4705">
        <v>42</v>
      </c>
      <c r="F4705">
        <v>21</v>
      </c>
      <c r="G4705">
        <v>2</v>
      </c>
      <c r="H4705">
        <v>1.07</v>
      </c>
      <c r="I4705">
        <v>0</v>
      </c>
      <c r="J4705">
        <v>2</v>
      </c>
      <c r="K4705">
        <v>2</v>
      </c>
      <c r="L4705">
        <v>2</v>
      </c>
      <c r="M4705">
        <v>2</v>
      </c>
      <c r="N4705">
        <v>2</v>
      </c>
      <c r="P4705">
        <v>0</v>
      </c>
      <c r="Q4705">
        <v>0</v>
      </c>
      <c r="R4705">
        <v>0</v>
      </c>
      <c r="S4705">
        <v>2</v>
      </c>
    </row>
    <row r="4706" spans="1:19" hidden="1" x14ac:dyDescent="0.35">
      <c r="A4706">
        <v>53867306500</v>
      </c>
      <c r="B4706" t="s">
        <v>4702</v>
      </c>
      <c r="C4706" t="str">
        <f>_xlfn.XLOOKUP(A4706,[1]Affiliations!$J$2:$J$5328,[1]Affiliations!$K$2:$K$5328,0)</f>
        <v>Universidade Federal de Viçosa</v>
      </c>
      <c r="D4706">
        <v>1</v>
      </c>
      <c r="E4706">
        <v>6</v>
      </c>
      <c r="F4706">
        <v>6</v>
      </c>
      <c r="G4706">
        <v>1</v>
      </c>
      <c r="H4706">
        <v>0.23</v>
      </c>
      <c r="I4706">
        <v>0</v>
      </c>
      <c r="J4706">
        <v>0</v>
      </c>
      <c r="K4706">
        <v>0</v>
      </c>
      <c r="L4706">
        <v>0</v>
      </c>
      <c r="M4706">
        <v>1</v>
      </c>
      <c r="N4706">
        <v>1</v>
      </c>
      <c r="P4706">
        <v>0</v>
      </c>
      <c r="Q4706">
        <v>0</v>
      </c>
      <c r="R4706">
        <v>0</v>
      </c>
      <c r="S4706">
        <v>0</v>
      </c>
    </row>
    <row r="4707" spans="1:19" hidden="1" x14ac:dyDescent="0.35">
      <c r="A4707">
        <v>57213637769</v>
      </c>
      <c r="B4707" t="s">
        <v>4703</v>
      </c>
      <c r="C4707" t="str">
        <f>_xlfn.XLOOKUP(A4707,[1]Affiliations!$J$2:$J$5328,[1]Affiliations!$K$2:$K$5328,0)</f>
        <v>Universidade de São Paulo</v>
      </c>
      <c r="D4707">
        <v>7</v>
      </c>
      <c r="E4707">
        <v>55</v>
      </c>
      <c r="F4707">
        <v>7.8571429999999998</v>
      </c>
      <c r="G4707">
        <v>6</v>
      </c>
      <c r="H4707">
        <v>0.52</v>
      </c>
      <c r="I4707">
        <v>0</v>
      </c>
      <c r="J4707">
        <v>1</v>
      </c>
      <c r="K4707">
        <v>1</v>
      </c>
      <c r="L4707">
        <v>6</v>
      </c>
      <c r="M4707">
        <v>6</v>
      </c>
      <c r="N4707">
        <v>6</v>
      </c>
      <c r="P4707">
        <v>0</v>
      </c>
      <c r="Q4707">
        <v>0</v>
      </c>
      <c r="R4707">
        <v>0</v>
      </c>
      <c r="S4707">
        <v>2</v>
      </c>
    </row>
    <row r="4708" spans="1:19" x14ac:dyDescent="0.35">
      <c r="A4708">
        <v>6603625917</v>
      </c>
      <c r="B4708" t="s">
        <v>1548</v>
      </c>
      <c r="C4708" t="str">
        <f>_xlfn.XLOOKUP(A4708,[1]Affiliations!$J$2:$J$5328,[1]Affiliations!$K$2:$K$5328,0)</f>
        <v>Universidade Federal do Piauí</v>
      </c>
      <c r="D4708">
        <v>40</v>
      </c>
      <c r="E4708">
        <v>559</v>
      </c>
      <c r="F4708">
        <v>13.975</v>
      </c>
      <c r="G4708">
        <v>20</v>
      </c>
      <c r="H4708">
        <v>0.6</v>
      </c>
      <c r="I4708">
        <v>1</v>
      </c>
      <c r="J4708">
        <v>5</v>
      </c>
      <c r="K4708">
        <v>6</v>
      </c>
      <c r="L4708">
        <v>12</v>
      </c>
      <c r="M4708">
        <v>30</v>
      </c>
      <c r="N4708">
        <v>36</v>
      </c>
      <c r="P4708">
        <v>0</v>
      </c>
      <c r="Q4708">
        <v>1</v>
      </c>
      <c r="R4708">
        <v>3</v>
      </c>
      <c r="S4708">
        <v>9</v>
      </c>
    </row>
    <row r="4709" spans="1:19" hidden="1" x14ac:dyDescent="0.35">
      <c r="A4709">
        <v>57195368339</v>
      </c>
      <c r="B4709" t="s">
        <v>4705</v>
      </c>
      <c r="C4709" t="str">
        <f>_xlfn.XLOOKUP(A4709,[1]Affiliations!$J$2:$J$5328,[1]Affiliations!$K$2:$K$5328,0)</f>
        <v>Universidade Federal do Rio Grande do Norte (+1 more)</v>
      </c>
      <c r="D4709">
        <v>1</v>
      </c>
      <c r="E4709">
        <v>70</v>
      </c>
      <c r="F4709">
        <v>70</v>
      </c>
      <c r="G4709">
        <v>1</v>
      </c>
      <c r="H4709">
        <v>1.9</v>
      </c>
      <c r="I4709">
        <v>0</v>
      </c>
      <c r="J4709">
        <v>0</v>
      </c>
      <c r="K4709">
        <v>1</v>
      </c>
      <c r="L4709">
        <v>1</v>
      </c>
      <c r="M4709">
        <v>1</v>
      </c>
      <c r="N4709">
        <v>1</v>
      </c>
      <c r="P4709">
        <v>0</v>
      </c>
      <c r="Q4709">
        <v>0</v>
      </c>
      <c r="R4709">
        <v>1</v>
      </c>
      <c r="S4709">
        <v>1</v>
      </c>
    </row>
    <row r="4710" spans="1:19" hidden="1" x14ac:dyDescent="0.35">
      <c r="A4710">
        <v>57213138407</v>
      </c>
      <c r="B4710" t="s">
        <v>4706</v>
      </c>
      <c r="C4710" t="str">
        <f>_xlfn.XLOOKUP(A4710,[1]Affiliations!$J$2:$J$5328,[1]Affiliations!$K$2:$K$5328,0)</f>
        <v>Federal University of Rio de Janeiro</v>
      </c>
      <c r="D4710">
        <v>1</v>
      </c>
      <c r="E4710">
        <v>3</v>
      </c>
      <c r="F4710">
        <v>3</v>
      </c>
      <c r="G4710">
        <v>1</v>
      </c>
      <c r="H4710">
        <v>0.7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P4710">
        <v>0</v>
      </c>
      <c r="Q4710">
        <v>0</v>
      </c>
      <c r="R4710">
        <v>0</v>
      </c>
      <c r="S4710">
        <v>0</v>
      </c>
    </row>
    <row r="4711" spans="1:19" hidden="1" x14ac:dyDescent="0.35">
      <c r="A4711">
        <v>58551600000</v>
      </c>
      <c r="B4711" t="s">
        <v>4707</v>
      </c>
      <c r="C4711" t="str">
        <f>_xlfn.XLOOKUP(A4711,[1]Affiliations!$J$2:$J$5328,[1]Affiliations!$K$2:$K$5328,0)</f>
        <v>Federal University of Rio de Janeiro</v>
      </c>
      <c r="D4711">
        <v>1</v>
      </c>
      <c r="E4711">
        <v>1</v>
      </c>
      <c r="F4711">
        <v>1</v>
      </c>
      <c r="G4711">
        <v>1</v>
      </c>
      <c r="H4711">
        <v>0.1</v>
      </c>
      <c r="I4711">
        <v>0</v>
      </c>
      <c r="J4711">
        <v>0</v>
      </c>
      <c r="K4711">
        <v>0</v>
      </c>
      <c r="L4711">
        <v>0</v>
      </c>
      <c r="M4711">
        <v>1</v>
      </c>
      <c r="N4711">
        <v>1</v>
      </c>
      <c r="P4711">
        <v>0</v>
      </c>
      <c r="Q4711">
        <v>0</v>
      </c>
      <c r="R4711">
        <v>0</v>
      </c>
      <c r="S4711">
        <v>0</v>
      </c>
    </row>
    <row r="4712" spans="1:19" hidden="1" x14ac:dyDescent="0.35">
      <c r="A4712">
        <v>56024367300</v>
      </c>
      <c r="B4712" t="s">
        <v>4708</v>
      </c>
      <c r="C4712" t="str">
        <f>_xlfn.XLOOKUP(A4712,[1]Affiliations!$J$2:$J$5328,[1]Affiliations!$K$2:$K$5328,0)</f>
        <v>Instituto Nacional de Metrologia, Qualidade e Tecnologia</v>
      </c>
      <c r="D4712">
        <v>7</v>
      </c>
      <c r="E4712">
        <v>116</v>
      </c>
      <c r="F4712">
        <v>16.571428000000001</v>
      </c>
      <c r="G4712">
        <v>8</v>
      </c>
      <c r="H4712">
        <v>0.56000000000000005</v>
      </c>
      <c r="I4712">
        <v>0</v>
      </c>
      <c r="J4712">
        <v>0</v>
      </c>
      <c r="K4712">
        <v>2</v>
      </c>
      <c r="L4712">
        <v>5</v>
      </c>
      <c r="M4712">
        <v>6</v>
      </c>
      <c r="N4712">
        <v>6</v>
      </c>
      <c r="P4712">
        <v>0</v>
      </c>
      <c r="Q4712">
        <v>0</v>
      </c>
      <c r="R4712">
        <v>0</v>
      </c>
      <c r="S4712">
        <v>2</v>
      </c>
    </row>
    <row r="4713" spans="1:19" hidden="1" x14ac:dyDescent="0.35">
      <c r="A4713">
        <v>57199965912</v>
      </c>
      <c r="B4713" t="s">
        <v>4709</v>
      </c>
      <c r="C4713" t="str">
        <f>_xlfn.XLOOKUP(A4713,[1]Affiliations!$J$2:$J$5328,[1]Affiliations!$K$2:$K$5328,0)</f>
        <v>Federal University of Rio de Janeiro</v>
      </c>
      <c r="D4713">
        <v>1</v>
      </c>
      <c r="E4713">
        <v>20</v>
      </c>
      <c r="F4713">
        <v>20</v>
      </c>
      <c r="G4713">
        <v>1</v>
      </c>
      <c r="H4713">
        <v>1.1599999999999999</v>
      </c>
      <c r="I4713">
        <v>0</v>
      </c>
      <c r="J4713">
        <v>0</v>
      </c>
      <c r="K4713">
        <v>1</v>
      </c>
      <c r="L4713">
        <v>1</v>
      </c>
      <c r="M4713">
        <v>1</v>
      </c>
      <c r="N4713">
        <v>1</v>
      </c>
      <c r="P4713">
        <v>0</v>
      </c>
      <c r="Q4713">
        <v>0</v>
      </c>
      <c r="R4713">
        <v>0</v>
      </c>
      <c r="S4713">
        <v>0</v>
      </c>
    </row>
    <row r="4714" spans="1:19" hidden="1" x14ac:dyDescent="0.35">
      <c r="A4714">
        <v>57203010438</v>
      </c>
      <c r="B4714" t="s">
        <v>4710</v>
      </c>
      <c r="C4714" t="str">
        <f>_xlfn.XLOOKUP(A4714,[1]Affiliations!$J$2:$J$5328,[1]Affiliations!$K$2:$K$5328,0)</f>
        <v>Universidade Federal Fluminense</v>
      </c>
      <c r="D4714">
        <v>2</v>
      </c>
      <c r="E4714">
        <v>15</v>
      </c>
      <c r="F4714">
        <v>7.5</v>
      </c>
      <c r="G4714">
        <v>1</v>
      </c>
      <c r="H4714">
        <v>0.61</v>
      </c>
      <c r="I4714">
        <v>0</v>
      </c>
      <c r="J4714">
        <v>0</v>
      </c>
      <c r="K4714">
        <v>1</v>
      </c>
      <c r="L4714">
        <v>1</v>
      </c>
      <c r="M4714">
        <v>1</v>
      </c>
      <c r="N4714">
        <v>1</v>
      </c>
      <c r="P4714">
        <v>0</v>
      </c>
      <c r="Q4714">
        <v>0</v>
      </c>
      <c r="R4714">
        <v>0</v>
      </c>
      <c r="S4714">
        <v>1</v>
      </c>
    </row>
    <row r="4715" spans="1:19" hidden="1" x14ac:dyDescent="0.35">
      <c r="A4715">
        <v>57203059454</v>
      </c>
      <c r="B4715" t="s">
        <v>4711</v>
      </c>
      <c r="C4715" t="str">
        <f>_xlfn.XLOOKUP(A4715,[1]Affiliations!$J$2:$J$5328,[1]Affiliations!$K$2:$K$5328,0)</f>
        <v>Federal University of Rio de Janeiro</v>
      </c>
      <c r="D4715">
        <v>1</v>
      </c>
      <c r="E4715">
        <v>16</v>
      </c>
      <c r="F4715">
        <v>16</v>
      </c>
      <c r="G4715">
        <v>1</v>
      </c>
      <c r="H4715">
        <v>0.36</v>
      </c>
      <c r="I4715">
        <v>0</v>
      </c>
      <c r="J4715">
        <v>0</v>
      </c>
      <c r="K4715">
        <v>1</v>
      </c>
      <c r="L4715">
        <v>1</v>
      </c>
      <c r="M4715">
        <v>1</v>
      </c>
      <c r="N4715">
        <v>1</v>
      </c>
      <c r="P4715">
        <v>0</v>
      </c>
      <c r="Q4715">
        <v>0</v>
      </c>
      <c r="R4715">
        <v>0</v>
      </c>
      <c r="S4715">
        <v>0</v>
      </c>
    </row>
    <row r="4716" spans="1:19" hidden="1" x14ac:dyDescent="0.35">
      <c r="A4716">
        <v>7202594259</v>
      </c>
      <c r="B4716" t="s">
        <v>4712</v>
      </c>
      <c r="C4716" t="str">
        <f>_xlfn.XLOOKUP(A4716,[1]Affiliations!$J$2:$J$5328,[1]Affiliations!$K$2:$K$5328,0)</f>
        <v>SENAI (+3 more)</v>
      </c>
      <c r="D4716">
        <v>0</v>
      </c>
      <c r="G4716">
        <v>12</v>
      </c>
    </row>
    <row r="4717" spans="1:19" hidden="1" x14ac:dyDescent="0.35">
      <c r="A4717">
        <v>57204332072</v>
      </c>
      <c r="B4717" t="s">
        <v>4713</v>
      </c>
      <c r="C4717" t="str">
        <f>_xlfn.XLOOKUP(A4717,[1]Affiliations!$J$2:$J$5328,[1]Affiliations!$K$2:$K$5328,0)</f>
        <v>Federal University of Santa Catarina</v>
      </c>
      <c r="D4717">
        <v>13</v>
      </c>
      <c r="E4717">
        <v>108</v>
      </c>
      <c r="F4717">
        <v>8.3076930000000004</v>
      </c>
      <c r="G4717">
        <v>6</v>
      </c>
      <c r="H4717">
        <v>0.51</v>
      </c>
      <c r="I4717">
        <v>0</v>
      </c>
      <c r="J4717">
        <v>0</v>
      </c>
      <c r="K4717">
        <v>0</v>
      </c>
      <c r="L4717">
        <v>3</v>
      </c>
      <c r="M4717">
        <v>8</v>
      </c>
      <c r="N4717">
        <v>10</v>
      </c>
      <c r="P4717">
        <v>0</v>
      </c>
      <c r="Q4717">
        <v>0</v>
      </c>
      <c r="R4717">
        <v>1</v>
      </c>
      <c r="S4717">
        <v>1</v>
      </c>
    </row>
    <row r="4718" spans="1:19" hidden="1" x14ac:dyDescent="0.35">
      <c r="A4718">
        <v>57203959659</v>
      </c>
      <c r="B4718" t="s">
        <v>4714</v>
      </c>
      <c r="C4718" t="str">
        <f>_xlfn.XLOOKUP(A4718,[1]Affiliations!$J$2:$J$5328,[1]Affiliations!$K$2:$K$5328,0)</f>
        <v>Universidade Federal de Ouro Preto</v>
      </c>
      <c r="D4718">
        <v>3</v>
      </c>
      <c r="E4718">
        <v>24</v>
      </c>
      <c r="F4718">
        <v>8</v>
      </c>
      <c r="G4718">
        <v>3</v>
      </c>
      <c r="H4718">
        <v>0.45</v>
      </c>
      <c r="I4718">
        <v>0</v>
      </c>
      <c r="J4718">
        <v>0</v>
      </c>
      <c r="K4718">
        <v>0</v>
      </c>
      <c r="L4718">
        <v>3</v>
      </c>
      <c r="M4718">
        <v>3</v>
      </c>
      <c r="N4718">
        <v>3</v>
      </c>
      <c r="P4718">
        <v>0</v>
      </c>
      <c r="Q4718">
        <v>0</v>
      </c>
      <c r="R4718">
        <v>0</v>
      </c>
      <c r="S4718">
        <v>0</v>
      </c>
    </row>
    <row r="4719" spans="1:19" hidden="1" x14ac:dyDescent="0.35">
      <c r="A4719">
        <v>57210917795</v>
      </c>
      <c r="B4719" t="s">
        <v>4715</v>
      </c>
      <c r="C4719" t="str">
        <f>_xlfn.XLOOKUP(A4719,[1]Affiliations!$J$2:$J$5328,[1]Affiliations!$K$2:$K$5328,0)</f>
        <v>Universidade Federal do Ceará</v>
      </c>
      <c r="D4719">
        <v>4</v>
      </c>
      <c r="E4719">
        <v>16</v>
      </c>
      <c r="F4719">
        <v>4</v>
      </c>
      <c r="G4719">
        <v>2</v>
      </c>
      <c r="H4719">
        <v>0.32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1</v>
      </c>
      <c r="P4719">
        <v>0</v>
      </c>
      <c r="Q4719">
        <v>0</v>
      </c>
      <c r="R4719">
        <v>0</v>
      </c>
      <c r="S4719">
        <v>0</v>
      </c>
    </row>
    <row r="4720" spans="1:19" hidden="1" x14ac:dyDescent="0.35">
      <c r="A4720">
        <v>59912020200</v>
      </c>
      <c r="B4720" t="s">
        <v>4716</v>
      </c>
      <c r="C4720" t="str">
        <f>_xlfn.XLOOKUP(A4720,[1]Affiliations!$J$2:$J$5328,[1]Affiliations!$K$2:$K$5328,0)</f>
        <v>Universidade Federal de Campina Grande</v>
      </c>
      <c r="D4720">
        <v>1</v>
      </c>
      <c r="E4720">
        <v>0</v>
      </c>
      <c r="F4720">
        <v>0</v>
      </c>
      <c r="G4720">
        <v>0</v>
      </c>
      <c r="H4720">
        <v>0</v>
      </c>
      <c r="P4720">
        <v>0</v>
      </c>
      <c r="Q4720">
        <v>0</v>
      </c>
      <c r="R4720">
        <v>0</v>
      </c>
      <c r="S4720">
        <v>0</v>
      </c>
    </row>
    <row r="4721" spans="1:19" x14ac:dyDescent="0.35">
      <c r="A4721">
        <v>7003744679</v>
      </c>
      <c r="B4721" t="s">
        <v>2018</v>
      </c>
      <c r="C4721" t="str">
        <f>_xlfn.XLOOKUP(A4721,[1]Affiliations!$J$2:$J$5328,[1]Affiliations!$K$2:$K$5328,0)</f>
        <v>Federal University of Rio de Janeiro</v>
      </c>
      <c r="D4721">
        <v>19</v>
      </c>
      <c r="E4721">
        <v>113</v>
      </c>
      <c r="F4721">
        <v>5.9473685999999999</v>
      </c>
      <c r="G4721">
        <v>14</v>
      </c>
      <c r="H4721">
        <v>0.6</v>
      </c>
      <c r="I4721">
        <v>0</v>
      </c>
      <c r="J4721">
        <v>0</v>
      </c>
      <c r="K4721">
        <v>3</v>
      </c>
      <c r="L4721">
        <v>6</v>
      </c>
      <c r="M4721">
        <v>8</v>
      </c>
      <c r="N4721">
        <v>15</v>
      </c>
      <c r="P4721">
        <v>0</v>
      </c>
      <c r="Q4721">
        <v>0</v>
      </c>
      <c r="R4721">
        <v>1</v>
      </c>
      <c r="S4721">
        <v>1</v>
      </c>
    </row>
    <row r="4722" spans="1:19" hidden="1" x14ac:dyDescent="0.35">
      <c r="A4722">
        <v>59775191100</v>
      </c>
      <c r="B4722" t="s">
        <v>4718</v>
      </c>
      <c r="C4722" t="str">
        <f>_xlfn.XLOOKUP(A4722,[1]Affiliations!$J$2:$J$5328,[1]Affiliations!$K$2:$K$5328,0)</f>
        <v>Universidade Federal do Espírito Santo (+2 more)</v>
      </c>
      <c r="D4722">
        <v>2</v>
      </c>
      <c r="E4722">
        <v>41</v>
      </c>
      <c r="F4722">
        <v>20.5</v>
      </c>
      <c r="G4722">
        <v>8</v>
      </c>
      <c r="H4722">
        <v>0.69</v>
      </c>
      <c r="I4722">
        <v>0</v>
      </c>
      <c r="J4722">
        <v>1</v>
      </c>
      <c r="K4722">
        <v>1</v>
      </c>
      <c r="L4722">
        <v>1</v>
      </c>
      <c r="M4722">
        <v>1</v>
      </c>
      <c r="N4722">
        <v>1</v>
      </c>
      <c r="P4722">
        <v>0</v>
      </c>
      <c r="Q4722">
        <v>0</v>
      </c>
      <c r="R4722">
        <v>0</v>
      </c>
      <c r="S4722">
        <v>1</v>
      </c>
    </row>
    <row r="4723" spans="1:19" hidden="1" x14ac:dyDescent="0.35">
      <c r="A4723">
        <v>57198497853</v>
      </c>
      <c r="B4723" t="s">
        <v>4719</v>
      </c>
      <c r="C4723" t="str">
        <f>_xlfn.XLOOKUP(A4723,[1]Affiliations!$J$2:$J$5328,[1]Affiliations!$K$2:$K$5328,0)</f>
        <v>Laboratório Nacional de Computação Científica (+1 more)</v>
      </c>
      <c r="D4723">
        <v>0</v>
      </c>
      <c r="G4723">
        <v>4</v>
      </c>
    </row>
    <row r="4724" spans="1:19" hidden="1" x14ac:dyDescent="0.35">
      <c r="A4724">
        <v>57208408716</v>
      </c>
      <c r="B4724" t="s">
        <v>4720</v>
      </c>
      <c r="C4724" t="str">
        <f>_xlfn.XLOOKUP(A4724,[1]Affiliations!$J$2:$J$5328,[1]Affiliations!$K$2:$K$5328,0)</f>
        <v>Federal University of Rio de Janeiro</v>
      </c>
      <c r="D4724">
        <v>5</v>
      </c>
      <c r="E4724">
        <v>22</v>
      </c>
      <c r="F4724">
        <v>4.4000000000000004</v>
      </c>
      <c r="G4724">
        <v>2</v>
      </c>
      <c r="H4724">
        <v>0.26</v>
      </c>
      <c r="I4724">
        <v>0</v>
      </c>
      <c r="J4724">
        <v>0</v>
      </c>
      <c r="K4724">
        <v>0</v>
      </c>
      <c r="L4724">
        <v>1</v>
      </c>
      <c r="M4724">
        <v>4</v>
      </c>
      <c r="N4724">
        <v>4</v>
      </c>
      <c r="P4724">
        <v>0</v>
      </c>
      <c r="Q4724">
        <v>0</v>
      </c>
      <c r="R4724">
        <v>0</v>
      </c>
      <c r="S4724">
        <v>0</v>
      </c>
    </row>
    <row r="4725" spans="1:19" hidden="1" x14ac:dyDescent="0.35">
      <c r="A4725">
        <v>7201604817</v>
      </c>
      <c r="B4725" t="s">
        <v>4721</v>
      </c>
      <c r="C4725" t="str">
        <f>_xlfn.XLOOKUP(A4725,[1]Affiliations!$J$2:$J$5328,[1]Affiliations!$K$2:$K$5328,0)</f>
        <v>Tenaris Group (+2 more)</v>
      </c>
      <c r="D4725">
        <v>1</v>
      </c>
      <c r="E4725">
        <v>3</v>
      </c>
      <c r="F4725">
        <v>3</v>
      </c>
      <c r="G4725">
        <v>4</v>
      </c>
      <c r="H4725">
        <v>0.62</v>
      </c>
      <c r="I4725">
        <v>0</v>
      </c>
      <c r="J4725">
        <v>0</v>
      </c>
      <c r="K4725">
        <v>0</v>
      </c>
      <c r="L4725">
        <v>0</v>
      </c>
      <c r="M4725">
        <v>1</v>
      </c>
      <c r="N4725">
        <v>1</v>
      </c>
      <c r="P4725">
        <v>0</v>
      </c>
      <c r="Q4725">
        <v>0</v>
      </c>
      <c r="R4725">
        <v>0</v>
      </c>
      <c r="S4725">
        <v>0</v>
      </c>
    </row>
    <row r="4726" spans="1:19" x14ac:dyDescent="0.35">
      <c r="A4726">
        <v>33367693000</v>
      </c>
      <c r="B4726" t="s">
        <v>2629</v>
      </c>
      <c r="C4726" t="str">
        <f>_xlfn.XLOOKUP(A4726,[1]Affiliations!$J$2:$J$5328,[1]Affiliations!$K$2:$K$5328,0)</f>
        <v>Universidade Estadual de Ponta Grossa (+1 more)</v>
      </c>
      <c r="D4726">
        <v>14</v>
      </c>
      <c r="E4726">
        <v>210</v>
      </c>
      <c r="F4726">
        <v>15</v>
      </c>
      <c r="G4726">
        <v>8</v>
      </c>
      <c r="H4726">
        <v>0.6</v>
      </c>
      <c r="I4726">
        <v>0</v>
      </c>
      <c r="J4726">
        <v>1</v>
      </c>
      <c r="K4726">
        <v>5</v>
      </c>
      <c r="L4726">
        <v>7</v>
      </c>
      <c r="M4726">
        <v>12</v>
      </c>
      <c r="N4726">
        <v>13</v>
      </c>
      <c r="P4726">
        <v>0</v>
      </c>
      <c r="Q4726">
        <v>0</v>
      </c>
      <c r="R4726">
        <v>1</v>
      </c>
      <c r="S4726">
        <v>5</v>
      </c>
    </row>
    <row r="4727" spans="1:19" x14ac:dyDescent="0.35">
      <c r="A4727">
        <v>22135189600</v>
      </c>
      <c r="B4727" t="s">
        <v>2837</v>
      </c>
      <c r="C4727" t="str">
        <f>_xlfn.XLOOKUP(A4727,[1]Affiliations!$J$2:$J$5328,[1]Affiliations!$K$2:$K$5328,0)</f>
        <v>Universidade Federal de Ouro Preto</v>
      </c>
      <c r="D4727">
        <v>45</v>
      </c>
      <c r="E4727">
        <v>619</v>
      </c>
      <c r="F4727">
        <v>13.755554999999999</v>
      </c>
      <c r="G4727">
        <v>15</v>
      </c>
      <c r="H4727">
        <v>0.6</v>
      </c>
      <c r="I4727">
        <v>0</v>
      </c>
      <c r="J4727">
        <v>7</v>
      </c>
      <c r="K4727">
        <v>7</v>
      </c>
      <c r="L4727">
        <v>22</v>
      </c>
      <c r="M4727">
        <v>37</v>
      </c>
      <c r="N4727">
        <v>41</v>
      </c>
      <c r="P4727">
        <v>0</v>
      </c>
      <c r="Q4727">
        <v>1</v>
      </c>
      <c r="R4727">
        <v>2</v>
      </c>
      <c r="S4727">
        <v>10</v>
      </c>
    </row>
    <row r="4728" spans="1:19" hidden="1" x14ac:dyDescent="0.35">
      <c r="A4728">
        <v>57200499626</v>
      </c>
      <c r="B4728" t="s">
        <v>4724</v>
      </c>
      <c r="C4728" t="str">
        <f>_xlfn.XLOOKUP(A4728,[1]Affiliations!$J$2:$J$5328,[1]Affiliations!$K$2:$K$5328,0)</f>
        <v>Universidade Federal de Campina Grande</v>
      </c>
      <c r="D4728">
        <v>11</v>
      </c>
      <c r="E4728">
        <v>44</v>
      </c>
      <c r="F4728">
        <v>4</v>
      </c>
      <c r="G4728">
        <v>4</v>
      </c>
      <c r="H4728">
        <v>0.2</v>
      </c>
      <c r="I4728">
        <v>0</v>
      </c>
      <c r="J4728">
        <v>1</v>
      </c>
      <c r="K4728">
        <v>1</v>
      </c>
      <c r="L4728">
        <v>2</v>
      </c>
      <c r="M4728">
        <v>5</v>
      </c>
      <c r="N4728">
        <v>7</v>
      </c>
      <c r="P4728">
        <v>0</v>
      </c>
      <c r="Q4728">
        <v>0</v>
      </c>
      <c r="R4728">
        <v>0</v>
      </c>
      <c r="S4728">
        <v>0</v>
      </c>
    </row>
    <row r="4729" spans="1:19" hidden="1" x14ac:dyDescent="0.35">
      <c r="A4729">
        <v>57201417511</v>
      </c>
      <c r="B4729" t="s">
        <v>4725</v>
      </c>
      <c r="C4729" t="str">
        <f>_xlfn.XLOOKUP(A4729,[1]Affiliations!$J$2:$J$5328,[1]Affiliations!$K$2:$K$5328,0)</f>
        <v>TransPetro (+1 more)</v>
      </c>
      <c r="D4729">
        <v>2</v>
      </c>
      <c r="E4729">
        <v>0</v>
      </c>
      <c r="F4729">
        <v>0</v>
      </c>
      <c r="G4729">
        <v>0</v>
      </c>
      <c r="H4729">
        <v>0</v>
      </c>
      <c r="P4729">
        <v>0</v>
      </c>
      <c r="Q4729">
        <v>0</v>
      </c>
      <c r="R4729">
        <v>0</v>
      </c>
      <c r="S4729">
        <v>0</v>
      </c>
    </row>
    <row r="4730" spans="1:19" hidden="1" x14ac:dyDescent="0.35">
      <c r="A4730">
        <v>9250401500</v>
      </c>
      <c r="B4730" t="s">
        <v>4726</v>
      </c>
      <c r="C4730" t="str">
        <f>_xlfn.XLOOKUP(A4730,[1]Affiliations!$J$2:$J$5328,[1]Affiliations!$K$2:$K$5328,0)</f>
        <v>Universidade Federal de Pernambuco</v>
      </c>
      <c r="D4730">
        <v>4</v>
      </c>
      <c r="E4730">
        <v>23</v>
      </c>
      <c r="F4730">
        <v>5.75</v>
      </c>
      <c r="G4730">
        <v>6</v>
      </c>
      <c r="H4730">
        <v>0.57999999999999996</v>
      </c>
      <c r="I4730">
        <v>0</v>
      </c>
      <c r="J4730">
        <v>0</v>
      </c>
      <c r="K4730">
        <v>0</v>
      </c>
      <c r="L4730">
        <v>2</v>
      </c>
      <c r="M4730">
        <v>2</v>
      </c>
      <c r="N4730">
        <v>3</v>
      </c>
      <c r="P4730">
        <v>0</v>
      </c>
      <c r="Q4730">
        <v>0</v>
      </c>
      <c r="R4730">
        <v>0</v>
      </c>
      <c r="S4730">
        <v>1</v>
      </c>
    </row>
    <row r="4731" spans="1:19" hidden="1" x14ac:dyDescent="0.35">
      <c r="A4731">
        <v>58713858200</v>
      </c>
      <c r="B4731" t="s">
        <v>4727</v>
      </c>
      <c r="C4731" t="str">
        <f>_xlfn.XLOOKUP(A4731,[1]Affiliations!$J$2:$J$5328,[1]Affiliations!$K$2:$K$5328,0)</f>
        <v>Universidade Federal de Alagoas</v>
      </c>
      <c r="D4731">
        <v>1</v>
      </c>
      <c r="E4731">
        <v>0</v>
      </c>
      <c r="F4731">
        <v>0</v>
      </c>
      <c r="G4731">
        <v>0</v>
      </c>
      <c r="H4731">
        <v>0</v>
      </c>
      <c r="P4731">
        <v>0</v>
      </c>
      <c r="Q4731">
        <v>0</v>
      </c>
      <c r="R4731">
        <v>0</v>
      </c>
      <c r="S4731">
        <v>0</v>
      </c>
    </row>
    <row r="4732" spans="1:19" hidden="1" x14ac:dyDescent="0.35">
      <c r="A4732">
        <v>57301150200</v>
      </c>
      <c r="B4732" t="s">
        <v>4728</v>
      </c>
      <c r="C4732" t="str">
        <f>_xlfn.XLOOKUP(A4732,[1]Affiliations!$J$2:$J$5328,[1]Affiliations!$K$2:$K$5328,0)</f>
        <v>Universidade Federal de Minas Gerais</v>
      </c>
      <c r="D4732">
        <v>3</v>
      </c>
      <c r="E4732">
        <v>44</v>
      </c>
      <c r="F4732">
        <v>14.666667</v>
      </c>
      <c r="G4732">
        <v>3</v>
      </c>
      <c r="H4732">
        <v>1.41</v>
      </c>
      <c r="I4732">
        <v>0</v>
      </c>
      <c r="J4732">
        <v>0</v>
      </c>
      <c r="K4732">
        <v>0</v>
      </c>
      <c r="L4732">
        <v>2</v>
      </c>
      <c r="M4732">
        <v>3</v>
      </c>
      <c r="N4732">
        <v>3</v>
      </c>
      <c r="P4732">
        <v>0</v>
      </c>
      <c r="Q4732">
        <v>0</v>
      </c>
      <c r="R4732">
        <v>1</v>
      </c>
      <c r="S4732">
        <v>1</v>
      </c>
    </row>
    <row r="4733" spans="1:19" hidden="1" x14ac:dyDescent="0.35">
      <c r="A4733">
        <v>59363842500</v>
      </c>
      <c r="B4733" t="s">
        <v>4729</v>
      </c>
      <c r="C4733" t="str">
        <f>_xlfn.XLOOKUP(A4733,[1]Affiliations!$J$2:$J$5328,[1]Affiliations!$K$2:$K$5328,0)</f>
        <v>Universidade Federal de Minas Gerais</v>
      </c>
      <c r="D4733">
        <v>1</v>
      </c>
      <c r="E4733">
        <v>6</v>
      </c>
      <c r="F4733">
        <v>6</v>
      </c>
      <c r="G4733">
        <v>1</v>
      </c>
      <c r="H4733">
        <v>0.39</v>
      </c>
      <c r="I4733">
        <v>0</v>
      </c>
      <c r="J4733">
        <v>1</v>
      </c>
      <c r="K4733">
        <v>1</v>
      </c>
      <c r="L4733">
        <v>1</v>
      </c>
      <c r="M4733">
        <v>1</v>
      </c>
      <c r="N4733">
        <v>1</v>
      </c>
      <c r="P4733">
        <v>0</v>
      </c>
      <c r="Q4733">
        <v>0</v>
      </c>
      <c r="R4733">
        <v>0</v>
      </c>
      <c r="S4733">
        <v>1</v>
      </c>
    </row>
    <row r="4734" spans="1:19" hidden="1" x14ac:dyDescent="0.35">
      <c r="A4734">
        <v>57640724400</v>
      </c>
      <c r="B4734" t="s">
        <v>4730</v>
      </c>
      <c r="C4734" t="str">
        <f>_xlfn.XLOOKUP(A4734,[1]Affiliations!$J$2:$J$5328,[1]Affiliations!$K$2:$K$5328,0)</f>
        <v>Universidade Tiradentes (+1 more)</v>
      </c>
      <c r="D4734">
        <v>3</v>
      </c>
      <c r="E4734">
        <v>74</v>
      </c>
      <c r="F4734">
        <v>24.666665999999999</v>
      </c>
      <c r="G4734">
        <v>3</v>
      </c>
      <c r="H4734">
        <v>0.89</v>
      </c>
      <c r="I4734">
        <v>0</v>
      </c>
      <c r="J4734">
        <v>0</v>
      </c>
      <c r="K4734">
        <v>2</v>
      </c>
      <c r="L4734">
        <v>3</v>
      </c>
      <c r="M4734">
        <v>3</v>
      </c>
      <c r="N4734">
        <v>3</v>
      </c>
      <c r="P4734">
        <v>0</v>
      </c>
      <c r="Q4734">
        <v>1</v>
      </c>
      <c r="R4734">
        <v>1</v>
      </c>
      <c r="S4734">
        <v>2</v>
      </c>
    </row>
    <row r="4735" spans="1:19" hidden="1" x14ac:dyDescent="0.35">
      <c r="A4735">
        <v>57199294817</v>
      </c>
      <c r="B4735" t="s">
        <v>4731</v>
      </c>
      <c r="C4735" t="str">
        <f>_xlfn.XLOOKUP(A4735,[1]Affiliations!$J$2:$J$5328,[1]Affiliations!$K$2:$K$5328,0)</f>
        <v>Universidade Federal de Alagoas</v>
      </c>
      <c r="D4735">
        <v>2</v>
      </c>
      <c r="E4735">
        <v>1</v>
      </c>
      <c r="F4735">
        <v>0.5</v>
      </c>
      <c r="G4735">
        <v>1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P4735">
        <v>0</v>
      </c>
      <c r="Q4735">
        <v>0</v>
      </c>
      <c r="R4735">
        <v>0</v>
      </c>
      <c r="S4735">
        <v>0</v>
      </c>
    </row>
    <row r="4736" spans="1:19" hidden="1" x14ac:dyDescent="0.35">
      <c r="A4736">
        <v>57217320543</v>
      </c>
      <c r="B4736" t="s">
        <v>4732</v>
      </c>
      <c r="C4736" t="str">
        <f>_xlfn.XLOOKUP(A4736,[1]Affiliations!$J$2:$J$5328,[1]Affiliations!$K$2:$K$5328,0)</f>
        <v>Federal University of Rio de Janeiro</v>
      </c>
      <c r="D4736">
        <v>0</v>
      </c>
      <c r="G4736">
        <v>1</v>
      </c>
    </row>
    <row r="4737" spans="1:19" hidden="1" x14ac:dyDescent="0.35">
      <c r="A4737">
        <v>55356335800</v>
      </c>
      <c r="B4737" t="s">
        <v>4733</v>
      </c>
      <c r="C4737" t="str">
        <f>_xlfn.XLOOKUP(A4737,[1]Affiliations!$J$2:$J$5328,[1]Affiliations!$K$2:$K$5328,0)</f>
        <v>SINTEF (+2 more)</v>
      </c>
      <c r="D4737">
        <v>29</v>
      </c>
      <c r="E4737">
        <v>165</v>
      </c>
      <c r="F4737">
        <v>5.6896553000000001</v>
      </c>
      <c r="G4737">
        <v>8</v>
      </c>
      <c r="H4737">
        <v>1.02</v>
      </c>
      <c r="I4737">
        <v>0</v>
      </c>
      <c r="J4737">
        <v>0</v>
      </c>
      <c r="K4737">
        <v>3</v>
      </c>
      <c r="L4737">
        <v>12</v>
      </c>
      <c r="M4737">
        <v>14</v>
      </c>
      <c r="N4737">
        <v>18</v>
      </c>
      <c r="P4737">
        <v>0</v>
      </c>
      <c r="Q4737">
        <v>0</v>
      </c>
      <c r="R4737">
        <v>0</v>
      </c>
      <c r="S4737">
        <v>2</v>
      </c>
    </row>
    <row r="4738" spans="1:19" x14ac:dyDescent="0.35">
      <c r="A4738">
        <v>57204879168</v>
      </c>
      <c r="B4738" t="s">
        <v>3156</v>
      </c>
      <c r="C4738" t="str">
        <f>_xlfn.XLOOKUP(A4738,[1]Affiliations!$J$2:$J$5328,[1]Affiliations!$K$2:$K$5328,0)</f>
        <v>X-Reality GeoInformatics Lab Unisinos University (+1 more)</v>
      </c>
      <c r="D4738">
        <v>36</v>
      </c>
      <c r="E4738">
        <v>205</v>
      </c>
      <c r="F4738">
        <v>5.6944447</v>
      </c>
      <c r="G4738">
        <v>7</v>
      </c>
      <c r="H4738">
        <v>0.6</v>
      </c>
      <c r="I4738">
        <v>1</v>
      </c>
      <c r="J4738">
        <v>2</v>
      </c>
      <c r="K4738">
        <v>7</v>
      </c>
      <c r="L4738">
        <v>12</v>
      </c>
      <c r="M4738">
        <v>12</v>
      </c>
      <c r="N4738">
        <v>30</v>
      </c>
      <c r="P4738">
        <v>0</v>
      </c>
      <c r="Q4738">
        <v>0</v>
      </c>
      <c r="R4738">
        <v>2</v>
      </c>
      <c r="S4738">
        <v>4</v>
      </c>
    </row>
    <row r="4739" spans="1:19" hidden="1" x14ac:dyDescent="0.35">
      <c r="A4739">
        <v>57203548461</v>
      </c>
      <c r="B4739" t="s">
        <v>4735</v>
      </c>
      <c r="C4739" t="str">
        <f>_xlfn.XLOOKUP(A4739,[1]Affiliations!$J$2:$J$5328,[1]Affiliations!$K$2:$K$5328,0)</f>
        <v>Universidade Federal da Bahia</v>
      </c>
      <c r="D4739">
        <v>3</v>
      </c>
      <c r="E4739">
        <v>68</v>
      </c>
      <c r="F4739">
        <v>22.666665999999999</v>
      </c>
      <c r="G4739">
        <v>3</v>
      </c>
      <c r="H4739">
        <v>1.54</v>
      </c>
      <c r="I4739">
        <v>0</v>
      </c>
      <c r="J4739">
        <v>1</v>
      </c>
      <c r="K4739">
        <v>2</v>
      </c>
      <c r="L4739">
        <v>3</v>
      </c>
      <c r="M4739">
        <v>3</v>
      </c>
      <c r="N4739">
        <v>3</v>
      </c>
      <c r="P4739">
        <v>0</v>
      </c>
      <c r="Q4739">
        <v>0</v>
      </c>
      <c r="R4739">
        <v>1</v>
      </c>
      <c r="S4739">
        <v>3</v>
      </c>
    </row>
    <row r="4740" spans="1:19" hidden="1" x14ac:dyDescent="0.35">
      <c r="A4740">
        <v>59672961100</v>
      </c>
      <c r="B4740" t="s">
        <v>4736</v>
      </c>
      <c r="C4740" t="str">
        <f>_xlfn.XLOOKUP(A4740,[1]Affiliations!$J$2:$J$5328,[1]Affiliations!$K$2:$K$5328,0)</f>
        <v>ESSS</v>
      </c>
      <c r="D4740">
        <v>0</v>
      </c>
      <c r="G4740">
        <v>0</v>
      </c>
    </row>
    <row r="4741" spans="1:19" hidden="1" x14ac:dyDescent="0.35">
      <c r="A4741">
        <v>57734643000</v>
      </c>
      <c r="B4741" t="s">
        <v>4737</v>
      </c>
      <c r="C4741" t="str">
        <f>_xlfn.XLOOKUP(A4741,[1]Affiliations!$J$2:$J$5328,[1]Affiliations!$K$2:$K$5328,0)</f>
        <v>Universidade Veiga de Almeida (+1 more)</v>
      </c>
      <c r="D4741">
        <v>2</v>
      </c>
      <c r="E4741">
        <v>13</v>
      </c>
      <c r="F4741">
        <v>6.5</v>
      </c>
      <c r="G4741">
        <v>2</v>
      </c>
      <c r="H4741">
        <v>0.44</v>
      </c>
      <c r="I4741">
        <v>0</v>
      </c>
      <c r="J4741">
        <v>0</v>
      </c>
      <c r="K4741">
        <v>0</v>
      </c>
      <c r="L4741">
        <v>1</v>
      </c>
      <c r="M4741">
        <v>1</v>
      </c>
      <c r="N4741">
        <v>1</v>
      </c>
      <c r="P4741">
        <v>0</v>
      </c>
      <c r="Q4741">
        <v>0</v>
      </c>
      <c r="R4741">
        <v>0</v>
      </c>
      <c r="S4741">
        <v>0</v>
      </c>
    </row>
    <row r="4742" spans="1:19" hidden="1" x14ac:dyDescent="0.35">
      <c r="A4742">
        <v>57213116813</v>
      </c>
      <c r="B4742" t="s">
        <v>4738</v>
      </c>
      <c r="C4742" t="str">
        <f>_xlfn.XLOOKUP(A4742,[1]Affiliations!$J$2:$J$5328,[1]Affiliations!$K$2:$K$5328,0)</f>
        <v>Federal University of Rio de Janeiro</v>
      </c>
      <c r="D4742">
        <v>5</v>
      </c>
      <c r="E4742">
        <v>59</v>
      </c>
      <c r="F4742">
        <v>11.8</v>
      </c>
      <c r="G4742">
        <v>4</v>
      </c>
      <c r="H4742">
        <v>0.45</v>
      </c>
      <c r="I4742">
        <v>0</v>
      </c>
      <c r="J4742">
        <v>1</v>
      </c>
      <c r="K4742">
        <v>1</v>
      </c>
      <c r="L4742">
        <v>3</v>
      </c>
      <c r="M4742">
        <v>4</v>
      </c>
      <c r="N4742">
        <v>5</v>
      </c>
      <c r="P4742">
        <v>0</v>
      </c>
      <c r="Q4742">
        <v>0</v>
      </c>
      <c r="R4742">
        <v>0</v>
      </c>
      <c r="S4742">
        <v>1</v>
      </c>
    </row>
    <row r="4743" spans="1:19" hidden="1" x14ac:dyDescent="0.35">
      <c r="A4743">
        <v>57221374411</v>
      </c>
      <c r="B4743" t="s">
        <v>4739</v>
      </c>
      <c r="C4743" t="str">
        <f>_xlfn.XLOOKUP(A4743,[1]Affiliations!$J$2:$J$5328,[1]Affiliations!$K$2:$K$5328,0)</f>
        <v>Serviço Nacional de Aprendizagem Industrial</v>
      </c>
      <c r="D4743">
        <v>3</v>
      </c>
      <c r="E4743">
        <v>199</v>
      </c>
      <c r="F4743">
        <v>66.333336000000003</v>
      </c>
      <c r="G4743">
        <v>2</v>
      </c>
      <c r="H4743">
        <v>4.42</v>
      </c>
      <c r="I4743">
        <v>0</v>
      </c>
      <c r="J4743">
        <v>1</v>
      </c>
      <c r="K4743">
        <v>1</v>
      </c>
      <c r="L4743">
        <v>1</v>
      </c>
      <c r="M4743">
        <v>1</v>
      </c>
      <c r="N4743">
        <v>2</v>
      </c>
      <c r="P4743">
        <v>1</v>
      </c>
      <c r="Q4743">
        <v>1</v>
      </c>
      <c r="R4743">
        <v>1</v>
      </c>
      <c r="S4743">
        <v>1</v>
      </c>
    </row>
    <row r="4744" spans="1:19" x14ac:dyDescent="0.35">
      <c r="A4744">
        <v>56517547900</v>
      </c>
      <c r="B4744" t="s">
        <v>3165</v>
      </c>
      <c r="C4744" t="str">
        <f>_xlfn.XLOOKUP(A4744,[1]Affiliations!$J$2:$J$5328,[1]Affiliations!$K$2:$K$5328,0)</f>
        <v>Comissão Nacional de Energia Nuclear</v>
      </c>
      <c r="D4744">
        <v>12</v>
      </c>
      <c r="E4744">
        <v>107</v>
      </c>
      <c r="F4744">
        <v>8.9166670000000003</v>
      </c>
      <c r="G4744">
        <v>5</v>
      </c>
      <c r="H4744">
        <v>0.6</v>
      </c>
      <c r="I4744">
        <v>0</v>
      </c>
      <c r="J4744">
        <v>1</v>
      </c>
      <c r="K4744">
        <v>1</v>
      </c>
      <c r="L4744">
        <v>2</v>
      </c>
      <c r="M4744">
        <v>2</v>
      </c>
      <c r="N4744">
        <v>6</v>
      </c>
      <c r="P4744">
        <v>0</v>
      </c>
      <c r="Q4744">
        <v>1</v>
      </c>
      <c r="R4744">
        <v>1</v>
      </c>
      <c r="S4744">
        <v>3</v>
      </c>
    </row>
    <row r="4745" spans="1:19" hidden="1" x14ac:dyDescent="0.35">
      <c r="A4745">
        <v>57190486989</v>
      </c>
      <c r="B4745" t="s">
        <v>4741</v>
      </c>
      <c r="C4745" t="str">
        <f>_xlfn.XLOOKUP(A4745,[1]Affiliations!$J$2:$J$5328,[1]Affiliations!$K$2:$K$5328,0)</f>
        <v>Federal University of Rio de Janeiro</v>
      </c>
      <c r="D4745">
        <v>2</v>
      </c>
      <c r="E4745">
        <v>54</v>
      </c>
      <c r="F4745">
        <v>27</v>
      </c>
      <c r="G4745">
        <v>2</v>
      </c>
      <c r="H4745">
        <v>0.7</v>
      </c>
      <c r="I4745">
        <v>0</v>
      </c>
      <c r="J4745">
        <v>0</v>
      </c>
      <c r="K4745">
        <v>0</v>
      </c>
      <c r="L4745">
        <v>1</v>
      </c>
      <c r="M4745">
        <v>1</v>
      </c>
      <c r="N4745">
        <v>1</v>
      </c>
      <c r="P4745">
        <v>0</v>
      </c>
      <c r="Q4745">
        <v>0</v>
      </c>
      <c r="R4745">
        <v>1</v>
      </c>
      <c r="S4745">
        <v>1</v>
      </c>
    </row>
    <row r="4746" spans="1:19" hidden="1" x14ac:dyDescent="0.35">
      <c r="A4746">
        <v>59159256900</v>
      </c>
      <c r="B4746" t="s">
        <v>4742</v>
      </c>
      <c r="C4746" t="str">
        <f>_xlfn.XLOOKUP(A4746,[1]Affiliations!$J$2:$J$5328,[1]Affiliations!$K$2:$K$5328,0)</f>
        <v>Universidade Federal de Uberlândia</v>
      </c>
      <c r="D4746">
        <v>1</v>
      </c>
      <c r="E4746">
        <v>46</v>
      </c>
      <c r="F4746">
        <v>46</v>
      </c>
      <c r="G4746">
        <v>1</v>
      </c>
      <c r="H4746">
        <v>1.88</v>
      </c>
      <c r="I4746">
        <v>0</v>
      </c>
      <c r="J4746">
        <v>0</v>
      </c>
      <c r="K4746">
        <v>1</v>
      </c>
      <c r="L4746">
        <v>1</v>
      </c>
      <c r="M4746">
        <v>1</v>
      </c>
      <c r="N4746">
        <v>1</v>
      </c>
      <c r="P4746">
        <v>0</v>
      </c>
      <c r="Q4746">
        <v>0</v>
      </c>
      <c r="R4746">
        <v>1</v>
      </c>
      <c r="S4746">
        <v>1</v>
      </c>
    </row>
    <row r="4747" spans="1:19" hidden="1" x14ac:dyDescent="0.35">
      <c r="A4747">
        <v>57201736509</v>
      </c>
      <c r="B4747" t="s">
        <v>4743</v>
      </c>
      <c r="C4747" t="str">
        <f>_xlfn.XLOOKUP(A4747,[1]Affiliations!$J$2:$J$5328,[1]Affiliations!$K$2:$K$5328,0)</f>
        <v>Fundação Gorceix</v>
      </c>
      <c r="D4747">
        <v>1</v>
      </c>
      <c r="E4747">
        <v>4</v>
      </c>
      <c r="F4747">
        <v>4</v>
      </c>
      <c r="G4747">
        <v>1</v>
      </c>
      <c r="H4747">
        <v>0</v>
      </c>
      <c r="P4747">
        <v>0</v>
      </c>
      <c r="Q4747">
        <v>0</v>
      </c>
      <c r="R4747">
        <v>0</v>
      </c>
      <c r="S4747">
        <v>0</v>
      </c>
    </row>
    <row r="4748" spans="1:19" hidden="1" x14ac:dyDescent="0.35">
      <c r="A4748">
        <v>57221460069</v>
      </c>
      <c r="B4748" t="s">
        <v>4744</v>
      </c>
      <c r="C4748" t="str">
        <f>_xlfn.XLOOKUP(A4748,[1]Affiliations!$J$2:$J$5328,[1]Affiliations!$K$2:$K$5328,0)</f>
        <v>Universidade de São Paulo</v>
      </c>
      <c r="D4748">
        <v>3</v>
      </c>
      <c r="E4748">
        <v>42</v>
      </c>
      <c r="F4748">
        <v>14</v>
      </c>
      <c r="G4748">
        <v>2</v>
      </c>
      <c r="H4748">
        <v>0.71</v>
      </c>
      <c r="I4748">
        <v>0</v>
      </c>
      <c r="J4748">
        <v>2</v>
      </c>
      <c r="K4748">
        <v>2</v>
      </c>
      <c r="L4748">
        <v>2</v>
      </c>
      <c r="M4748">
        <v>2</v>
      </c>
      <c r="N4748">
        <v>2</v>
      </c>
      <c r="P4748">
        <v>0</v>
      </c>
      <c r="Q4748">
        <v>0</v>
      </c>
      <c r="R4748">
        <v>0</v>
      </c>
      <c r="S4748">
        <v>2</v>
      </c>
    </row>
    <row r="4749" spans="1:19" hidden="1" x14ac:dyDescent="0.35">
      <c r="A4749">
        <v>57196692785</v>
      </c>
      <c r="B4749" t="s">
        <v>4745</v>
      </c>
      <c r="C4749" t="str">
        <f>_xlfn.XLOOKUP(A4749,[1]Affiliations!$J$2:$J$5328,[1]Affiliations!$K$2:$K$5328,0)</f>
        <v>Universidade Federal de Alagoas</v>
      </c>
      <c r="D4749">
        <v>0</v>
      </c>
      <c r="G4749">
        <v>4</v>
      </c>
    </row>
    <row r="4750" spans="1:19" x14ac:dyDescent="0.35">
      <c r="A4750">
        <v>7102555028</v>
      </c>
      <c r="B4750" t="s">
        <v>3453</v>
      </c>
      <c r="C4750" t="str">
        <f>_xlfn.XLOOKUP(A4750,[1]Affiliations!$J$2:$J$5328,[1]Affiliations!$K$2:$K$5328,0)</f>
        <v>LNDC-COPPE-UFRJ (+1 more)</v>
      </c>
      <c r="D4750">
        <v>11</v>
      </c>
      <c r="E4750">
        <v>175</v>
      </c>
      <c r="F4750">
        <v>15.909091</v>
      </c>
      <c r="G4750">
        <v>4</v>
      </c>
      <c r="H4750">
        <v>0.6</v>
      </c>
      <c r="I4750">
        <v>0</v>
      </c>
      <c r="J4750">
        <v>3</v>
      </c>
      <c r="K4750">
        <v>3</v>
      </c>
      <c r="L4750">
        <v>3</v>
      </c>
      <c r="M4750">
        <v>3</v>
      </c>
      <c r="N4750">
        <v>5</v>
      </c>
      <c r="P4750">
        <v>0</v>
      </c>
      <c r="Q4750">
        <v>1</v>
      </c>
      <c r="R4750">
        <v>1</v>
      </c>
      <c r="S4750">
        <v>2</v>
      </c>
    </row>
    <row r="4751" spans="1:19" hidden="1" x14ac:dyDescent="0.35">
      <c r="A4751">
        <v>59529808100</v>
      </c>
      <c r="B4751" t="s">
        <v>4747</v>
      </c>
      <c r="C4751" t="str">
        <f>_xlfn.XLOOKUP(A4751,[1]Affiliations!$J$2:$J$5328,[1]Affiliations!$K$2:$K$5328,0)</f>
        <v>Vale S.A.</v>
      </c>
      <c r="D4751">
        <v>2</v>
      </c>
      <c r="E4751">
        <v>3</v>
      </c>
      <c r="F4751">
        <v>1.5</v>
      </c>
      <c r="G4751">
        <v>1</v>
      </c>
      <c r="H4751">
        <v>1.43</v>
      </c>
      <c r="P4751">
        <v>0</v>
      </c>
      <c r="Q4751">
        <v>0</v>
      </c>
      <c r="R4751">
        <v>0</v>
      </c>
      <c r="S4751">
        <v>0</v>
      </c>
    </row>
    <row r="4752" spans="1:19" hidden="1" x14ac:dyDescent="0.35">
      <c r="A4752">
        <v>59673388700</v>
      </c>
      <c r="B4752" t="s">
        <v>4748</v>
      </c>
      <c r="C4752" t="str">
        <f>_xlfn.XLOOKUP(A4752,[1]Affiliations!$J$2:$J$5328,[1]Affiliations!$K$2:$K$5328,0)</f>
        <v>University of Campinas</v>
      </c>
      <c r="D4752">
        <v>0</v>
      </c>
      <c r="G4752">
        <v>1</v>
      </c>
    </row>
    <row r="4753" spans="1:19" hidden="1" x14ac:dyDescent="0.35">
      <c r="A4753">
        <v>57222242098</v>
      </c>
      <c r="B4753" t="s">
        <v>4749</v>
      </c>
      <c r="C4753" t="str">
        <f>_xlfn.XLOOKUP(A4753,[1]Affiliations!$J$2:$J$5328,[1]Affiliations!$K$2:$K$5328,0)</f>
        <v>X-Reality GeoInformatics Lab Unisinos University (+2 more)</v>
      </c>
      <c r="D4753">
        <v>4</v>
      </c>
      <c r="E4753">
        <v>14</v>
      </c>
      <c r="F4753">
        <v>3.5</v>
      </c>
      <c r="G4753">
        <v>1</v>
      </c>
      <c r="H4753">
        <v>0.64</v>
      </c>
      <c r="I4753">
        <v>0</v>
      </c>
      <c r="J4753">
        <v>1</v>
      </c>
      <c r="K4753">
        <v>1</v>
      </c>
      <c r="L4753">
        <v>1</v>
      </c>
      <c r="M4753">
        <v>1</v>
      </c>
      <c r="N4753">
        <v>4</v>
      </c>
      <c r="P4753">
        <v>0</v>
      </c>
      <c r="Q4753">
        <v>0</v>
      </c>
      <c r="R4753">
        <v>0</v>
      </c>
      <c r="S4753">
        <v>1</v>
      </c>
    </row>
    <row r="4754" spans="1:19" hidden="1" x14ac:dyDescent="0.35">
      <c r="A4754">
        <v>57223382405</v>
      </c>
      <c r="B4754" t="s">
        <v>4750</v>
      </c>
      <c r="C4754" t="str">
        <f>_xlfn.XLOOKUP(A4754,[1]Affiliations!$J$2:$J$5328,[1]Affiliations!$K$2:$K$5328,0)</f>
        <v>Universidade Federal do Rio Grande do Sul</v>
      </c>
      <c r="D4754">
        <v>1</v>
      </c>
      <c r="E4754">
        <v>3</v>
      </c>
      <c r="F4754">
        <v>3</v>
      </c>
      <c r="G4754">
        <v>2</v>
      </c>
      <c r="H4754">
        <v>1.83</v>
      </c>
      <c r="P4754">
        <v>0</v>
      </c>
      <c r="Q4754">
        <v>0</v>
      </c>
      <c r="R4754">
        <v>0</v>
      </c>
      <c r="S4754">
        <v>0</v>
      </c>
    </row>
    <row r="4755" spans="1:19" x14ac:dyDescent="0.35">
      <c r="A4755">
        <v>59454550800</v>
      </c>
      <c r="B4755" t="s">
        <v>3567</v>
      </c>
      <c r="C4755" t="str">
        <f>_xlfn.XLOOKUP(A4755,[1]Affiliations!$J$2:$J$5328,[1]Affiliations!$K$2:$K$5328,0)</f>
        <v>Universidade Federal Fluminense</v>
      </c>
      <c r="D4755">
        <v>31</v>
      </c>
      <c r="E4755">
        <v>227</v>
      </c>
      <c r="F4755">
        <v>7.3225809999999996</v>
      </c>
      <c r="G4755">
        <v>10</v>
      </c>
      <c r="H4755">
        <v>0.6</v>
      </c>
      <c r="I4755">
        <v>0</v>
      </c>
      <c r="J4755">
        <v>0</v>
      </c>
      <c r="K4755">
        <v>2</v>
      </c>
      <c r="L4755">
        <v>5</v>
      </c>
      <c r="M4755">
        <v>12</v>
      </c>
      <c r="N4755">
        <v>16</v>
      </c>
      <c r="P4755">
        <v>0</v>
      </c>
      <c r="Q4755">
        <v>0</v>
      </c>
      <c r="R4755">
        <v>3</v>
      </c>
      <c r="S4755">
        <v>6</v>
      </c>
    </row>
    <row r="4756" spans="1:19" hidden="1" x14ac:dyDescent="0.35">
      <c r="A4756">
        <v>57200794384</v>
      </c>
      <c r="B4756" t="s">
        <v>4752</v>
      </c>
      <c r="C4756" t="str">
        <f>_xlfn.XLOOKUP(A4756,[1]Affiliations!$J$2:$J$5328,[1]Affiliations!$K$2:$K$5328,0)</f>
        <v>Federal University of Rio de Janeiro</v>
      </c>
      <c r="D4756">
        <v>3</v>
      </c>
      <c r="E4756">
        <v>31</v>
      </c>
      <c r="F4756">
        <v>10.333333</v>
      </c>
      <c r="G4756">
        <v>3</v>
      </c>
      <c r="H4756">
        <v>0.31</v>
      </c>
      <c r="I4756">
        <v>0</v>
      </c>
      <c r="J4756">
        <v>0</v>
      </c>
      <c r="K4756">
        <v>0</v>
      </c>
      <c r="L4756">
        <v>3</v>
      </c>
      <c r="M4756">
        <v>3</v>
      </c>
      <c r="N4756">
        <v>3</v>
      </c>
      <c r="P4756">
        <v>0</v>
      </c>
      <c r="Q4756">
        <v>0</v>
      </c>
      <c r="R4756">
        <v>0</v>
      </c>
      <c r="S4756">
        <v>0</v>
      </c>
    </row>
    <row r="4757" spans="1:19" hidden="1" x14ac:dyDescent="0.35">
      <c r="A4757">
        <v>57211788732</v>
      </c>
      <c r="B4757" t="s">
        <v>4753</v>
      </c>
      <c r="C4757" t="str">
        <f>_xlfn.XLOOKUP(A4757,[1]Affiliations!$J$2:$J$5328,[1]Affiliations!$K$2:$K$5328,0)</f>
        <v>Federal University of Rio de Janeiro</v>
      </c>
      <c r="D4757">
        <v>14</v>
      </c>
      <c r="E4757">
        <v>93</v>
      </c>
      <c r="F4757">
        <v>6.6428570000000002</v>
      </c>
      <c r="G4757">
        <v>5</v>
      </c>
      <c r="H4757">
        <v>0.96</v>
      </c>
      <c r="I4757">
        <v>0</v>
      </c>
      <c r="J4757">
        <v>1</v>
      </c>
      <c r="K4757">
        <v>1</v>
      </c>
      <c r="L4757">
        <v>4</v>
      </c>
      <c r="M4757">
        <v>5</v>
      </c>
      <c r="N4757">
        <v>13</v>
      </c>
      <c r="P4757">
        <v>0</v>
      </c>
      <c r="Q4757">
        <v>0</v>
      </c>
      <c r="R4757">
        <v>0</v>
      </c>
      <c r="S4757">
        <v>1</v>
      </c>
    </row>
    <row r="4758" spans="1:19" x14ac:dyDescent="0.35">
      <c r="A4758">
        <v>7201690364</v>
      </c>
      <c r="B4758" t="s">
        <v>3879</v>
      </c>
      <c r="C4758" t="str">
        <f>_xlfn.XLOOKUP(A4758,[1]Affiliations!$J$2:$J$5328,[1]Affiliations!$K$2:$K$5328,0)</f>
        <v>Universidade Federal do Rio Grande do Sul</v>
      </c>
      <c r="D4758">
        <v>33</v>
      </c>
      <c r="E4758">
        <v>512</v>
      </c>
      <c r="F4758">
        <v>15.515152</v>
      </c>
      <c r="G4758">
        <v>17</v>
      </c>
      <c r="H4758">
        <v>0.6</v>
      </c>
      <c r="I4758">
        <v>1</v>
      </c>
      <c r="J4758">
        <v>7</v>
      </c>
      <c r="K4758">
        <v>14</v>
      </c>
      <c r="L4758">
        <v>18</v>
      </c>
      <c r="M4758">
        <v>30</v>
      </c>
      <c r="N4758">
        <v>32</v>
      </c>
      <c r="P4758">
        <v>0</v>
      </c>
      <c r="Q4758">
        <v>1</v>
      </c>
      <c r="R4758">
        <v>2</v>
      </c>
      <c r="S4758">
        <v>11</v>
      </c>
    </row>
    <row r="4759" spans="1:19" hidden="1" x14ac:dyDescent="0.35">
      <c r="A4759">
        <v>37027178400</v>
      </c>
      <c r="B4759" t="s">
        <v>4755</v>
      </c>
      <c r="C4759" t="str">
        <f>_xlfn.XLOOKUP(A4759,[1]Affiliations!$J$2:$J$5328,[1]Affiliations!$K$2:$K$5328,0)</f>
        <v>Pontifícia Universidade Católica do Rio Grande do Sul</v>
      </c>
      <c r="D4759">
        <v>10</v>
      </c>
      <c r="E4759">
        <v>139</v>
      </c>
      <c r="F4759">
        <v>13.9</v>
      </c>
      <c r="G4759">
        <v>9</v>
      </c>
      <c r="H4759">
        <v>0.61</v>
      </c>
      <c r="I4759">
        <v>0</v>
      </c>
      <c r="J4759">
        <v>0</v>
      </c>
      <c r="K4759">
        <v>1</v>
      </c>
      <c r="L4759">
        <v>3</v>
      </c>
      <c r="M4759">
        <v>9</v>
      </c>
      <c r="N4759">
        <v>10</v>
      </c>
      <c r="P4759">
        <v>0</v>
      </c>
      <c r="Q4759">
        <v>0</v>
      </c>
      <c r="R4759">
        <v>0</v>
      </c>
      <c r="S4759">
        <v>1</v>
      </c>
    </row>
    <row r="4760" spans="1:19" x14ac:dyDescent="0.35">
      <c r="A4760">
        <v>58430837500</v>
      </c>
      <c r="B4760" t="s">
        <v>3880</v>
      </c>
      <c r="C4760" t="str">
        <f>_xlfn.XLOOKUP(A4760,[1]Affiliations!$J$2:$J$5328,[1]Affiliations!$K$2:$K$5328,0)</f>
        <v>Universidade Federal do Espírito Santo</v>
      </c>
      <c r="D4760">
        <v>6</v>
      </c>
      <c r="E4760">
        <v>106</v>
      </c>
      <c r="F4760">
        <v>17.666665999999999</v>
      </c>
      <c r="G4760">
        <v>4</v>
      </c>
      <c r="H4760">
        <v>0.6</v>
      </c>
      <c r="I4760">
        <v>0</v>
      </c>
      <c r="J4760">
        <v>1</v>
      </c>
      <c r="K4760">
        <v>1</v>
      </c>
      <c r="L4760">
        <v>3</v>
      </c>
      <c r="M4760">
        <v>4</v>
      </c>
      <c r="N4760">
        <v>4</v>
      </c>
      <c r="P4760">
        <v>0</v>
      </c>
      <c r="Q4760">
        <v>0</v>
      </c>
      <c r="R4760">
        <v>1</v>
      </c>
      <c r="S4760">
        <v>2</v>
      </c>
    </row>
    <row r="4761" spans="1:19" x14ac:dyDescent="0.35">
      <c r="A4761">
        <v>57196444514</v>
      </c>
      <c r="B4761" t="s">
        <v>4430</v>
      </c>
      <c r="C4761" t="str">
        <f>_xlfn.XLOOKUP(A4761,[1]Affiliations!$J$2:$J$5328,[1]Affiliations!$K$2:$K$5328,0)</f>
        <v>Universidade Federal de Juiz de Fora</v>
      </c>
      <c r="D4761">
        <v>30</v>
      </c>
      <c r="E4761">
        <v>486</v>
      </c>
      <c r="F4761">
        <v>16.2</v>
      </c>
      <c r="G4761">
        <v>19</v>
      </c>
      <c r="H4761">
        <v>0.6</v>
      </c>
      <c r="I4761">
        <v>0</v>
      </c>
      <c r="J4761">
        <v>2</v>
      </c>
      <c r="K4761">
        <v>7</v>
      </c>
      <c r="L4761">
        <v>18</v>
      </c>
      <c r="M4761">
        <v>23</v>
      </c>
      <c r="N4761">
        <v>28</v>
      </c>
      <c r="P4761">
        <v>0</v>
      </c>
      <c r="Q4761">
        <v>0</v>
      </c>
      <c r="R4761">
        <v>1</v>
      </c>
      <c r="S4761">
        <v>13</v>
      </c>
    </row>
    <row r="4762" spans="1:19" hidden="1" x14ac:dyDescent="0.35">
      <c r="A4762">
        <v>57192931932</v>
      </c>
      <c r="B4762" t="s">
        <v>4758</v>
      </c>
      <c r="C4762" t="str">
        <f>_xlfn.XLOOKUP(A4762,[1]Affiliations!$J$2:$J$5328,[1]Affiliations!$K$2:$K$5328,0)</f>
        <v>Geological Survey of Brazil (SGB)</v>
      </c>
      <c r="D4762">
        <v>2</v>
      </c>
      <c r="E4762">
        <v>12</v>
      </c>
      <c r="F4762">
        <v>6</v>
      </c>
      <c r="G4762">
        <v>2</v>
      </c>
      <c r="H4762">
        <v>0.72</v>
      </c>
      <c r="I4762">
        <v>0</v>
      </c>
      <c r="J4762">
        <v>0</v>
      </c>
      <c r="K4762">
        <v>0</v>
      </c>
      <c r="L4762">
        <v>1</v>
      </c>
      <c r="M4762">
        <v>1</v>
      </c>
      <c r="N4762">
        <v>1</v>
      </c>
      <c r="P4762">
        <v>0</v>
      </c>
      <c r="Q4762">
        <v>0</v>
      </c>
      <c r="R4762">
        <v>0</v>
      </c>
      <c r="S4762">
        <v>0</v>
      </c>
    </row>
    <row r="4763" spans="1:19" x14ac:dyDescent="0.35">
      <c r="A4763">
        <v>6602495934</v>
      </c>
      <c r="B4763" t="s">
        <v>5031</v>
      </c>
      <c r="C4763" t="str">
        <f>_xlfn.XLOOKUP(A4763,[1]Affiliations!$J$2:$J$5328,[1]Affiliations!$K$2:$K$5328,0)</f>
        <v>Universidade Federal do Rio Grande do Sul</v>
      </c>
      <c r="D4763">
        <v>92</v>
      </c>
      <c r="E4763">
        <v>1067</v>
      </c>
      <c r="F4763">
        <v>11.597826</v>
      </c>
      <c r="G4763">
        <v>27</v>
      </c>
      <c r="H4763">
        <v>0.6</v>
      </c>
      <c r="I4763">
        <v>0</v>
      </c>
      <c r="J4763">
        <v>9</v>
      </c>
      <c r="K4763">
        <v>20</v>
      </c>
      <c r="L4763">
        <v>52</v>
      </c>
      <c r="M4763">
        <v>66</v>
      </c>
      <c r="N4763">
        <v>86</v>
      </c>
      <c r="P4763">
        <v>0</v>
      </c>
      <c r="Q4763">
        <v>1</v>
      </c>
      <c r="R4763">
        <v>3</v>
      </c>
      <c r="S4763">
        <v>19</v>
      </c>
    </row>
    <row r="4764" spans="1:19" x14ac:dyDescent="0.35">
      <c r="A4764">
        <v>57200989446</v>
      </c>
      <c r="B4764" t="s">
        <v>5103</v>
      </c>
      <c r="C4764" t="str">
        <f>_xlfn.XLOOKUP(A4764,[1]Affiliations!$J$2:$J$5328,[1]Affiliations!$K$2:$K$5328,0)</f>
        <v>Universidade Federal do Espírito Santo</v>
      </c>
      <c r="D4764">
        <v>5</v>
      </c>
      <c r="E4764">
        <v>82</v>
      </c>
      <c r="F4764">
        <v>16.399999999999999</v>
      </c>
      <c r="G4764">
        <v>4</v>
      </c>
      <c r="H4764">
        <v>0.6</v>
      </c>
      <c r="I4764">
        <v>0</v>
      </c>
      <c r="J4764">
        <v>1</v>
      </c>
      <c r="K4764">
        <v>2</v>
      </c>
      <c r="L4764">
        <v>3</v>
      </c>
      <c r="M4764">
        <v>5</v>
      </c>
      <c r="N4764">
        <v>5</v>
      </c>
      <c r="P4764">
        <v>0</v>
      </c>
      <c r="Q4764">
        <v>0</v>
      </c>
      <c r="R4764">
        <v>1</v>
      </c>
      <c r="S4764">
        <v>2</v>
      </c>
    </row>
    <row r="4765" spans="1:19" hidden="1" x14ac:dyDescent="0.35">
      <c r="A4765">
        <v>57221790994</v>
      </c>
      <c r="B4765" t="s">
        <v>4761</v>
      </c>
      <c r="C4765" t="str">
        <f>_xlfn.XLOOKUP(A4765,[1]Affiliations!$J$2:$J$5328,[1]Affiliations!$K$2:$K$5328,0)</f>
        <v>Federal University of Rio de Janeiro</v>
      </c>
      <c r="D4765">
        <v>4</v>
      </c>
      <c r="E4765">
        <v>80</v>
      </c>
      <c r="F4765">
        <v>20</v>
      </c>
      <c r="G4765">
        <v>4</v>
      </c>
      <c r="H4765">
        <v>0.98</v>
      </c>
      <c r="I4765">
        <v>0</v>
      </c>
      <c r="J4765">
        <v>1</v>
      </c>
      <c r="K4765">
        <v>2</v>
      </c>
      <c r="L4765">
        <v>3</v>
      </c>
      <c r="M4765">
        <v>4</v>
      </c>
      <c r="N4765">
        <v>4</v>
      </c>
      <c r="P4765">
        <v>0</v>
      </c>
      <c r="Q4765">
        <v>0</v>
      </c>
      <c r="R4765">
        <v>0</v>
      </c>
      <c r="S4765">
        <v>3</v>
      </c>
    </row>
    <row r="4766" spans="1:19" hidden="1" x14ac:dyDescent="0.35">
      <c r="A4766">
        <v>57216184169</v>
      </c>
      <c r="B4766" t="s">
        <v>4762</v>
      </c>
      <c r="C4766" t="str">
        <f>_xlfn.XLOOKUP(A4766,[1]Affiliations!$J$2:$J$5328,[1]Affiliations!$K$2:$K$5328,0)</f>
        <v>Federal University of Rio de Janeiro</v>
      </c>
      <c r="D4766">
        <v>2</v>
      </c>
      <c r="E4766">
        <v>14</v>
      </c>
      <c r="F4766">
        <v>7</v>
      </c>
      <c r="G4766">
        <v>1</v>
      </c>
      <c r="H4766">
        <v>0.26</v>
      </c>
      <c r="I4766">
        <v>0</v>
      </c>
      <c r="J4766">
        <v>0</v>
      </c>
      <c r="K4766">
        <v>0</v>
      </c>
      <c r="L4766">
        <v>1</v>
      </c>
      <c r="M4766">
        <v>1</v>
      </c>
      <c r="N4766">
        <v>2</v>
      </c>
      <c r="P4766">
        <v>0</v>
      </c>
      <c r="Q4766">
        <v>0</v>
      </c>
      <c r="R4766">
        <v>0</v>
      </c>
      <c r="S4766">
        <v>0</v>
      </c>
    </row>
    <row r="4767" spans="1:19" hidden="1" x14ac:dyDescent="0.35">
      <c r="A4767">
        <v>57193335391</v>
      </c>
      <c r="B4767" t="s">
        <v>4763</v>
      </c>
      <c r="C4767" t="str">
        <f>_xlfn.XLOOKUP(A4767,[1]Affiliations!$J$2:$J$5328,[1]Affiliations!$K$2:$K$5328,0)</f>
        <v>Universidade Federal do Rio Grande do Sul (+2 more)</v>
      </c>
      <c r="D4767">
        <v>4</v>
      </c>
      <c r="E4767">
        <v>82</v>
      </c>
      <c r="F4767">
        <v>20.5</v>
      </c>
      <c r="G4767">
        <v>4</v>
      </c>
      <c r="H4767">
        <v>0.74</v>
      </c>
      <c r="I4767">
        <v>0</v>
      </c>
      <c r="J4767">
        <v>1</v>
      </c>
      <c r="K4767">
        <v>2</v>
      </c>
      <c r="L4767">
        <v>3</v>
      </c>
      <c r="M4767">
        <v>4</v>
      </c>
      <c r="N4767">
        <v>4</v>
      </c>
      <c r="P4767">
        <v>0</v>
      </c>
      <c r="Q4767">
        <v>0</v>
      </c>
      <c r="R4767">
        <v>0</v>
      </c>
      <c r="S4767">
        <v>2</v>
      </c>
    </row>
    <row r="4768" spans="1:19" x14ac:dyDescent="0.35">
      <c r="A4768">
        <v>6603094206</v>
      </c>
      <c r="B4768" t="s">
        <v>5180</v>
      </c>
      <c r="C4768" t="str">
        <f>_xlfn.XLOOKUP(A4768,[1]Affiliations!$J$2:$J$5328,[1]Affiliations!$K$2:$K$5328,0)</f>
        <v>Universidade de São Paulo</v>
      </c>
      <c r="D4768">
        <v>13</v>
      </c>
      <c r="E4768">
        <v>171</v>
      </c>
      <c r="F4768">
        <v>13.153846</v>
      </c>
      <c r="G4768">
        <v>11</v>
      </c>
      <c r="H4768">
        <v>0.6</v>
      </c>
      <c r="I4768">
        <v>0</v>
      </c>
      <c r="J4768">
        <v>2</v>
      </c>
      <c r="K4768">
        <v>3</v>
      </c>
      <c r="L4768">
        <v>5</v>
      </c>
      <c r="M4768">
        <v>7</v>
      </c>
      <c r="N4768">
        <v>8</v>
      </c>
      <c r="P4768">
        <v>0</v>
      </c>
      <c r="Q4768">
        <v>0</v>
      </c>
      <c r="R4768">
        <v>1</v>
      </c>
      <c r="S4768">
        <v>3</v>
      </c>
    </row>
    <row r="4769" spans="1:19" hidden="1" x14ac:dyDescent="0.35">
      <c r="A4769">
        <v>57196475549</v>
      </c>
      <c r="B4769" t="s">
        <v>4765</v>
      </c>
      <c r="C4769" t="str">
        <f>_xlfn.XLOOKUP(A4769,[1]Affiliations!$J$2:$J$5328,[1]Affiliations!$K$2:$K$5328,0)</f>
        <v>Pontifícia Universidade Católica do Rio Grande do Sul</v>
      </c>
      <c r="D4769">
        <v>1</v>
      </c>
      <c r="E4769">
        <v>20</v>
      </c>
      <c r="F4769">
        <v>20</v>
      </c>
      <c r="G4769">
        <v>1</v>
      </c>
      <c r="H4769">
        <v>0.65</v>
      </c>
      <c r="I4769">
        <v>0</v>
      </c>
      <c r="J4769">
        <v>0</v>
      </c>
      <c r="K4769">
        <v>0</v>
      </c>
      <c r="L4769">
        <v>0</v>
      </c>
      <c r="M4769">
        <v>1</v>
      </c>
      <c r="N4769">
        <v>1</v>
      </c>
      <c r="P4769">
        <v>0</v>
      </c>
      <c r="Q4769">
        <v>0</v>
      </c>
      <c r="R4769">
        <v>0</v>
      </c>
      <c r="S4769">
        <v>0</v>
      </c>
    </row>
    <row r="4770" spans="1:19" hidden="1" x14ac:dyDescent="0.35">
      <c r="A4770">
        <v>58086183400</v>
      </c>
      <c r="B4770" t="s">
        <v>4766</v>
      </c>
      <c r="C4770" t="str">
        <f>_xlfn.XLOOKUP(A4770,[1]Affiliations!$J$2:$J$5328,[1]Affiliations!$K$2:$K$5328,0)</f>
        <v>Centro Brasileiro de Pesquisas Físicas</v>
      </c>
      <c r="D4770">
        <v>5</v>
      </c>
      <c r="E4770">
        <v>25</v>
      </c>
      <c r="F4770">
        <v>5</v>
      </c>
      <c r="G4770">
        <v>4</v>
      </c>
      <c r="H4770">
        <v>0.57999999999999996</v>
      </c>
      <c r="I4770">
        <v>0</v>
      </c>
      <c r="J4770">
        <v>0</v>
      </c>
      <c r="K4770">
        <v>0</v>
      </c>
      <c r="L4770">
        <v>2</v>
      </c>
      <c r="M4770">
        <v>5</v>
      </c>
      <c r="N4770">
        <v>5</v>
      </c>
      <c r="P4770">
        <v>0</v>
      </c>
      <c r="Q4770">
        <v>0</v>
      </c>
      <c r="R4770">
        <v>0</v>
      </c>
      <c r="S4770">
        <v>1</v>
      </c>
    </row>
    <row r="4771" spans="1:19" x14ac:dyDescent="0.35">
      <c r="A4771">
        <v>36189200000</v>
      </c>
      <c r="B4771" t="s">
        <v>5235</v>
      </c>
      <c r="C4771" t="str">
        <f>_xlfn.XLOOKUP(A4771,[1]Affiliations!$J$2:$J$5328,[1]Affiliations!$K$2:$K$5328,0)</f>
        <v>Universidade Federal do Amazonas</v>
      </c>
      <c r="D4771">
        <v>14</v>
      </c>
      <c r="E4771">
        <v>135</v>
      </c>
      <c r="F4771">
        <v>9.6428580000000004</v>
      </c>
      <c r="G4771">
        <v>8</v>
      </c>
      <c r="H4771">
        <v>0.6</v>
      </c>
      <c r="I4771">
        <v>0</v>
      </c>
      <c r="J4771">
        <v>3</v>
      </c>
      <c r="K4771">
        <v>3</v>
      </c>
      <c r="L4771">
        <v>5</v>
      </c>
      <c r="M4771">
        <v>6</v>
      </c>
      <c r="N4771">
        <v>8</v>
      </c>
      <c r="P4771">
        <v>0</v>
      </c>
      <c r="Q4771">
        <v>0</v>
      </c>
      <c r="R4771">
        <v>1</v>
      </c>
      <c r="S4771">
        <v>3</v>
      </c>
    </row>
    <row r="4772" spans="1:19" hidden="1" x14ac:dyDescent="0.35">
      <c r="A4772">
        <v>57311130900</v>
      </c>
      <c r="B4772" t="s">
        <v>4768</v>
      </c>
      <c r="C4772" t="str">
        <f>_xlfn.XLOOKUP(A4772,[1]Affiliations!$J$2:$J$5328,[1]Affiliations!$K$2:$K$5328,0)</f>
        <v>Universidade Federal de Pernambuco</v>
      </c>
      <c r="D4772">
        <v>2</v>
      </c>
      <c r="E4772">
        <v>5</v>
      </c>
      <c r="F4772">
        <v>2.5</v>
      </c>
      <c r="G4772">
        <v>2</v>
      </c>
      <c r="H4772">
        <v>0.15</v>
      </c>
      <c r="I4772">
        <v>0</v>
      </c>
      <c r="J4772">
        <v>0</v>
      </c>
      <c r="K4772">
        <v>0</v>
      </c>
      <c r="L4772">
        <v>0</v>
      </c>
      <c r="M4772">
        <v>2</v>
      </c>
      <c r="N4772">
        <v>2</v>
      </c>
      <c r="P4772">
        <v>0</v>
      </c>
      <c r="Q4772">
        <v>0</v>
      </c>
      <c r="R4772">
        <v>0</v>
      </c>
      <c r="S4772">
        <v>0</v>
      </c>
    </row>
    <row r="4773" spans="1:19" x14ac:dyDescent="0.35">
      <c r="A4773">
        <v>7004122716</v>
      </c>
      <c r="B4773" t="s">
        <v>220</v>
      </c>
      <c r="C4773" t="str">
        <f>_xlfn.XLOOKUP(A4773,[1]Affiliations!$J$2:$J$5328,[1]Affiliations!$K$2:$K$5328,0)</f>
        <v>Federal University of Rio de Janeiro</v>
      </c>
      <c r="D4773">
        <v>42</v>
      </c>
      <c r="E4773">
        <v>753</v>
      </c>
      <c r="F4773">
        <v>17.928571999999999</v>
      </c>
      <c r="G4773">
        <v>32</v>
      </c>
      <c r="H4773">
        <v>0.59</v>
      </c>
      <c r="I4773">
        <v>1</v>
      </c>
      <c r="J4773">
        <v>7</v>
      </c>
      <c r="K4773">
        <v>10</v>
      </c>
      <c r="L4773">
        <v>22</v>
      </c>
      <c r="M4773">
        <v>35</v>
      </c>
      <c r="N4773">
        <v>39</v>
      </c>
      <c r="P4773">
        <v>0</v>
      </c>
      <c r="Q4773">
        <v>2</v>
      </c>
      <c r="R4773">
        <v>7</v>
      </c>
      <c r="S4773">
        <v>12</v>
      </c>
    </row>
    <row r="4774" spans="1:19" hidden="1" x14ac:dyDescent="0.35">
      <c r="A4774">
        <v>23568336100</v>
      </c>
      <c r="B4774" t="s">
        <v>4770</v>
      </c>
      <c r="C4774" t="str">
        <f>_xlfn.XLOOKUP(A4774,[1]Affiliations!$J$2:$J$5328,[1]Affiliations!$K$2:$K$5328,0)</f>
        <v>Universidade de São Paulo</v>
      </c>
      <c r="D4774">
        <v>14</v>
      </c>
      <c r="E4774">
        <v>61</v>
      </c>
      <c r="F4774">
        <v>4.3571429999999998</v>
      </c>
      <c r="G4774">
        <v>6</v>
      </c>
      <c r="H4774">
        <v>0.81</v>
      </c>
      <c r="I4774">
        <v>0</v>
      </c>
      <c r="J4774">
        <v>0</v>
      </c>
      <c r="K4774">
        <v>1</v>
      </c>
      <c r="L4774">
        <v>1</v>
      </c>
      <c r="M4774">
        <v>2</v>
      </c>
      <c r="N4774">
        <v>3</v>
      </c>
      <c r="P4774">
        <v>0</v>
      </c>
      <c r="Q4774">
        <v>0</v>
      </c>
      <c r="R4774">
        <v>0</v>
      </c>
      <c r="S4774">
        <v>2</v>
      </c>
    </row>
    <row r="4775" spans="1:19" hidden="1" x14ac:dyDescent="0.35">
      <c r="A4775">
        <v>36464390100</v>
      </c>
      <c r="B4775" t="s">
        <v>4771</v>
      </c>
      <c r="C4775" t="str">
        <f>_xlfn.XLOOKUP(A4775,[1]Affiliations!$J$2:$J$5328,[1]Affiliations!$K$2:$K$5328,0)</f>
        <v>University of Campinas</v>
      </c>
      <c r="D4775">
        <v>38</v>
      </c>
      <c r="E4775">
        <v>321</v>
      </c>
      <c r="F4775">
        <v>8.4473690000000001</v>
      </c>
      <c r="G4775">
        <v>13</v>
      </c>
      <c r="H4775">
        <v>0.31</v>
      </c>
      <c r="I4775">
        <v>0</v>
      </c>
      <c r="J4775">
        <v>0</v>
      </c>
      <c r="K4775">
        <v>3</v>
      </c>
      <c r="L4775">
        <v>14</v>
      </c>
      <c r="M4775">
        <v>21</v>
      </c>
      <c r="N4775">
        <v>21</v>
      </c>
      <c r="P4775">
        <v>0</v>
      </c>
      <c r="Q4775">
        <v>0</v>
      </c>
      <c r="R4775">
        <v>0</v>
      </c>
      <c r="S4775">
        <v>5</v>
      </c>
    </row>
    <row r="4776" spans="1:19" hidden="1" x14ac:dyDescent="0.35">
      <c r="A4776">
        <v>36955900400</v>
      </c>
      <c r="B4776" t="s">
        <v>4772</v>
      </c>
      <c r="C4776" t="str">
        <f>_xlfn.XLOOKUP(A4776,[1]Affiliations!$J$2:$J$5328,[1]Affiliations!$K$2:$K$5328,0)</f>
        <v>Universidade Estadual do Norte Fluminense</v>
      </c>
      <c r="D4776">
        <v>3</v>
      </c>
      <c r="E4776">
        <v>42</v>
      </c>
      <c r="F4776">
        <v>14</v>
      </c>
      <c r="G4776">
        <v>4</v>
      </c>
      <c r="H4776">
        <v>0.44</v>
      </c>
      <c r="I4776">
        <v>0</v>
      </c>
      <c r="J4776">
        <v>0</v>
      </c>
      <c r="K4776">
        <v>0</v>
      </c>
      <c r="L4776">
        <v>1</v>
      </c>
      <c r="M4776">
        <v>1</v>
      </c>
      <c r="N4776">
        <v>2</v>
      </c>
      <c r="P4776">
        <v>0</v>
      </c>
      <c r="Q4776">
        <v>0</v>
      </c>
      <c r="R4776">
        <v>0</v>
      </c>
      <c r="S4776">
        <v>1</v>
      </c>
    </row>
    <row r="4777" spans="1:19" hidden="1" x14ac:dyDescent="0.35">
      <c r="A4777">
        <v>59714884300</v>
      </c>
      <c r="B4777" t="s">
        <v>4773</v>
      </c>
      <c r="C4777" t="str">
        <f>_xlfn.XLOOKUP(A4777,[1]Affiliations!$J$2:$J$5328,[1]Affiliations!$K$2:$K$5328,0)</f>
        <v>Universidade Federal Fluminense (+1 more)</v>
      </c>
      <c r="D4777">
        <v>0</v>
      </c>
      <c r="G4777">
        <v>0</v>
      </c>
    </row>
    <row r="4778" spans="1:19" x14ac:dyDescent="0.35">
      <c r="A4778">
        <v>55859965300</v>
      </c>
      <c r="B4778" t="s">
        <v>454</v>
      </c>
      <c r="C4778" t="str">
        <f>_xlfn.XLOOKUP(A4778,[1]Affiliations!$J$2:$J$5328,[1]Affiliations!$K$2:$K$5328,0)</f>
        <v>Universidade Federal Fluminense</v>
      </c>
      <c r="D4778">
        <v>28</v>
      </c>
      <c r="E4778">
        <v>161</v>
      </c>
      <c r="F4778">
        <v>5.75</v>
      </c>
      <c r="G4778">
        <v>7</v>
      </c>
      <c r="H4778">
        <v>0.59</v>
      </c>
      <c r="I4778">
        <v>0</v>
      </c>
      <c r="J4778">
        <v>2</v>
      </c>
      <c r="K4778">
        <v>3</v>
      </c>
      <c r="L4778">
        <v>4</v>
      </c>
      <c r="M4778">
        <v>11</v>
      </c>
      <c r="N4778">
        <v>19</v>
      </c>
      <c r="P4778">
        <v>0</v>
      </c>
      <c r="Q4778">
        <v>0</v>
      </c>
      <c r="R4778">
        <v>1</v>
      </c>
      <c r="S4778">
        <v>2</v>
      </c>
    </row>
    <row r="4779" spans="1:19" x14ac:dyDescent="0.35">
      <c r="A4779">
        <v>57209853846</v>
      </c>
      <c r="B4779" t="s">
        <v>934</v>
      </c>
      <c r="C4779" t="str">
        <f>_xlfn.XLOOKUP(A4779,[1]Affiliations!$J$2:$J$5328,[1]Affiliations!$K$2:$K$5328,0)</f>
        <v>Federal University of Rio de Janeiro</v>
      </c>
      <c r="D4779">
        <v>7</v>
      </c>
      <c r="E4779">
        <v>111</v>
      </c>
      <c r="F4779">
        <v>15.857142</v>
      </c>
      <c r="G4779">
        <v>4</v>
      </c>
      <c r="H4779">
        <v>0.59</v>
      </c>
      <c r="I4779">
        <v>0</v>
      </c>
      <c r="J4779">
        <v>0</v>
      </c>
      <c r="K4779">
        <v>1</v>
      </c>
      <c r="L4779">
        <v>5</v>
      </c>
      <c r="M4779">
        <v>6</v>
      </c>
      <c r="N4779">
        <v>7</v>
      </c>
      <c r="P4779">
        <v>0</v>
      </c>
      <c r="Q4779">
        <v>1</v>
      </c>
      <c r="R4779">
        <v>1</v>
      </c>
      <c r="S4779">
        <v>2</v>
      </c>
    </row>
    <row r="4780" spans="1:19" x14ac:dyDescent="0.35">
      <c r="A4780">
        <v>35931835800</v>
      </c>
      <c r="B4780" t="s">
        <v>1033</v>
      </c>
      <c r="C4780" t="str">
        <f>_xlfn.XLOOKUP(A4780,[1]Affiliations!$J$2:$J$5328,[1]Affiliations!$K$2:$K$5328,0)</f>
        <v>Federal University of Rio de Janeiro</v>
      </c>
      <c r="D4780">
        <v>29</v>
      </c>
      <c r="E4780">
        <v>442</v>
      </c>
      <c r="F4780">
        <v>15.241379999999999</v>
      </c>
      <c r="G4780">
        <v>21</v>
      </c>
      <c r="H4780">
        <v>0.59</v>
      </c>
      <c r="I4780">
        <v>0</v>
      </c>
      <c r="J4780">
        <v>2</v>
      </c>
      <c r="K4780">
        <v>4</v>
      </c>
      <c r="L4780">
        <v>14</v>
      </c>
      <c r="M4780">
        <v>23</v>
      </c>
      <c r="N4780">
        <v>25</v>
      </c>
      <c r="P4780">
        <v>0</v>
      </c>
      <c r="Q4780">
        <v>2</v>
      </c>
      <c r="R4780">
        <v>3</v>
      </c>
      <c r="S4780">
        <v>6</v>
      </c>
    </row>
    <row r="4781" spans="1:19" hidden="1" x14ac:dyDescent="0.35">
      <c r="A4781">
        <v>24721433600</v>
      </c>
      <c r="B4781" t="s">
        <v>4776</v>
      </c>
      <c r="C4781" t="str">
        <f>_xlfn.XLOOKUP(A4781,[1]Affiliations!$J$2:$J$5328,[1]Affiliations!$K$2:$K$5328,0)</f>
        <v>University of Campinas</v>
      </c>
      <c r="D4781">
        <v>4</v>
      </c>
      <c r="E4781">
        <v>67</v>
      </c>
      <c r="F4781">
        <v>16.75</v>
      </c>
      <c r="G4781">
        <v>10</v>
      </c>
      <c r="H4781">
        <v>1.01</v>
      </c>
      <c r="I4781">
        <v>1</v>
      </c>
      <c r="J4781">
        <v>2</v>
      </c>
      <c r="K4781">
        <v>2</v>
      </c>
      <c r="L4781">
        <v>3</v>
      </c>
      <c r="M4781">
        <v>3</v>
      </c>
      <c r="N4781">
        <v>3</v>
      </c>
      <c r="P4781">
        <v>0</v>
      </c>
      <c r="Q4781">
        <v>0</v>
      </c>
      <c r="R4781">
        <v>0</v>
      </c>
      <c r="S4781">
        <v>2</v>
      </c>
    </row>
    <row r="4782" spans="1:19" hidden="1" x14ac:dyDescent="0.35">
      <c r="A4782">
        <v>12788631600</v>
      </c>
      <c r="B4782" t="s">
        <v>4777</v>
      </c>
      <c r="C4782" t="str">
        <f>_xlfn.XLOOKUP(A4782,[1]Affiliations!$J$2:$J$5328,[1]Affiliations!$K$2:$K$5328,0)</f>
        <v>Federal University of Rio de Janeiro</v>
      </c>
      <c r="D4782">
        <v>7</v>
      </c>
      <c r="E4782">
        <v>115</v>
      </c>
      <c r="F4782">
        <v>16.428571999999999</v>
      </c>
      <c r="G4782">
        <v>8</v>
      </c>
      <c r="H4782">
        <v>0.51</v>
      </c>
      <c r="I4782">
        <v>0</v>
      </c>
      <c r="J4782">
        <v>0</v>
      </c>
      <c r="K4782">
        <v>0</v>
      </c>
      <c r="L4782">
        <v>3</v>
      </c>
      <c r="M4782">
        <v>4</v>
      </c>
      <c r="N4782">
        <v>6</v>
      </c>
      <c r="P4782">
        <v>0</v>
      </c>
      <c r="Q4782">
        <v>0</v>
      </c>
      <c r="R4782">
        <v>1</v>
      </c>
      <c r="S4782">
        <v>3</v>
      </c>
    </row>
    <row r="4783" spans="1:19" hidden="1" x14ac:dyDescent="0.35">
      <c r="A4783">
        <v>56015420800</v>
      </c>
      <c r="B4783" t="s">
        <v>4778</v>
      </c>
      <c r="C4783" t="str">
        <f>_xlfn.XLOOKUP(A4783,[1]Affiliations!$J$2:$J$5328,[1]Affiliations!$K$2:$K$5328,0)</f>
        <v>Universidade Tecnológica Federal do Paraná</v>
      </c>
      <c r="D4783">
        <v>4</v>
      </c>
      <c r="E4783">
        <v>155</v>
      </c>
      <c r="F4783">
        <v>38.75</v>
      </c>
      <c r="G4783">
        <v>6</v>
      </c>
      <c r="H4783">
        <v>0.99</v>
      </c>
      <c r="I4783">
        <v>0</v>
      </c>
      <c r="J4783">
        <v>0</v>
      </c>
      <c r="K4783">
        <v>0</v>
      </c>
      <c r="L4783">
        <v>3</v>
      </c>
      <c r="M4783">
        <v>4</v>
      </c>
      <c r="N4783">
        <v>4</v>
      </c>
      <c r="P4783">
        <v>0</v>
      </c>
      <c r="Q4783">
        <v>1</v>
      </c>
      <c r="R4783">
        <v>1</v>
      </c>
      <c r="S4783">
        <v>2</v>
      </c>
    </row>
    <row r="4784" spans="1:19" hidden="1" x14ac:dyDescent="0.35">
      <c r="A4784">
        <v>57203570188</v>
      </c>
      <c r="B4784" t="s">
        <v>4779</v>
      </c>
      <c r="C4784" t="str">
        <f>_xlfn.XLOOKUP(A4784,[1]Affiliations!$J$2:$J$5328,[1]Affiliations!$K$2:$K$5328,0)</f>
        <v>FIEMG</v>
      </c>
      <c r="D4784">
        <v>3</v>
      </c>
      <c r="E4784">
        <v>6</v>
      </c>
      <c r="F4784">
        <v>2</v>
      </c>
      <c r="G4784">
        <v>2</v>
      </c>
      <c r="H4784">
        <v>0.31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2</v>
      </c>
      <c r="P4784">
        <v>0</v>
      </c>
      <c r="Q4784">
        <v>0</v>
      </c>
      <c r="R4784">
        <v>0</v>
      </c>
      <c r="S4784">
        <v>0</v>
      </c>
    </row>
    <row r="4785" spans="1:19" hidden="1" x14ac:dyDescent="0.35">
      <c r="A4785">
        <v>57214778110</v>
      </c>
      <c r="B4785" t="s">
        <v>4780</v>
      </c>
      <c r="C4785" t="str">
        <f>_xlfn.XLOOKUP(A4785,[1]Affiliations!$J$2:$J$5328,[1]Affiliations!$K$2:$K$5328,0)</f>
        <v>Universidade Tecnológica Federal do Paraná (+1 more)</v>
      </c>
      <c r="D4785">
        <v>4</v>
      </c>
      <c r="E4785">
        <v>106</v>
      </c>
      <c r="F4785">
        <v>26.5</v>
      </c>
      <c r="G4785">
        <v>3</v>
      </c>
      <c r="H4785">
        <v>1.1599999999999999</v>
      </c>
      <c r="I4785">
        <v>0</v>
      </c>
      <c r="J4785">
        <v>0</v>
      </c>
      <c r="K4785">
        <v>0</v>
      </c>
      <c r="L4785">
        <v>2</v>
      </c>
      <c r="M4785">
        <v>3</v>
      </c>
      <c r="N4785">
        <v>3</v>
      </c>
      <c r="P4785">
        <v>1</v>
      </c>
      <c r="Q4785">
        <v>1</v>
      </c>
      <c r="R4785">
        <v>1</v>
      </c>
      <c r="S4785">
        <v>2</v>
      </c>
    </row>
    <row r="4786" spans="1:19" hidden="1" x14ac:dyDescent="0.35">
      <c r="A4786">
        <v>57213192989</v>
      </c>
      <c r="B4786" t="s">
        <v>4781</v>
      </c>
      <c r="C4786" t="str">
        <f>_xlfn.XLOOKUP(A4786,[1]Affiliations!$J$2:$J$5328,[1]Affiliations!$K$2:$K$5328,0)</f>
        <v>Vizlab - X-Reality and GeoInformatics Lab</v>
      </c>
      <c r="D4786">
        <v>1</v>
      </c>
      <c r="E4786">
        <v>1</v>
      </c>
      <c r="F4786">
        <v>1</v>
      </c>
      <c r="G4786">
        <v>1</v>
      </c>
      <c r="H4786">
        <v>0.39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1</v>
      </c>
      <c r="P4786">
        <v>0</v>
      </c>
      <c r="Q4786">
        <v>0</v>
      </c>
      <c r="R4786">
        <v>0</v>
      </c>
      <c r="S4786">
        <v>0</v>
      </c>
    </row>
    <row r="4787" spans="1:19" hidden="1" x14ac:dyDescent="0.35">
      <c r="A4787">
        <v>6602338551</v>
      </c>
      <c r="B4787" t="s">
        <v>4782</v>
      </c>
      <c r="C4787" t="str">
        <f>_xlfn.XLOOKUP(A4787,[1]Affiliations!$J$2:$J$5328,[1]Affiliations!$K$2:$K$5328,0)</f>
        <v>Instituto de Pesquisas da Marinha</v>
      </c>
      <c r="D4787">
        <v>7</v>
      </c>
      <c r="E4787">
        <v>44</v>
      </c>
      <c r="F4787">
        <v>6.2857139999999996</v>
      </c>
      <c r="G4787">
        <v>8</v>
      </c>
      <c r="H4787">
        <v>1.28</v>
      </c>
      <c r="I4787">
        <v>0</v>
      </c>
      <c r="J4787">
        <v>0</v>
      </c>
      <c r="K4787">
        <v>1</v>
      </c>
      <c r="L4787">
        <v>4</v>
      </c>
      <c r="M4787">
        <v>4</v>
      </c>
      <c r="N4787">
        <v>4</v>
      </c>
      <c r="P4787">
        <v>0</v>
      </c>
      <c r="Q4787">
        <v>0</v>
      </c>
      <c r="R4787">
        <v>0</v>
      </c>
      <c r="S4787">
        <v>1</v>
      </c>
    </row>
    <row r="4788" spans="1:19" hidden="1" x14ac:dyDescent="0.35">
      <c r="A4788">
        <v>55692811500</v>
      </c>
      <c r="B4788" t="s">
        <v>4783</v>
      </c>
      <c r="C4788" t="str">
        <f>_xlfn.XLOOKUP(A4788,[1]Affiliations!$J$2:$J$5328,[1]Affiliations!$K$2:$K$5328,0)</f>
        <v>Universidade Federal de Sergipe (+3 more)</v>
      </c>
      <c r="D4788">
        <v>9</v>
      </c>
      <c r="E4788">
        <v>54</v>
      </c>
      <c r="F4788">
        <v>6</v>
      </c>
      <c r="G4788">
        <v>4</v>
      </c>
      <c r="H4788">
        <v>1.66</v>
      </c>
      <c r="I4788">
        <v>0</v>
      </c>
      <c r="J4788">
        <v>0</v>
      </c>
      <c r="K4788">
        <v>0</v>
      </c>
      <c r="L4788">
        <v>2</v>
      </c>
      <c r="M4788">
        <v>5</v>
      </c>
      <c r="N4788">
        <v>5</v>
      </c>
      <c r="P4788">
        <v>0</v>
      </c>
      <c r="Q4788">
        <v>0</v>
      </c>
      <c r="R4788">
        <v>0</v>
      </c>
      <c r="S4788">
        <v>2</v>
      </c>
    </row>
    <row r="4789" spans="1:19" hidden="1" x14ac:dyDescent="0.35">
      <c r="A4789">
        <v>7102762325</v>
      </c>
      <c r="B4789" t="s">
        <v>4784</v>
      </c>
      <c r="C4789" t="str">
        <f>_xlfn.XLOOKUP(A4789,[1]Affiliations!$J$2:$J$5328,[1]Affiliations!$K$2:$K$5328,0)</f>
        <v>Applied Computational Intelligence Laboratory - Pontifical Catholic University (ICA – PUC Rio)</v>
      </c>
      <c r="D4789">
        <v>3</v>
      </c>
      <c r="E4789">
        <v>14</v>
      </c>
      <c r="F4789">
        <v>4.6666664999999998</v>
      </c>
      <c r="G4789">
        <v>4</v>
      </c>
      <c r="H4789">
        <v>0.45</v>
      </c>
      <c r="I4789">
        <v>0</v>
      </c>
      <c r="J4789">
        <v>2</v>
      </c>
      <c r="K4789">
        <v>2</v>
      </c>
      <c r="L4789">
        <v>2</v>
      </c>
      <c r="M4789">
        <v>3</v>
      </c>
      <c r="N4789">
        <v>3</v>
      </c>
      <c r="P4789">
        <v>0</v>
      </c>
      <c r="Q4789">
        <v>0</v>
      </c>
      <c r="R4789">
        <v>0</v>
      </c>
      <c r="S4789">
        <v>0</v>
      </c>
    </row>
    <row r="4790" spans="1:19" x14ac:dyDescent="0.35">
      <c r="A4790">
        <v>19639825200</v>
      </c>
      <c r="B4790" t="s">
        <v>1038</v>
      </c>
      <c r="C4790" t="str">
        <f>_xlfn.XLOOKUP(A4790,[1]Affiliations!$J$2:$J$5328,[1]Affiliations!$K$2:$K$5328,0)</f>
        <v>Universidade Federal Do Estado Do Rio de Janeiro (Unirio)</v>
      </c>
      <c r="D4790">
        <v>14</v>
      </c>
      <c r="E4790">
        <v>218</v>
      </c>
      <c r="F4790">
        <v>15.571427999999999</v>
      </c>
      <c r="G4790">
        <v>14</v>
      </c>
      <c r="H4790">
        <v>0.59</v>
      </c>
      <c r="I4790">
        <v>0</v>
      </c>
      <c r="J4790">
        <v>0</v>
      </c>
      <c r="K4790">
        <v>2</v>
      </c>
      <c r="L4790">
        <v>4</v>
      </c>
      <c r="M4790">
        <v>9</v>
      </c>
      <c r="N4790">
        <v>14</v>
      </c>
      <c r="P4790">
        <v>0</v>
      </c>
      <c r="Q4790">
        <v>1</v>
      </c>
      <c r="R4790">
        <v>1</v>
      </c>
      <c r="S4790">
        <v>1</v>
      </c>
    </row>
    <row r="4791" spans="1:19" hidden="1" x14ac:dyDescent="0.35">
      <c r="A4791">
        <v>56421365000</v>
      </c>
      <c r="B4791" t="s">
        <v>4786</v>
      </c>
      <c r="C4791" t="str">
        <f>_xlfn.XLOOKUP(A4791,[1]Affiliations!$J$2:$J$5328,[1]Affiliations!$K$2:$K$5328,0)</f>
        <v>Federal University of Rio de Janeiro</v>
      </c>
      <c r="D4791">
        <v>2</v>
      </c>
      <c r="E4791">
        <v>21</v>
      </c>
      <c r="F4791">
        <v>10.5</v>
      </c>
      <c r="G4791">
        <v>2</v>
      </c>
      <c r="H4791">
        <v>0.6</v>
      </c>
      <c r="I4791">
        <v>0</v>
      </c>
      <c r="J4791">
        <v>0</v>
      </c>
      <c r="K4791">
        <v>0</v>
      </c>
      <c r="L4791">
        <v>1</v>
      </c>
      <c r="M4791">
        <v>1</v>
      </c>
      <c r="N4791">
        <v>2</v>
      </c>
      <c r="P4791">
        <v>0</v>
      </c>
      <c r="Q4791">
        <v>0</v>
      </c>
      <c r="R4791">
        <v>0</v>
      </c>
      <c r="S4791">
        <v>0</v>
      </c>
    </row>
    <row r="4792" spans="1:19" x14ac:dyDescent="0.35">
      <c r="A4792">
        <v>35814308300</v>
      </c>
      <c r="B4792" t="s">
        <v>1227</v>
      </c>
      <c r="C4792" t="str">
        <f>_xlfn.XLOOKUP(A4792,[1]Affiliations!$J$2:$J$5328,[1]Affiliations!$K$2:$K$5328,0)</f>
        <v>Federal University of Rio de Janeiro (+1 more)</v>
      </c>
      <c r="D4792">
        <v>15</v>
      </c>
      <c r="E4792">
        <v>287</v>
      </c>
      <c r="F4792">
        <v>19.133333</v>
      </c>
      <c r="G4792">
        <v>17</v>
      </c>
      <c r="H4792">
        <v>0.59</v>
      </c>
      <c r="I4792">
        <v>0</v>
      </c>
      <c r="J4792">
        <v>1</v>
      </c>
      <c r="K4792">
        <v>2</v>
      </c>
      <c r="L4792">
        <v>4</v>
      </c>
      <c r="M4792">
        <v>10</v>
      </c>
      <c r="N4792">
        <v>13</v>
      </c>
      <c r="P4792">
        <v>0</v>
      </c>
      <c r="Q4792">
        <v>1</v>
      </c>
      <c r="R4792">
        <v>1</v>
      </c>
      <c r="S4792">
        <v>5</v>
      </c>
    </row>
    <row r="4793" spans="1:19" x14ac:dyDescent="0.35">
      <c r="A4793">
        <v>14830303600</v>
      </c>
      <c r="B4793" t="s">
        <v>1256</v>
      </c>
      <c r="C4793" t="str">
        <f>_xlfn.XLOOKUP(A4793,[1]Affiliations!$J$2:$J$5328,[1]Affiliations!$K$2:$K$5328,0)</f>
        <v>Universidade Federal do Ceará</v>
      </c>
      <c r="D4793">
        <v>20</v>
      </c>
      <c r="E4793">
        <v>352</v>
      </c>
      <c r="F4793">
        <v>17.600000000000001</v>
      </c>
      <c r="G4793">
        <v>11</v>
      </c>
      <c r="H4793">
        <v>0.59</v>
      </c>
      <c r="I4793">
        <v>0</v>
      </c>
      <c r="J4793">
        <v>2</v>
      </c>
      <c r="K4793">
        <v>4</v>
      </c>
      <c r="L4793">
        <v>12</v>
      </c>
      <c r="M4793">
        <v>16</v>
      </c>
      <c r="N4793">
        <v>19</v>
      </c>
      <c r="P4793">
        <v>0</v>
      </c>
      <c r="Q4793">
        <v>1</v>
      </c>
      <c r="R4793">
        <v>1</v>
      </c>
      <c r="S4793">
        <v>6</v>
      </c>
    </row>
    <row r="4794" spans="1:19" x14ac:dyDescent="0.35">
      <c r="A4794">
        <v>35208202100</v>
      </c>
      <c r="B4794" t="s">
        <v>1368</v>
      </c>
      <c r="C4794" t="str">
        <f>_xlfn.XLOOKUP(A4794,[1]Affiliations!$J$2:$J$5328,[1]Affiliations!$K$2:$K$5328,0)</f>
        <v>Centro Nacional de Pesquisa em Energia e Materiais</v>
      </c>
      <c r="D4794">
        <v>28</v>
      </c>
      <c r="E4794">
        <v>349</v>
      </c>
      <c r="F4794">
        <v>12.464286</v>
      </c>
      <c r="G4794">
        <v>11</v>
      </c>
      <c r="H4794">
        <v>0.59</v>
      </c>
      <c r="I4794">
        <v>1</v>
      </c>
      <c r="J4794">
        <v>4</v>
      </c>
      <c r="K4794">
        <v>13</v>
      </c>
      <c r="L4794">
        <v>19</v>
      </c>
      <c r="M4794">
        <v>24</v>
      </c>
      <c r="N4794">
        <v>25</v>
      </c>
      <c r="P4794">
        <v>0</v>
      </c>
      <c r="Q4794">
        <v>1</v>
      </c>
      <c r="R4794">
        <v>4</v>
      </c>
      <c r="S4794">
        <v>11</v>
      </c>
    </row>
    <row r="4795" spans="1:19" hidden="1" x14ac:dyDescent="0.35">
      <c r="A4795">
        <v>57203417470</v>
      </c>
      <c r="B4795" t="s">
        <v>4790</v>
      </c>
      <c r="C4795" t="str">
        <f>_xlfn.XLOOKUP(A4795,[1]Affiliations!$J$2:$J$5328,[1]Affiliations!$K$2:$K$5328,0)</f>
        <v>Halliburton</v>
      </c>
      <c r="D4795">
        <v>1</v>
      </c>
      <c r="E4795">
        <v>7</v>
      </c>
      <c r="F4795">
        <v>7</v>
      </c>
      <c r="G4795">
        <v>1</v>
      </c>
      <c r="H4795">
        <v>1.52</v>
      </c>
      <c r="P4795">
        <v>0</v>
      </c>
      <c r="Q4795">
        <v>0</v>
      </c>
      <c r="R4795">
        <v>0</v>
      </c>
      <c r="S4795">
        <v>0</v>
      </c>
    </row>
    <row r="4796" spans="1:19" x14ac:dyDescent="0.35">
      <c r="A4796">
        <v>7102853362</v>
      </c>
      <c r="B4796" t="s">
        <v>1649</v>
      </c>
      <c r="C4796" t="str">
        <f>_xlfn.XLOOKUP(A4796,[1]Affiliations!$J$2:$J$5328,[1]Affiliations!$K$2:$K$5328,0)</f>
        <v>Universidade Federal de Juiz de Fora</v>
      </c>
      <c r="D4796">
        <v>118</v>
      </c>
      <c r="E4796">
        <v>1725</v>
      </c>
      <c r="F4796">
        <v>14.618644</v>
      </c>
      <c r="G4796">
        <v>38</v>
      </c>
      <c r="H4796">
        <v>0.59</v>
      </c>
      <c r="I4796">
        <v>0</v>
      </c>
      <c r="J4796">
        <v>8</v>
      </c>
      <c r="K4796">
        <v>17</v>
      </c>
      <c r="L4796">
        <v>52</v>
      </c>
      <c r="M4796">
        <v>94</v>
      </c>
      <c r="N4796">
        <v>111</v>
      </c>
      <c r="P4796">
        <v>0</v>
      </c>
      <c r="Q4796">
        <v>1</v>
      </c>
      <c r="R4796">
        <v>8</v>
      </c>
      <c r="S4796">
        <v>38</v>
      </c>
    </row>
    <row r="4797" spans="1:19" hidden="1" x14ac:dyDescent="0.35">
      <c r="A4797">
        <v>36603529600</v>
      </c>
      <c r="B4797" t="s">
        <v>4792</v>
      </c>
      <c r="C4797" t="str">
        <f>_xlfn.XLOOKUP(A4797,[1]Affiliations!$J$2:$J$5328,[1]Affiliations!$K$2:$K$5328,0)</f>
        <v>Universidade Federal do Amazonas</v>
      </c>
      <c r="D4797">
        <v>22</v>
      </c>
      <c r="E4797">
        <v>255</v>
      </c>
      <c r="F4797">
        <v>11.590909</v>
      </c>
      <c r="G4797">
        <v>12</v>
      </c>
      <c r="H4797">
        <v>0.48</v>
      </c>
      <c r="I4797">
        <v>1</v>
      </c>
      <c r="J4797">
        <v>2</v>
      </c>
      <c r="K4797">
        <v>3</v>
      </c>
      <c r="L4797">
        <v>5</v>
      </c>
      <c r="M4797">
        <v>12</v>
      </c>
      <c r="N4797">
        <v>19</v>
      </c>
      <c r="P4797">
        <v>0</v>
      </c>
      <c r="Q4797">
        <v>0</v>
      </c>
      <c r="R4797">
        <v>0</v>
      </c>
      <c r="S4797">
        <v>4</v>
      </c>
    </row>
    <row r="4798" spans="1:19" hidden="1" x14ac:dyDescent="0.35">
      <c r="A4798">
        <v>57200789570</v>
      </c>
      <c r="B4798" t="s">
        <v>4793</v>
      </c>
      <c r="C4798" t="str">
        <f>_xlfn.XLOOKUP(A4798,[1]Affiliations!$J$2:$J$5328,[1]Affiliations!$K$2:$K$5328,0)</f>
        <v>Federal University of Rio de Janeiro</v>
      </c>
      <c r="D4798">
        <v>3</v>
      </c>
      <c r="E4798">
        <v>10</v>
      </c>
      <c r="F4798">
        <v>3.3333333000000001</v>
      </c>
      <c r="G4798">
        <v>1</v>
      </c>
      <c r="H4798">
        <v>0.16</v>
      </c>
      <c r="I4798">
        <v>0</v>
      </c>
      <c r="J4798">
        <v>0</v>
      </c>
      <c r="K4798">
        <v>0</v>
      </c>
      <c r="L4798">
        <v>1</v>
      </c>
      <c r="M4798">
        <v>1</v>
      </c>
      <c r="N4798">
        <v>2</v>
      </c>
      <c r="P4798">
        <v>0</v>
      </c>
      <c r="Q4798">
        <v>0</v>
      </c>
      <c r="R4798">
        <v>0</v>
      </c>
      <c r="S4798">
        <v>0</v>
      </c>
    </row>
    <row r="4799" spans="1:19" x14ac:dyDescent="0.35">
      <c r="A4799">
        <v>57201976523</v>
      </c>
      <c r="B4799" t="s">
        <v>1903</v>
      </c>
      <c r="C4799" t="str">
        <f>_xlfn.XLOOKUP(A4799,[1]Affiliations!$J$2:$J$5328,[1]Affiliations!$K$2:$K$5328,0)</f>
        <v>Universidade Tiradentes (+1 more)</v>
      </c>
      <c r="D4799">
        <v>11</v>
      </c>
      <c r="E4799">
        <v>131</v>
      </c>
      <c r="F4799">
        <v>11.909091</v>
      </c>
      <c r="G4799">
        <v>8</v>
      </c>
      <c r="H4799">
        <v>0.59</v>
      </c>
      <c r="I4799">
        <v>0</v>
      </c>
      <c r="J4799">
        <v>1</v>
      </c>
      <c r="K4799">
        <v>1</v>
      </c>
      <c r="L4799">
        <v>6</v>
      </c>
      <c r="M4799">
        <v>10</v>
      </c>
      <c r="N4799">
        <v>11</v>
      </c>
      <c r="P4799">
        <v>0</v>
      </c>
      <c r="Q4799">
        <v>0</v>
      </c>
      <c r="R4799">
        <v>1</v>
      </c>
      <c r="S4799">
        <v>2</v>
      </c>
    </row>
    <row r="4800" spans="1:19" x14ac:dyDescent="0.35">
      <c r="A4800">
        <v>6507656894</v>
      </c>
      <c r="B4800" t="s">
        <v>2053</v>
      </c>
      <c r="C4800" t="str">
        <f>_xlfn.XLOOKUP(A4800,[1]Affiliations!$J$2:$J$5328,[1]Affiliations!$K$2:$K$5328,0)</f>
        <v>University of Campinas</v>
      </c>
      <c r="D4800">
        <v>18</v>
      </c>
      <c r="E4800">
        <v>331</v>
      </c>
      <c r="F4800">
        <v>18.38889</v>
      </c>
      <c r="G4800">
        <v>15</v>
      </c>
      <c r="H4800">
        <v>0.59</v>
      </c>
      <c r="I4800">
        <v>0</v>
      </c>
      <c r="J4800">
        <v>1</v>
      </c>
      <c r="K4800">
        <v>4</v>
      </c>
      <c r="L4800">
        <v>8</v>
      </c>
      <c r="M4800">
        <v>14</v>
      </c>
      <c r="N4800">
        <v>17</v>
      </c>
      <c r="P4800">
        <v>0</v>
      </c>
      <c r="Q4800">
        <v>0</v>
      </c>
      <c r="R4800">
        <v>2</v>
      </c>
      <c r="S4800">
        <v>6</v>
      </c>
    </row>
    <row r="4801" spans="1:19" x14ac:dyDescent="0.35">
      <c r="A4801">
        <v>55883796500</v>
      </c>
      <c r="B4801" t="s">
        <v>2089</v>
      </c>
      <c r="C4801" t="str">
        <f>_xlfn.XLOOKUP(A4801,[1]Affiliations!$J$2:$J$5328,[1]Affiliations!$K$2:$K$5328,0)</f>
        <v>Universidade de São Paulo</v>
      </c>
      <c r="D4801">
        <v>25</v>
      </c>
      <c r="E4801">
        <v>536</v>
      </c>
      <c r="F4801">
        <v>21.44</v>
      </c>
      <c r="G4801">
        <v>13</v>
      </c>
      <c r="H4801">
        <v>0.59</v>
      </c>
      <c r="I4801">
        <v>0</v>
      </c>
      <c r="J4801">
        <v>4</v>
      </c>
      <c r="K4801">
        <v>6</v>
      </c>
      <c r="L4801">
        <v>21</v>
      </c>
      <c r="M4801">
        <v>23</v>
      </c>
      <c r="N4801">
        <v>24</v>
      </c>
      <c r="P4801">
        <v>0</v>
      </c>
      <c r="Q4801">
        <v>2</v>
      </c>
      <c r="R4801">
        <v>3</v>
      </c>
      <c r="S4801">
        <v>11</v>
      </c>
    </row>
    <row r="4802" spans="1:19" hidden="1" x14ac:dyDescent="0.35">
      <c r="A4802">
        <v>57610831400</v>
      </c>
      <c r="B4802" t="s">
        <v>4797</v>
      </c>
      <c r="C4802" t="str">
        <f>_xlfn.XLOOKUP(A4802,[1]Affiliations!$J$2:$J$5328,[1]Affiliations!$K$2:$K$5328,0)</f>
        <v>Federal University of Rio de Janeiro</v>
      </c>
      <c r="D4802">
        <v>2</v>
      </c>
      <c r="E4802">
        <v>7</v>
      </c>
      <c r="F4802">
        <v>3.5</v>
      </c>
      <c r="G4802">
        <v>2</v>
      </c>
      <c r="H4802">
        <v>0.34</v>
      </c>
      <c r="I4802">
        <v>0</v>
      </c>
      <c r="J4802">
        <v>0</v>
      </c>
      <c r="K4802">
        <v>0</v>
      </c>
      <c r="L4802">
        <v>2</v>
      </c>
      <c r="M4802">
        <v>2</v>
      </c>
      <c r="N4802">
        <v>2</v>
      </c>
      <c r="P4802">
        <v>0</v>
      </c>
      <c r="Q4802">
        <v>0</v>
      </c>
      <c r="R4802">
        <v>0</v>
      </c>
      <c r="S4802">
        <v>0</v>
      </c>
    </row>
    <row r="4803" spans="1:19" x14ac:dyDescent="0.35">
      <c r="A4803">
        <v>57014325900</v>
      </c>
      <c r="B4803" t="s">
        <v>2755</v>
      </c>
      <c r="C4803" t="str">
        <f>_xlfn.XLOOKUP(A4803,[1]Affiliations!$J$2:$J$5328,[1]Affiliations!$K$2:$K$5328,0)</f>
        <v>Pontifical Catholic University of Rio de Janeiro</v>
      </c>
      <c r="D4803">
        <v>15</v>
      </c>
      <c r="E4803">
        <v>134</v>
      </c>
      <c r="F4803">
        <v>8.9333329999999993</v>
      </c>
      <c r="G4803">
        <v>4</v>
      </c>
      <c r="H4803">
        <v>0.59</v>
      </c>
      <c r="I4803">
        <v>0</v>
      </c>
      <c r="J4803">
        <v>0</v>
      </c>
      <c r="K4803">
        <v>1</v>
      </c>
      <c r="L4803">
        <v>3</v>
      </c>
      <c r="M4803">
        <v>3</v>
      </c>
      <c r="N4803">
        <v>4</v>
      </c>
      <c r="P4803">
        <v>0</v>
      </c>
      <c r="Q4803">
        <v>0</v>
      </c>
      <c r="R4803">
        <v>2</v>
      </c>
      <c r="S4803">
        <v>2</v>
      </c>
    </row>
    <row r="4804" spans="1:19" hidden="1" x14ac:dyDescent="0.35">
      <c r="A4804">
        <v>57201435448</v>
      </c>
      <c r="B4804" t="s">
        <v>4799</v>
      </c>
      <c r="C4804" t="str">
        <f>_xlfn.XLOOKUP(A4804,[1]Affiliations!$J$2:$J$5328,[1]Affiliations!$K$2:$K$5328,0)</f>
        <v>Universidade Federal da Bahia (+2 more)</v>
      </c>
      <c r="D4804">
        <v>6</v>
      </c>
      <c r="E4804">
        <v>21</v>
      </c>
      <c r="F4804">
        <v>3.5</v>
      </c>
      <c r="G4804">
        <v>3</v>
      </c>
      <c r="H4804">
        <v>2.19</v>
      </c>
      <c r="I4804">
        <v>0</v>
      </c>
      <c r="J4804">
        <v>0</v>
      </c>
      <c r="K4804">
        <v>0</v>
      </c>
      <c r="L4804">
        <v>2</v>
      </c>
      <c r="M4804">
        <v>2</v>
      </c>
      <c r="N4804">
        <v>2</v>
      </c>
      <c r="P4804">
        <v>0</v>
      </c>
      <c r="Q4804">
        <v>0</v>
      </c>
      <c r="R4804">
        <v>0</v>
      </c>
      <c r="S4804">
        <v>1</v>
      </c>
    </row>
    <row r="4805" spans="1:19" hidden="1" x14ac:dyDescent="0.35">
      <c r="A4805">
        <v>36961182400</v>
      </c>
      <c r="B4805" t="s">
        <v>4800</v>
      </c>
      <c r="C4805" t="str">
        <f>_xlfn.XLOOKUP(A4805,[1]Affiliations!$J$2:$J$5328,[1]Affiliations!$K$2:$K$5328,0)</f>
        <v>Pontifical Catholic University of Rio de Janeiro (+2 more)</v>
      </c>
      <c r="D4805">
        <v>17</v>
      </c>
      <c r="E4805">
        <v>28</v>
      </c>
      <c r="F4805">
        <v>1.6470587999999999</v>
      </c>
      <c r="G4805">
        <v>8</v>
      </c>
      <c r="H4805">
        <v>0.31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P4805">
        <v>0</v>
      </c>
      <c r="Q4805">
        <v>0</v>
      </c>
      <c r="R4805">
        <v>0</v>
      </c>
      <c r="S4805">
        <v>0</v>
      </c>
    </row>
    <row r="4806" spans="1:19" hidden="1" x14ac:dyDescent="0.35">
      <c r="A4806">
        <v>8068566200</v>
      </c>
      <c r="B4806" t="s">
        <v>4801</v>
      </c>
      <c r="C4806" t="str">
        <f>_xlfn.XLOOKUP(A4806,[1]Affiliations!$J$2:$J$5328,[1]Affiliations!$K$2:$K$5328,0)</f>
        <v>Universidade do Estado do Rio de Janeiro</v>
      </c>
      <c r="D4806">
        <v>29</v>
      </c>
      <c r="E4806">
        <v>420</v>
      </c>
      <c r="F4806">
        <v>14.482758499999999</v>
      </c>
      <c r="G4806">
        <v>19</v>
      </c>
      <c r="H4806">
        <v>0.64</v>
      </c>
      <c r="I4806">
        <v>0</v>
      </c>
      <c r="J4806">
        <v>6</v>
      </c>
      <c r="K4806">
        <v>8</v>
      </c>
      <c r="L4806">
        <v>14</v>
      </c>
      <c r="M4806">
        <v>20</v>
      </c>
      <c r="N4806">
        <v>28</v>
      </c>
      <c r="P4806">
        <v>0</v>
      </c>
      <c r="Q4806">
        <v>0</v>
      </c>
      <c r="R4806">
        <v>0</v>
      </c>
      <c r="S4806">
        <v>9</v>
      </c>
    </row>
    <row r="4807" spans="1:19" x14ac:dyDescent="0.35">
      <c r="A4807">
        <v>56673863600</v>
      </c>
      <c r="B4807" t="s">
        <v>3071</v>
      </c>
      <c r="C4807" t="str">
        <f>_xlfn.XLOOKUP(A4807,[1]Affiliations!$J$2:$J$5328,[1]Affiliations!$K$2:$K$5328,0)</f>
        <v>Instituto Tecnológico da Aeronáutica</v>
      </c>
      <c r="D4807">
        <v>36</v>
      </c>
      <c r="E4807">
        <v>299</v>
      </c>
      <c r="F4807">
        <v>8.305555</v>
      </c>
      <c r="G4807">
        <v>11</v>
      </c>
      <c r="H4807">
        <v>0.59</v>
      </c>
      <c r="I4807">
        <v>0</v>
      </c>
      <c r="J4807">
        <v>1</v>
      </c>
      <c r="K4807">
        <v>10</v>
      </c>
      <c r="L4807">
        <v>25</v>
      </c>
      <c r="M4807">
        <v>28</v>
      </c>
      <c r="N4807">
        <v>28</v>
      </c>
      <c r="P4807">
        <v>0</v>
      </c>
      <c r="Q4807">
        <v>1</v>
      </c>
      <c r="R4807">
        <v>1</v>
      </c>
      <c r="S4807">
        <v>5</v>
      </c>
    </row>
    <row r="4808" spans="1:19" hidden="1" x14ac:dyDescent="0.35">
      <c r="A4808">
        <v>57210719284</v>
      </c>
      <c r="B4808" t="s">
        <v>4803</v>
      </c>
      <c r="C4808" t="str">
        <f>_xlfn.XLOOKUP(A4808,[1]Affiliations!$J$2:$J$5328,[1]Affiliations!$K$2:$K$5328,0)</f>
        <v>Universidade Federal do Paraná</v>
      </c>
      <c r="D4808">
        <v>2</v>
      </c>
      <c r="E4808">
        <v>8</v>
      </c>
      <c r="F4808">
        <v>4</v>
      </c>
      <c r="G4808">
        <v>8</v>
      </c>
      <c r="H4808">
        <v>0.8</v>
      </c>
      <c r="I4808">
        <v>0</v>
      </c>
      <c r="J4808">
        <v>1</v>
      </c>
      <c r="K4808">
        <v>1</v>
      </c>
      <c r="L4808">
        <v>1</v>
      </c>
      <c r="M4808">
        <v>2</v>
      </c>
      <c r="N4808">
        <v>2</v>
      </c>
      <c r="P4808">
        <v>0</v>
      </c>
      <c r="Q4808">
        <v>0</v>
      </c>
      <c r="R4808">
        <v>0</v>
      </c>
      <c r="S4808">
        <v>0</v>
      </c>
    </row>
    <row r="4809" spans="1:19" x14ac:dyDescent="0.35">
      <c r="A4809">
        <v>56041652600</v>
      </c>
      <c r="B4809" t="s">
        <v>3302</v>
      </c>
      <c r="C4809" t="str">
        <f>_xlfn.XLOOKUP(A4809,[1]Affiliations!$J$2:$J$5328,[1]Affiliations!$K$2:$K$5328,0)</f>
        <v>Universidade Federal do Rio Grande do Norte</v>
      </c>
      <c r="D4809">
        <v>9</v>
      </c>
      <c r="E4809">
        <v>164</v>
      </c>
      <c r="F4809">
        <v>18.222221000000001</v>
      </c>
      <c r="G4809">
        <v>6</v>
      </c>
      <c r="H4809">
        <v>0.59</v>
      </c>
      <c r="I4809">
        <v>0</v>
      </c>
      <c r="J4809">
        <v>0</v>
      </c>
      <c r="K4809">
        <v>3</v>
      </c>
      <c r="L4809">
        <v>5</v>
      </c>
      <c r="M4809">
        <v>5</v>
      </c>
      <c r="N4809">
        <v>7</v>
      </c>
      <c r="P4809">
        <v>0</v>
      </c>
      <c r="Q4809">
        <v>0</v>
      </c>
      <c r="R4809">
        <v>1</v>
      </c>
      <c r="S4809">
        <v>3</v>
      </c>
    </row>
    <row r="4810" spans="1:19" hidden="1" x14ac:dyDescent="0.35">
      <c r="A4810">
        <v>56810552300</v>
      </c>
      <c r="B4810" t="s">
        <v>4805</v>
      </c>
      <c r="C4810" t="str">
        <f>_xlfn.XLOOKUP(A4810,[1]Affiliations!$J$2:$J$5328,[1]Affiliations!$K$2:$K$5328,0)</f>
        <v>Federal University of Rio de Janeiro (+1 more)</v>
      </c>
      <c r="D4810">
        <v>11</v>
      </c>
      <c r="E4810">
        <v>161</v>
      </c>
      <c r="F4810">
        <v>14.636364</v>
      </c>
      <c r="G4810">
        <v>7</v>
      </c>
      <c r="H4810">
        <v>0.64</v>
      </c>
      <c r="I4810">
        <v>0</v>
      </c>
      <c r="J4810">
        <v>0</v>
      </c>
      <c r="K4810">
        <v>4</v>
      </c>
      <c r="L4810">
        <v>6</v>
      </c>
      <c r="M4810">
        <v>9</v>
      </c>
      <c r="N4810">
        <v>11</v>
      </c>
      <c r="P4810">
        <v>0</v>
      </c>
      <c r="Q4810">
        <v>0</v>
      </c>
      <c r="R4810">
        <v>0</v>
      </c>
      <c r="S4810">
        <v>4</v>
      </c>
    </row>
    <row r="4811" spans="1:19" x14ac:dyDescent="0.35">
      <c r="A4811">
        <v>11240847800</v>
      </c>
      <c r="B4811" t="s">
        <v>3572</v>
      </c>
      <c r="C4811" t="str">
        <f>_xlfn.XLOOKUP(A4811,[1]Affiliations!$J$2:$J$5328,[1]Affiliations!$K$2:$K$5328,0)</f>
        <v>Universidade Federal Fluminense</v>
      </c>
      <c r="D4811">
        <v>24</v>
      </c>
      <c r="E4811">
        <v>423</v>
      </c>
      <c r="F4811">
        <v>17.625</v>
      </c>
      <c r="G4811">
        <v>11</v>
      </c>
      <c r="H4811">
        <v>0.59</v>
      </c>
      <c r="I4811">
        <v>0</v>
      </c>
      <c r="J4811">
        <v>4</v>
      </c>
      <c r="K4811">
        <v>5</v>
      </c>
      <c r="L4811">
        <v>10</v>
      </c>
      <c r="M4811">
        <v>11</v>
      </c>
      <c r="N4811">
        <v>15</v>
      </c>
      <c r="P4811">
        <v>1</v>
      </c>
      <c r="Q4811">
        <v>2</v>
      </c>
      <c r="R4811">
        <v>2</v>
      </c>
      <c r="S4811">
        <v>6</v>
      </c>
    </row>
    <row r="4812" spans="1:19" hidden="1" x14ac:dyDescent="0.35">
      <c r="A4812">
        <v>57220486594</v>
      </c>
      <c r="B4812" t="s">
        <v>4807</v>
      </c>
      <c r="C4812" t="str">
        <f>_xlfn.XLOOKUP(A4812,[1]Affiliations!$J$2:$J$5328,[1]Affiliations!$K$2:$K$5328,0)</f>
        <v>Federal University of Santa Catarina</v>
      </c>
      <c r="D4812">
        <v>1</v>
      </c>
      <c r="E4812">
        <v>5</v>
      </c>
      <c r="F4812">
        <v>5</v>
      </c>
      <c r="G4812">
        <v>3</v>
      </c>
      <c r="H4812">
        <v>0</v>
      </c>
      <c r="P4812">
        <v>0</v>
      </c>
      <c r="Q4812">
        <v>0</v>
      </c>
      <c r="R4812">
        <v>0</v>
      </c>
      <c r="S4812">
        <v>0</v>
      </c>
    </row>
    <row r="4813" spans="1:19" hidden="1" x14ac:dyDescent="0.35">
      <c r="A4813">
        <v>11140032100</v>
      </c>
      <c r="B4813" t="s">
        <v>4808</v>
      </c>
      <c r="C4813" t="str">
        <f>_xlfn.XLOOKUP(A4813,[1]Affiliations!$J$2:$J$5328,[1]Affiliations!$K$2:$K$5328,0)</f>
        <v>UWI Geologia &amp; Geofísica</v>
      </c>
      <c r="D4813">
        <v>1</v>
      </c>
      <c r="E4813">
        <v>3</v>
      </c>
      <c r="F4813">
        <v>3</v>
      </c>
      <c r="G4813">
        <v>3</v>
      </c>
      <c r="H4813">
        <v>0.3</v>
      </c>
      <c r="I4813">
        <v>0</v>
      </c>
      <c r="J4813">
        <v>0</v>
      </c>
      <c r="K4813">
        <v>0</v>
      </c>
      <c r="L4813">
        <v>0</v>
      </c>
      <c r="M4813">
        <v>1</v>
      </c>
      <c r="N4813">
        <v>1</v>
      </c>
      <c r="P4813">
        <v>0</v>
      </c>
      <c r="Q4813">
        <v>0</v>
      </c>
      <c r="R4813">
        <v>0</v>
      </c>
      <c r="S4813">
        <v>0</v>
      </c>
    </row>
    <row r="4814" spans="1:19" hidden="1" x14ac:dyDescent="0.35">
      <c r="A4814">
        <v>7006398354</v>
      </c>
      <c r="B4814" t="s">
        <v>4809</v>
      </c>
      <c r="C4814" t="str">
        <f>_xlfn.XLOOKUP(A4814,[1]Affiliations!$J$2:$J$5328,[1]Affiliations!$K$2:$K$5328,0)</f>
        <v>Federal University of Rio de Janeiro</v>
      </c>
      <c r="D4814">
        <v>2</v>
      </c>
      <c r="E4814">
        <v>130</v>
      </c>
      <c r="F4814">
        <v>65</v>
      </c>
      <c r="G4814">
        <v>4</v>
      </c>
      <c r="H4814">
        <v>1.45</v>
      </c>
      <c r="I4814">
        <v>0</v>
      </c>
      <c r="J4814">
        <v>0</v>
      </c>
      <c r="K4814">
        <v>0</v>
      </c>
      <c r="L4814">
        <v>1</v>
      </c>
      <c r="M4814">
        <v>2</v>
      </c>
      <c r="N4814">
        <v>2</v>
      </c>
      <c r="P4814">
        <v>0</v>
      </c>
      <c r="Q4814">
        <v>0</v>
      </c>
      <c r="R4814">
        <v>2</v>
      </c>
      <c r="S4814">
        <v>2</v>
      </c>
    </row>
    <row r="4815" spans="1:19" x14ac:dyDescent="0.35">
      <c r="A4815">
        <v>7005911314</v>
      </c>
      <c r="B4815" t="s">
        <v>3782</v>
      </c>
      <c r="C4815" t="str">
        <f>_xlfn.XLOOKUP(A4815,[1]Affiliations!$J$2:$J$5328,[1]Affiliations!$K$2:$K$5328,0)</f>
        <v>DEMa</v>
      </c>
      <c r="D4815">
        <v>142</v>
      </c>
      <c r="E4815">
        <v>2333</v>
      </c>
      <c r="F4815">
        <v>16.429576999999998</v>
      </c>
      <c r="G4815">
        <v>50</v>
      </c>
      <c r="H4815">
        <v>0.59</v>
      </c>
      <c r="I4815">
        <v>0</v>
      </c>
      <c r="J4815">
        <v>3</v>
      </c>
      <c r="K4815">
        <v>17</v>
      </c>
      <c r="L4815">
        <v>90</v>
      </c>
      <c r="M4815">
        <v>103</v>
      </c>
      <c r="N4815">
        <v>110</v>
      </c>
      <c r="P4815">
        <v>0</v>
      </c>
      <c r="Q4815">
        <v>0</v>
      </c>
      <c r="R4815">
        <v>11</v>
      </c>
      <c r="S4815">
        <v>56</v>
      </c>
    </row>
    <row r="4816" spans="1:19" hidden="1" x14ac:dyDescent="0.35">
      <c r="A4816">
        <v>59011548100</v>
      </c>
      <c r="B4816" t="s">
        <v>4811</v>
      </c>
      <c r="C4816" t="str">
        <f>_xlfn.XLOOKUP(A4816,[1]Affiliations!$J$2:$J$5328,[1]Affiliations!$K$2:$K$5328,0)</f>
        <v>Universidade Federal do Rio Grande do Sul</v>
      </c>
      <c r="D4816">
        <v>1</v>
      </c>
      <c r="E4816">
        <v>6</v>
      </c>
      <c r="F4816">
        <v>6</v>
      </c>
      <c r="G4816">
        <v>1</v>
      </c>
      <c r="H4816">
        <v>1.55</v>
      </c>
      <c r="I4816">
        <v>0</v>
      </c>
      <c r="J4816">
        <v>0</v>
      </c>
      <c r="K4816">
        <v>0</v>
      </c>
      <c r="L4816">
        <v>1</v>
      </c>
      <c r="M4816">
        <v>1</v>
      </c>
      <c r="N4816">
        <v>1</v>
      </c>
      <c r="P4816">
        <v>0</v>
      </c>
      <c r="Q4816">
        <v>0</v>
      </c>
      <c r="R4816">
        <v>0</v>
      </c>
      <c r="S4816">
        <v>1</v>
      </c>
    </row>
    <row r="4817" spans="1:19" hidden="1" x14ac:dyDescent="0.35">
      <c r="A4817">
        <v>57226063475</v>
      </c>
      <c r="B4817" t="s">
        <v>4812</v>
      </c>
      <c r="C4817" t="str">
        <f>_xlfn.XLOOKUP(A4817,[1]Affiliations!$J$2:$J$5328,[1]Affiliations!$K$2:$K$5328,0)</f>
        <v>Universidade Federal de Alagoas</v>
      </c>
      <c r="D4817">
        <v>2</v>
      </c>
      <c r="E4817">
        <v>12</v>
      </c>
      <c r="F4817">
        <v>6</v>
      </c>
      <c r="G4817">
        <v>2</v>
      </c>
      <c r="H4817">
        <v>0.5</v>
      </c>
      <c r="I4817">
        <v>0</v>
      </c>
      <c r="J4817">
        <v>0</v>
      </c>
      <c r="K4817">
        <v>0</v>
      </c>
      <c r="L4817">
        <v>2</v>
      </c>
      <c r="M4817">
        <v>2</v>
      </c>
      <c r="N4817">
        <v>2</v>
      </c>
      <c r="P4817">
        <v>0</v>
      </c>
      <c r="Q4817">
        <v>0</v>
      </c>
      <c r="R4817">
        <v>0</v>
      </c>
      <c r="S4817">
        <v>0</v>
      </c>
    </row>
    <row r="4818" spans="1:19" hidden="1" x14ac:dyDescent="0.35">
      <c r="A4818">
        <v>59474072100</v>
      </c>
      <c r="B4818" t="s">
        <v>4813</v>
      </c>
      <c r="C4818" t="str">
        <f>_xlfn.XLOOKUP(A4818,[1]Affiliations!$J$2:$J$5328,[1]Affiliations!$K$2:$K$5328,0)</f>
        <v>Universidade Federal Fluminense</v>
      </c>
      <c r="D4818">
        <v>1</v>
      </c>
      <c r="E4818">
        <v>0</v>
      </c>
      <c r="F4818">
        <v>0</v>
      </c>
      <c r="G4818">
        <v>0</v>
      </c>
      <c r="H4818">
        <v>0</v>
      </c>
      <c r="P4818">
        <v>0</v>
      </c>
      <c r="Q4818">
        <v>0</v>
      </c>
      <c r="R4818">
        <v>0</v>
      </c>
      <c r="S4818">
        <v>0</v>
      </c>
    </row>
    <row r="4819" spans="1:19" hidden="1" x14ac:dyDescent="0.35">
      <c r="A4819">
        <v>57224575096</v>
      </c>
      <c r="B4819" t="s">
        <v>4814</v>
      </c>
      <c r="C4819" t="str">
        <f>_xlfn.XLOOKUP(A4819,[1]Affiliations!$J$2:$J$5328,[1]Affiliations!$K$2:$K$5328,0)</f>
        <v>Universidade Federal de Santa Maria</v>
      </c>
      <c r="D4819">
        <v>3</v>
      </c>
      <c r="E4819">
        <v>10</v>
      </c>
      <c r="F4819">
        <v>3.3333333000000001</v>
      </c>
      <c r="G4819">
        <v>2</v>
      </c>
      <c r="H4819">
        <v>0.26</v>
      </c>
      <c r="I4819">
        <v>0</v>
      </c>
      <c r="J4819">
        <v>0</v>
      </c>
      <c r="K4819">
        <v>0</v>
      </c>
      <c r="L4819">
        <v>0</v>
      </c>
      <c r="M4819">
        <v>1</v>
      </c>
      <c r="N4819">
        <v>3</v>
      </c>
      <c r="P4819">
        <v>0</v>
      </c>
      <c r="Q4819">
        <v>0</v>
      </c>
      <c r="R4819">
        <v>0</v>
      </c>
      <c r="S4819">
        <v>0</v>
      </c>
    </row>
    <row r="4820" spans="1:19" hidden="1" x14ac:dyDescent="0.35">
      <c r="A4820">
        <v>57190746619</v>
      </c>
      <c r="B4820" t="s">
        <v>4815</v>
      </c>
      <c r="C4820" t="str">
        <f>_xlfn.XLOOKUP(A4820,[1]Affiliations!$J$2:$J$5328,[1]Affiliations!$K$2:$K$5328,0)</f>
        <v>Federal University of Rio de Janeiro</v>
      </c>
      <c r="D4820">
        <v>14</v>
      </c>
      <c r="E4820">
        <v>49</v>
      </c>
      <c r="F4820">
        <v>3.5</v>
      </c>
      <c r="G4820">
        <v>3</v>
      </c>
      <c r="H4820">
        <v>0.4</v>
      </c>
      <c r="I4820">
        <v>0</v>
      </c>
      <c r="J4820">
        <v>0</v>
      </c>
      <c r="K4820">
        <v>0</v>
      </c>
      <c r="L4820">
        <v>2</v>
      </c>
      <c r="M4820">
        <v>2</v>
      </c>
      <c r="N4820">
        <v>2</v>
      </c>
      <c r="P4820">
        <v>0</v>
      </c>
      <c r="Q4820">
        <v>0</v>
      </c>
      <c r="R4820">
        <v>0</v>
      </c>
      <c r="S4820">
        <v>1</v>
      </c>
    </row>
    <row r="4821" spans="1:19" hidden="1" x14ac:dyDescent="0.35">
      <c r="A4821">
        <v>7007033047</v>
      </c>
      <c r="B4821" t="s">
        <v>4816</v>
      </c>
      <c r="C4821" t="str">
        <f>_xlfn.XLOOKUP(A4821,[1]Affiliations!$J$2:$J$5328,[1]Affiliations!$K$2:$K$5328,0)</f>
        <v>Universidade de São Paulo</v>
      </c>
      <c r="D4821">
        <v>0</v>
      </c>
      <c r="G4821">
        <v>2</v>
      </c>
    </row>
    <row r="4822" spans="1:19" x14ac:dyDescent="0.35">
      <c r="A4822">
        <v>46062397100</v>
      </c>
      <c r="B4822" t="s">
        <v>3977</v>
      </c>
      <c r="C4822" t="str">
        <f>_xlfn.XLOOKUP(A4822,[1]Affiliations!$J$2:$J$5328,[1]Affiliations!$K$2:$K$5328,0)</f>
        <v>Universidade Federal do Espírito Santo</v>
      </c>
      <c r="D4822">
        <v>45</v>
      </c>
      <c r="E4822">
        <v>588</v>
      </c>
      <c r="F4822">
        <v>13.066667000000001</v>
      </c>
      <c r="G4822">
        <v>15</v>
      </c>
      <c r="H4822">
        <v>0.59</v>
      </c>
      <c r="I4822">
        <v>0</v>
      </c>
      <c r="J4822">
        <v>5</v>
      </c>
      <c r="K4822">
        <v>9</v>
      </c>
      <c r="L4822">
        <v>24</v>
      </c>
      <c r="M4822">
        <v>36</v>
      </c>
      <c r="N4822">
        <v>43</v>
      </c>
      <c r="P4822">
        <v>0</v>
      </c>
      <c r="Q4822">
        <v>0</v>
      </c>
      <c r="R4822">
        <v>1</v>
      </c>
      <c r="S4822">
        <v>14</v>
      </c>
    </row>
    <row r="4823" spans="1:19" hidden="1" x14ac:dyDescent="0.35">
      <c r="A4823">
        <v>60152494000</v>
      </c>
      <c r="B4823" t="s">
        <v>4818</v>
      </c>
      <c r="C4823" t="str">
        <f>_xlfn.XLOOKUP(A4823,[1]Affiliations!$J$2:$J$5328,[1]Affiliations!$K$2:$K$5328,0)</f>
        <v>Universidade Federal de Goiás</v>
      </c>
      <c r="D4823">
        <v>0</v>
      </c>
      <c r="G4823">
        <v>0</v>
      </c>
    </row>
    <row r="4824" spans="1:19" hidden="1" x14ac:dyDescent="0.35">
      <c r="A4824">
        <v>57196041320</v>
      </c>
      <c r="B4824" t="s">
        <v>4819</v>
      </c>
      <c r="C4824" t="str">
        <f>_xlfn.XLOOKUP(A4824,[1]Affiliations!$J$2:$J$5328,[1]Affiliations!$K$2:$K$5328,0)</f>
        <v>Universidade de Brasília</v>
      </c>
      <c r="D4824">
        <v>2</v>
      </c>
      <c r="E4824">
        <v>39</v>
      </c>
      <c r="F4824">
        <v>19.5</v>
      </c>
      <c r="G4824">
        <v>1</v>
      </c>
      <c r="H4824">
        <v>0.81</v>
      </c>
      <c r="I4824">
        <v>0</v>
      </c>
      <c r="J4824">
        <v>1</v>
      </c>
      <c r="K4824">
        <v>1</v>
      </c>
      <c r="L4824">
        <v>1</v>
      </c>
      <c r="M4824">
        <v>1</v>
      </c>
      <c r="N4824">
        <v>1</v>
      </c>
      <c r="P4824">
        <v>0</v>
      </c>
      <c r="Q4824">
        <v>0</v>
      </c>
      <c r="R4824">
        <v>0</v>
      </c>
      <c r="S4824">
        <v>1</v>
      </c>
    </row>
    <row r="4825" spans="1:19" hidden="1" x14ac:dyDescent="0.35">
      <c r="A4825">
        <v>57190258392</v>
      </c>
      <c r="B4825" t="s">
        <v>4820</v>
      </c>
      <c r="C4825" t="str">
        <f>_xlfn.XLOOKUP(A4825,[1]Affiliations!$J$2:$J$5328,[1]Affiliations!$K$2:$K$5328,0)</f>
        <v>University of Campinas (+1 more)</v>
      </c>
      <c r="D4825">
        <v>4</v>
      </c>
      <c r="E4825">
        <v>58</v>
      </c>
      <c r="F4825">
        <v>14.5</v>
      </c>
      <c r="G4825">
        <v>7</v>
      </c>
      <c r="H4825">
        <v>0.86</v>
      </c>
      <c r="I4825">
        <v>0</v>
      </c>
      <c r="J4825">
        <v>0</v>
      </c>
      <c r="K4825">
        <v>0</v>
      </c>
      <c r="L4825">
        <v>1</v>
      </c>
      <c r="M4825">
        <v>4</v>
      </c>
      <c r="N4825">
        <v>4</v>
      </c>
      <c r="P4825">
        <v>0</v>
      </c>
      <c r="Q4825">
        <v>0</v>
      </c>
      <c r="R4825">
        <v>0</v>
      </c>
      <c r="S4825">
        <v>0</v>
      </c>
    </row>
    <row r="4826" spans="1:19" x14ac:dyDescent="0.35">
      <c r="A4826">
        <v>57214358952</v>
      </c>
      <c r="B4826" t="s">
        <v>4806</v>
      </c>
      <c r="C4826" t="str">
        <f>_xlfn.XLOOKUP(A4826,[1]Affiliations!$J$2:$J$5328,[1]Affiliations!$K$2:$K$5328,0)</f>
        <v>Universidade Federal de Uberlândia</v>
      </c>
      <c r="D4826">
        <v>19</v>
      </c>
      <c r="E4826">
        <v>334</v>
      </c>
      <c r="F4826">
        <v>17.578946999999999</v>
      </c>
      <c r="G4826">
        <v>17</v>
      </c>
      <c r="H4826">
        <v>0.59</v>
      </c>
      <c r="I4826">
        <v>0</v>
      </c>
      <c r="J4826">
        <v>3</v>
      </c>
      <c r="K4826">
        <v>6</v>
      </c>
      <c r="L4826">
        <v>11</v>
      </c>
      <c r="M4826">
        <v>15</v>
      </c>
      <c r="N4826">
        <v>15</v>
      </c>
      <c r="P4826">
        <v>0</v>
      </c>
      <c r="Q4826">
        <v>1</v>
      </c>
      <c r="R4826">
        <v>2</v>
      </c>
      <c r="S4826">
        <v>7</v>
      </c>
    </row>
    <row r="4827" spans="1:19" hidden="1" x14ac:dyDescent="0.35">
      <c r="A4827">
        <v>58904916400</v>
      </c>
      <c r="B4827" t="s">
        <v>4822</v>
      </c>
      <c r="C4827" t="str">
        <f>_xlfn.XLOOKUP(A4827,[1]Affiliations!$J$2:$J$5328,[1]Affiliations!$K$2:$K$5328,0)</f>
        <v>Federal University of Rio de Janeiro</v>
      </c>
      <c r="D4827">
        <v>1</v>
      </c>
      <c r="E4827">
        <v>1</v>
      </c>
      <c r="F4827">
        <v>1</v>
      </c>
      <c r="G4827">
        <v>1</v>
      </c>
      <c r="H4827">
        <v>0.59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1</v>
      </c>
      <c r="P4827">
        <v>0</v>
      </c>
      <c r="Q4827">
        <v>0</v>
      </c>
      <c r="R4827">
        <v>0</v>
      </c>
      <c r="S4827">
        <v>0</v>
      </c>
    </row>
    <row r="4828" spans="1:19" hidden="1" x14ac:dyDescent="0.35">
      <c r="A4828">
        <v>57200408090</v>
      </c>
      <c r="B4828" t="s">
        <v>4823</v>
      </c>
      <c r="C4828" t="str">
        <f>_xlfn.XLOOKUP(A4828,[1]Affiliations!$J$2:$J$5328,[1]Affiliations!$K$2:$K$5328,0)</f>
        <v>Universidade Estadual Paulista “Júlio de Mesquita Filho”</v>
      </c>
      <c r="D4828">
        <v>3</v>
      </c>
      <c r="E4828">
        <v>9</v>
      </c>
      <c r="F4828">
        <v>3</v>
      </c>
      <c r="G4828">
        <v>1</v>
      </c>
      <c r="H4828">
        <v>0.34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P4828">
        <v>0</v>
      </c>
      <c r="Q4828">
        <v>0</v>
      </c>
      <c r="R4828">
        <v>0</v>
      </c>
      <c r="S4828">
        <v>0</v>
      </c>
    </row>
    <row r="4829" spans="1:19" hidden="1" x14ac:dyDescent="0.35">
      <c r="A4829">
        <v>56599809600</v>
      </c>
      <c r="B4829" t="s">
        <v>4824</v>
      </c>
      <c r="C4829" t="str">
        <f>_xlfn.XLOOKUP(A4829,[1]Affiliations!$J$2:$J$5328,[1]Affiliations!$K$2:$K$5328,0)</f>
        <v>Federal University of Rio de Janeiro</v>
      </c>
      <c r="D4829">
        <v>3</v>
      </c>
      <c r="E4829">
        <v>45</v>
      </c>
      <c r="F4829">
        <v>15</v>
      </c>
      <c r="G4829">
        <v>3</v>
      </c>
      <c r="H4829">
        <v>0.83</v>
      </c>
      <c r="I4829">
        <v>0</v>
      </c>
      <c r="J4829">
        <v>0</v>
      </c>
      <c r="K4829">
        <v>1</v>
      </c>
      <c r="L4829">
        <v>2</v>
      </c>
      <c r="M4829">
        <v>3</v>
      </c>
      <c r="N4829">
        <v>3</v>
      </c>
      <c r="P4829">
        <v>0</v>
      </c>
      <c r="Q4829">
        <v>0</v>
      </c>
      <c r="R4829">
        <v>0</v>
      </c>
      <c r="S4829">
        <v>1</v>
      </c>
    </row>
    <row r="4830" spans="1:19" hidden="1" x14ac:dyDescent="0.35">
      <c r="A4830">
        <v>36609151700</v>
      </c>
      <c r="B4830" t="s">
        <v>4825</v>
      </c>
      <c r="C4830" t="str">
        <f>_xlfn.XLOOKUP(A4830,[1]Affiliations!$J$2:$J$5328,[1]Affiliations!$K$2:$K$5328,0)</f>
        <v>Federal University of Rio de Janeiro</v>
      </c>
      <c r="D4830">
        <v>1</v>
      </c>
      <c r="E4830">
        <v>1</v>
      </c>
      <c r="F4830">
        <v>1</v>
      </c>
      <c r="G4830">
        <v>1</v>
      </c>
      <c r="H4830">
        <v>0.59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1</v>
      </c>
      <c r="P4830">
        <v>0</v>
      </c>
      <c r="Q4830">
        <v>0</v>
      </c>
      <c r="R4830">
        <v>0</v>
      </c>
      <c r="S4830">
        <v>0</v>
      </c>
    </row>
    <row r="4831" spans="1:19" hidden="1" x14ac:dyDescent="0.35">
      <c r="A4831">
        <v>59234804700</v>
      </c>
      <c r="B4831" t="s">
        <v>4826</v>
      </c>
      <c r="C4831" t="str">
        <f>_xlfn.XLOOKUP(A4831,[1]Affiliations!$J$2:$J$5328,[1]Affiliations!$K$2:$K$5328,0)</f>
        <v>Universidade Federal do Ceará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1</v>
      </c>
      <c r="N4831">
        <v>1</v>
      </c>
      <c r="P4831">
        <v>0</v>
      </c>
      <c r="Q4831">
        <v>0</v>
      </c>
      <c r="R4831">
        <v>0</v>
      </c>
      <c r="S4831">
        <v>0</v>
      </c>
    </row>
    <row r="4832" spans="1:19" x14ac:dyDescent="0.35">
      <c r="A4832">
        <v>57196123666</v>
      </c>
      <c r="B4832" t="s">
        <v>4924</v>
      </c>
      <c r="C4832" t="str">
        <f>_xlfn.XLOOKUP(A4832,[1]Affiliations!$J$2:$J$5328,[1]Affiliations!$K$2:$K$5328,0)</f>
        <v>Universidade Federal do Rio Grande do Sul</v>
      </c>
      <c r="D4832">
        <v>5</v>
      </c>
      <c r="E4832">
        <v>40</v>
      </c>
      <c r="F4832">
        <v>8</v>
      </c>
      <c r="G4832">
        <v>3</v>
      </c>
      <c r="H4832">
        <v>0.59</v>
      </c>
      <c r="I4832">
        <v>0</v>
      </c>
      <c r="J4832">
        <v>0</v>
      </c>
      <c r="K4832">
        <v>1</v>
      </c>
      <c r="L4832">
        <v>2</v>
      </c>
      <c r="M4832">
        <v>2</v>
      </c>
      <c r="N4832">
        <v>4</v>
      </c>
      <c r="P4832">
        <v>0</v>
      </c>
      <c r="Q4832">
        <v>1</v>
      </c>
      <c r="R4832">
        <v>1</v>
      </c>
      <c r="S4832">
        <v>2</v>
      </c>
    </row>
    <row r="4833" spans="1:19" x14ac:dyDescent="0.35">
      <c r="A4833">
        <v>37075909800</v>
      </c>
      <c r="B4833" t="s">
        <v>4931</v>
      </c>
      <c r="C4833" t="str">
        <f>_xlfn.XLOOKUP(A4833,[1]Affiliations!$J$2:$J$5328,[1]Affiliations!$K$2:$K$5328,0)</f>
        <v>Universidad del Pacífico (+1 more)</v>
      </c>
      <c r="D4833">
        <v>22</v>
      </c>
      <c r="E4833">
        <v>91</v>
      </c>
      <c r="F4833">
        <v>4.1363634999999999</v>
      </c>
      <c r="G4833">
        <v>6</v>
      </c>
      <c r="H4833">
        <v>0.59</v>
      </c>
      <c r="I4833">
        <v>0</v>
      </c>
      <c r="J4833">
        <v>2</v>
      </c>
      <c r="K4833">
        <v>2</v>
      </c>
      <c r="L4833">
        <v>6</v>
      </c>
      <c r="M4833">
        <v>8</v>
      </c>
      <c r="N4833">
        <v>12</v>
      </c>
      <c r="P4833">
        <v>0</v>
      </c>
      <c r="Q4833">
        <v>0</v>
      </c>
      <c r="R4833">
        <v>1</v>
      </c>
      <c r="S4833">
        <v>1</v>
      </c>
    </row>
    <row r="4834" spans="1:19" hidden="1" x14ac:dyDescent="0.35">
      <c r="A4834">
        <v>57206039206</v>
      </c>
      <c r="B4834" t="s">
        <v>4829</v>
      </c>
      <c r="C4834" t="str">
        <f>_xlfn.XLOOKUP(A4834,[1]Affiliations!$J$2:$J$5328,[1]Affiliations!$K$2:$K$5328,0)</f>
        <v>University of Campinas</v>
      </c>
      <c r="D4834">
        <v>2</v>
      </c>
      <c r="E4834">
        <v>100</v>
      </c>
      <c r="F4834">
        <v>50</v>
      </c>
      <c r="G4834">
        <v>2</v>
      </c>
      <c r="H4834">
        <v>1.81</v>
      </c>
      <c r="I4834">
        <v>0</v>
      </c>
      <c r="J4834">
        <v>1</v>
      </c>
      <c r="K4834">
        <v>1</v>
      </c>
      <c r="L4834">
        <v>2</v>
      </c>
      <c r="M4834">
        <v>2</v>
      </c>
      <c r="N4834">
        <v>2</v>
      </c>
      <c r="P4834">
        <v>0</v>
      </c>
      <c r="Q4834">
        <v>0</v>
      </c>
      <c r="R4834">
        <v>1</v>
      </c>
      <c r="S4834">
        <v>2</v>
      </c>
    </row>
    <row r="4835" spans="1:19" hidden="1" x14ac:dyDescent="0.35">
      <c r="A4835">
        <v>58126138000</v>
      </c>
      <c r="B4835" t="s">
        <v>4830</v>
      </c>
      <c r="C4835" t="str">
        <f>_xlfn.XLOOKUP(A4835,[1]Affiliations!$J$2:$J$5328,[1]Affiliations!$K$2:$K$5328,0)</f>
        <v>GALP/Petrogal Brasil</v>
      </c>
      <c r="D4835">
        <v>1</v>
      </c>
      <c r="E4835">
        <v>1</v>
      </c>
      <c r="F4835">
        <v>1</v>
      </c>
      <c r="G4835">
        <v>1</v>
      </c>
      <c r="H4835">
        <v>0.49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1</v>
      </c>
      <c r="P4835">
        <v>0</v>
      </c>
      <c r="Q4835">
        <v>0</v>
      </c>
      <c r="R4835">
        <v>0</v>
      </c>
      <c r="S4835">
        <v>0</v>
      </c>
    </row>
    <row r="4836" spans="1:19" x14ac:dyDescent="0.35">
      <c r="A4836">
        <v>7005271122</v>
      </c>
      <c r="B4836" t="s">
        <v>5117</v>
      </c>
      <c r="C4836" t="str">
        <f>_xlfn.XLOOKUP(A4836,[1]Affiliations!$J$2:$J$5328,[1]Affiliations!$K$2:$K$5328,0)</f>
        <v>Universidade Federal de Minas Gerais</v>
      </c>
      <c r="D4836">
        <v>49</v>
      </c>
      <c r="E4836">
        <v>992</v>
      </c>
      <c r="F4836">
        <v>20.244897999999999</v>
      </c>
      <c r="G4836">
        <v>34</v>
      </c>
      <c r="H4836">
        <v>0.59</v>
      </c>
      <c r="I4836">
        <v>0</v>
      </c>
      <c r="J4836">
        <v>4</v>
      </c>
      <c r="K4836">
        <v>7</v>
      </c>
      <c r="L4836">
        <v>25</v>
      </c>
      <c r="M4836">
        <v>38</v>
      </c>
      <c r="N4836">
        <v>41</v>
      </c>
      <c r="P4836">
        <v>0</v>
      </c>
      <c r="Q4836">
        <v>3</v>
      </c>
      <c r="R4836">
        <v>4</v>
      </c>
      <c r="S4836">
        <v>15</v>
      </c>
    </row>
    <row r="4837" spans="1:19" hidden="1" x14ac:dyDescent="0.35">
      <c r="A4837">
        <v>56599836400</v>
      </c>
      <c r="B4837" t="s">
        <v>4832</v>
      </c>
      <c r="C4837" t="str">
        <f>_xlfn.XLOOKUP(A4837,[1]Affiliations!$J$2:$J$5328,[1]Affiliations!$K$2:$K$5328,0)</f>
        <v>Universidade Federal do Rio Grande do Norte</v>
      </c>
      <c r="D4837">
        <v>7</v>
      </c>
      <c r="E4837">
        <v>78</v>
      </c>
      <c r="F4837">
        <v>11.142858</v>
      </c>
      <c r="G4837">
        <v>5</v>
      </c>
      <c r="H4837">
        <v>0.56999999999999995</v>
      </c>
      <c r="I4837">
        <v>0</v>
      </c>
      <c r="J4837">
        <v>0</v>
      </c>
      <c r="K4837">
        <v>0</v>
      </c>
      <c r="L4837">
        <v>2</v>
      </c>
      <c r="M4837">
        <v>4</v>
      </c>
      <c r="N4837">
        <v>7</v>
      </c>
      <c r="P4837">
        <v>0</v>
      </c>
      <c r="Q4837">
        <v>0</v>
      </c>
      <c r="R4837">
        <v>0</v>
      </c>
      <c r="S4837">
        <v>1</v>
      </c>
    </row>
    <row r="4838" spans="1:19" x14ac:dyDescent="0.35">
      <c r="A4838">
        <v>26023922300</v>
      </c>
      <c r="B4838" t="s">
        <v>5154</v>
      </c>
      <c r="C4838" t="str">
        <f>_xlfn.XLOOKUP(A4838,[1]Affiliations!$J$2:$J$5328,[1]Affiliations!$K$2:$K$5328,0)</f>
        <v>X-Reality GeoInformatics Lab Unisinos University (+3 more)</v>
      </c>
      <c r="D4838">
        <v>111</v>
      </c>
      <c r="E4838">
        <v>874</v>
      </c>
      <c r="F4838">
        <v>7.8738736999999999</v>
      </c>
      <c r="G4838">
        <v>18</v>
      </c>
      <c r="H4838">
        <v>0.59</v>
      </c>
      <c r="I4838">
        <v>2</v>
      </c>
      <c r="J4838">
        <v>7</v>
      </c>
      <c r="K4838">
        <v>24</v>
      </c>
      <c r="L4838">
        <v>41</v>
      </c>
      <c r="M4838">
        <v>51</v>
      </c>
      <c r="N4838">
        <v>87</v>
      </c>
      <c r="P4838">
        <v>0</v>
      </c>
      <c r="Q4838">
        <v>0</v>
      </c>
      <c r="R4838">
        <v>6</v>
      </c>
      <c r="S4838">
        <v>15</v>
      </c>
    </row>
    <row r="4839" spans="1:19" hidden="1" x14ac:dyDescent="0.35">
      <c r="A4839">
        <v>56582654300</v>
      </c>
      <c r="B4839" t="s">
        <v>4833</v>
      </c>
      <c r="C4839" t="str">
        <f>_xlfn.XLOOKUP(A4839,[1]Affiliations!$J$2:$J$5328,[1]Affiliations!$K$2:$K$5328,0)</f>
        <v>Centro Brasileiro de Pesquisas Físicas</v>
      </c>
      <c r="D4839">
        <v>0</v>
      </c>
      <c r="G4839">
        <v>12</v>
      </c>
    </row>
    <row r="4840" spans="1:19" hidden="1" x14ac:dyDescent="0.35">
      <c r="A4840">
        <v>57192939998</v>
      </c>
      <c r="B4840" t="s">
        <v>4834</v>
      </c>
      <c r="C4840" t="str">
        <f>_xlfn.XLOOKUP(A4840,[1]Affiliations!$J$2:$J$5328,[1]Affiliations!$K$2:$K$5328,0)</f>
        <v>Universidade Federal do Piauí</v>
      </c>
      <c r="D4840">
        <v>6</v>
      </c>
      <c r="E4840">
        <v>57</v>
      </c>
      <c r="F4840">
        <v>9.5</v>
      </c>
      <c r="G4840">
        <v>4</v>
      </c>
      <c r="H4840">
        <v>0.55000000000000004</v>
      </c>
      <c r="I4840">
        <v>0</v>
      </c>
      <c r="J4840">
        <v>0</v>
      </c>
      <c r="K4840">
        <v>1</v>
      </c>
      <c r="L4840">
        <v>4</v>
      </c>
      <c r="M4840">
        <v>6</v>
      </c>
      <c r="N4840">
        <v>6</v>
      </c>
      <c r="P4840">
        <v>0</v>
      </c>
      <c r="Q4840">
        <v>0</v>
      </c>
      <c r="R4840">
        <v>0</v>
      </c>
      <c r="S4840">
        <v>0</v>
      </c>
    </row>
    <row r="4841" spans="1:19" hidden="1" x14ac:dyDescent="0.35">
      <c r="A4841">
        <v>60094722700</v>
      </c>
      <c r="B4841" t="s">
        <v>4835</v>
      </c>
      <c r="C4841" t="str">
        <f>_xlfn.XLOOKUP(A4841,[1]Affiliations!$J$2:$J$5328,[1]Affiliations!$K$2:$K$5328,0)</f>
        <v>Universidade Federal de Mato Grosso</v>
      </c>
      <c r="D4841">
        <v>0</v>
      </c>
      <c r="G4841">
        <v>0</v>
      </c>
    </row>
    <row r="4842" spans="1:19" hidden="1" x14ac:dyDescent="0.35">
      <c r="A4842">
        <v>35606876700</v>
      </c>
      <c r="B4842" t="s">
        <v>4836</v>
      </c>
      <c r="C4842" t="str">
        <f>_xlfn.XLOOKUP(A4842,[1]Affiliations!$J$2:$J$5328,[1]Affiliations!$K$2:$K$5328,0)</f>
        <v>LTS/COPPE/UFRJ (+1 more)</v>
      </c>
      <c r="D4842">
        <v>3</v>
      </c>
      <c r="E4842">
        <v>2</v>
      </c>
      <c r="F4842">
        <v>0.66666669999999995</v>
      </c>
      <c r="G4842">
        <v>2</v>
      </c>
      <c r="H4842">
        <v>0.65</v>
      </c>
      <c r="P4842">
        <v>0</v>
      </c>
      <c r="Q4842">
        <v>0</v>
      </c>
      <c r="R4842">
        <v>0</v>
      </c>
      <c r="S4842">
        <v>0</v>
      </c>
    </row>
    <row r="4843" spans="1:19" hidden="1" x14ac:dyDescent="0.35">
      <c r="A4843">
        <v>58025889000</v>
      </c>
      <c r="B4843" t="s">
        <v>4837</v>
      </c>
      <c r="C4843" t="str">
        <f>_xlfn.XLOOKUP(A4843,[1]Affiliations!$J$2:$J$5328,[1]Affiliations!$K$2:$K$5328,0)</f>
        <v>Universidade de São Paulo</v>
      </c>
      <c r="D4843">
        <v>2</v>
      </c>
      <c r="E4843">
        <v>9</v>
      </c>
      <c r="F4843">
        <v>4.5</v>
      </c>
      <c r="G4843">
        <v>1</v>
      </c>
      <c r="H4843">
        <v>0.47</v>
      </c>
      <c r="I4843">
        <v>0</v>
      </c>
      <c r="J4843">
        <v>0</v>
      </c>
      <c r="K4843">
        <v>0</v>
      </c>
      <c r="L4843">
        <v>1</v>
      </c>
      <c r="M4843">
        <v>1</v>
      </c>
      <c r="N4843">
        <v>1</v>
      </c>
      <c r="P4843">
        <v>0</v>
      </c>
      <c r="Q4843">
        <v>0</v>
      </c>
      <c r="R4843">
        <v>0</v>
      </c>
      <c r="S4843">
        <v>0</v>
      </c>
    </row>
    <row r="4844" spans="1:19" hidden="1" x14ac:dyDescent="0.35">
      <c r="A4844">
        <v>57236305500</v>
      </c>
      <c r="B4844" t="s">
        <v>4838</v>
      </c>
      <c r="C4844" t="str">
        <f>_xlfn.XLOOKUP(A4844,[1]Affiliations!$J$2:$J$5328,[1]Affiliations!$K$2:$K$5328,0)</f>
        <v>Universidade de São Paulo (+1 more)</v>
      </c>
      <c r="D4844">
        <v>1</v>
      </c>
      <c r="E4844">
        <v>2</v>
      </c>
      <c r="F4844">
        <v>2</v>
      </c>
      <c r="G4844">
        <v>1</v>
      </c>
      <c r="H4844">
        <v>0.31</v>
      </c>
      <c r="I4844">
        <v>0</v>
      </c>
      <c r="J4844">
        <v>0</v>
      </c>
      <c r="K4844">
        <v>0</v>
      </c>
      <c r="L4844">
        <v>1</v>
      </c>
      <c r="M4844">
        <v>1</v>
      </c>
      <c r="N4844">
        <v>1</v>
      </c>
      <c r="P4844">
        <v>0</v>
      </c>
      <c r="Q4844">
        <v>0</v>
      </c>
      <c r="R4844">
        <v>0</v>
      </c>
      <c r="S4844">
        <v>0</v>
      </c>
    </row>
    <row r="4845" spans="1:19" hidden="1" x14ac:dyDescent="0.35">
      <c r="A4845">
        <v>57201946807</v>
      </c>
      <c r="B4845" t="s">
        <v>4839</v>
      </c>
      <c r="C4845" t="str">
        <f>_xlfn.XLOOKUP(A4845,[1]Affiliations!$J$2:$J$5328,[1]Affiliations!$K$2:$K$5328,0)</f>
        <v>Instituto Federal de Educação Ciência e Tecnologia da Paraíba</v>
      </c>
      <c r="D4845">
        <v>1</v>
      </c>
      <c r="E4845">
        <v>12</v>
      </c>
      <c r="F4845">
        <v>12</v>
      </c>
      <c r="G4845">
        <v>1</v>
      </c>
      <c r="H4845">
        <v>0.79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1</v>
      </c>
      <c r="P4845">
        <v>0</v>
      </c>
      <c r="Q4845">
        <v>0</v>
      </c>
      <c r="R4845">
        <v>0</v>
      </c>
      <c r="S4845">
        <v>0</v>
      </c>
    </row>
    <row r="4846" spans="1:19" hidden="1" x14ac:dyDescent="0.35">
      <c r="A4846">
        <v>57202285083</v>
      </c>
      <c r="B4846" t="s">
        <v>4840</v>
      </c>
      <c r="C4846" t="str">
        <f>_xlfn.XLOOKUP(A4846,[1]Affiliations!$J$2:$J$5328,[1]Affiliations!$K$2:$K$5328,0)</f>
        <v>Pontifical Catholic University of Rio de Janeiro</v>
      </c>
      <c r="D4846">
        <v>3</v>
      </c>
      <c r="E4846">
        <v>5</v>
      </c>
      <c r="F4846">
        <v>1.6666666000000001</v>
      </c>
      <c r="G4846">
        <v>1</v>
      </c>
      <c r="H4846">
        <v>0.19</v>
      </c>
      <c r="P4846">
        <v>0</v>
      </c>
      <c r="Q4846">
        <v>0</v>
      </c>
      <c r="R4846">
        <v>0</v>
      </c>
      <c r="S4846">
        <v>0</v>
      </c>
    </row>
    <row r="4847" spans="1:19" hidden="1" x14ac:dyDescent="0.35">
      <c r="A4847">
        <v>57742378700</v>
      </c>
      <c r="B4847" t="s">
        <v>4841</v>
      </c>
      <c r="C4847" t="str">
        <f>_xlfn.XLOOKUP(A4847,[1]Affiliations!$J$2:$J$5328,[1]Affiliations!$K$2:$K$5328,0)</f>
        <v>NIDF (+1 more)</v>
      </c>
      <c r="D4847">
        <v>2</v>
      </c>
      <c r="E4847">
        <v>15</v>
      </c>
      <c r="F4847">
        <v>7.5</v>
      </c>
      <c r="G4847">
        <v>2</v>
      </c>
      <c r="H4847">
        <v>6.3</v>
      </c>
      <c r="I4847">
        <v>0</v>
      </c>
      <c r="J4847">
        <v>0</v>
      </c>
      <c r="K4847">
        <v>0</v>
      </c>
      <c r="L4847">
        <v>1</v>
      </c>
      <c r="M4847">
        <v>1</v>
      </c>
      <c r="N4847">
        <v>1</v>
      </c>
      <c r="P4847">
        <v>0</v>
      </c>
      <c r="Q4847">
        <v>0</v>
      </c>
      <c r="R4847">
        <v>0</v>
      </c>
      <c r="S4847">
        <v>1</v>
      </c>
    </row>
    <row r="4848" spans="1:19" x14ac:dyDescent="0.35">
      <c r="A4848">
        <v>7006020996</v>
      </c>
      <c r="B4848" t="s">
        <v>235</v>
      </c>
      <c r="C4848" t="str">
        <f>_xlfn.XLOOKUP(A4848,[1]Affiliations!$J$2:$J$5328,[1]Affiliations!$K$2:$K$5328,0)</f>
        <v>University of Campinas</v>
      </c>
      <c r="D4848">
        <v>68</v>
      </c>
      <c r="E4848">
        <v>412</v>
      </c>
      <c r="F4848">
        <v>6.0588236000000002</v>
      </c>
      <c r="G4848">
        <v>19</v>
      </c>
      <c r="H4848">
        <v>0.57999999999999996</v>
      </c>
      <c r="I4848">
        <v>0</v>
      </c>
      <c r="J4848">
        <v>2</v>
      </c>
      <c r="K4848">
        <v>8</v>
      </c>
      <c r="L4848">
        <v>11</v>
      </c>
      <c r="M4848">
        <v>27</v>
      </c>
      <c r="N4848">
        <v>33</v>
      </c>
      <c r="P4848">
        <v>0</v>
      </c>
      <c r="Q4848">
        <v>0</v>
      </c>
      <c r="R4848">
        <v>1</v>
      </c>
      <c r="S4848">
        <v>6</v>
      </c>
    </row>
    <row r="4849" spans="1:19" x14ac:dyDescent="0.35">
      <c r="A4849">
        <v>57188829183</v>
      </c>
      <c r="B4849" t="s">
        <v>643</v>
      </c>
      <c r="C4849" t="str">
        <f>_xlfn.XLOOKUP(A4849,[1]Affiliations!$J$2:$J$5328,[1]Affiliations!$K$2:$K$5328,0)</f>
        <v>Universidade Federal de São João del-Rei</v>
      </c>
      <c r="D4849">
        <v>40</v>
      </c>
      <c r="E4849">
        <v>471</v>
      </c>
      <c r="F4849">
        <v>11.775</v>
      </c>
      <c r="G4849">
        <v>14</v>
      </c>
      <c r="H4849">
        <v>0.57999999999999996</v>
      </c>
      <c r="I4849">
        <v>0</v>
      </c>
      <c r="J4849">
        <v>1</v>
      </c>
      <c r="K4849">
        <v>3</v>
      </c>
      <c r="L4849">
        <v>11</v>
      </c>
      <c r="M4849">
        <v>15</v>
      </c>
      <c r="N4849">
        <v>27</v>
      </c>
      <c r="P4849">
        <v>0</v>
      </c>
      <c r="Q4849">
        <v>1</v>
      </c>
      <c r="R4849">
        <v>2</v>
      </c>
      <c r="S4849">
        <v>9</v>
      </c>
    </row>
    <row r="4850" spans="1:19" hidden="1" x14ac:dyDescent="0.35">
      <c r="A4850">
        <v>57276649300</v>
      </c>
      <c r="B4850" t="s">
        <v>4844</v>
      </c>
      <c r="C4850" t="str">
        <f>_xlfn.XLOOKUP(A4850,[1]Affiliations!$J$2:$J$5328,[1]Affiliations!$K$2:$K$5328,0)</f>
        <v>Universidade Federal de Minas Gerais</v>
      </c>
      <c r="D4850">
        <v>1</v>
      </c>
      <c r="E4850">
        <v>5</v>
      </c>
      <c r="F4850">
        <v>5</v>
      </c>
      <c r="G4850">
        <v>2</v>
      </c>
      <c r="H4850">
        <v>0.08</v>
      </c>
      <c r="I4850">
        <v>0</v>
      </c>
      <c r="J4850">
        <v>0</v>
      </c>
      <c r="K4850">
        <v>0</v>
      </c>
      <c r="L4850">
        <v>1</v>
      </c>
      <c r="M4850">
        <v>1</v>
      </c>
      <c r="N4850">
        <v>1</v>
      </c>
      <c r="P4850">
        <v>0</v>
      </c>
      <c r="Q4850">
        <v>0</v>
      </c>
      <c r="R4850">
        <v>0</v>
      </c>
      <c r="S4850">
        <v>0</v>
      </c>
    </row>
    <row r="4851" spans="1:19" hidden="1" x14ac:dyDescent="0.35">
      <c r="A4851">
        <v>23986179500</v>
      </c>
      <c r="B4851" t="s">
        <v>4845</v>
      </c>
      <c r="C4851" t="str">
        <f>_xlfn.XLOOKUP(A4851,[1]Affiliations!$J$2:$J$5328,[1]Affiliations!$K$2:$K$5328,0)</f>
        <v>Instituto Nacional de Tecnologia (+1 more)</v>
      </c>
      <c r="D4851">
        <v>4</v>
      </c>
      <c r="E4851">
        <v>16</v>
      </c>
      <c r="F4851">
        <v>4</v>
      </c>
      <c r="G4851">
        <v>6</v>
      </c>
      <c r="H4851">
        <v>0.43</v>
      </c>
      <c r="I4851">
        <v>0</v>
      </c>
      <c r="J4851">
        <v>1</v>
      </c>
      <c r="K4851">
        <v>1</v>
      </c>
      <c r="L4851">
        <v>2</v>
      </c>
      <c r="M4851">
        <v>3</v>
      </c>
      <c r="N4851">
        <v>4</v>
      </c>
      <c r="P4851">
        <v>0</v>
      </c>
      <c r="Q4851">
        <v>0</v>
      </c>
      <c r="R4851">
        <v>0</v>
      </c>
      <c r="S4851">
        <v>1</v>
      </c>
    </row>
    <row r="4852" spans="1:19" hidden="1" x14ac:dyDescent="0.35">
      <c r="A4852">
        <v>57560854200</v>
      </c>
      <c r="B4852" t="s">
        <v>4846</v>
      </c>
      <c r="C4852" t="str">
        <f>_xlfn.XLOOKUP(A4852,[1]Affiliations!$J$2:$J$5328,[1]Affiliations!$K$2:$K$5328,0)</f>
        <v>Universidade Federal de Pernambuco</v>
      </c>
      <c r="D4852">
        <v>1</v>
      </c>
      <c r="E4852">
        <v>13</v>
      </c>
      <c r="F4852">
        <v>13</v>
      </c>
      <c r="G4852">
        <v>1</v>
      </c>
      <c r="H4852">
        <v>1.1399999999999999</v>
      </c>
      <c r="I4852">
        <v>0</v>
      </c>
      <c r="J4852">
        <v>0</v>
      </c>
      <c r="K4852">
        <v>0</v>
      </c>
      <c r="L4852">
        <v>1</v>
      </c>
      <c r="M4852">
        <v>1</v>
      </c>
      <c r="N4852">
        <v>1</v>
      </c>
      <c r="P4852">
        <v>0</v>
      </c>
      <c r="Q4852">
        <v>0</v>
      </c>
      <c r="R4852">
        <v>0</v>
      </c>
      <c r="S4852">
        <v>1</v>
      </c>
    </row>
    <row r="4853" spans="1:19" hidden="1" x14ac:dyDescent="0.35">
      <c r="A4853">
        <v>57572661300</v>
      </c>
      <c r="B4853" t="s">
        <v>4847</v>
      </c>
      <c r="C4853" t="str">
        <f>_xlfn.XLOOKUP(A4853,[1]Affiliations!$J$2:$J$5328,[1]Affiliations!$K$2:$K$5328,0)</f>
        <v>Universidade Federal Fluminense</v>
      </c>
      <c r="D4853">
        <v>1</v>
      </c>
      <c r="E4853">
        <v>0</v>
      </c>
      <c r="F4853">
        <v>0</v>
      </c>
      <c r="G4853">
        <v>0</v>
      </c>
      <c r="H4853">
        <v>0</v>
      </c>
      <c r="P4853">
        <v>0</v>
      </c>
      <c r="Q4853">
        <v>0</v>
      </c>
      <c r="R4853">
        <v>0</v>
      </c>
      <c r="S4853">
        <v>0</v>
      </c>
    </row>
    <row r="4854" spans="1:19" hidden="1" x14ac:dyDescent="0.35">
      <c r="A4854">
        <v>57225385149</v>
      </c>
      <c r="B4854" t="s">
        <v>4848</v>
      </c>
      <c r="C4854" t="str">
        <f>_xlfn.XLOOKUP(A4854,[1]Affiliations!$J$2:$J$5328,[1]Affiliations!$K$2:$K$5328,0)</f>
        <v>Federal University of Santa Catarina</v>
      </c>
      <c r="D4854">
        <v>1</v>
      </c>
      <c r="E4854">
        <v>2</v>
      </c>
      <c r="F4854">
        <v>2</v>
      </c>
      <c r="G4854">
        <v>1</v>
      </c>
      <c r="H4854">
        <v>1.66</v>
      </c>
      <c r="P4854">
        <v>0</v>
      </c>
      <c r="Q4854">
        <v>0</v>
      </c>
      <c r="R4854">
        <v>0</v>
      </c>
      <c r="S4854">
        <v>0</v>
      </c>
    </row>
    <row r="4855" spans="1:19" hidden="1" x14ac:dyDescent="0.35">
      <c r="A4855">
        <v>57209883049</v>
      </c>
      <c r="B4855" t="s">
        <v>4849</v>
      </c>
      <c r="C4855" t="str">
        <f>_xlfn.XLOOKUP(A4855,[1]Affiliations!$J$2:$J$5328,[1]Affiliations!$K$2:$K$5328,0)</f>
        <v>Universidade Federal da Paraíba</v>
      </c>
      <c r="D4855">
        <v>2</v>
      </c>
      <c r="E4855">
        <v>37</v>
      </c>
      <c r="F4855">
        <v>18.5</v>
      </c>
      <c r="G4855">
        <v>2</v>
      </c>
      <c r="H4855">
        <v>1.1100000000000001</v>
      </c>
      <c r="I4855">
        <v>0</v>
      </c>
      <c r="J4855">
        <v>0</v>
      </c>
      <c r="K4855">
        <v>0</v>
      </c>
      <c r="L4855">
        <v>2</v>
      </c>
      <c r="M4855">
        <v>2</v>
      </c>
      <c r="N4855">
        <v>2</v>
      </c>
      <c r="P4855">
        <v>0</v>
      </c>
      <c r="Q4855">
        <v>0</v>
      </c>
      <c r="R4855">
        <v>0</v>
      </c>
      <c r="S4855">
        <v>1</v>
      </c>
    </row>
    <row r="4856" spans="1:19" hidden="1" x14ac:dyDescent="0.35">
      <c r="A4856">
        <v>57205124409</v>
      </c>
      <c r="B4856" t="s">
        <v>4850</v>
      </c>
      <c r="C4856" t="str">
        <f>_xlfn.XLOOKUP(A4856,[1]Affiliations!$J$2:$J$5328,[1]Affiliations!$K$2:$K$5328,0)</f>
        <v>Federal University of Rio de Janeiro</v>
      </c>
      <c r="D4856">
        <v>1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1</v>
      </c>
      <c r="P4856">
        <v>0</v>
      </c>
      <c r="Q4856">
        <v>0</v>
      </c>
      <c r="R4856">
        <v>0</v>
      </c>
      <c r="S4856">
        <v>0</v>
      </c>
    </row>
    <row r="4857" spans="1:19" hidden="1" x14ac:dyDescent="0.35">
      <c r="A4857">
        <v>57196602574</v>
      </c>
      <c r="B4857" t="s">
        <v>4851</v>
      </c>
      <c r="C4857" t="str">
        <f>_xlfn.XLOOKUP(A4857,[1]Affiliations!$J$2:$J$5328,[1]Affiliations!$K$2:$K$5328,0)</f>
        <v>Universidade do Estado do Rio de Janeiro</v>
      </c>
      <c r="D4857">
        <v>1</v>
      </c>
      <c r="E4857">
        <v>1</v>
      </c>
      <c r="F4857">
        <v>1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P4857">
        <v>0</v>
      </c>
      <c r="Q4857">
        <v>0</v>
      </c>
      <c r="R4857">
        <v>0</v>
      </c>
      <c r="S4857">
        <v>0</v>
      </c>
    </row>
    <row r="4858" spans="1:19" x14ac:dyDescent="0.35">
      <c r="A4858">
        <v>7401876764</v>
      </c>
      <c r="B4858" t="s">
        <v>1008</v>
      </c>
      <c r="C4858" t="str">
        <f>_xlfn.XLOOKUP(A4858,[1]Affiliations!$J$2:$J$5328,[1]Affiliations!$K$2:$K$5328,0)</f>
        <v>Universidade do Estado do Rio de Janeiro (+1 more)</v>
      </c>
      <c r="D4858">
        <v>53</v>
      </c>
      <c r="E4858">
        <v>634</v>
      </c>
      <c r="F4858">
        <v>11.962263999999999</v>
      </c>
      <c r="G4858">
        <v>21</v>
      </c>
      <c r="H4858">
        <v>0.57999999999999996</v>
      </c>
      <c r="I4858">
        <v>0</v>
      </c>
      <c r="J4858">
        <v>3</v>
      </c>
      <c r="K4858">
        <v>10</v>
      </c>
      <c r="L4858">
        <v>39</v>
      </c>
      <c r="M4858">
        <v>44</v>
      </c>
      <c r="N4858">
        <v>50</v>
      </c>
      <c r="P4858">
        <v>0</v>
      </c>
      <c r="Q4858">
        <v>0</v>
      </c>
      <c r="R4858">
        <v>1</v>
      </c>
      <c r="S4858">
        <v>14</v>
      </c>
    </row>
    <row r="4859" spans="1:19" hidden="1" x14ac:dyDescent="0.35">
      <c r="A4859">
        <v>57207453239</v>
      </c>
      <c r="B4859" t="s">
        <v>4853</v>
      </c>
      <c r="C4859" t="str">
        <f>_xlfn.XLOOKUP(A4859,[1]Affiliations!$J$2:$J$5328,[1]Affiliations!$K$2:$K$5328,0)</f>
        <v>IFG (+1 more)</v>
      </c>
      <c r="D4859">
        <v>13</v>
      </c>
      <c r="E4859">
        <v>15</v>
      </c>
      <c r="F4859">
        <v>1.1538461</v>
      </c>
      <c r="G4859">
        <v>2</v>
      </c>
      <c r="H4859">
        <v>0.18</v>
      </c>
      <c r="I4859">
        <v>0</v>
      </c>
      <c r="J4859">
        <v>0</v>
      </c>
      <c r="K4859">
        <v>0</v>
      </c>
      <c r="L4859">
        <v>3</v>
      </c>
      <c r="M4859">
        <v>3</v>
      </c>
      <c r="N4859">
        <v>3</v>
      </c>
      <c r="P4859">
        <v>0</v>
      </c>
      <c r="Q4859">
        <v>0</v>
      </c>
      <c r="R4859">
        <v>0</v>
      </c>
      <c r="S4859">
        <v>0</v>
      </c>
    </row>
    <row r="4860" spans="1:19" hidden="1" x14ac:dyDescent="0.35">
      <c r="A4860">
        <v>60123928800</v>
      </c>
      <c r="B4860" t="s">
        <v>4854</v>
      </c>
      <c r="C4860" t="str">
        <f>_xlfn.XLOOKUP(A4860,[1]Affiliations!$J$2:$J$5328,[1]Affiliations!$K$2:$K$5328,0)</f>
        <v>Universidade Federal do Espírito Santo</v>
      </c>
      <c r="D4860">
        <v>0</v>
      </c>
      <c r="G4860">
        <v>0</v>
      </c>
    </row>
    <row r="4861" spans="1:19" hidden="1" x14ac:dyDescent="0.35">
      <c r="A4861">
        <v>60086900000</v>
      </c>
      <c r="B4861" t="s">
        <v>4855</v>
      </c>
      <c r="C4861" t="str">
        <f>_xlfn.XLOOKUP(A4861,[1]Affiliations!$J$2:$J$5328,[1]Affiliations!$K$2:$K$5328,0)</f>
        <v>Federal University of Rio de Janeiro</v>
      </c>
      <c r="D4861">
        <v>0</v>
      </c>
      <c r="G4861">
        <v>0</v>
      </c>
    </row>
    <row r="4862" spans="1:19" hidden="1" x14ac:dyDescent="0.35">
      <c r="A4862">
        <v>58716839900</v>
      </c>
      <c r="B4862" t="s">
        <v>4856</v>
      </c>
      <c r="C4862" t="str">
        <f>_xlfn.XLOOKUP(A4862,[1]Affiliations!$J$2:$J$5328,[1]Affiliations!$K$2:$K$5328,0)</f>
        <v>Federal University of Rio de Janeiro</v>
      </c>
      <c r="D4862">
        <v>1</v>
      </c>
      <c r="E4862">
        <v>33</v>
      </c>
      <c r="F4862">
        <v>33</v>
      </c>
      <c r="G4862">
        <v>1</v>
      </c>
      <c r="H4862">
        <v>1.19</v>
      </c>
      <c r="I4862">
        <v>0</v>
      </c>
      <c r="J4862">
        <v>1</v>
      </c>
      <c r="K4862">
        <v>1</v>
      </c>
      <c r="L4862">
        <v>1</v>
      </c>
      <c r="M4862">
        <v>1</v>
      </c>
      <c r="N4862">
        <v>1</v>
      </c>
      <c r="P4862">
        <v>0</v>
      </c>
      <c r="Q4862">
        <v>0</v>
      </c>
      <c r="R4862">
        <v>0</v>
      </c>
      <c r="S4862">
        <v>1</v>
      </c>
    </row>
    <row r="4863" spans="1:19" hidden="1" x14ac:dyDescent="0.35">
      <c r="A4863">
        <v>57195287763</v>
      </c>
      <c r="B4863" t="s">
        <v>4857</v>
      </c>
      <c r="C4863" t="str">
        <f>_xlfn.XLOOKUP(A4863,[1]Affiliations!$J$2:$J$5328,[1]Affiliations!$K$2:$K$5328,0)</f>
        <v>Universidade Federal de Ouro Preto</v>
      </c>
      <c r="D4863">
        <v>6</v>
      </c>
      <c r="E4863">
        <v>75</v>
      </c>
      <c r="F4863">
        <v>12.5</v>
      </c>
      <c r="G4863">
        <v>4</v>
      </c>
      <c r="H4863">
        <v>0.73</v>
      </c>
      <c r="I4863">
        <v>0</v>
      </c>
      <c r="J4863">
        <v>0</v>
      </c>
      <c r="K4863">
        <v>1</v>
      </c>
      <c r="L4863">
        <v>2</v>
      </c>
      <c r="M4863">
        <v>4</v>
      </c>
      <c r="N4863">
        <v>5</v>
      </c>
      <c r="P4863">
        <v>0</v>
      </c>
      <c r="Q4863">
        <v>0</v>
      </c>
      <c r="R4863">
        <v>0</v>
      </c>
      <c r="S4863">
        <v>2</v>
      </c>
    </row>
    <row r="4864" spans="1:19" x14ac:dyDescent="0.35">
      <c r="A4864">
        <v>56879093700</v>
      </c>
      <c r="B4864" t="s">
        <v>1451</v>
      </c>
      <c r="C4864" t="str">
        <f>_xlfn.XLOOKUP(A4864,[1]Affiliations!$J$2:$J$5328,[1]Affiliations!$K$2:$K$5328,0)</f>
        <v>Universidade de São Paulo</v>
      </c>
      <c r="D4864">
        <v>28</v>
      </c>
      <c r="E4864">
        <v>310</v>
      </c>
      <c r="F4864">
        <v>11.071427999999999</v>
      </c>
      <c r="G4864">
        <v>12</v>
      </c>
      <c r="H4864">
        <v>0.57999999999999996</v>
      </c>
      <c r="I4864">
        <v>0</v>
      </c>
      <c r="J4864">
        <v>5</v>
      </c>
      <c r="K4864">
        <v>7</v>
      </c>
      <c r="L4864">
        <v>14</v>
      </c>
      <c r="M4864">
        <v>19</v>
      </c>
      <c r="N4864">
        <v>22</v>
      </c>
      <c r="P4864">
        <v>0</v>
      </c>
      <c r="Q4864">
        <v>0</v>
      </c>
      <c r="R4864">
        <v>3</v>
      </c>
      <c r="S4864">
        <v>7</v>
      </c>
    </row>
    <row r="4865" spans="1:19" hidden="1" x14ac:dyDescent="0.35">
      <c r="A4865">
        <v>59147937400</v>
      </c>
      <c r="B4865" t="s">
        <v>4859</v>
      </c>
      <c r="C4865" t="str">
        <f>_xlfn.XLOOKUP(A4865,[1]Affiliations!$J$2:$J$5328,[1]Affiliations!$K$2:$K$5328,0)</f>
        <v>Geological Survey of Brazil (SGB)</v>
      </c>
      <c r="D4865">
        <v>1</v>
      </c>
      <c r="E4865">
        <v>3</v>
      </c>
      <c r="F4865">
        <v>3</v>
      </c>
      <c r="G4865">
        <v>1</v>
      </c>
      <c r="H4865">
        <v>0.85</v>
      </c>
      <c r="I4865">
        <v>0</v>
      </c>
      <c r="J4865">
        <v>0</v>
      </c>
      <c r="K4865">
        <v>0</v>
      </c>
      <c r="L4865">
        <v>1</v>
      </c>
      <c r="M4865">
        <v>1</v>
      </c>
      <c r="N4865">
        <v>1</v>
      </c>
      <c r="P4865">
        <v>0</v>
      </c>
      <c r="Q4865">
        <v>0</v>
      </c>
      <c r="R4865">
        <v>0</v>
      </c>
      <c r="S4865">
        <v>0</v>
      </c>
    </row>
    <row r="4866" spans="1:19" hidden="1" x14ac:dyDescent="0.35">
      <c r="A4866">
        <v>56241180100</v>
      </c>
      <c r="B4866" t="s">
        <v>4860</v>
      </c>
      <c r="C4866" t="str">
        <f>_xlfn.XLOOKUP(A4866,[1]Affiliations!$J$2:$J$5328,[1]Affiliations!$K$2:$K$5328,0)</f>
        <v>Universidade Federal do Ceará</v>
      </c>
      <c r="D4866">
        <v>19</v>
      </c>
      <c r="E4866">
        <v>90</v>
      </c>
      <c r="F4866">
        <v>4.7368420000000002</v>
      </c>
      <c r="G4866">
        <v>6</v>
      </c>
      <c r="H4866">
        <v>0.7</v>
      </c>
      <c r="I4866">
        <v>0</v>
      </c>
      <c r="J4866">
        <v>3</v>
      </c>
      <c r="K4866">
        <v>4</v>
      </c>
      <c r="L4866">
        <v>10</v>
      </c>
      <c r="M4866">
        <v>14</v>
      </c>
      <c r="N4866">
        <v>16</v>
      </c>
      <c r="P4866">
        <v>0</v>
      </c>
      <c r="Q4866">
        <v>0</v>
      </c>
      <c r="R4866">
        <v>0</v>
      </c>
      <c r="S4866">
        <v>1</v>
      </c>
    </row>
    <row r="4867" spans="1:19" hidden="1" x14ac:dyDescent="0.35">
      <c r="A4867">
        <v>57202136292</v>
      </c>
      <c r="B4867" t="s">
        <v>4861</v>
      </c>
      <c r="C4867" t="str">
        <f>_xlfn.XLOOKUP(A4867,[1]Affiliations!$J$2:$J$5328,[1]Affiliations!$K$2:$K$5328,0)</f>
        <v>Universidade Federal de Minas Gerais</v>
      </c>
      <c r="D4867">
        <v>2</v>
      </c>
      <c r="E4867">
        <v>50</v>
      </c>
      <c r="F4867">
        <v>25</v>
      </c>
      <c r="G4867">
        <v>2</v>
      </c>
      <c r="H4867">
        <v>0.72</v>
      </c>
      <c r="I4867">
        <v>0</v>
      </c>
      <c r="J4867">
        <v>0</v>
      </c>
      <c r="K4867">
        <v>2</v>
      </c>
      <c r="L4867">
        <v>2</v>
      </c>
      <c r="M4867">
        <v>2</v>
      </c>
      <c r="N4867">
        <v>2</v>
      </c>
      <c r="P4867">
        <v>0</v>
      </c>
      <c r="Q4867">
        <v>0</v>
      </c>
      <c r="R4867">
        <v>0</v>
      </c>
      <c r="S4867">
        <v>1</v>
      </c>
    </row>
    <row r="4868" spans="1:19" hidden="1" x14ac:dyDescent="0.35">
      <c r="A4868">
        <v>59896616100</v>
      </c>
      <c r="B4868" t="s">
        <v>4862</v>
      </c>
      <c r="C4868" t="str">
        <f>_xlfn.XLOOKUP(A4868,[1]Affiliations!$J$2:$J$5328,[1]Affiliations!$K$2:$K$5328,0)</f>
        <v>Universidade Federal do Rio Grande do Sul</v>
      </c>
      <c r="D4868">
        <v>0</v>
      </c>
      <c r="G4868">
        <v>1</v>
      </c>
    </row>
    <row r="4869" spans="1:19" x14ac:dyDescent="0.35">
      <c r="A4869">
        <v>6602138639</v>
      </c>
      <c r="B4869" t="s">
        <v>1571</v>
      </c>
      <c r="C4869" t="str">
        <f>_xlfn.XLOOKUP(A4869,[1]Affiliations!$J$2:$J$5328,[1]Affiliations!$K$2:$K$5328,0)</f>
        <v>Universidade Tecnológica Federal do Paraná (+1 more)</v>
      </c>
      <c r="D4869">
        <v>25</v>
      </c>
      <c r="E4869">
        <v>176</v>
      </c>
      <c r="F4869">
        <v>7.04</v>
      </c>
      <c r="G4869">
        <v>11</v>
      </c>
      <c r="H4869">
        <v>0.57999999999999996</v>
      </c>
      <c r="I4869">
        <v>1</v>
      </c>
      <c r="J4869">
        <v>5</v>
      </c>
      <c r="K4869">
        <v>7</v>
      </c>
      <c r="L4869">
        <v>13</v>
      </c>
      <c r="M4869">
        <v>15</v>
      </c>
      <c r="N4869">
        <v>18</v>
      </c>
      <c r="P4869">
        <v>0</v>
      </c>
      <c r="Q4869">
        <v>0</v>
      </c>
      <c r="R4869">
        <v>1</v>
      </c>
      <c r="S4869">
        <v>4</v>
      </c>
    </row>
    <row r="4870" spans="1:19" hidden="1" x14ac:dyDescent="0.35">
      <c r="A4870">
        <v>56417197400</v>
      </c>
      <c r="B4870" t="s">
        <v>4863</v>
      </c>
      <c r="C4870" t="str">
        <f>_xlfn.XLOOKUP(A4870,[1]Affiliations!$J$2:$J$5328,[1]Affiliations!$K$2:$K$5328,0)</f>
        <v>University of Campinas</v>
      </c>
      <c r="D4870">
        <v>0</v>
      </c>
      <c r="G4870">
        <v>1</v>
      </c>
    </row>
    <row r="4871" spans="1:19" hidden="1" x14ac:dyDescent="0.35">
      <c r="A4871">
        <v>57200724012</v>
      </c>
      <c r="B4871" t="s">
        <v>4864</v>
      </c>
      <c r="C4871" t="str">
        <f>_xlfn.XLOOKUP(A4871,[1]Affiliations!$J$2:$J$5328,[1]Affiliations!$K$2:$K$5328,0)</f>
        <v>Universidade Federal de São João del-Rei (+1 more)</v>
      </c>
      <c r="D4871">
        <v>18</v>
      </c>
      <c r="E4871">
        <v>129</v>
      </c>
      <c r="F4871">
        <v>7.1666664999999998</v>
      </c>
      <c r="G4871">
        <v>6</v>
      </c>
      <c r="H4871">
        <v>0.47</v>
      </c>
      <c r="I4871">
        <v>0</v>
      </c>
      <c r="J4871">
        <v>1</v>
      </c>
      <c r="K4871">
        <v>2</v>
      </c>
      <c r="L4871">
        <v>4</v>
      </c>
      <c r="M4871">
        <v>6</v>
      </c>
      <c r="N4871">
        <v>14</v>
      </c>
      <c r="P4871">
        <v>0</v>
      </c>
      <c r="Q4871">
        <v>0</v>
      </c>
      <c r="R4871">
        <v>0</v>
      </c>
      <c r="S4871">
        <v>3</v>
      </c>
    </row>
    <row r="4872" spans="1:19" hidden="1" x14ac:dyDescent="0.35">
      <c r="A4872">
        <v>59414892300</v>
      </c>
      <c r="B4872" t="s">
        <v>4865</v>
      </c>
      <c r="C4872" t="str">
        <f>_xlfn.XLOOKUP(A4872,[1]Affiliations!$J$2:$J$5328,[1]Affiliations!$K$2:$K$5328,0)</f>
        <v>Instituto Militar de Engenharia</v>
      </c>
      <c r="D4872">
        <v>0</v>
      </c>
      <c r="G4872">
        <v>3</v>
      </c>
    </row>
    <row r="4873" spans="1:19" hidden="1" x14ac:dyDescent="0.35">
      <c r="A4873">
        <v>57214935137</v>
      </c>
      <c r="B4873" t="s">
        <v>4866</v>
      </c>
      <c r="C4873" t="str">
        <f>_xlfn.XLOOKUP(A4873,[1]Affiliations!$J$2:$J$5328,[1]Affiliations!$K$2:$K$5328,0)</f>
        <v>Serviço Nacional de Aprendizagem Industrial</v>
      </c>
      <c r="D4873">
        <v>1</v>
      </c>
      <c r="E4873">
        <v>0</v>
      </c>
      <c r="F4873">
        <v>0</v>
      </c>
      <c r="G4873">
        <v>0</v>
      </c>
      <c r="H4873">
        <v>0</v>
      </c>
      <c r="P4873">
        <v>0</v>
      </c>
      <c r="Q4873">
        <v>0</v>
      </c>
      <c r="R4873">
        <v>0</v>
      </c>
      <c r="S4873">
        <v>0</v>
      </c>
    </row>
    <row r="4874" spans="1:19" hidden="1" x14ac:dyDescent="0.35">
      <c r="A4874">
        <v>58678094500</v>
      </c>
      <c r="B4874" t="s">
        <v>4867</v>
      </c>
      <c r="C4874" t="str">
        <f>_xlfn.XLOOKUP(A4874,[1]Affiliations!$J$2:$J$5328,[1]Affiliations!$K$2:$K$5328,0)</f>
        <v>Universidade Federal Fluminense</v>
      </c>
      <c r="D4874">
        <v>8</v>
      </c>
      <c r="E4874">
        <v>47</v>
      </c>
      <c r="F4874">
        <v>5.875</v>
      </c>
      <c r="G4874">
        <v>5</v>
      </c>
      <c r="H4874">
        <v>0.68</v>
      </c>
      <c r="I4874">
        <v>0</v>
      </c>
      <c r="J4874">
        <v>0</v>
      </c>
      <c r="K4874">
        <v>1</v>
      </c>
      <c r="L4874">
        <v>5</v>
      </c>
      <c r="M4874">
        <v>5</v>
      </c>
      <c r="N4874">
        <v>5</v>
      </c>
      <c r="P4874">
        <v>0</v>
      </c>
      <c r="Q4874">
        <v>0</v>
      </c>
      <c r="R4874">
        <v>0</v>
      </c>
      <c r="S4874">
        <v>2</v>
      </c>
    </row>
    <row r="4875" spans="1:19" hidden="1" x14ac:dyDescent="0.35">
      <c r="A4875">
        <v>56346683300</v>
      </c>
      <c r="B4875" t="s">
        <v>4868</v>
      </c>
      <c r="C4875" t="str">
        <f>_xlfn.XLOOKUP(A4875,[1]Affiliations!$J$2:$J$5328,[1]Affiliations!$K$2:$K$5328,0)</f>
        <v>Universidade Federal de Minas Gerais</v>
      </c>
      <c r="D4875">
        <v>12</v>
      </c>
      <c r="E4875">
        <v>139</v>
      </c>
      <c r="F4875">
        <v>11.583333</v>
      </c>
      <c r="G4875">
        <v>7</v>
      </c>
      <c r="H4875">
        <v>0.55000000000000004</v>
      </c>
      <c r="I4875">
        <v>0</v>
      </c>
      <c r="J4875">
        <v>2</v>
      </c>
      <c r="K4875">
        <v>2</v>
      </c>
      <c r="L4875">
        <v>6</v>
      </c>
      <c r="M4875">
        <v>9</v>
      </c>
      <c r="N4875">
        <v>10</v>
      </c>
      <c r="P4875">
        <v>0</v>
      </c>
      <c r="Q4875">
        <v>0</v>
      </c>
      <c r="R4875">
        <v>0</v>
      </c>
      <c r="S4875">
        <v>3</v>
      </c>
    </row>
    <row r="4876" spans="1:19" x14ac:dyDescent="0.35">
      <c r="A4876">
        <v>7003648704</v>
      </c>
      <c r="B4876" t="s">
        <v>1715</v>
      </c>
      <c r="C4876" t="str">
        <f>_xlfn.XLOOKUP(A4876,[1]Affiliations!$J$2:$J$5328,[1]Affiliations!$K$2:$K$5328,0)</f>
        <v>Federal University of Rio de Janeiro</v>
      </c>
      <c r="D4876">
        <v>19</v>
      </c>
      <c r="E4876">
        <v>263</v>
      </c>
      <c r="F4876">
        <v>13.842105</v>
      </c>
      <c r="G4876">
        <v>21</v>
      </c>
      <c r="H4876">
        <v>0.57999999999999996</v>
      </c>
      <c r="I4876">
        <v>0</v>
      </c>
      <c r="J4876">
        <v>1</v>
      </c>
      <c r="K4876">
        <v>2</v>
      </c>
      <c r="L4876">
        <v>9</v>
      </c>
      <c r="M4876">
        <v>15</v>
      </c>
      <c r="N4876">
        <v>19</v>
      </c>
      <c r="P4876">
        <v>0</v>
      </c>
      <c r="Q4876">
        <v>0</v>
      </c>
      <c r="R4876">
        <v>1</v>
      </c>
      <c r="S4876">
        <v>4</v>
      </c>
    </row>
    <row r="4877" spans="1:19" hidden="1" x14ac:dyDescent="0.35">
      <c r="A4877">
        <v>57221217541</v>
      </c>
      <c r="B4877" t="s">
        <v>4870</v>
      </c>
      <c r="C4877" t="str">
        <f>_xlfn.XLOOKUP(A4877,[1]Affiliations!$J$2:$J$5328,[1]Affiliations!$K$2:$K$5328,0)</f>
        <v>Universidade de Brasília (+1 more)</v>
      </c>
      <c r="D4877">
        <v>2</v>
      </c>
      <c r="E4877">
        <v>83</v>
      </c>
      <c r="F4877">
        <v>41.5</v>
      </c>
      <c r="G4877">
        <v>2</v>
      </c>
      <c r="H4877">
        <v>3.42</v>
      </c>
      <c r="I4877">
        <v>0</v>
      </c>
      <c r="J4877">
        <v>2</v>
      </c>
      <c r="K4877">
        <v>2</v>
      </c>
      <c r="L4877">
        <v>2</v>
      </c>
      <c r="M4877">
        <v>2</v>
      </c>
      <c r="N4877">
        <v>2</v>
      </c>
      <c r="P4877">
        <v>0</v>
      </c>
      <c r="Q4877">
        <v>1</v>
      </c>
      <c r="R4877">
        <v>1</v>
      </c>
      <c r="S4877">
        <v>2</v>
      </c>
    </row>
    <row r="4878" spans="1:19" hidden="1" x14ac:dyDescent="0.35">
      <c r="A4878">
        <v>57221492632</v>
      </c>
      <c r="B4878" t="s">
        <v>4871</v>
      </c>
      <c r="C4878" t="str">
        <f>_xlfn.XLOOKUP(A4878,[1]Affiliations!$J$2:$J$5328,[1]Affiliations!$K$2:$K$5328,0)</f>
        <v>Universidade de São Paulo</v>
      </c>
      <c r="D4878">
        <v>1</v>
      </c>
      <c r="E4878">
        <v>1</v>
      </c>
      <c r="F4878">
        <v>1</v>
      </c>
      <c r="G4878">
        <v>1</v>
      </c>
      <c r="H4878">
        <v>0.59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1</v>
      </c>
      <c r="P4878">
        <v>0</v>
      </c>
      <c r="Q4878">
        <v>0</v>
      </c>
      <c r="R4878">
        <v>0</v>
      </c>
      <c r="S4878">
        <v>0</v>
      </c>
    </row>
    <row r="4879" spans="1:19" hidden="1" x14ac:dyDescent="0.35">
      <c r="A4879">
        <v>25631554000</v>
      </c>
      <c r="B4879" t="s">
        <v>4872</v>
      </c>
      <c r="C4879" t="str">
        <f>_xlfn.XLOOKUP(A4879,[1]Affiliations!$J$2:$J$5328,[1]Affiliations!$K$2:$K$5328,0)</f>
        <v>Universidade Federal do Espírito Santo</v>
      </c>
      <c r="D4879">
        <v>40</v>
      </c>
      <c r="E4879">
        <v>243</v>
      </c>
      <c r="F4879">
        <v>6.0750000000000002</v>
      </c>
      <c r="G4879">
        <v>16</v>
      </c>
      <c r="H4879">
        <v>0.59</v>
      </c>
      <c r="I4879">
        <v>0</v>
      </c>
      <c r="J4879">
        <v>2</v>
      </c>
      <c r="K4879">
        <v>4</v>
      </c>
      <c r="L4879">
        <v>7</v>
      </c>
      <c r="M4879">
        <v>16</v>
      </c>
      <c r="N4879">
        <v>16</v>
      </c>
      <c r="P4879">
        <v>0</v>
      </c>
      <c r="Q4879">
        <v>0</v>
      </c>
      <c r="R4879">
        <v>0</v>
      </c>
      <c r="S4879">
        <v>4</v>
      </c>
    </row>
    <row r="4880" spans="1:19" hidden="1" x14ac:dyDescent="0.35">
      <c r="A4880">
        <v>58117605800</v>
      </c>
      <c r="B4880" t="s">
        <v>4873</v>
      </c>
      <c r="C4880" t="str">
        <f>_xlfn.XLOOKUP(A4880,[1]Affiliations!$J$2:$J$5328,[1]Affiliations!$K$2:$K$5328,0)</f>
        <v>TRANSPETRO</v>
      </c>
      <c r="D4880">
        <v>1</v>
      </c>
      <c r="E4880">
        <v>0</v>
      </c>
      <c r="F4880">
        <v>0</v>
      </c>
      <c r="G4880">
        <v>0</v>
      </c>
      <c r="H4880">
        <v>0</v>
      </c>
      <c r="P4880">
        <v>0</v>
      </c>
      <c r="Q4880">
        <v>0</v>
      </c>
      <c r="R4880">
        <v>0</v>
      </c>
      <c r="S4880">
        <v>0</v>
      </c>
    </row>
    <row r="4881" spans="1:19" hidden="1" x14ac:dyDescent="0.35">
      <c r="A4881">
        <v>56139455300</v>
      </c>
      <c r="B4881" t="s">
        <v>4874</v>
      </c>
      <c r="C4881" t="str">
        <f>_xlfn.XLOOKUP(A4881,[1]Affiliations!$J$2:$J$5328,[1]Affiliations!$K$2:$K$5328,0)</f>
        <v>Federal University of Rio de Janeiro</v>
      </c>
      <c r="D4881">
        <v>0</v>
      </c>
      <c r="G4881">
        <v>1</v>
      </c>
    </row>
    <row r="4882" spans="1:19" hidden="1" x14ac:dyDescent="0.35">
      <c r="A4882">
        <v>58458500500</v>
      </c>
      <c r="B4882" t="s">
        <v>4875</v>
      </c>
      <c r="C4882" t="str">
        <f>_xlfn.XLOOKUP(A4882,[1]Affiliations!$J$2:$J$5328,[1]Affiliations!$K$2:$K$5328,0)</f>
        <v>Universidade do Estado do Rio de Janeiro (+1 more)</v>
      </c>
      <c r="D4882">
        <v>6</v>
      </c>
      <c r="E4882">
        <v>50</v>
      </c>
      <c r="F4882">
        <v>8.3333329999999997</v>
      </c>
      <c r="G4882">
        <v>3</v>
      </c>
      <c r="H4882">
        <v>0.36</v>
      </c>
      <c r="I4882">
        <v>0</v>
      </c>
      <c r="J4882">
        <v>0</v>
      </c>
      <c r="K4882">
        <v>0</v>
      </c>
      <c r="L4882">
        <v>2</v>
      </c>
      <c r="M4882">
        <v>4</v>
      </c>
      <c r="N4882">
        <v>5</v>
      </c>
      <c r="P4882">
        <v>0</v>
      </c>
      <c r="Q4882">
        <v>0</v>
      </c>
      <c r="R4882">
        <v>0</v>
      </c>
      <c r="S4882">
        <v>1</v>
      </c>
    </row>
    <row r="4883" spans="1:19" x14ac:dyDescent="0.35">
      <c r="A4883">
        <v>8388351500</v>
      </c>
      <c r="B4883" t="s">
        <v>1759</v>
      </c>
      <c r="C4883" t="str">
        <f>_xlfn.XLOOKUP(A4883,[1]Affiliations!$J$2:$J$5328,[1]Affiliations!$K$2:$K$5328,0)</f>
        <v>Universidade Federal do Rio Grande do Norte</v>
      </c>
      <c r="D4883">
        <v>22</v>
      </c>
      <c r="E4883">
        <v>308</v>
      </c>
      <c r="F4883">
        <v>14</v>
      </c>
      <c r="G4883">
        <v>12</v>
      </c>
      <c r="H4883">
        <v>0.57999999999999996</v>
      </c>
      <c r="I4883">
        <v>0</v>
      </c>
      <c r="J4883">
        <v>5</v>
      </c>
      <c r="K4883">
        <v>8</v>
      </c>
      <c r="L4883">
        <v>13</v>
      </c>
      <c r="M4883">
        <v>20</v>
      </c>
      <c r="N4883">
        <v>22</v>
      </c>
      <c r="P4883">
        <v>0</v>
      </c>
      <c r="Q4883">
        <v>0</v>
      </c>
      <c r="R4883">
        <v>1</v>
      </c>
      <c r="S4883">
        <v>5</v>
      </c>
    </row>
    <row r="4884" spans="1:19" hidden="1" x14ac:dyDescent="0.35">
      <c r="A4884">
        <v>6503964764</v>
      </c>
      <c r="B4884" t="s">
        <v>4877</v>
      </c>
      <c r="C4884" t="str">
        <f>_xlfn.XLOOKUP(A4884,[1]Affiliations!$J$2:$J$5328,[1]Affiliations!$K$2:$K$5328,0)</f>
        <v>Universidade Federal de Sergipe (+2 more)</v>
      </c>
      <c r="D4884">
        <v>10</v>
      </c>
      <c r="E4884">
        <v>44</v>
      </c>
      <c r="F4884">
        <v>4.4000000000000004</v>
      </c>
      <c r="G4884">
        <v>4</v>
      </c>
      <c r="H4884">
        <v>0.16</v>
      </c>
      <c r="I4884">
        <v>0</v>
      </c>
      <c r="J4884">
        <v>0</v>
      </c>
      <c r="K4884">
        <v>0</v>
      </c>
      <c r="L4884">
        <v>3</v>
      </c>
      <c r="M4884">
        <v>5</v>
      </c>
      <c r="N4884">
        <v>6</v>
      </c>
      <c r="P4884">
        <v>0</v>
      </c>
      <c r="Q4884">
        <v>0</v>
      </c>
      <c r="R4884">
        <v>0</v>
      </c>
      <c r="S4884">
        <v>0</v>
      </c>
    </row>
    <row r="4885" spans="1:19" hidden="1" x14ac:dyDescent="0.35">
      <c r="A4885">
        <v>58081370400</v>
      </c>
      <c r="B4885" t="s">
        <v>4878</v>
      </c>
      <c r="C4885" t="str">
        <f>_xlfn.XLOOKUP(A4885,[1]Affiliations!$J$2:$J$5328,[1]Affiliations!$K$2:$K$5328,0)</f>
        <v>Universidade de São Paulo</v>
      </c>
      <c r="D4885">
        <v>5</v>
      </c>
      <c r="E4885">
        <v>20</v>
      </c>
      <c r="F4885">
        <v>4</v>
      </c>
      <c r="G4885">
        <v>3</v>
      </c>
      <c r="H4885">
        <v>0.89</v>
      </c>
      <c r="I4885">
        <v>0</v>
      </c>
      <c r="J4885">
        <v>0</v>
      </c>
      <c r="K4885">
        <v>1</v>
      </c>
      <c r="L4885">
        <v>4</v>
      </c>
      <c r="M4885">
        <v>5</v>
      </c>
      <c r="N4885">
        <v>5</v>
      </c>
      <c r="P4885">
        <v>0</v>
      </c>
      <c r="Q4885">
        <v>0</v>
      </c>
      <c r="R4885">
        <v>0</v>
      </c>
      <c r="S4885">
        <v>1</v>
      </c>
    </row>
    <row r="4886" spans="1:19" hidden="1" x14ac:dyDescent="0.35">
      <c r="A4886">
        <v>59404944300</v>
      </c>
      <c r="B4886" t="s">
        <v>4879</v>
      </c>
      <c r="C4886" t="str">
        <f>_xlfn.XLOOKUP(A4886,[1]Affiliations!$J$2:$J$5328,[1]Affiliations!$K$2:$K$5328,0)</f>
        <v>Instituto Militar de Engenharia</v>
      </c>
      <c r="D4886">
        <v>0</v>
      </c>
      <c r="G4886">
        <v>1</v>
      </c>
    </row>
    <row r="4887" spans="1:19" hidden="1" x14ac:dyDescent="0.35">
      <c r="A4887">
        <v>55029335400</v>
      </c>
      <c r="B4887" t="s">
        <v>4880</v>
      </c>
      <c r="C4887" t="str">
        <f>_xlfn.XLOOKUP(A4887,[1]Affiliations!$J$2:$J$5328,[1]Affiliations!$K$2:$K$5328,0)</f>
        <v>TRANSPETRO</v>
      </c>
      <c r="D4887">
        <v>3</v>
      </c>
      <c r="E4887">
        <v>0</v>
      </c>
      <c r="F4887">
        <v>0</v>
      </c>
      <c r="G4887">
        <v>1</v>
      </c>
      <c r="H4887">
        <v>0</v>
      </c>
      <c r="P4887">
        <v>0</v>
      </c>
      <c r="Q4887">
        <v>0</v>
      </c>
      <c r="R4887">
        <v>0</v>
      </c>
      <c r="S4887">
        <v>0</v>
      </c>
    </row>
    <row r="4888" spans="1:19" hidden="1" x14ac:dyDescent="0.35">
      <c r="A4888">
        <v>7005383439</v>
      </c>
      <c r="B4888" t="s">
        <v>4881</v>
      </c>
      <c r="C4888" t="str">
        <f>_xlfn.XLOOKUP(A4888,[1]Affiliations!$J$2:$J$5328,[1]Affiliations!$K$2:$K$5328,0)</f>
        <v>Universidade de São Paulo</v>
      </c>
      <c r="D4888">
        <v>1</v>
      </c>
      <c r="E4888">
        <v>6</v>
      </c>
      <c r="F4888">
        <v>6</v>
      </c>
      <c r="G4888">
        <v>8</v>
      </c>
      <c r="H4888">
        <v>0.53</v>
      </c>
      <c r="I4888">
        <v>0</v>
      </c>
      <c r="J4888">
        <v>0</v>
      </c>
      <c r="K4888">
        <v>0</v>
      </c>
      <c r="L4888">
        <v>1</v>
      </c>
      <c r="M4888">
        <v>1</v>
      </c>
      <c r="N4888">
        <v>1</v>
      </c>
      <c r="P4888">
        <v>0</v>
      </c>
      <c r="Q4888">
        <v>0</v>
      </c>
      <c r="R4888">
        <v>0</v>
      </c>
      <c r="S4888">
        <v>0</v>
      </c>
    </row>
    <row r="4889" spans="1:19" x14ac:dyDescent="0.35">
      <c r="A4889">
        <v>7005267149</v>
      </c>
      <c r="B4889" t="s">
        <v>1795</v>
      </c>
      <c r="C4889" t="str">
        <f>_xlfn.XLOOKUP(A4889,[1]Affiliations!$J$2:$J$5328,[1]Affiliations!$K$2:$K$5328,0)</f>
        <v>Universidade do Estado do Rio de Janeiro</v>
      </c>
      <c r="D4889">
        <v>12</v>
      </c>
      <c r="E4889">
        <v>228</v>
      </c>
      <c r="F4889">
        <v>19</v>
      </c>
      <c r="G4889">
        <v>16</v>
      </c>
      <c r="H4889">
        <v>0.57999999999999996</v>
      </c>
      <c r="I4889">
        <v>0</v>
      </c>
      <c r="J4889">
        <v>1</v>
      </c>
      <c r="K4889">
        <v>2</v>
      </c>
      <c r="L4889">
        <v>7</v>
      </c>
      <c r="M4889">
        <v>11</v>
      </c>
      <c r="N4889">
        <v>12</v>
      </c>
      <c r="P4889">
        <v>0</v>
      </c>
      <c r="Q4889">
        <v>1</v>
      </c>
      <c r="R4889">
        <v>1</v>
      </c>
      <c r="S4889">
        <v>3</v>
      </c>
    </row>
    <row r="4890" spans="1:19" hidden="1" x14ac:dyDescent="0.35">
      <c r="A4890">
        <v>6506755450</v>
      </c>
      <c r="B4890" t="s">
        <v>4883</v>
      </c>
      <c r="C4890" t="str">
        <f>_xlfn.XLOOKUP(A4890,[1]Affiliations!$J$2:$J$5328,[1]Affiliations!$K$2:$K$5328,0)</f>
        <v>Universidade Federal Fluminense</v>
      </c>
      <c r="D4890">
        <v>41</v>
      </c>
      <c r="E4890">
        <v>334</v>
      </c>
      <c r="F4890">
        <v>8.1463409999999996</v>
      </c>
      <c r="G4890">
        <v>19</v>
      </c>
      <c r="H4890">
        <v>0.56999999999999995</v>
      </c>
      <c r="I4890">
        <v>1</v>
      </c>
      <c r="J4890">
        <v>9</v>
      </c>
      <c r="K4890">
        <v>17</v>
      </c>
      <c r="L4890">
        <v>26</v>
      </c>
      <c r="M4890">
        <v>37</v>
      </c>
      <c r="N4890">
        <v>38</v>
      </c>
      <c r="P4890">
        <v>0</v>
      </c>
      <c r="Q4890">
        <v>0</v>
      </c>
      <c r="R4890">
        <v>0</v>
      </c>
      <c r="S4890">
        <v>10</v>
      </c>
    </row>
    <row r="4891" spans="1:19" x14ac:dyDescent="0.35">
      <c r="A4891">
        <v>36665977400</v>
      </c>
      <c r="B4891" t="s">
        <v>2060</v>
      </c>
      <c r="C4891" t="str">
        <f>_xlfn.XLOOKUP(A4891,[1]Affiliations!$J$2:$J$5328,[1]Affiliations!$K$2:$K$5328,0)</f>
        <v>Universidade Federal do Rio Grande do Sul</v>
      </c>
      <c r="D4891">
        <v>16</v>
      </c>
      <c r="E4891">
        <v>158</v>
      </c>
      <c r="F4891">
        <v>9.875</v>
      </c>
      <c r="G4891">
        <v>9</v>
      </c>
      <c r="H4891">
        <v>0.57999999999999996</v>
      </c>
      <c r="I4891">
        <v>1</v>
      </c>
      <c r="J4891">
        <v>1</v>
      </c>
      <c r="K4891">
        <v>3</v>
      </c>
      <c r="L4891">
        <v>6</v>
      </c>
      <c r="M4891">
        <v>13</v>
      </c>
      <c r="N4891">
        <v>15</v>
      </c>
      <c r="P4891">
        <v>0</v>
      </c>
      <c r="Q4891">
        <v>0</v>
      </c>
      <c r="R4891">
        <v>1</v>
      </c>
      <c r="S4891">
        <v>3</v>
      </c>
    </row>
    <row r="4892" spans="1:19" hidden="1" x14ac:dyDescent="0.35">
      <c r="A4892">
        <v>57219587278</v>
      </c>
      <c r="B4892" t="s">
        <v>4885</v>
      </c>
      <c r="C4892" t="str">
        <f>_xlfn.XLOOKUP(A4892,[1]Affiliations!$J$2:$J$5328,[1]Affiliations!$K$2:$K$5328,0)</f>
        <v>Universidade Federal de Minas Gerais</v>
      </c>
      <c r="D4892">
        <v>6</v>
      </c>
      <c r="E4892">
        <v>16</v>
      </c>
      <c r="F4892">
        <v>2.6666666999999999</v>
      </c>
      <c r="G4892">
        <v>3</v>
      </c>
      <c r="H4892">
        <v>0.68</v>
      </c>
      <c r="I4892">
        <v>0</v>
      </c>
      <c r="J4892">
        <v>1</v>
      </c>
      <c r="K4892">
        <v>1</v>
      </c>
      <c r="L4892">
        <v>3</v>
      </c>
      <c r="M4892">
        <v>4</v>
      </c>
      <c r="N4892">
        <v>5</v>
      </c>
      <c r="P4892">
        <v>0</v>
      </c>
      <c r="Q4892">
        <v>0</v>
      </c>
      <c r="R4892">
        <v>0</v>
      </c>
      <c r="S4892">
        <v>0</v>
      </c>
    </row>
    <row r="4893" spans="1:19" hidden="1" x14ac:dyDescent="0.35">
      <c r="A4893">
        <v>58940998800</v>
      </c>
      <c r="B4893" t="s">
        <v>4886</v>
      </c>
      <c r="C4893" t="str">
        <f>_xlfn.XLOOKUP(A4893,[1]Affiliations!$J$2:$J$5328,[1]Affiliations!$K$2:$K$5328,0)</f>
        <v>Federal University of Rio de Janeiro</v>
      </c>
      <c r="D4893">
        <v>2</v>
      </c>
      <c r="E4893">
        <v>18</v>
      </c>
      <c r="F4893">
        <v>9</v>
      </c>
      <c r="G4893">
        <v>2</v>
      </c>
      <c r="H4893">
        <v>1.8</v>
      </c>
      <c r="I4893">
        <v>0</v>
      </c>
      <c r="J4893">
        <v>0</v>
      </c>
      <c r="K4893">
        <v>0</v>
      </c>
      <c r="L4893">
        <v>2</v>
      </c>
      <c r="M4893">
        <v>2</v>
      </c>
      <c r="N4893">
        <v>2</v>
      </c>
      <c r="P4893">
        <v>0</v>
      </c>
      <c r="Q4893">
        <v>0</v>
      </c>
      <c r="R4893">
        <v>1</v>
      </c>
      <c r="S4893">
        <v>1</v>
      </c>
    </row>
    <row r="4894" spans="1:19" x14ac:dyDescent="0.35">
      <c r="A4894">
        <v>7004752399</v>
      </c>
      <c r="B4894" t="s">
        <v>2561</v>
      </c>
      <c r="C4894" t="str">
        <f>_xlfn.XLOOKUP(A4894,[1]Affiliations!$J$2:$J$5328,[1]Affiliations!$K$2:$K$5328,0)</f>
        <v>Federal University of Rio de Janeiro</v>
      </c>
      <c r="D4894">
        <v>13</v>
      </c>
      <c r="E4894">
        <v>123</v>
      </c>
      <c r="F4894">
        <v>9.4615379999999991</v>
      </c>
      <c r="G4894">
        <v>8</v>
      </c>
      <c r="H4894">
        <v>0.57999999999999996</v>
      </c>
      <c r="I4894">
        <v>0</v>
      </c>
      <c r="J4894">
        <v>0</v>
      </c>
      <c r="K4894">
        <v>1</v>
      </c>
      <c r="L4894">
        <v>3</v>
      </c>
      <c r="M4894">
        <v>4</v>
      </c>
      <c r="N4894">
        <v>4</v>
      </c>
      <c r="P4894">
        <v>0</v>
      </c>
      <c r="Q4894">
        <v>0</v>
      </c>
      <c r="R4894">
        <v>2</v>
      </c>
      <c r="S4894">
        <v>2</v>
      </c>
    </row>
    <row r="4895" spans="1:19" hidden="1" x14ac:dyDescent="0.35">
      <c r="A4895">
        <v>59388332200</v>
      </c>
      <c r="B4895" t="s">
        <v>4888</v>
      </c>
      <c r="C4895" t="str">
        <f>_xlfn.XLOOKUP(A4895,[1]Affiliations!$J$2:$J$5328,[1]Affiliations!$K$2:$K$5328,0)</f>
        <v>ESSS</v>
      </c>
      <c r="D4895">
        <v>2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P4895">
        <v>0</v>
      </c>
      <c r="Q4895">
        <v>0</v>
      </c>
      <c r="R4895">
        <v>0</v>
      </c>
      <c r="S4895">
        <v>0</v>
      </c>
    </row>
    <row r="4896" spans="1:19" x14ac:dyDescent="0.35">
      <c r="A4896">
        <v>6603061270</v>
      </c>
      <c r="B4896" t="s">
        <v>3140</v>
      </c>
      <c r="C4896" t="str">
        <f>_xlfn.XLOOKUP(A4896,[1]Affiliations!$J$2:$J$5328,[1]Affiliations!$K$2:$K$5328,0)</f>
        <v>Universidade Federal de Pernambuco</v>
      </c>
      <c r="D4896">
        <v>13</v>
      </c>
      <c r="E4896">
        <v>184</v>
      </c>
      <c r="F4896">
        <v>14.153846</v>
      </c>
      <c r="G4896">
        <v>17</v>
      </c>
      <c r="H4896">
        <v>0.57999999999999996</v>
      </c>
      <c r="I4896">
        <v>0</v>
      </c>
      <c r="J4896">
        <v>1</v>
      </c>
      <c r="K4896">
        <v>1</v>
      </c>
      <c r="L4896">
        <v>5</v>
      </c>
      <c r="M4896">
        <v>7</v>
      </c>
      <c r="N4896">
        <v>10</v>
      </c>
      <c r="P4896">
        <v>0</v>
      </c>
      <c r="Q4896">
        <v>0</v>
      </c>
      <c r="R4896">
        <v>2</v>
      </c>
      <c r="S4896">
        <v>3</v>
      </c>
    </row>
    <row r="4897" spans="1:19" hidden="1" x14ac:dyDescent="0.35">
      <c r="A4897">
        <v>36667644100</v>
      </c>
      <c r="B4897" t="s">
        <v>4890</v>
      </c>
      <c r="C4897" t="str">
        <f>_xlfn.XLOOKUP(A4897,[1]Affiliations!$J$2:$J$5328,[1]Affiliations!$K$2:$K$5328,0)</f>
        <v>Universidade Federal Rural do Rio de Janeiro</v>
      </c>
      <c r="D4897">
        <v>1</v>
      </c>
      <c r="E4897">
        <v>10</v>
      </c>
      <c r="F4897">
        <v>10</v>
      </c>
      <c r="G4897">
        <v>3</v>
      </c>
      <c r="H4897">
        <v>0.16</v>
      </c>
      <c r="I4897">
        <v>0</v>
      </c>
      <c r="J4897">
        <v>0</v>
      </c>
      <c r="K4897">
        <v>0</v>
      </c>
      <c r="L4897">
        <v>1</v>
      </c>
      <c r="M4897">
        <v>1</v>
      </c>
      <c r="N4897">
        <v>1</v>
      </c>
      <c r="P4897">
        <v>0</v>
      </c>
      <c r="Q4897">
        <v>0</v>
      </c>
      <c r="R4897">
        <v>0</v>
      </c>
      <c r="S4897">
        <v>0</v>
      </c>
    </row>
    <row r="4898" spans="1:19" hidden="1" x14ac:dyDescent="0.35">
      <c r="A4898">
        <v>57222088497</v>
      </c>
      <c r="B4898" t="s">
        <v>4891</v>
      </c>
      <c r="C4898" t="str">
        <f>_xlfn.XLOOKUP(A4898,[1]Affiliations!$J$2:$J$5328,[1]Affiliations!$K$2:$K$5328,0)</f>
        <v>Universidade Tecnológica Federal do Paraná</v>
      </c>
      <c r="D4898">
        <v>1</v>
      </c>
      <c r="E4898">
        <v>5</v>
      </c>
      <c r="F4898">
        <v>5</v>
      </c>
      <c r="G4898">
        <v>1</v>
      </c>
      <c r="H4898">
        <v>0.15</v>
      </c>
      <c r="I4898">
        <v>0</v>
      </c>
      <c r="J4898">
        <v>1</v>
      </c>
      <c r="K4898">
        <v>1</v>
      </c>
      <c r="L4898">
        <v>1</v>
      </c>
      <c r="M4898">
        <v>1</v>
      </c>
      <c r="N4898">
        <v>1</v>
      </c>
      <c r="P4898">
        <v>0</v>
      </c>
      <c r="Q4898">
        <v>0</v>
      </c>
      <c r="R4898">
        <v>0</v>
      </c>
      <c r="S4898">
        <v>0</v>
      </c>
    </row>
    <row r="4899" spans="1:19" hidden="1" x14ac:dyDescent="0.35">
      <c r="A4899">
        <v>57196424117</v>
      </c>
      <c r="B4899" t="s">
        <v>4892</v>
      </c>
      <c r="C4899" t="str">
        <f>_xlfn.XLOOKUP(A4899,[1]Affiliations!$J$2:$J$5328,[1]Affiliations!$K$2:$K$5328,0)</f>
        <v>DEMa</v>
      </c>
      <c r="D4899">
        <v>1</v>
      </c>
      <c r="E4899">
        <v>31</v>
      </c>
      <c r="F4899">
        <v>31</v>
      </c>
      <c r="G4899">
        <v>1</v>
      </c>
      <c r="H4899">
        <v>1.1599999999999999</v>
      </c>
      <c r="I4899">
        <v>0</v>
      </c>
      <c r="J4899">
        <v>0</v>
      </c>
      <c r="K4899">
        <v>0</v>
      </c>
      <c r="L4899">
        <v>1</v>
      </c>
      <c r="M4899">
        <v>1</v>
      </c>
      <c r="N4899">
        <v>1</v>
      </c>
      <c r="P4899">
        <v>0</v>
      </c>
      <c r="Q4899">
        <v>0</v>
      </c>
      <c r="R4899">
        <v>0</v>
      </c>
      <c r="S4899">
        <v>1</v>
      </c>
    </row>
    <row r="4900" spans="1:19" hidden="1" x14ac:dyDescent="0.35">
      <c r="A4900">
        <v>56418486600</v>
      </c>
      <c r="B4900" t="s">
        <v>4893</v>
      </c>
      <c r="C4900" t="str">
        <f>_xlfn.XLOOKUP(A4900,[1]Affiliations!$J$2:$J$5328,[1]Affiliations!$K$2:$K$5328,0)</f>
        <v>Federal University of Rio de Janeiro</v>
      </c>
      <c r="D4900">
        <v>7</v>
      </c>
      <c r="E4900">
        <v>38</v>
      </c>
      <c r="F4900">
        <v>5.4285709999999998</v>
      </c>
      <c r="G4900">
        <v>4</v>
      </c>
      <c r="H4900">
        <v>1.65</v>
      </c>
      <c r="I4900">
        <v>0</v>
      </c>
      <c r="J4900">
        <v>0</v>
      </c>
      <c r="K4900">
        <v>1</v>
      </c>
      <c r="L4900">
        <v>1</v>
      </c>
      <c r="M4900">
        <v>3</v>
      </c>
      <c r="N4900">
        <v>5</v>
      </c>
      <c r="P4900">
        <v>0</v>
      </c>
      <c r="Q4900">
        <v>0</v>
      </c>
      <c r="R4900">
        <v>0</v>
      </c>
      <c r="S4900">
        <v>0</v>
      </c>
    </row>
    <row r="4901" spans="1:19" x14ac:dyDescent="0.35">
      <c r="A4901">
        <v>12769553200</v>
      </c>
      <c r="B4901" t="s">
        <v>3312</v>
      </c>
      <c r="C4901" t="str">
        <f>_xlfn.XLOOKUP(A4901,[1]Affiliations!$J$2:$J$5328,[1]Affiliations!$K$2:$K$5328,0)</f>
        <v>Federal University of Rio de Janeiro</v>
      </c>
      <c r="D4901">
        <v>45</v>
      </c>
      <c r="E4901">
        <v>527</v>
      </c>
      <c r="F4901">
        <v>11.711111000000001</v>
      </c>
      <c r="G4901">
        <v>17</v>
      </c>
      <c r="H4901">
        <v>0.57999999999999996</v>
      </c>
      <c r="I4901">
        <v>0</v>
      </c>
      <c r="J4901">
        <v>4</v>
      </c>
      <c r="K4901">
        <v>6</v>
      </c>
      <c r="L4901">
        <v>11</v>
      </c>
      <c r="M4901">
        <v>29</v>
      </c>
      <c r="N4901">
        <v>36</v>
      </c>
      <c r="P4901">
        <v>0</v>
      </c>
      <c r="Q4901">
        <v>0</v>
      </c>
      <c r="R4901">
        <v>2</v>
      </c>
      <c r="S4901">
        <v>9</v>
      </c>
    </row>
    <row r="4902" spans="1:19" hidden="1" x14ac:dyDescent="0.35">
      <c r="A4902">
        <v>55534257800</v>
      </c>
      <c r="B4902" t="s">
        <v>4895</v>
      </c>
      <c r="C4902" t="str">
        <f>_xlfn.XLOOKUP(A4902,[1]Affiliations!$J$2:$J$5328,[1]Affiliations!$K$2:$K$5328,0)</f>
        <v>Serviço Nacional de Aprendizagem Industrial</v>
      </c>
      <c r="D4902">
        <v>1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1</v>
      </c>
      <c r="L4902">
        <v>1</v>
      </c>
      <c r="M4902">
        <v>1</v>
      </c>
      <c r="N4902">
        <v>1</v>
      </c>
      <c r="P4902">
        <v>0</v>
      </c>
      <c r="Q4902">
        <v>0</v>
      </c>
      <c r="R4902">
        <v>0</v>
      </c>
      <c r="S4902">
        <v>0</v>
      </c>
    </row>
    <row r="4903" spans="1:19" x14ac:dyDescent="0.35">
      <c r="A4903">
        <v>7004435369</v>
      </c>
      <c r="B4903" t="s">
        <v>3591</v>
      </c>
      <c r="C4903" t="str">
        <f>_xlfn.XLOOKUP(A4903,[1]Affiliations!$J$2:$J$5328,[1]Affiliations!$K$2:$K$5328,0)</f>
        <v>Universidade Tecnológica Federal do Paraná (+2 more)</v>
      </c>
      <c r="D4903">
        <v>57</v>
      </c>
      <c r="E4903">
        <v>501</v>
      </c>
      <c r="F4903">
        <v>8.7894740000000002</v>
      </c>
      <c r="G4903">
        <v>20</v>
      </c>
      <c r="H4903">
        <v>0.57999999999999996</v>
      </c>
      <c r="I4903">
        <v>1</v>
      </c>
      <c r="J4903">
        <v>7</v>
      </c>
      <c r="K4903">
        <v>13</v>
      </c>
      <c r="L4903">
        <v>26</v>
      </c>
      <c r="M4903">
        <v>27</v>
      </c>
      <c r="N4903">
        <v>36</v>
      </c>
      <c r="P4903">
        <v>0</v>
      </c>
      <c r="Q4903">
        <v>0</v>
      </c>
      <c r="R4903">
        <v>1</v>
      </c>
      <c r="S4903">
        <v>9</v>
      </c>
    </row>
    <row r="4904" spans="1:19" hidden="1" x14ac:dyDescent="0.35">
      <c r="A4904">
        <v>25029787100</v>
      </c>
      <c r="B4904" t="s">
        <v>4897</v>
      </c>
      <c r="C4904" t="str">
        <f>_xlfn.XLOOKUP(A4904,[1]Affiliations!$J$2:$J$5328,[1]Affiliations!$K$2:$K$5328,0)</f>
        <v>Universidade Tecnológica Federal do Paraná</v>
      </c>
      <c r="D4904">
        <v>2</v>
      </c>
      <c r="E4904">
        <v>32</v>
      </c>
      <c r="F4904">
        <v>16</v>
      </c>
      <c r="G4904">
        <v>5</v>
      </c>
      <c r="H4904">
        <v>0.3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1</v>
      </c>
      <c r="P4904">
        <v>0</v>
      </c>
      <c r="Q4904">
        <v>0</v>
      </c>
      <c r="R4904">
        <v>0</v>
      </c>
      <c r="S4904">
        <v>1</v>
      </c>
    </row>
    <row r="4905" spans="1:19" hidden="1" x14ac:dyDescent="0.35">
      <c r="A4905">
        <v>58089826300</v>
      </c>
      <c r="B4905" t="s">
        <v>4898</v>
      </c>
      <c r="C4905" t="str">
        <f>_xlfn.XLOOKUP(A4905,[1]Affiliations!$J$2:$J$5328,[1]Affiliations!$K$2:$K$5328,0)</f>
        <v>Universidade do Estado de Santa Catarina</v>
      </c>
      <c r="D4905">
        <v>2</v>
      </c>
      <c r="E4905">
        <v>2</v>
      </c>
      <c r="F4905">
        <v>1</v>
      </c>
      <c r="G4905">
        <v>1</v>
      </c>
      <c r="H4905">
        <v>0.2</v>
      </c>
      <c r="I4905">
        <v>0</v>
      </c>
      <c r="J4905">
        <v>2</v>
      </c>
      <c r="K4905">
        <v>2</v>
      </c>
      <c r="L4905">
        <v>2</v>
      </c>
      <c r="M4905">
        <v>2</v>
      </c>
      <c r="N4905">
        <v>2</v>
      </c>
      <c r="P4905">
        <v>0</v>
      </c>
      <c r="Q4905">
        <v>0</v>
      </c>
      <c r="R4905">
        <v>0</v>
      </c>
      <c r="S4905">
        <v>0</v>
      </c>
    </row>
    <row r="4906" spans="1:19" hidden="1" x14ac:dyDescent="0.35">
      <c r="A4906">
        <v>58153252400</v>
      </c>
      <c r="B4906" t="s">
        <v>4899</v>
      </c>
      <c r="C4906" t="str">
        <f>_xlfn.XLOOKUP(A4906,[1]Affiliations!$J$2:$J$5328,[1]Affiliations!$K$2:$K$5328,0)</f>
        <v>Pontifícia Universidade Católica do Rio Grande do Sul</v>
      </c>
      <c r="D4906">
        <v>1</v>
      </c>
      <c r="E4906">
        <v>4</v>
      </c>
      <c r="F4906">
        <v>4</v>
      </c>
      <c r="G4906">
        <v>1</v>
      </c>
      <c r="H4906">
        <v>0.31</v>
      </c>
      <c r="I4906">
        <v>0</v>
      </c>
      <c r="J4906">
        <v>0</v>
      </c>
      <c r="K4906">
        <v>1</v>
      </c>
      <c r="L4906">
        <v>1</v>
      </c>
      <c r="M4906">
        <v>1</v>
      </c>
      <c r="N4906">
        <v>1</v>
      </c>
      <c r="P4906">
        <v>0</v>
      </c>
      <c r="Q4906">
        <v>0</v>
      </c>
      <c r="R4906">
        <v>0</v>
      </c>
      <c r="S4906">
        <v>0</v>
      </c>
    </row>
    <row r="4907" spans="1:19" hidden="1" x14ac:dyDescent="0.35">
      <c r="A4907">
        <v>58193981100</v>
      </c>
      <c r="B4907" t="s">
        <v>4900</v>
      </c>
      <c r="C4907" t="str">
        <f>_xlfn.XLOOKUP(A4907,[1]Affiliations!$J$2:$J$5328,[1]Affiliations!$K$2:$K$5328,0)</f>
        <v>Instituto de Pesquisas da Marinha</v>
      </c>
      <c r="D4907">
        <v>1</v>
      </c>
      <c r="E4907">
        <v>3</v>
      </c>
      <c r="F4907">
        <v>3</v>
      </c>
      <c r="G4907">
        <v>1</v>
      </c>
      <c r="H4907">
        <v>0.32</v>
      </c>
      <c r="P4907">
        <v>0</v>
      </c>
      <c r="Q4907">
        <v>0</v>
      </c>
      <c r="R4907">
        <v>0</v>
      </c>
      <c r="S4907">
        <v>0</v>
      </c>
    </row>
    <row r="4908" spans="1:19" x14ac:dyDescent="0.35">
      <c r="A4908">
        <v>12759361500</v>
      </c>
      <c r="B4908" t="s">
        <v>3788</v>
      </c>
      <c r="C4908" t="str">
        <f>_xlfn.XLOOKUP(A4908,[1]Affiliations!$J$2:$J$5328,[1]Affiliations!$K$2:$K$5328,0)</f>
        <v>Universidade de São Paulo (+1 more)</v>
      </c>
      <c r="D4908">
        <v>38</v>
      </c>
      <c r="E4908">
        <v>395</v>
      </c>
      <c r="F4908">
        <v>10.394736999999999</v>
      </c>
      <c r="G4908">
        <v>17</v>
      </c>
      <c r="H4908">
        <v>0.57999999999999996</v>
      </c>
      <c r="I4908">
        <v>0</v>
      </c>
      <c r="J4908">
        <v>3</v>
      </c>
      <c r="K4908">
        <v>8</v>
      </c>
      <c r="L4908">
        <v>9</v>
      </c>
      <c r="M4908">
        <v>13</v>
      </c>
      <c r="N4908">
        <v>19</v>
      </c>
      <c r="P4908">
        <v>0</v>
      </c>
      <c r="Q4908">
        <v>1</v>
      </c>
      <c r="R4908">
        <v>1</v>
      </c>
      <c r="S4908">
        <v>9</v>
      </c>
    </row>
    <row r="4909" spans="1:19" hidden="1" x14ac:dyDescent="0.35">
      <c r="A4909">
        <v>56730333200</v>
      </c>
      <c r="B4909" t="s">
        <v>4902</v>
      </c>
      <c r="C4909" t="str">
        <f>_xlfn.XLOOKUP(A4909,[1]Affiliations!$J$2:$J$5328,[1]Affiliations!$K$2:$K$5328,0)</f>
        <v>Federal University of Rio de Janeiro</v>
      </c>
      <c r="D4909">
        <v>2</v>
      </c>
      <c r="E4909">
        <v>48</v>
      </c>
      <c r="F4909">
        <v>24</v>
      </c>
      <c r="G4909">
        <v>2</v>
      </c>
      <c r="H4909">
        <v>1.06</v>
      </c>
      <c r="I4909">
        <v>0</v>
      </c>
      <c r="J4909">
        <v>1</v>
      </c>
      <c r="K4909">
        <v>1</v>
      </c>
      <c r="L4909">
        <v>2</v>
      </c>
      <c r="M4909">
        <v>2</v>
      </c>
      <c r="N4909">
        <v>2</v>
      </c>
      <c r="P4909">
        <v>0</v>
      </c>
      <c r="Q4909">
        <v>0</v>
      </c>
      <c r="R4909">
        <v>0</v>
      </c>
      <c r="S4909">
        <v>1</v>
      </c>
    </row>
    <row r="4910" spans="1:19" hidden="1" x14ac:dyDescent="0.35">
      <c r="A4910">
        <v>8260119600</v>
      </c>
      <c r="B4910" t="s">
        <v>4903</v>
      </c>
      <c r="C4910" t="str">
        <f>_xlfn.XLOOKUP(A4910,[1]Affiliations!$J$2:$J$5328,[1]Affiliations!$K$2:$K$5328,0)</f>
        <v>Federal University of Santa Catarina</v>
      </c>
      <c r="D4910">
        <v>26</v>
      </c>
      <c r="E4910">
        <v>218</v>
      </c>
      <c r="F4910">
        <v>8.3846150000000002</v>
      </c>
      <c r="G4910">
        <v>11</v>
      </c>
      <c r="H4910">
        <v>0.83</v>
      </c>
      <c r="I4910">
        <v>0</v>
      </c>
      <c r="J4910">
        <v>1</v>
      </c>
      <c r="K4910">
        <v>3</v>
      </c>
      <c r="L4910">
        <v>5</v>
      </c>
      <c r="M4910">
        <v>13</v>
      </c>
      <c r="N4910">
        <v>18</v>
      </c>
      <c r="P4910">
        <v>0</v>
      </c>
      <c r="Q4910">
        <v>0</v>
      </c>
      <c r="R4910">
        <v>0</v>
      </c>
      <c r="S4910">
        <v>6</v>
      </c>
    </row>
    <row r="4911" spans="1:19" hidden="1" x14ac:dyDescent="0.35">
      <c r="A4911">
        <v>57216989701</v>
      </c>
      <c r="B4911" t="s">
        <v>4904</v>
      </c>
      <c r="C4911" t="str">
        <f>_xlfn.XLOOKUP(A4911,[1]Affiliations!$J$2:$J$5328,[1]Affiliations!$K$2:$K$5328,0)</f>
        <v>Pontifícia Universidade Católica do Rio Grande do Sul</v>
      </c>
      <c r="D4911">
        <v>3</v>
      </c>
      <c r="E4911">
        <v>264</v>
      </c>
      <c r="F4911">
        <v>88</v>
      </c>
      <c r="G4911">
        <v>3</v>
      </c>
      <c r="H4911">
        <v>2.97</v>
      </c>
      <c r="I4911">
        <v>0</v>
      </c>
      <c r="J4911">
        <v>1</v>
      </c>
      <c r="K4911">
        <v>2</v>
      </c>
      <c r="L4911">
        <v>3</v>
      </c>
      <c r="M4911">
        <v>3</v>
      </c>
      <c r="N4911">
        <v>3</v>
      </c>
      <c r="P4911">
        <v>1</v>
      </c>
      <c r="Q4911">
        <v>1</v>
      </c>
      <c r="R4911">
        <v>1</v>
      </c>
      <c r="S4911">
        <v>3</v>
      </c>
    </row>
    <row r="4912" spans="1:19" hidden="1" x14ac:dyDescent="0.35">
      <c r="A4912">
        <v>57220958654</v>
      </c>
      <c r="B4912" t="s">
        <v>4905</v>
      </c>
      <c r="C4912" t="str">
        <f>_xlfn.XLOOKUP(A4912,[1]Affiliations!$J$2:$J$5328,[1]Affiliations!$K$2:$K$5328,0)</f>
        <v>Pontifical Catholic University of Rio de Janeiro</v>
      </c>
      <c r="D4912">
        <v>2</v>
      </c>
      <c r="E4912">
        <v>1</v>
      </c>
      <c r="F4912">
        <v>0.5</v>
      </c>
      <c r="G4912">
        <v>1</v>
      </c>
      <c r="H4912">
        <v>0.42</v>
      </c>
      <c r="P4912">
        <v>0</v>
      </c>
      <c r="Q4912">
        <v>0</v>
      </c>
      <c r="R4912">
        <v>0</v>
      </c>
      <c r="S4912">
        <v>0</v>
      </c>
    </row>
    <row r="4913" spans="1:19" x14ac:dyDescent="0.35">
      <c r="A4913">
        <v>14036281400</v>
      </c>
      <c r="B4913" t="s">
        <v>3941</v>
      </c>
      <c r="C4913" t="str">
        <f>_xlfn.XLOOKUP(A4913,[1]Affiliations!$J$2:$J$5328,[1]Affiliations!$K$2:$K$5328,0)</f>
        <v>Universidade Federal do Rio Grande do Sul (+1 more)</v>
      </c>
      <c r="D4913">
        <v>29</v>
      </c>
      <c r="E4913">
        <v>409</v>
      </c>
      <c r="F4913">
        <v>14.103448</v>
      </c>
      <c r="G4913">
        <v>12</v>
      </c>
      <c r="H4913">
        <v>0.57999999999999996</v>
      </c>
      <c r="I4913">
        <v>3</v>
      </c>
      <c r="J4913">
        <v>6</v>
      </c>
      <c r="K4913">
        <v>6</v>
      </c>
      <c r="L4913">
        <v>12</v>
      </c>
      <c r="M4913">
        <v>18</v>
      </c>
      <c r="N4913">
        <v>23</v>
      </c>
      <c r="P4913">
        <v>0</v>
      </c>
      <c r="Q4913">
        <v>1</v>
      </c>
      <c r="R4913">
        <v>3</v>
      </c>
      <c r="S4913">
        <v>7</v>
      </c>
    </row>
    <row r="4914" spans="1:19" hidden="1" x14ac:dyDescent="0.35">
      <c r="A4914">
        <v>57221924382</v>
      </c>
      <c r="B4914" t="s">
        <v>4907</v>
      </c>
      <c r="C4914" t="str">
        <f>_xlfn.XLOOKUP(A4914,[1]Affiliations!$J$2:$J$5328,[1]Affiliations!$K$2:$K$5328,0)</f>
        <v>Universidade Federal de Itajubá</v>
      </c>
      <c r="D4914">
        <v>5</v>
      </c>
      <c r="E4914">
        <v>31</v>
      </c>
      <c r="F4914">
        <v>6.2</v>
      </c>
      <c r="G4914">
        <v>4</v>
      </c>
      <c r="H4914">
        <v>0.24</v>
      </c>
      <c r="I4914">
        <v>1</v>
      </c>
      <c r="J4914">
        <v>1</v>
      </c>
      <c r="K4914">
        <v>1</v>
      </c>
      <c r="L4914">
        <v>4</v>
      </c>
      <c r="M4914">
        <v>4</v>
      </c>
      <c r="N4914">
        <v>5</v>
      </c>
      <c r="P4914">
        <v>0</v>
      </c>
      <c r="Q4914">
        <v>0</v>
      </c>
      <c r="R4914">
        <v>0</v>
      </c>
      <c r="S4914">
        <v>0</v>
      </c>
    </row>
    <row r="4915" spans="1:19" hidden="1" x14ac:dyDescent="0.35">
      <c r="A4915">
        <v>57189370702</v>
      </c>
      <c r="B4915" t="s">
        <v>4908</v>
      </c>
      <c r="C4915" t="str">
        <f>_xlfn.XLOOKUP(A4915,[1]Affiliations!$J$2:$J$5328,[1]Affiliations!$K$2:$K$5328,0)</f>
        <v>Regional University of Blumenau - FURB</v>
      </c>
      <c r="D4915">
        <v>1</v>
      </c>
      <c r="E4915">
        <v>1</v>
      </c>
      <c r="F4915">
        <v>1</v>
      </c>
      <c r="G4915">
        <v>1</v>
      </c>
      <c r="H4915">
        <v>0</v>
      </c>
      <c r="P4915">
        <v>0</v>
      </c>
      <c r="Q4915">
        <v>0</v>
      </c>
      <c r="R4915">
        <v>0</v>
      </c>
      <c r="S4915">
        <v>0</v>
      </c>
    </row>
    <row r="4916" spans="1:19" hidden="1" x14ac:dyDescent="0.35">
      <c r="A4916">
        <v>6602171058</v>
      </c>
      <c r="B4916" t="s">
        <v>4909</v>
      </c>
      <c r="C4916" t="str">
        <f>_xlfn.XLOOKUP(A4916,[1]Affiliations!$J$2:$J$5328,[1]Affiliations!$K$2:$K$5328,0)</f>
        <v>Universidade Federal do Rio Grande do Sul (+2 more)</v>
      </c>
      <c r="D4916">
        <v>35</v>
      </c>
      <c r="E4916">
        <v>350</v>
      </c>
      <c r="F4916">
        <v>10</v>
      </c>
      <c r="G4916">
        <v>28</v>
      </c>
      <c r="H4916">
        <v>0.59</v>
      </c>
      <c r="I4916">
        <v>0</v>
      </c>
      <c r="J4916">
        <v>0</v>
      </c>
      <c r="K4916">
        <v>1</v>
      </c>
      <c r="L4916">
        <v>8</v>
      </c>
      <c r="M4916">
        <v>14</v>
      </c>
      <c r="N4916">
        <v>23</v>
      </c>
      <c r="P4916">
        <v>0</v>
      </c>
      <c r="Q4916">
        <v>0</v>
      </c>
      <c r="R4916">
        <v>0</v>
      </c>
      <c r="S4916">
        <v>6</v>
      </c>
    </row>
    <row r="4917" spans="1:19" x14ac:dyDescent="0.35">
      <c r="A4917">
        <v>6603721426</v>
      </c>
      <c r="B4917" t="s">
        <v>4120</v>
      </c>
      <c r="C4917" t="str">
        <f>_xlfn.XLOOKUP(A4917,[1]Affiliations!$J$2:$J$5328,[1]Affiliations!$K$2:$K$5328,0)</f>
        <v>Tecgraf/DI/PUC-Rio (+3 more)</v>
      </c>
      <c r="D4917">
        <v>74</v>
      </c>
      <c r="E4917">
        <v>633</v>
      </c>
      <c r="F4917">
        <v>8.5540540000000007</v>
      </c>
      <c r="G4917">
        <v>21</v>
      </c>
      <c r="H4917">
        <v>0.57999999999999996</v>
      </c>
      <c r="I4917">
        <v>0</v>
      </c>
      <c r="J4917">
        <v>1</v>
      </c>
      <c r="K4917">
        <v>6</v>
      </c>
      <c r="L4917">
        <v>15</v>
      </c>
      <c r="M4917">
        <v>26</v>
      </c>
      <c r="N4917">
        <v>32</v>
      </c>
      <c r="P4917">
        <v>0</v>
      </c>
      <c r="Q4917">
        <v>1</v>
      </c>
      <c r="R4917">
        <v>1</v>
      </c>
      <c r="S4917">
        <v>11</v>
      </c>
    </row>
    <row r="4918" spans="1:19" hidden="1" x14ac:dyDescent="0.35">
      <c r="A4918">
        <v>6603404652</v>
      </c>
      <c r="B4918" t="s">
        <v>4911</v>
      </c>
      <c r="C4918" t="str">
        <f>_xlfn.XLOOKUP(A4918,[1]Affiliations!$J$2:$J$5328,[1]Affiliations!$K$2:$K$5328,0)</f>
        <v>DEM - PUC-Rio</v>
      </c>
      <c r="D4918">
        <v>3</v>
      </c>
      <c r="E4918">
        <v>2</v>
      </c>
      <c r="F4918">
        <v>0.66666669999999995</v>
      </c>
      <c r="G4918">
        <v>1</v>
      </c>
      <c r="H4918">
        <v>0.38</v>
      </c>
      <c r="P4918">
        <v>0</v>
      </c>
      <c r="Q4918">
        <v>0</v>
      </c>
      <c r="R4918">
        <v>0</v>
      </c>
      <c r="S4918">
        <v>0</v>
      </c>
    </row>
    <row r="4919" spans="1:19" hidden="1" x14ac:dyDescent="0.35">
      <c r="A4919">
        <v>57150705400</v>
      </c>
      <c r="B4919" t="s">
        <v>4912</v>
      </c>
      <c r="C4919" t="str">
        <f>_xlfn.XLOOKUP(A4919,[1]Affiliations!$J$2:$J$5328,[1]Affiliations!$K$2:$K$5328,0)</f>
        <v>Universidade Federal do Rio Grande do Sul (+1 more)</v>
      </c>
      <c r="D4919">
        <v>15</v>
      </c>
      <c r="E4919">
        <v>87</v>
      </c>
      <c r="F4919">
        <v>5.8</v>
      </c>
      <c r="G4919">
        <v>6</v>
      </c>
      <c r="H4919">
        <v>0.56999999999999995</v>
      </c>
      <c r="I4919">
        <v>0</v>
      </c>
      <c r="J4919">
        <v>0</v>
      </c>
      <c r="K4919">
        <v>0</v>
      </c>
      <c r="L4919">
        <v>4</v>
      </c>
      <c r="M4919">
        <v>8</v>
      </c>
      <c r="N4919">
        <v>13</v>
      </c>
      <c r="P4919">
        <v>0</v>
      </c>
      <c r="Q4919">
        <v>0</v>
      </c>
      <c r="R4919">
        <v>0</v>
      </c>
      <c r="S4919">
        <v>1</v>
      </c>
    </row>
    <row r="4920" spans="1:19" x14ac:dyDescent="0.35">
      <c r="A4920">
        <v>36180252700</v>
      </c>
      <c r="B4920" t="s">
        <v>4263</v>
      </c>
      <c r="C4920" t="str">
        <f>_xlfn.XLOOKUP(A4920,[1]Affiliations!$J$2:$J$5328,[1]Affiliations!$K$2:$K$5328,0)</f>
        <v>Instituto Evandro Chagas</v>
      </c>
      <c r="D4920">
        <v>27</v>
      </c>
      <c r="E4920">
        <v>297</v>
      </c>
      <c r="F4920">
        <v>11</v>
      </c>
      <c r="G4920">
        <v>14</v>
      </c>
      <c r="H4920">
        <v>0.57999999999999996</v>
      </c>
      <c r="I4920">
        <v>0</v>
      </c>
      <c r="J4920">
        <v>1</v>
      </c>
      <c r="K4920">
        <v>2</v>
      </c>
      <c r="L4920">
        <v>12</v>
      </c>
      <c r="M4920">
        <v>25</v>
      </c>
      <c r="N4920">
        <v>26</v>
      </c>
      <c r="P4920">
        <v>0</v>
      </c>
      <c r="Q4920">
        <v>0</v>
      </c>
      <c r="R4920">
        <v>1</v>
      </c>
      <c r="S4920">
        <v>6</v>
      </c>
    </row>
    <row r="4921" spans="1:19" hidden="1" x14ac:dyDescent="0.35">
      <c r="A4921">
        <v>57201421939</v>
      </c>
      <c r="B4921" t="s">
        <v>4914</v>
      </c>
      <c r="C4921" t="str">
        <f>_xlfn.XLOOKUP(A4921,[1]Affiliations!$J$2:$J$5328,[1]Affiliations!$K$2:$K$5328,0)</f>
        <v>Universidade Federal do Rio Grande do Sul</v>
      </c>
      <c r="D4921">
        <v>1</v>
      </c>
      <c r="E4921">
        <v>1</v>
      </c>
      <c r="F4921">
        <v>1</v>
      </c>
      <c r="G4921">
        <v>1</v>
      </c>
      <c r="H4921">
        <v>0</v>
      </c>
      <c r="P4921">
        <v>0</v>
      </c>
      <c r="Q4921">
        <v>0</v>
      </c>
      <c r="R4921">
        <v>0</v>
      </c>
      <c r="S4921">
        <v>0</v>
      </c>
    </row>
    <row r="4922" spans="1:19" x14ac:dyDescent="0.35">
      <c r="A4922">
        <v>57201668440</v>
      </c>
      <c r="B4922" t="s">
        <v>294</v>
      </c>
      <c r="C4922" t="str">
        <f>_xlfn.XLOOKUP(A4922,[1]Affiliations!$J$2:$J$5328,[1]Affiliations!$K$2:$K$5328,0)</f>
        <v>Federal University of Pará</v>
      </c>
      <c r="D4922">
        <v>25</v>
      </c>
      <c r="E4922">
        <v>256</v>
      </c>
      <c r="F4922">
        <v>10.24</v>
      </c>
      <c r="G4922">
        <v>9</v>
      </c>
      <c r="H4922">
        <v>0.56999999999999995</v>
      </c>
      <c r="I4922">
        <v>0</v>
      </c>
      <c r="J4922">
        <v>8</v>
      </c>
      <c r="K4922">
        <v>11</v>
      </c>
      <c r="L4922">
        <v>14</v>
      </c>
      <c r="M4922">
        <v>23</v>
      </c>
      <c r="N4922">
        <v>23</v>
      </c>
      <c r="P4922">
        <v>0</v>
      </c>
      <c r="Q4922">
        <v>1</v>
      </c>
      <c r="R4922">
        <v>1</v>
      </c>
      <c r="S4922">
        <v>6</v>
      </c>
    </row>
    <row r="4923" spans="1:19" hidden="1" x14ac:dyDescent="0.35">
      <c r="A4923">
        <v>57695455700</v>
      </c>
      <c r="B4923" t="s">
        <v>4916</v>
      </c>
      <c r="C4923" t="str">
        <f>_xlfn.XLOOKUP(A4923,[1]Affiliations!$J$2:$J$5328,[1]Affiliations!$K$2:$K$5328,0)</f>
        <v>Federal University of Rio de Janeiro</v>
      </c>
      <c r="D4923">
        <v>2</v>
      </c>
      <c r="E4923">
        <v>12</v>
      </c>
      <c r="F4923">
        <v>6</v>
      </c>
      <c r="G4923">
        <v>1</v>
      </c>
      <c r="H4923">
        <v>1.05</v>
      </c>
      <c r="I4923">
        <v>0</v>
      </c>
      <c r="J4923">
        <v>0</v>
      </c>
      <c r="K4923">
        <v>0</v>
      </c>
      <c r="L4923">
        <v>1</v>
      </c>
      <c r="M4923">
        <v>1</v>
      </c>
      <c r="N4923">
        <v>1</v>
      </c>
      <c r="P4923">
        <v>0</v>
      </c>
      <c r="Q4923">
        <v>0</v>
      </c>
      <c r="R4923">
        <v>0</v>
      </c>
      <c r="S4923">
        <v>0</v>
      </c>
    </row>
    <row r="4924" spans="1:19" x14ac:dyDescent="0.35">
      <c r="A4924">
        <v>6602379054</v>
      </c>
      <c r="B4924" t="s">
        <v>626</v>
      </c>
      <c r="C4924" t="str">
        <f>_xlfn.XLOOKUP(A4924,[1]Affiliations!$J$2:$J$5328,[1]Affiliations!$K$2:$K$5328,0)</f>
        <v>Universidade Federal do ABC</v>
      </c>
      <c r="D4924">
        <v>23</v>
      </c>
      <c r="E4924">
        <v>282</v>
      </c>
      <c r="F4924">
        <v>12.260870000000001</v>
      </c>
      <c r="G4924">
        <v>19</v>
      </c>
      <c r="H4924">
        <v>0.56999999999999995</v>
      </c>
      <c r="I4924">
        <v>1</v>
      </c>
      <c r="J4924">
        <v>5</v>
      </c>
      <c r="K4924">
        <v>8</v>
      </c>
      <c r="L4924">
        <v>20</v>
      </c>
      <c r="M4924">
        <v>22</v>
      </c>
      <c r="N4924">
        <v>22</v>
      </c>
      <c r="P4924">
        <v>0</v>
      </c>
      <c r="Q4924">
        <v>0</v>
      </c>
      <c r="R4924">
        <v>2</v>
      </c>
      <c r="S4924">
        <v>6</v>
      </c>
    </row>
    <row r="4925" spans="1:19" hidden="1" x14ac:dyDescent="0.35">
      <c r="A4925">
        <v>57194258478</v>
      </c>
      <c r="B4925" t="s">
        <v>4918</v>
      </c>
      <c r="C4925" t="str">
        <f>_xlfn.XLOOKUP(A4925,[1]Affiliations!$J$2:$J$5328,[1]Affiliations!$K$2:$K$5328,0)</f>
        <v>Federal University of Rio de Janeiro</v>
      </c>
      <c r="D4925">
        <v>4</v>
      </c>
      <c r="E4925">
        <v>35</v>
      </c>
      <c r="F4925">
        <v>8.75</v>
      </c>
      <c r="G4925">
        <v>3</v>
      </c>
      <c r="H4925">
        <v>0.45</v>
      </c>
      <c r="I4925">
        <v>0</v>
      </c>
      <c r="J4925">
        <v>1</v>
      </c>
      <c r="K4925">
        <v>1</v>
      </c>
      <c r="L4925">
        <v>4</v>
      </c>
      <c r="M4925">
        <v>4</v>
      </c>
      <c r="N4925">
        <v>4</v>
      </c>
      <c r="P4925">
        <v>0</v>
      </c>
      <c r="Q4925">
        <v>0</v>
      </c>
      <c r="R4925">
        <v>0</v>
      </c>
      <c r="S4925">
        <v>0</v>
      </c>
    </row>
    <row r="4926" spans="1:19" x14ac:dyDescent="0.35">
      <c r="A4926">
        <v>16314736800</v>
      </c>
      <c r="B4926" t="s">
        <v>1029</v>
      </c>
      <c r="C4926" t="str">
        <f>_xlfn.XLOOKUP(A4926,[1]Affiliations!$J$2:$J$5328,[1]Affiliations!$K$2:$K$5328,0)</f>
        <v>Universidade de São Paulo (+1 more)</v>
      </c>
      <c r="D4926">
        <v>22</v>
      </c>
      <c r="E4926">
        <v>265</v>
      </c>
      <c r="F4926">
        <v>12.045455</v>
      </c>
      <c r="G4926">
        <v>13</v>
      </c>
      <c r="H4926">
        <v>0.56999999999999995</v>
      </c>
      <c r="I4926">
        <v>1</v>
      </c>
      <c r="J4926">
        <v>4</v>
      </c>
      <c r="K4926">
        <v>9</v>
      </c>
      <c r="L4926">
        <v>12</v>
      </c>
      <c r="M4926">
        <v>19</v>
      </c>
      <c r="N4926">
        <v>22</v>
      </c>
      <c r="P4926">
        <v>0</v>
      </c>
      <c r="Q4926">
        <v>0</v>
      </c>
      <c r="R4926">
        <v>1</v>
      </c>
      <c r="S4926">
        <v>3</v>
      </c>
    </row>
    <row r="4927" spans="1:19" x14ac:dyDescent="0.35">
      <c r="A4927">
        <v>57212576097</v>
      </c>
      <c r="B4927" t="s">
        <v>1190</v>
      </c>
      <c r="C4927" t="str">
        <f>_xlfn.XLOOKUP(A4927,[1]Affiliations!$J$2:$J$5328,[1]Affiliations!$K$2:$K$5328,0)</f>
        <v>Universidade Federal do Ceará</v>
      </c>
      <c r="D4927">
        <v>14</v>
      </c>
      <c r="E4927">
        <v>93</v>
      </c>
      <c r="F4927">
        <v>6.6428570000000002</v>
      </c>
      <c r="G4927">
        <v>5</v>
      </c>
      <c r="H4927">
        <v>0.56999999999999995</v>
      </c>
      <c r="I4927">
        <v>0</v>
      </c>
      <c r="J4927">
        <v>1</v>
      </c>
      <c r="K4927">
        <v>2</v>
      </c>
      <c r="L4927">
        <v>10</v>
      </c>
      <c r="M4927">
        <v>12</v>
      </c>
      <c r="N4927">
        <v>13</v>
      </c>
      <c r="P4927">
        <v>0</v>
      </c>
      <c r="Q4927">
        <v>0</v>
      </c>
      <c r="R4927">
        <v>1</v>
      </c>
      <c r="S4927">
        <v>4</v>
      </c>
    </row>
    <row r="4928" spans="1:19" x14ac:dyDescent="0.35">
      <c r="A4928">
        <v>7004069723</v>
      </c>
      <c r="B4928" t="s">
        <v>2039</v>
      </c>
      <c r="C4928" t="str">
        <f>_xlfn.XLOOKUP(A4928,[1]Affiliations!$J$2:$J$5328,[1]Affiliations!$K$2:$K$5328,0)</f>
        <v>Federal University of Rio de Janeiro (+1 more)</v>
      </c>
      <c r="D4928">
        <v>42</v>
      </c>
      <c r="E4928">
        <v>745</v>
      </c>
      <c r="F4928">
        <v>17.738094</v>
      </c>
      <c r="G4928">
        <v>33</v>
      </c>
      <c r="H4928">
        <v>0.56999999999999995</v>
      </c>
      <c r="I4928">
        <v>0</v>
      </c>
      <c r="J4928">
        <v>2</v>
      </c>
      <c r="K4928">
        <v>11</v>
      </c>
      <c r="L4928">
        <v>21</v>
      </c>
      <c r="M4928">
        <v>36</v>
      </c>
      <c r="N4928">
        <v>39</v>
      </c>
      <c r="P4928">
        <v>0</v>
      </c>
      <c r="Q4928">
        <v>2</v>
      </c>
      <c r="R4928">
        <v>6</v>
      </c>
      <c r="S4928">
        <v>9</v>
      </c>
    </row>
    <row r="4929" spans="1:19" hidden="1" x14ac:dyDescent="0.35">
      <c r="A4929">
        <v>57687537100</v>
      </c>
      <c r="B4929" t="s">
        <v>4922</v>
      </c>
      <c r="C4929" t="str">
        <f>_xlfn.XLOOKUP(A4929,[1]Affiliations!$J$2:$J$5328,[1]Affiliations!$K$2:$K$5328,0)</f>
        <v>Universidade Federal de São Paulo</v>
      </c>
      <c r="D4929">
        <v>1</v>
      </c>
      <c r="E4929">
        <v>2</v>
      </c>
      <c r="F4929">
        <v>2</v>
      </c>
      <c r="G4929">
        <v>1</v>
      </c>
      <c r="H4929">
        <v>0.15</v>
      </c>
      <c r="I4929">
        <v>0</v>
      </c>
      <c r="J4929">
        <v>0</v>
      </c>
      <c r="K4929">
        <v>0</v>
      </c>
      <c r="L4929">
        <v>0</v>
      </c>
      <c r="M4929">
        <v>1</v>
      </c>
      <c r="N4929">
        <v>1</v>
      </c>
      <c r="P4929">
        <v>0</v>
      </c>
      <c r="Q4929">
        <v>0</v>
      </c>
      <c r="R4929">
        <v>0</v>
      </c>
      <c r="S4929">
        <v>0</v>
      </c>
    </row>
    <row r="4930" spans="1:19" hidden="1" x14ac:dyDescent="0.35">
      <c r="A4930">
        <v>57196151249</v>
      </c>
      <c r="B4930" t="s">
        <v>4923</v>
      </c>
      <c r="C4930" t="str">
        <f>_xlfn.XLOOKUP(A4930,[1]Affiliations!$J$2:$J$5328,[1]Affiliations!$K$2:$K$5328,0)</f>
        <v>Universidade do Estado do Rio de Janeiro</v>
      </c>
      <c r="D4930">
        <v>2</v>
      </c>
      <c r="E4930">
        <v>96</v>
      </c>
      <c r="F4930">
        <v>48</v>
      </c>
      <c r="G4930">
        <v>2</v>
      </c>
      <c r="H4930">
        <v>1.31</v>
      </c>
      <c r="I4930">
        <v>0</v>
      </c>
      <c r="J4930">
        <v>0</v>
      </c>
      <c r="K4930">
        <v>0</v>
      </c>
      <c r="L4930">
        <v>1</v>
      </c>
      <c r="M4930">
        <v>2</v>
      </c>
      <c r="N4930">
        <v>2</v>
      </c>
      <c r="P4930">
        <v>0</v>
      </c>
      <c r="Q4930">
        <v>1</v>
      </c>
      <c r="R4930">
        <v>1</v>
      </c>
      <c r="S4930">
        <v>1</v>
      </c>
    </row>
    <row r="4931" spans="1:19" x14ac:dyDescent="0.35">
      <c r="A4931">
        <v>57194183597</v>
      </c>
      <c r="B4931" t="s">
        <v>2613</v>
      </c>
      <c r="C4931" t="str">
        <f>_xlfn.XLOOKUP(A4931,[1]Affiliations!$J$2:$J$5328,[1]Affiliations!$K$2:$K$5328,0)</f>
        <v>Universidade Federal do Rio Grande do Sul</v>
      </c>
      <c r="D4931">
        <v>5</v>
      </c>
      <c r="E4931">
        <v>83</v>
      </c>
      <c r="F4931">
        <v>16.600000000000001</v>
      </c>
      <c r="G4931">
        <v>3</v>
      </c>
      <c r="H4931">
        <v>0.56999999999999995</v>
      </c>
      <c r="I4931">
        <v>0</v>
      </c>
      <c r="J4931">
        <v>1</v>
      </c>
      <c r="K4931">
        <v>3</v>
      </c>
      <c r="L4931">
        <v>3</v>
      </c>
      <c r="M4931">
        <v>5</v>
      </c>
      <c r="N4931">
        <v>5</v>
      </c>
      <c r="P4931">
        <v>0</v>
      </c>
      <c r="Q4931">
        <v>0</v>
      </c>
      <c r="R4931">
        <v>1</v>
      </c>
      <c r="S4931">
        <v>2</v>
      </c>
    </row>
    <row r="4932" spans="1:19" hidden="1" x14ac:dyDescent="0.35">
      <c r="A4932">
        <v>57220123761</v>
      </c>
      <c r="B4932" t="s">
        <v>4925</v>
      </c>
      <c r="C4932" t="str">
        <f>_xlfn.XLOOKUP(A4932,[1]Affiliations!$J$2:$J$5328,[1]Affiliations!$K$2:$K$5328,0)</f>
        <v>Federal University of Rio de Janeiro</v>
      </c>
      <c r="D4932">
        <v>1</v>
      </c>
      <c r="E4932">
        <v>15</v>
      </c>
      <c r="F4932">
        <v>15</v>
      </c>
      <c r="G4932">
        <v>1</v>
      </c>
      <c r="H4932">
        <v>0.57999999999999996</v>
      </c>
      <c r="I4932">
        <v>0</v>
      </c>
      <c r="J4932">
        <v>1</v>
      </c>
      <c r="K4932">
        <v>1</v>
      </c>
      <c r="L4932">
        <v>1</v>
      </c>
      <c r="M4932">
        <v>1</v>
      </c>
      <c r="N4932">
        <v>1</v>
      </c>
      <c r="P4932">
        <v>0</v>
      </c>
      <c r="Q4932">
        <v>0</v>
      </c>
      <c r="R4932">
        <v>0</v>
      </c>
      <c r="S4932">
        <v>0</v>
      </c>
    </row>
    <row r="4933" spans="1:19" x14ac:dyDescent="0.35">
      <c r="A4933">
        <v>6602420251</v>
      </c>
      <c r="B4933" t="s">
        <v>2800</v>
      </c>
      <c r="C4933" t="str">
        <f>_xlfn.XLOOKUP(A4933,[1]Affiliations!$J$2:$J$5328,[1]Affiliations!$K$2:$K$5328,0)</f>
        <v>Instituto de Pesquisas Energéticas e Nucleares (+1 more)</v>
      </c>
      <c r="D4933">
        <v>69</v>
      </c>
      <c r="E4933">
        <v>763</v>
      </c>
      <c r="F4933">
        <v>11.057971</v>
      </c>
      <c r="G4933">
        <v>21</v>
      </c>
      <c r="H4933">
        <v>0.56999999999999995</v>
      </c>
      <c r="I4933">
        <v>1</v>
      </c>
      <c r="J4933">
        <v>7</v>
      </c>
      <c r="K4933">
        <v>17</v>
      </c>
      <c r="L4933">
        <v>26</v>
      </c>
      <c r="M4933">
        <v>41</v>
      </c>
      <c r="N4933">
        <v>52</v>
      </c>
      <c r="P4933">
        <v>0</v>
      </c>
      <c r="Q4933">
        <v>1</v>
      </c>
      <c r="R4933">
        <v>5</v>
      </c>
      <c r="S4933">
        <v>20</v>
      </c>
    </row>
    <row r="4934" spans="1:19" hidden="1" x14ac:dyDescent="0.35">
      <c r="A4934">
        <v>23029530400</v>
      </c>
      <c r="B4934" t="s">
        <v>4927</v>
      </c>
      <c r="C4934" t="str">
        <f>_xlfn.XLOOKUP(A4934,[1]Affiliations!$J$2:$J$5328,[1]Affiliations!$K$2:$K$5328,0)</f>
        <v>Universidade Federal do Paraná</v>
      </c>
      <c r="D4934">
        <v>2</v>
      </c>
      <c r="E4934">
        <v>18</v>
      </c>
      <c r="F4934">
        <v>9</v>
      </c>
      <c r="G4934">
        <v>3</v>
      </c>
      <c r="H4934">
        <v>0.5</v>
      </c>
      <c r="I4934">
        <v>0</v>
      </c>
      <c r="J4934">
        <v>1</v>
      </c>
      <c r="K4934">
        <v>1</v>
      </c>
      <c r="L4934">
        <v>1</v>
      </c>
      <c r="M4934">
        <v>1</v>
      </c>
      <c r="N4934">
        <v>1</v>
      </c>
      <c r="P4934">
        <v>0</v>
      </c>
      <c r="Q4934">
        <v>0</v>
      </c>
      <c r="R4934">
        <v>0</v>
      </c>
      <c r="S4934">
        <v>0</v>
      </c>
    </row>
    <row r="4935" spans="1:19" x14ac:dyDescent="0.35">
      <c r="A4935">
        <v>7003671652</v>
      </c>
      <c r="B4935" t="s">
        <v>3175</v>
      </c>
      <c r="C4935" t="str">
        <f>_xlfn.XLOOKUP(A4935,[1]Affiliations!$J$2:$J$5328,[1]Affiliations!$K$2:$K$5328,0)</f>
        <v>Universidade Federal Fluminense (+1 more)</v>
      </c>
      <c r="D4935">
        <v>45</v>
      </c>
      <c r="E4935">
        <v>474</v>
      </c>
      <c r="F4935">
        <v>10.533334</v>
      </c>
      <c r="G4935">
        <v>16</v>
      </c>
      <c r="H4935">
        <v>0.56999999999999995</v>
      </c>
      <c r="I4935">
        <v>0</v>
      </c>
      <c r="J4935">
        <v>2</v>
      </c>
      <c r="K4935">
        <v>2</v>
      </c>
      <c r="L4935">
        <v>9</v>
      </c>
      <c r="M4935">
        <v>19</v>
      </c>
      <c r="N4935">
        <v>28</v>
      </c>
      <c r="P4935">
        <v>0</v>
      </c>
      <c r="Q4935">
        <v>1</v>
      </c>
      <c r="R4935">
        <v>3</v>
      </c>
      <c r="S4935">
        <v>6</v>
      </c>
    </row>
    <row r="4936" spans="1:19" x14ac:dyDescent="0.35">
      <c r="A4936">
        <v>6701815351</v>
      </c>
      <c r="B4936" t="s">
        <v>3230</v>
      </c>
      <c r="C4936" t="str">
        <f>_xlfn.XLOOKUP(A4936,[1]Affiliations!$J$2:$J$5328,[1]Affiliations!$K$2:$K$5328,0)</f>
        <v>Universidade Federal do Paraná</v>
      </c>
      <c r="D4936">
        <v>15</v>
      </c>
      <c r="E4936">
        <v>266</v>
      </c>
      <c r="F4936">
        <v>17.733333999999999</v>
      </c>
      <c r="G4936">
        <v>21</v>
      </c>
      <c r="H4936">
        <v>0.56999999999999995</v>
      </c>
      <c r="I4936">
        <v>0</v>
      </c>
      <c r="J4936">
        <v>3</v>
      </c>
      <c r="K4936">
        <v>5</v>
      </c>
      <c r="L4936">
        <v>9</v>
      </c>
      <c r="M4936">
        <v>12</v>
      </c>
      <c r="N4936">
        <v>15</v>
      </c>
      <c r="P4936">
        <v>0</v>
      </c>
      <c r="Q4936">
        <v>1</v>
      </c>
      <c r="R4936">
        <v>2</v>
      </c>
      <c r="S4936">
        <v>6</v>
      </c>
    </row>
    <row r="4937" spans="1:19" x14ac:dyDescent="0.35">
      <c r="A4937">
        <v>6602410968</v>
      </c>
      <c r="B4937" t="s">
        <v>4316</v>
      </c>
      <c r="C4937" t="str">
        <f>_xlfn.XLOOKUP(A4937,[1]Affiliations!$J$2:$J$5328,[1]Affiliations!$K$2:$K$5328,0)</f>
        <v>Pontifía Universidade Católica do Rio de Janeiro (+1 more)</v>
      </c>
      <c r="D4937">
        <v>46</v>
      </c>
      <c r="E4937">
        <v>454</v>
      </c>
      <c r="F4937">
        <v>9.8695649999999997</v>
      </c>
      <c r="G4937">
        <v>11</v>
      </c>
      <c r="H4937">
        <v>0.56999999999999995</v>
      </c>
      <c r="I4937">
        <v>0</v>
      </c>
      <c r="J4937">
        <v>2</v>
      </c>
      <c r="K4937">
        <v>8</v>
      </c>
      <c r="L4937">
        <v>11</v>
      </c>
      <c r="M4937">
        <v>13</v>
      </c>
      <c r="N4937">
        <v>18</v>
      </c>
      <c r="P4937">
        <v>0</v>
      </c>
      <c r="Q4937">
        <v>2</v>
      </c>
      <c r="R4937">
        <v>3</v>
      </c>
      <c r="S4937">
        <v>8</v>
      </c>
    </row>
    <row r="4938" spans="1:19" x14ac:dyDescent="0.35">
      <c r="A4938">
        <v>7006604401</v>
      </c>
      <c r="B4938" t="s">
        <v>4435</v>
      </c>
      <c r="C4938" t="str">
        <f>_xlfn.XLOOKUP(A4938,[1]Affiliations!$J$2:$J$5328,[1]Affiliations!$K$2:$K$5328,0)</f>
        <v>Universidade Tiradentes (+1 more)</v>
      </c>
      <c r="D4938">
        <v>20</v>
      </c>
      <c r="E4938">
        <v>348</v>
      </c>
      <c r="F4938">
        <v>17.399999999999999</v>
      </c>
      <c r="G4938">
        <v>23</v>
      </c>
      <c r="H4938">
        <v>0.56999999999999995</v>
      </c>
      <c r="I4938">
        <v>0</v>
      </c>
      <c r="J4938">
        <v>0</v>
      </c>
      <c r="K4938">
        <v>2</v>
      </c>
      <c r="L4938">
        <v>11</v>
      </c>
      <c r="M4938">
        <v>16</v>
      </c>
      <c r="N4938">
        <v>19</v>
      </c>
      <c r="P4938">
        <v>0</v>
      </c>
      <c r="Q4938">
        <v>1</v>
      </c>
      <c r="R4938">
        <v>1</v>
      </c>
      <c r="S4938">
        <v>8</v>
      </c>
    </row>
    <row r="4939" spans="1:19" hidden="1" x14ac:dyDescent="0.35">
      <c r="A4939">
        <v>60086461300</v>
      </c>
      <c r="B4939" t="s">
        <v>4932</v>
      </c>
      <c r="C4939" t="str">
        <f>_xlfn.XLOOKUP(A4939,[1]Affiliations!$J$2:$J$5328,[1]Affiliations!$K$2:$K$5328,0)</f>
        <v>Universidade Estadual Paulista “Júlio de Mesquita Filho”</v>
      </c>
      <c r="D4939">
        <v>0</v>
      </c>
      <c r="G4939">
        <v>0</v>
      </c>
    </row>
    <row r="4940" spans="1:19" hidden="1" x14ac:dyDescent="0.35">
      <c r="A4940">
        <v>57220897455</v>
      </c>
      <c r="B4940" t="s">
        <v>4933</v>
      </c>
      <c r="C4940" t="str">
        <f>_xlfn.XLOOKUP(A4940,[1]Affiliations!$J$2:$J$5328,[1]Affiliations!$K$2:$K$5328,0)</f>
        <v>Universidade de São Paulo</v>
      </c>
      <c r="D4940">
        <v>10</v>
      </c>
      <c r="E4940">
        <v>36</v>
      </c>
      <c r="F4940">
        <v>3.6</v>
      </c>
      <c r="G4940">
        <v>3</v>
      </c>
      <c r="H4940">
        <v>0.66</v>
      </c>
      <c r="I4940">
        <v>0</v>
      </c>
      <c r="J4940">
        <v>0</v>
      </c>
      <c r="K4940">
        <v>0</v>
      </c>
      <c r="L4940">
        <v>1</v>
      </c>
      <c r="M4940">
        <v>1</v>
      </c>
      <c r="N4940">
        <v>3</v>
      </c>
      <c r="P4940">
        <v>0</v>
      </c>
      <c r="Q4940">
        <v>0</v>
      </c>
      <c r="R4940">
        <v>0</v>
      </c>
      <c r="S4940">
        <v>1</v>
      </c>
    </row>
    <row r="4941" spans="1:19" x14ac:dyDescent="0.35">
      <c r="A4941">
        <v>35757796600</v>
      </c>
      <c r="B4941" t="s">
        <v>4502</v>
      </c>
      <c r="C4941" t="str">
        <f>_xlfn.XLOOKUP(A4941,[1]Affiliations!$J$2:$J$5328,[1]Affiliations!$K$2:$K$5328,0)</f>
        <v>Universidade Federal Fluminense</v>
      </c>
      <c r="D4941">
        <v>31</v>
      </c>
      <c r="E4941">
        <v>482</v>
      </c>
      <c r="F4941">
        <v>15.548387999999999</v>
      </c>
      <c r="G4941">
        <v>13</v>
      </c>
      <c r="H4941">
        <v>0.56999999999999995</v>
      </c>
      <c r="I4941">
        <v>0</v>
      </c>
      <c r="J4941">
        <v>4</v>
      </c>
      <c r="K4941">
        <v>6</v>
      </c>
      <c r="L4941">
        <v>13</v>
      </c>
      <c r="M4941">
        <v>20</v>
      </c>
      <c r="N4941">
        <v>25</v>
      </c>
      <c r="P4941">
        <v>0</v>
      </c>
      <c r="Q4941">
        <v>1</v>
      </c>
      <c r="R4941">
        <v>2</v>
      </c>
      <c r="S4941">
        <v>9</v>
      </c>
    </row>
    <row r="4942" spans="1:19" x14ac:dyDescent="0.35">
      <c r="A4942">
        <v>57221112779</v>
      </c>
      <c r="B4942" t="s">
        <v>4948</v>
      </c>
      <c r="C4942" t="str">
        <f>_xlfn.XLOOKUP(A4942,[1]Affiliations!$J$2:$J$5328,[1]Affiliations!$K$2:$K$5328,0)</f>
        <v>Federal University of Rio de Janeiro</v>
      </c>
      <c r="D4942">
        <v>10</v>
      </c>
      <c r="E4942">
        <v>61</v>
      </c>
      <c r="F4942">
        <v>6.1</v>
      </c>
      <c r="G4942">
        <v>4</v>
      </c>
      <c r="H4942">
        <v>0.56999999999999995</v>
      </c>
      <c r="I4942">
        <v>0</v>
      </c>
      <c r="J4942">
        <v>2</v>
      </c>
      <c r="K4942">
        <v>3</v>
      </c>
      <c r="L4942">
        <v>7</v>
      </c>
      <c r="M4942">
        <v>8</v>
      </c>
      <c r="N4942">
        <v>9</v>
      </c>
      <c r="P4942">
        <v>0</v>
      </c>
      <c r="Q4942">
        <v>0</v>
      </c>
      <c r="R4942">
        <v>1</v>
      </c>
      <c r="S4942">
        <v>2</v>
      </c>
    </row>
    <row r="4943" spans="1:19" x14ac:dyDescent="0.35">
      <c r="A4943">
        <v>56222595900</v>
      </c>
      <c r="B4943" t="s">
        <v>88</v>
      </c>
      <c r="C4943" t="str">
        <f>_xlfn.XLOOKUP(A4943,[1]Affiliations!$J$2:$J$5328,[1]Affiliations!$K$2:$K$5328,0)</f>
        <v>Universidade Federal do Espírito Santo</v>
      </c>
      <c r="D4943">
        <v>10</v>
      </c>
      <c r="E4943">
        <v>209</v>
      </c>
      <c r="F4943">
        <v>20.9</v>
      </c>
      <c r="G4943">
        <v>10</v>
      </c>
      <c r="H4943">
        <v>0.56000000000000005</v>
      </c>
      <c r="I4943">
        <v>0</v>
      </c>
      <c r="J4943">
        <v>1</v>
      </c>
      <c r="K4943">
        <v>1</v>
      </c>
      <c r="L4943">
        <v>5</v>
      </c>
      <c r="M4943">
        <v>7</v>
      </c>
      <c r="N4943">
        <v>9</v>
      </c>
      <c r="P4943">
        <v>0</v>
      </c>
      <c r="Q4943">
        <v>1</v>
      </c>
      <c r="R4943">
        <v>1</v>
      </c>
      <c r="S4943">
        <v>3</v>
      </c>
    </row>
    <row r="4944" spans="1:19" x14ac:dyDescent="0.35">
      <c r="A4944">
        <v>7202092301</v>
      </c>
      <c r="B4944" t="s">
        <v>224</v>
      </c>
      <c r="C4944" t="str">
        <f>_xlfn.XLOOKUP(A4944,[1]Affiliations!$J$2:$J$5328,[1]Affiliations!$K$2:$K$5328,0)</f>
        <v>Universidade de São Paulo</v>
      </c>
      <c r="D4944">
        <v>32</v>
      </c>
      <c r="E4944">
        <v>449</v>
      </c>
      <c r="F4944">
        <v>14.03125</v>
      </c>
      <c r="G4944">
        <v>23</v>
      </c>
      <c r="H4944">
        <v>0.56000000000000005</v>
      </c>
      <c r="I4944">
        <v>0</v>
      </c>
      <c r="J4944">
        <v>2</v>
      </c>
      <c r="K4944">
        <v>13</v>
      </c>
      <c r="L4944">
        <v>19</v>
      </c>
      <c r="M4944">
        <v>27</v>
      </c>
      <c r="N4944">
        <v>31</v>
      </c>
      <c r="P4944">
        <v>0</v>
      </c>
      <c r="Q4944">
        <v>0</v>
      </c>
      <c r="R4944">
        <v>2</v>
      </c>
      <c r="S4944">
        <v>8</v>
      </c>
    </row>
    <row r="4945" spans="1:19" x14ac:dyDescent="0.35">
      <c r="A4945">
        <v>6701602737</v>
      </c>
      <c r="B4945" t="s">
        <v>287</v>
      </c>
      <c r="C4945" t="str">
        <f>_xlfn.XLOOKUP(A4945,[1]Affiliations!$J$2:$J$5328,[1]Affiliations!$K$2:$K$5328,0)</f>
        <v>Pontifical Catholic University of Rio de Janeiro</v>
      </c>
      <c r="D4945">
        <v>76</v>
      </c>
      <c r="E4945">
        <v>887</v>
      </c>
      <c r="F4945">
        <v>11.671053000000001</v>
      </c>
      <c r="G4945">
        <v>29</v>
      </c>
      <c r="H4945">
        <v>0.56000000000000005</v>
      </c>
      <c r="I4945">
        <v>1</v>
      </c>
      <c r="J4945">
        <v>8</v>
      </c>
      <c r="K4945">
        <v>16</v>
      </c>
      <c r="L4945">
        <v>41</v>
      </c>
      <c r="M4945">
        <v>64</v>
      </c>
      <c r="N4945">
        <v>71</v>
      </c>
      <c r="P4945">
        <v>0</v>
      </c>
      <c r="Q4945">
        <v>0</v>
      </c>
      <c r="R4945">
        <v>2</v>
      </c>
      <c r="S4945">
        <v>21</v>
      </c>
    </row>
    <row r="4946" spans="1:19" hidden="1" x14ac:dyDescent="0.35">
      <c r="A4946">
        <v>57219603451</v>
      </c>
      <c r="B4946" t="s">
        <v>4939</v>
      </c>
      <c r="C4946" t="str">
        <f>_xlfn.XLOOKUP(A4946,[1]Affiliations!$J$2:$J$5328,[1]Affiliations!$K$2:$K$5328,0)</f>
        <v>Federal University of Rio de Janeiro</v>
      </c>
      <c r="D4946">
        <v>6</v>
      </c>
      <c r="E4946">
        <v>23</v>
      </c>
      <c r="F4946">
        <v>3.8333333000000001</v>
      </c>
      <c r="G4946">
        <v>3</v>
      </c>
      <c r="H4946">
        <v>0.25</v>
      </c>
      <c r="I4946">
        <v>0</v>
      </c>
      <c r="J4946">
        <v>0</v>
      </c>
      <c r="K4946">
        <v>0</v>
      </c>
      <c r="L4946">
        <v>0</v>
      </c>
      <c r="M4946">
        <v>2</v>
      </c>
      <c r="N4946">
        <v>4</v>
      </c>
      <c r="P4946">
        <v>0</v>
      </c>
      <c r="Q4946">
        <v>0</v>
      </c>
      <c r="R4946">
        <v>0</v>
      </c>
      <c r="S4946">
        <v>0</v>
      </c>
    </row>
    <row r="4947" spans="1:19" hidden="1" x14ac:dyDescent="0.35">
      <c r="A4947">
        <v>57925095800</v>
      </c>
      <c r="B4947" t="s">
        <v>4940</v>
      </c>
      <c r="C4947" t="str">
        <f>_xlfn.XLOOKUP(A4947,[1]Affiliations!$J$2:$J$5328,[1]Affiliations!$K$2:$K$5328,0)</f>
        <v>Federal University of Santa Catarina</v>
      </c>
      <c r="D4947">
        <v>3</v>
      </c>
      <c r="E4947">
        <v>9</v>
      </c>
      <c r="F4947">
        <v>3</v>
      </c>
      <c r="G4947">
        <v>2</v>
      </c>
      <c r="H4947">
        <v>0.32</v>
      </c>
      <c r="I4947">
        <v>0</v>
      </c>
      <c r="J4947">
        <v>0</v>
      </c>
      <c r="K4947">
        <v>0</v>
      </c>
      <c r="L4947">
        <v>2</v>
      </c>
      <c r="M4947">
        <v>2</v>
      </c>
      <c r="N4947">
        <v>3</v>
      </c>
      <c r="P4947">
        <v>0</v>
      </c>
      <c r="Q4947">
        <v>0</v>
      </c>
      <c r="R4947">
        <v>0</v>
      </c>
      <c r="S4947">
        <v>1</v>
      </c>
    </row>
    <row r="4948" spans="1:19" hidden="1" x14ac:dyDescent="0.35">
      <c r="A4948">
        <v>58584070200</v>
      </c>
      <c r="B4948" t="s">
        <v>4941</v>
      </c>
      <c r="C4948" t="str">
        <f>_xlfn.XLOOKUP(A4948,[1]Affiliations!$J$2:$J$5328,[1]Affiliations!$K$2:$K$5328,0)</f>
        <v>Federal University of Rio de Janeiro</v>
      </c>
      <c r="D4948">
        <v>1</v>
      </c>
      <c r="E4948">
        <v>51</v>
      </c>
      <c r="F4948">
        <v>51</v>
      </c>
      <c r="G4948">
        <v>1</v>
      </c>
      <c r="H4948">
        <v>1.99</v>
      </c>
      <c r="I4948">
        <v>0</v>
      </c>
      <c r="J4948">
        <v>0</v>
      </c>
      <c r="K4948">
        <v>0</v>
      </c>
      <c r="L4948">
        <v>1</v>
      </c>
      <c r="M4948">
        <v>1</v>
      </c>
      <c r="N4948">
        <v>1</v>
      </c>
      <c r="P4948">
        <v>0</v>
      </c>
      <c r="Q4948">
        <v>0</v>
      </c>
      <c r="R4948">
        <v>1</v>
      </c>
      <c r="S4948">
        <v>1</v>
      </c>
    </row>
    <row r="4949" spans="1:19" x14ac:dyDescent="0.35">
      <c r="A4949">
        <v>57214345692</v>
      </c>
      <c r="B4949" t="s">
        <v>889</v>
      </c>
      <c r="C4949" t="str">
        <f>_xlfn.XLOOKUP(A4949,[1]Affiliations!$J$2:$J$5328,[1]Affiliations!$K$2:$K$5328,0)</f>
        <v>Universidade Estadual Paulista “Júlio de Mesquita Filho” (+1 more)</v>
      </c>
      <c r="D4949">
        <v>67</v>
      </c>
      <c r="E4949">
        <v>1099</v>
      </c>
      <c r="F4949">
        <v>16.402985000000001</v>
      </c>
      <c r="G4949">
        <v>22</v>
      </c>
      <c r="H4949">
        <v>0.56000000000000005</v>
      </c>
      <c r="I4949">
        <v>1</v>
      </c>
      <c r="J4949">
        <v>8</v>
      </c>
      <c r="K4949">
        <v>18</v>
      </c>
      <c r="L4949">
        <v>33</v>
      </c>
      <c r="M4949">
        <v>43</v>
      </c>
      <c r="N4949">
        <v>45</v>
      </c>
      <c r="P4949">
        <v>0</v>
      </c>
      <c r="Q4949">
        <v>2</v>
      </c>
      <c r="R4949">
        <v>6</v>
      </c>
      <c r="S4949">
        <v>19</v>
      </c>
    </row>
    <row r="4950" spans="1:19" hidden="1" x14ac:dyDescent="0.35">
      <c r="A4950">
        <v>57211713318</v>
      </c>
      <c r="B4950" t="s">
        <v>4943</v>
      </c>
      <c r="C4950" t="str">
        <f>_xlfn.XLOOKUP(A4950,[1]Affiliations!$J$2:$J$5328,[1]Affiliations!$K$2:$K$5328,0)</f>
        <v>Universidade Estadual Paulista “Júlio de Mesquita Filho”</v>
      </c>
      <c r="D4950">
        <v>2</v>
      </c>
      <c r="E4950">
        <v>10</v>
      </c>
      <c r="F4950">
        <v>5</v>
      </c>
      <c r="G4950">
        <v>1</v>
      </c>
      <c r="H4950">
        <v>0.36</v>
      </c>
      <c r="I4950">
        <v>0</v>
      </c>
      <c r="J4950">
        <v>0</v>
      </c>
      <c r="K4950">
        <v>0</v>
      </c>
      <c r="L4950">
        <v>0</v>
      </c>
      <c r="M4950">
        <v>1</v>
      </c>
      <c r="N4950">
        <v>1</v>
      </c>
      <c r="P4950">
        <v>0</v>
      </c>
      <c r="Q4950">
        <v>0</v>
      </c>
      <c r="R4950">
        <v>0</v>
      </c>
      <c r="S4950">
        <v>0</v>
      </c>
    </row>
    <row r="4951" spans="1:19" hidden="1" x14ac:dyDescent="0.35">
      <c r="A4951">
        <v>59343336000</v>
      </c>
      <c r="B4951" t="s">
        <v>4944</v>
      </c>
      <c r="C4951" t="str">
        <f>_xlfn.XLOOKUP(A4951,[1]Affiliations!$J$2:$J$5328,[1]Affiliations!$K$2:$K$5328,0)</f>
        <v>Centro Federal de Educação Tecnológica Celso Suckow da Fonseca (CEFET-RJ)</v>
      </c>
      <c r="D4951">
        <v>1</v>
      </c>
      <c r="E4951">
        <v>1</v>
      </c>
      <c r="F4951">
        <v>1</v>
      </c>
      <c r="G4951">
        <v>1</v>
      </c>
      <c r="H4951">
        <v>0.33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1</v>
      </c>
      <c r="P4951">
        <v>0</v>
      </c>
      <c r="Q4951">
        <v>0</v>
      </c>
      <c r="R4951">
        <v>0</v>
      </c>
      <c r="S4951">
        <v>0</v>
      </c>
    </row>
    <row r="4952" spans="1:19" hidden="1" x14ac:dyDescent="0.35">
      <c r="A4952">
        <v>59157880500</v>
      </c>
      <c r="B4952" t="s">
        <v>4945</v>
      </c>
      <c r="C4952" t="str">
        <f>_xlfn.XLOOKUP(A4952,[1]Affiliations!$J$2:$J$5328,[1]Affiliations!$K$2:$K$5328,0)</f>
        <v>DEMa</v>
      </c>
      <c r="D4952">
        <v>2</v>
      </c>
      <c r="E4952">
        <v>25</v>
      </c>
      <c r="F4952">
        <v>12.5</v>
      </c>
      <c r="G4952">
        <v>3</v>
      </c>
      <c r="H4952">
        <v>0.65</v>
      </c>
      <c r="I4952">
        <v>0</v>
      </c>
      <c r="J4952">
        <v>1</v>
      </c>
      <c r="K4952">
        <v>1</v>
      </c>
      <c r="L4952">
        <v>1</v>
      </c>
      <c r="M4952">
        <v>2</v>
      </c>
      <c r="N4952">
        <v>2</v>
      </c>
      <c r="P4952">
        <v>0</v>
      </c>
      <c r="Q4952">
        <v>0</v>
      </c>
      <c r="R4952">
        <v>0</v>
      </c>
      <c r="S4952">
        <v>1</v>
      </c>
    </row>
    <row r="4953" spans="1:19" x14ac:dyDescent="0.35">
      <c r="A4953">
        <v>7004598380</v>
      </c>
      <c r="B4953" t="s">
        <v>1075</v>
      </c>
      <c r="C4953" t="str">
        <f>_xlfn.XLOOKUP(A4953,[1]Affiliations!$J$2:$J$5328,[1]Affiliations!$K$2:$K$5328,0)</f>
        <v>University of Campinas</v>
      </c>
      <c r="D4953">
        <v>31</v>
      </c>
      <c r="E4953">
        <v>408</v>
      </c>
      <c r="F4953">
        <v>13.161289999999999</v>
      </c>
      <c r="G4953">
        <v>17</v>
      </c>
      <c r="H4953">
        <v>0.56000000000000005</v>
      </c>
      <c r="I4953">
        <v>1</v>
      </c>
      <c r="J4953">
        <v>3</v>
      </c>
      <c r="K4953">
        <v>5</v>
      </c>
      <c r="L4953">
        <v>11</v>
      </c>
      <c r="M4953">
        <v>25</v>
      </c>
      <c r="N4953">
        <v>26</v>
      </c>
      <c r="P4953">
        <v>0</v>
      </c>
      <c r="Q4953">
        <v>1</v>
      </c>
      <c r="R4953">
        <v>1</v>
      </c>
      <c r="S4953">
        <v>5</v>
      </c>
    </row>
    <row r="4954" spans="1:19" x14ac:dyDescent="0.35">
      <c r="A4954">
        <v>6701403039</v>
      </c>
      <c r="B4954" t="s">
        <v>1312</v>
      </c>
      <c r="C4954" t="str">
        <f>_xlfn.XLOOKUP(A4954,[1]Affiliations!$J$2:$J$5328,[1]Affiliations!$K$2:$K$5328,0)</f>
        <v>Universidade Federal de Uberlândia</v>
      </c>
      <c r="D4954">
        <v>20</v>
      </c>
      <c r="E4954">
        <v>342</v>
      </c>
      <c r="F4954">
        <v>17.100000000000001</v>
      </c>
      <c r="G4954">
        <v>14</v>
      </c>
      <c r="H4954">
        <v>0.56000000000000005</v>
      </c>
      <c r="I4954">
        <v>0</v>
      </c>
      <c r="J4954">
        <v>3</v>
      </c>
      <c r="K4954">
        <v>7</v>
      </c>
      <c r="L4954">
        <v>11</v>
      </c>
      <c r="M4954">
        <v>16</v>
      </c>
      <c r="N4954">
        <v>17</v>
      </c>
      <c r="P4954">
        <v>0</v>
      </c>
      <c r="Q4954">
        <v>1</v>
      </c>
      <c r="R4954">
        <v>2</v>
      </c>
      <c r="S4954">
        <v>4</v>
      </c>
    </row>
    <row r="4955" spans="1:19" x14ac:dyDescent="0.35">
      <c r="A4955">
        <v>55096837400</v>
      </c>
      <c r="B4955" t="s">
        <v>1480</v>
      </c>
      <c r="C4955" t="str">
        <f>_xlfn.XLOOKUP(A4955,[1]Affiliations!$J$2:$J$5328,[1]Affiliations!$K$2:$K$5328,0)</f>
        <v>Universidade Federal Fluminense (+2 more)</v>
      </c>
      <c r="D4955">
        <v>100</v>
      </c>
      <c r="E4955">
        <v>949</v>
      </c>
      <c r="F4955">
        <v>9.49</v>
      </c>
      <c r="G4955">
        <v>25</v>
      </c>
      <c r="H4955">
        <v>0.56000000000000005</v>
      </c>
      <c r="I4955">
        <v>0</v>
      </c>
      <c r="J4955">
        <v>1</v>
      </c>
      <c r="K4955">
        <v>3</v>
      </c>
      <c r="L4955">
        <v>17</v>
      </c>
      <c r="M4955">
        <v>43</v>
      </c>
      <c r="N4955">
        <v>73</v>
      </c>
      <c r="P4955">
        <v>0</v>
      </c>
      <c r="Q4955">
        <v>1</v>
      </c>
      <c r="R4955">
        <v>5</v>
      </c>
      <c r="S4955">
        <v>17</v>
      </c>
    </row>
    <row r="4956" spans="1:19" hidden="1" x14ac:dyDescent="0.35">
      <c r="A4956">
        <v>57990084500</v>
      </c>
      <c r="B4956" t="s">
        <v>4949</v>
      </c>
      <c r="C4956" t="str">
        <f>_xlfn.XLOOKUP(A4956,[1]Affiliations!$J$2:$J$5328,[1]Affiliations!$K$2:$K$5328,0)</f>
        <v>Federal University of Rio de Janeiro</v>
      </c>
      <c r="D4956">
        <v>1</v>
      </c>
      <c r="E4956">
        <v>3</v>
      </c>
      <c r="F4956">
        <v>3</v>
      </c>
      <c r="G4956">
        <v>1</v>
      </c>
      <c r="H4956">
        <v>0.27</v>
      </c>
      <c r="I4956">
        <v>0</v>
      </c>
      <c r="J4956">
        <v>0</v>
      </c>
      <c r="K4956">
        <v>0</v>
      </c>
      <c r="L4956">
        <v>1</v>
      </c>
      <c r="M4956">
        <v>1</v>
      </c>
      <c r="N4956">
        <v>1</v>
      </c>
      <c r="P4956">
        <v>0</v>
      </c>
      <c r="Q4956">
        <v>0</v>
      </c>
      <c r="R4956">
        <v>0</v>
      </c>
      <c r="S4956">
        <v>0</v>
      </c>
    </row>
    <row r="4957" spans="1:19" hidden="1" x14ac:dyDescent="0.35">
      <c r="A4957">
        <v>55801240600</v>
      </c>
      <c r="B4957" t="s">
        <v>4950</v>
      </c>
      <c r="C4957" t="str">
        <f>_xlfn.XLOOKUP(A4957,[1]Affiliations!$J$2:$J$5328,[1]Affiliations!$K$2:$K$5328,0)</f>
        <v>Instituto Nacional de Tecnologia</v>
      </c>
      <c r="D4957">
        <v>4</v>
      </c>
      <c r="E4957">
        <v>9</v>
      </c>
      <c r="F4957">
        <v>2.25</v>
      </c>
      <c r="G4957">
        <v>3</v>
      </c>
      <c r="H4957">
        <v>0.13</v>
      </c>
      <c r="I4957">
        <v>0</v>
      </c>
      <c r="J4957">
        <v>0</v>
      </c>
      <c r="K4957">
        <v>0</v>
      </c>
      <c r="L4957">
        <v>0</v>
      </c>
      <c r="M4957">
        <v>2</v>
      </c>
      <c r="N4957">
        <v>2</v>
      </c>
      <c r="P4957">
        <v>0</v>
      </c>
      <c r="Q4957">
        <v>0</v>
      </c>
      <c r="R4957">
        <v>0</v>
      </c>
      <c r="S4957">
        <v>0</v>
      </c>
    </row>
    <row r="4958" spans="1:19" hidden="1" x14ac:dyDescent="0.35">
      <c r="A4958">
        <v>59396236000</v>
      </c>
      <c r="B4958" t="s">
        <v>4951</v>
      </c>
      <c r="C4958" t="str">
        <f>_xlfn.XLOOKUP(A4958,[1]Affiliations!$J$2:$J$5328,[1]Affiliations!$K$2:$K$5328,0)</f>
        <v>Centro Brasileiro de Pesquisas Físicas</v>
      </c>
      <c r="D4958">
        <v>0</v>
      </c>
      <c r="G4958">
        <v>1</v>
      </c>
    </row>
    <row r="4959" spans="1:19" x14ac:dyDescent="0.35">
      <c r="A4959">
        <v>57222029272</v>
      </c>
      <c r="B4959" t="s">
        <v>2054</v>
      </c>
      <c r="C4959" t="str">
        <f>_xlfn.XLOOKUP(A4959,[1]Affiliations!$J$2:$J$5328,[1]Affiliations!$K$2:$K$5328,0)</f>
        <v>Universidade Federal de Santa Maria</v>
      </c>
      <c r="D4959">
        <v>13</v>
      </c>
      <c r="E4959">
        <v>123</v>
      </c>
      <c r="F4959">
        <v>9.4615379999999991</v>
      </c>
      <c r="G4959">
        <v>5</v>
      </c>
      <c r="H4959">
        <v>0.56000000000000005</v>
      </c>
      <c r="I4959">
        <v>0</v>
      </c>
      <c r="J4959">
        <v>2</v>
      </c>
      <c r="K4959">
        <v>2</v>
      </c>
      <c r="L4959">
        <v>9</v>
      </c>
      <c r="M4959">
        <v>9</v>
      </c>
      <c r="N4959">
        <v>11</v>
      </c>
      <c r="P4959">
        <v>0</v>
      </c>
      <c r="Q4959">
        <v>1</v>
      </c>
      <c r="R4959">
        <v>1</v>
      </c>
      <c r="S4959">
        <v>6</v>
      </c>
    </row>
    <row r="4960" spans="1:19" hidden="1" x14ac:dyDescent="0.35">
      <c r="A4960">
        <v>57196001529</v>
      </c>
      <c r="B4960" t="s">
        <v>4953</v>
      </c>
      <c r="C4960" t="str">
        <f>_xlfn.XLOOKUP(A4960,[1]Affiliations!$J$2:$J$5328,[1]Affiliations!$K$2:$K$5328,0)</f>
        <v>Pontifical Catholic University of Rio de Janeiro</v>
      </c>
      <c r="D4960">
        <v>7</v>
      </c>
      <c r="E4960">
        <v>29</v>
      </c>
      <c r="F4960">
        <v>4.1428570000000002</v>
      </c>
      <c r="G4960">
        <v>3</v>
      </c>
      <c r="H4960">
        <v>0.45</v>
      </c>
      <c r="I4960">
        <v>0</v>
      </c>
      <c r="J4960">
        <v>0</v>
      </c>
      <c r="K4960">
        <v>0</v>
      </c>
      <c r="L4960">
        <v>0</v>
      </c>
      <c r="M4960">
        <v>1</v>
      </c>
      <c r="N4960">
        <v>1</v>
      </c>
      <c r="P4960">
        <v>0</v>
      </c>
      <c r="Q4960">
        <v>0</v>
      </c>
      <c r="R4960">
        <v>0</v>
      </c>
      <c r="S4960">
        <v>0</v>
      </c>
    </row>
    <row r="4961" spans="1:19" x14ac:dyDescent="0.35">
      <c r="A4961">
        <v>7005515930</v>
      </c>
      <c r="B4961" t="s">
        <v>2293</v>
      </c>
      <c r="C4961" t="str">
        <f>_xlfn.XLOOKUP(A4961,[1]Affiliations!$J$2:$J$5328,[1]Affiliations!$K$2:$K$5328,0)</f>
        <v>Universidade Federal de Uberlândia</v>
      </c>
      <c r="D4961">
        <v>25</v>
      </c>
      <c r="E4961">
        <v>213</v>
      </c>
      <c r="F4961">
        <v>8.52</v>
      </c>
      <c r="G4961">
        <v>13</v>
      </c>
      <c r="H4961">
        <v>0.56000000000000005</v>
      </c>
      <c r="I4961">
        <v>0</v>
      </c>
      <c r="J4961">
        <v>1</v>
      </c>
      <c r="K4961">
        <v>7</v>
      </c>
      <c r="L4961">
        <v>14</v>
      </c>
      <c r="M4961">
        <v>19</v>
      </c>
      <c r="N4961">
        <v>22</v>
      </c>
      <c r="P4961">
        <v>0</v>
      </c>
      <c r="Q4961">
        <v>0</v>
      </c>
      <c r="R4961">
        <v>2</v>
      </c>
      <c r="S4961">
        <v>3</v>
      </c>
    </row>
    <row r="4962" spans="1:19" hidden="1" x14ac:dyDescent="0.35">
      <c r="A4962">
        <v>57221973702</v>
      </c>
      <c r="B4962" t="s">
        <v>4955</v>
      </c>
      <c r="C4962" t="str">
        <f>_xlfn.XLOOKUP(A4962,[1]Affiliations!$J$2:$J$5328,[1]Affiliations!$K$2:$K$5328,0)</f>
        <v>Universidade de São Paulo</v>
      </c>
      <c r="D4962">
        <v>4</v>
      </c>
      <c r="E4962">
        <v>45</v>
      </c>
      <c r="F4962">
        <v>11.25</v>
      </c>
      <c r="G4962">
        <v>3</v>
      </c>
      <c r="H4962">
        <v>0.62</v>
      </c>
      <c r="I4962">
        <v>0</v>
      </c>
      <c r="J4962">
        <v>2</v>
      </c>
      <c r="K4962">
        <v>2</v>
      </c>
      <c r="L4962">
        <v>2</v>
      </c>
      <c r="M4962">
        <v>3</v>
      </c>
      <c r="N4962">
        <v>3</v>
      </c>
      <c r="P4962">
        <v>0</v>
      </c>
      <c r="Q4962">
        <v>0</v>
      </c>
      <c r="R4962">
        <v>0</v>
      </c>
      <c r="S4962">
        <v>1</v>
      </c>
    </row>
    <row r="4963" spans="1:19" x14ac:dyDescent="0.35">
      <c r="A4963">
        <v>36920519600</v>
      </c>
      <c r="B4963" t="s">
        <v>3163</v>
      </c>
      <c r="C4963" t="str">
        <f>_xlfn.XLOOKUP(A4963,[1]Affiliations!$J$2:$J$5328,[1]Affiliations!$K$2:$K$5328,0)</f>
        <v>Federal University of Rio de Janeiro (+1 more)</v>
      </c>
      <c r="D4963">
        <v>20</v>
      </c>
      <c r="E4963">
        <v>382</v>
      </c>
      <c r="F4963">
        <v>19.100000000000001</v>
      </c>
      <c r="G4963">
        <v>15</v>
      </c>
      <c r="H4963">
        <v>0.56000000000000005</v>
      </c>
      <c r="I4963">
        <v>0</v>
      </c>
      <c r="J4963">
        <v>0</v>
      </c>
      <c r="K4963">
        <v>2</v>
      </c>
      <c r="L4963">
        <v>9</v>
      </c>
      <c r="M4963">
        <v>14</v>
      </c>
      <c r="N4963">
        <v>16</v>
      </c>
      <c r="P4963">
        <v>0</v>
      </c>
      <c r="Q4963">
        <v>0</v>
      </c>
      <c r="R4963">
        <v>2</v>
      </c>
      <c r="S4963">
        <v>10</v>
      </c>
    </row>
    <row r="4964" spans="1:19" hidden="1" x14ac:dyDescent="0.35">
      <c r="A4964">
        <v>57195456803</v>
      </c>
      <c r="B4964" t="s">
        <v>4957</v>
      </c>
      <c r="C4964" t="str">
        <f>_xlfn.XLOOKUP(A4964,[1]Affiliations!$J$2:$J$5328,[1]Affiliations!$K$2:$K$5328,0)</f>
        <v>Petróleo Brasileiro S.A. (+1 more)</v>
      </c>
      <c r="D4964">
        <v>2</v>
      </c>
      <c r="E4964">
        <v>66</v>
      </c>
      <c r="F4964">
        <v>33</v>
      </c>
      <c r="G4964">
        <v>2</v>
      </c>
      <c r="H4964">
        <v>1.91</v>
      </c>
      <c r="I4964">
        <v>0</v>
      </c>
      <c r="J4964">
        <v>0</v>
      </c>
      <c r="K4964">
        <v>0</v>
      </c>
      <c r="L4964">
        <v>1</v>
      </c>
      <c r="M4964">
        <v>2</v>
      </c>
      <c r="N4964">
        <v>2</v>
      </c>
      <c r="P4964">
        <v>0</v>
      </c>
      <c r="Q4964">
        <v>0</v>
      </c>
      <c r="R4964">
        <v>1</v>
      </c>
      <c r="S4964">
        <v>1</v>
      </c>
    </row>
    <row r="4965" spans="1:19" hidden="1" x14ac:dyDescent="0.35">
      <c r="A4965">
        <v>57195287694</v>
      </c>
      <c r="B4965" t="s">
        <v>4958</v>
      </c>
      <c r="C4965" t="str">
        <f>_xlfn.XLOOKUP(A4965,[1]Affiliations!$J$2:$J$5328,[1]Affiliations!$K$2:$K$5328,0)</f>
        <v>Pontifical Catholic University of Rio de Janeiro</v>
      </c>
      <c r="D4965">
        <v>1</v>
      </c>
      <c r="E4965">
        <v>3</v>
      </c>
      <c r="F4965">
        <v>3</v>
      </c>
      <c r="G4965">
        <v>1</v>
      </c>
      <c r="H4965">
        <v>0</v>
      </c>
      <c r="I4965">
        <v>0</v>
      </c>
      <c r="J4965">
        <v>1</v>
      </c>
      <c r="K4965">
        <v>1</v>
      </c>
      <c r="L4965">
        <v>1</v>
      </c>
      <c r="M4965">
        <v>1</v>
      </c>
      <c r="N4965">
        <v>1</v>
      </c>
      <c r="P4965">
        <v>0</v>
      </c>
      <c r="Q4965">
        <v>0</v>
      </c>
      <c r="R4965">
        <v>0</v>
      </c>
      <c r="S4965">
        <v>0</v>
      </c>
    </row>
    <row r="4966" spans="1:19" hidden="1" x14ac:dyDescent="0.35">
      <c r="A4966">
        <v>58667551300</v>
      </c>
      <c r="B4966" t="s">
        <v>4959</v>
      </c>
      <c r="C4966" t="str">
        <f>_xlfn.XLOOKUP(A4966,[1]Affiliations!$J$2:$J$5328,[1]Affiliations!$K$2:$K$5328,0)</f>
        <v>Universidade Federal do Rio Grande do Sul</v>
      </c>
      <c r="D4966">
        <v>1</v>
      </c>
      <c r="E4966">
        <v>1</v>
      </c>
      <c r="F4966">
        <v>1</v>
      </c>
      <c r="G4966">
        <v>1</v>
      </c>
      <c r="H4966">
        <v>0.12</v>
      </c>
      <c r="I4966">
        <v>0</v>
      </c>
      <c r="J4966">
        <v>0</v>
      </c>
      <c r="K4966">
        <v>1</v>
      </c>
      <c r="L4966">
        <v>1</v>
      </c>
      <c r="M4966">
        <v>1</v>
      </c>
      <c r="N4966">
        <v>1</v>
      </c>
      <c r="P4966">
        <v>0</v>
      </c>
      <c r="Q4966">
        <v>0</v>
      </c>
      <c r="R4966">
        <v>0</v>
      </c>
      <c r="S4966">
        <v>0</v>
      </c>
    </row>
    <row r="4967" spans="1:19" hidden="1" x14ac:dyDescent="0.35">
      <c r="A4967">
        <v>57210162925</v>
      </c>
      <c r="B4967" t="s">
        <v>4960</v>
      </c>
      <c r="C4967" t="str">
        <f>_xlfn.XLOOKUP(A4967,[1]Affiliations!$J$2:$J$5328,[1]Affiliations!$K$2:$K$5328,0)</f>
        <v>Universidade Federal da Bahia</v>
      </c>
      <c r="D4967">
        <v>7</v>
      </c>
      <c r="E4967">
        <v>29</v>
      </c>
      <c r="F4967">
        <v>4.1428570000000002</v>
      </c>
      <c r="G4967">
        <v>3</v>
      </c>
      <c r="H4967">
        <v>0.24</v>
      </c>
      <c r="I4967">
        <v>0</v>
      </c>
      <c r="J4967">
        <v>0</v>
      </c>
      <c r="K4967">
        <v>0</v>
      </c>
      <c r="L4967">
        <v>1</v>
      </c>
      <c r="M4967">
        <v>3</v>
      </c>
      <c r="N4967">
        <v>4</v>
      </c>
      <c r="P4967">
        <v>0</v>
      </c>
      <c r="Q4967">
        <v>0</v>
      </c>
      <c r="R4967">
        <v>0</v>
      </c>
      <c r="S4967">
        <v>0</v>
      </c>
    </row>
    <row r="4968" spans="1:19" hidden="1" x14ac:dyDescent="0.35">
      <c r="A4968">
        <v>59488913000</v>
      </c>
      <c r="B4968" t="s">
        <v>4961</v>
      </c>
      <c r="C4968" t="str">
        <f>_xlfn.XLOOKUP(A4968,[1]Affiliations!$J$2:$J$5328,[1]Affiliations!$K$2:$K$5328,0)</f>
        <v>Federal University of Rio de Janeiro</v>
      </c>
      <c r="D4968">
        <v>0</v>
      </c>
      <c r="G4968">
        <v>2</v>
      </c>
    </row>
    <row r="4969" spans="1:19" x14ac:dyDescent="0.35">
      <c r="A4969">
        <v>57252980900</v>
      </c>
      <c r="B4969" t="s">
        <v>3182</v>
      </c>
      <c r="C4969" t="str">
        <f>_xlfn.XLOOKUP(A4969,[1]Affiliations!$J$2:$J$5328,[1]Affiliations!$K$2:$K$5328,0)</f>
        <v>Universidade Federal de Uberlândia</v>
      </c>
      <c r="D4969">
        <v>6</v>
      </c>
      <c r="E4969">
        <v>61</v>
      </c>
      <c r="F4969">
        <v>10.166667</v>
      </c>
      <c r="G4969">
        <v>3</v>
      </c>
      <c r="H4969">
        <v>0.56000000000000005</v>
      </c>
      <c r="I4969">
        <v>0</v>
      </c>
      <c r="J4969">
        <v>1</v>
      </c>
      <c r="K4969">
        <v>3</v>
      </c>
      <c r="L4969">
        <v>5</v>
      </c>
      <c r="M4969">
        <v>6</v>
      </c>
      <c r="N4969">
        <v>6</v>
      </c>
      <c r="P4969">
        <v>0</v>
      </c>
      <c r="Q4969">
        <v>0</v>
      </c>
      <c r="R4969">
        <v>1</v>
      </c>
      <c r="S4969">
        <v>1</v>
      </c>
    </row>
    <row r="4970" spans="1:19" hidden="1" x14ac:dyDescent="0.35">
      <c r="A4970">
        <v>57205429948</v>
      </c>
      <c r="B4970" t="s">
        <v>4963</v>
      </c>
      <c r="C4970" t="str">
        <f>_xlfn.XLOOKUP(A4970,[1]Affiliations!$J$2:$J$5328,[1]Affiliations!$K$2:$K$5328,0)</f>
        <v>Intelie</v>
      </c>
      <c r="D4970">
        <v>3</v>
      </c>
      <c r="E4970">
        <v>2</v>
      </c>
      <c r="F4970">
        <v>0.66666669999999995</v>
      </c>
      <c r="G4970">
        <v>2</v>
      </c>
      <c r="H4970">
        <v>0.28000000000000003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2</v>
      </c>
      <c r="P4970">
        <v>0</v>
      </c>
      <c r="Q4970">
        <v>0</v>
      </c>
      <c r="R4970">
        <v>0</v>
      </c>
      <c r="S4970">
        <v>0</v>
      </c>
    </row>
    <row r="4971" spans="1:19" x14ac:dyDescent="0.35">
      <c r="A4971">
        <v>24451342800</v>
      </c>
      <c r="B4971" t="s">
        <v>3484</v>
      </c>
      <c r="C4971" t="str">
        <f>_xlfn.XLOOKUP(A4971,[1]Affiliations!$J$2:$J$5328,[1]Affiliations!$K$2:$K$5328,0)</f>
        <v>Federal University of Rio de Janeiro</v>
      </c>
      <c r="D4971">
        <v>13</v>
      </c>
      <c r="E4971">
        <v>220</v>
      </c>
      <c r="F4971">
        <v>16.923076999999999</v>
      </c>
      <c r="G4971">
        <v>11</v>
      </c>
      <c r="H4971">
        <v>0.56000000000000005</v>
      </c>
      <c r="I4971">
        <v>0</v>
      </c>
      <c r="J4971">
        <v>3</v>
      </c>
      <c r="K4971">
        <v>4</v>
      </c>
      <c r="L4971">
        <v>7</v>
      </c>
      <c r="M4971">
        <v>12</v>
      </c>
      <c r="N4971">
        <v>13</v>
      </c>
      <c r="P4971">
        <v>0</v>
      </c>
      <c r="Q4971">
        <v>1</v>
      </c>
      <c r="R4971">
        <v>1</v>
      </c>
      <c r="S4971">
        <v>5</v>
      </c>
    </row>
    <row r="4972" spans="1:19" x14ac:dyDescent="0.35">
      <c r="A4972">
        <v>57224464130</v>
      </c>
      <c r="B4972" t="s">
        <v>3903</v>
      </c>
      <c r="C4972" t="str">
        <f>_xlfn.XLOOKUP(A4972,[1]Affiliations!$J$2:$J$5328,[1]Affiliations!$K$2:$K$5328,0)</f>
        <v>Universidade Federal Rural do Rio de Janeiro</v>
      </c>
      <c r="D4972">
        <v>352</v>
      </c>
      <c r="E4972">
        <v>3444</v>
      </c>
      <c r="F4972">
        <v>9.7840910000000001</v>
      </c>
      <c r="G4972">
        <v>36</v>
      </c>
      <c r="H4972">
        <v>0.56000000000000005</v>
      </c>
      <c r="I4972">
        <v>3</v>
      </c>
      <c r="J4972">
        <v>25</v>
      </c>
      <c r="K4972">
        <v>34</v>
      </c>
      <c r="L4972">
        <v>83</v>
      </c>
      <c r="M4972">
        <v>187</v>
      </c>
      <c r="N4972">
        <v>313</v>
      </c>
      <c r="P4972">
        <v>0</v>
      </c>
      <c r="Q4972">
        <v>6</v>
      </c>
      <c r="R4972">
        <v>10</v>
      </c>
      <c r="S4972">
        <v>58</v>
      </c>
    </row>
    <row r="4973" spans="1:19" hidden="1" x14ac:dyDescent="0.35">
      <c r="A4973">
        <v>36619860900</v>
      </c>
      <c r="B4973" t="s">
        <v>4966</v>
      </c>
      <c r="C4973" t="str">
        <f>_xlfn.XLOOKUP(A4973,[1]Affiliations!$J$2:$J$5328,[1]Affiliations!$K$2:$K$5328,0)</f>
        <v>Universidade Federal da Bahia (+1 more)</v>
      </c>
      <c r="D4973">
        <v>1</v>
      </c>
      <c r="E4973">
        <v>1</v>
      </c>
      <c r="F4973">
        <v>1</v>
      </c>
      <c r="G4973">
        <v>2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P4973">
        <v>0</v>
      </c>
      <c r="Q4973">
        <v>0</v>
      </c>
      <c r="R4973">
        <v>0</v>
      </c>
      <c r="S4973">
        <v>0</v>
      </c>
    </row>
    <row r="4974" spans="1:19" hidden="1" x14ac:dyDescent="0.35">
      <c r="A4974">
        <v>34573301800</v>
      </c>
      <c r="B4974" t="s">
        <v>4967</v>
      </c>
      <c r="C4974" t="str">
        <f>_xlfn.XLOOKUP(A4974,[1]Affiliations!$J$2:$J$5328,[1]Affiliations!$K$2:$K$5328,0)</f>
        <v>Federal University of Rio de Janeiro</v>
      </c>
      <c r="D4974">
        <v>16</v>
      </c>
      <c r="E4974">
        <v>81</v>
      </c>
      <c r="F4974">
        <v>5.0625</v>
      </c>
      <c r="G4974">
        <v>14</v>
      </c>
      <c r="H4974">
        <v>0.35</v>
      </c>
      <c r="I4974">
        <v>0</v>
      </c>
      <c r="J4974">
        <v>3</v>
      </c>
      <c r="K4974">
        <v>8</v>
      </c>
      <c r="L4974">
        <v>10</v>
      </c>
      <c r="M4974">
        <v>12</v>
      </c>
      <c r="N4974">
        <v>14</v>
      </c>
      <c r="P4974">
        <v>0</v>
      </c>
      <c r="Q4974">
        <v>0</v>
      </c>
      <c r="R4974">
        <v>0</v>
      </c>
      <c r="S4974">
        <v>0</v>
      </c>
    </row>
    <row r="4975" spans="1:19" hidden="1" x14ac:dyDescent="0.35">
      <c r="A4975">
        <v>57218681654</v>
      </c>
      <c r="B4975" t="s">
        <v>4968</v>
      </c>
      <c r="C4975" t="str">
        <f>_xlfn.XLOOKUP(A4975,[1]Affiliations!$J$2:$J$5328,[1]Affiliations!$K$2:$K$5328,0)</f>
        <v>Federal University of Santa Catarina</v>
      </c>
      <c r="D4975">
        <v>2</v>
      </c>
      <c r="E4975">
        <v>111</v>
      </c>
      <c r="F4975">
        <v>55.5</v>
      </c>
      <c r="G4975">
        <v>2</v>
      </c>
      <c r="H4975">
        <v>1.83</v>
      </c>
      <c r="I4975">
        <v>0</v>
      </c>
      <c r="J4975">
        <v>1</v>
      </c>
      <c r="K4975">
        <v>2</v>
      </c>
      <c r="L4975">
        <v>2</v>
      </c>
      <c r="M4975">
        <v>2</v>
      </c>
      <c r="N4975">
        <v>2</v>
      </c>
      <c r="P4975">
        <v>0</v>
      </c>
      <c r="Q4975">
        <v>1</v>
      </c>
      <c r="R4975">
        <v>2</v>
      </c>
      <c r="S4975">
        <v>2</v>
      </c>
    </row>
    <row r="4976" spans="1:19" hidden="1" x14ac:dyDescent="0.35">
      <c r="A4976">
        <v>57217105490</v>
      </c>
      <c r="B4976" t="s">
        <v>4969</v>
      </c>
      <c r="C4976" t="str">
        <f>_xlfn.XLOOKUP(A4976,[1]Affiliations!$J$2:$J$5328,[1]Affiliations!$K$2:$K$5328,0)</f>
        <v>UniversidadeFederal de Alagoas (+1 more)</v>
      </c>
      <c r="D4976">
        <v>3</v>
      </c>
      <c r="E4976">
        <v>6</v>
      </c>
      <c r="F4976">
        <v>2</v>
      </c>
      <c r="G4976">
        <v>2</v>
      </c>
      <c r="H4976">
        <v>0.28999999999999998</v>
      </c>
      <c r="I4976">
        <v>0</v>
      </c>
      <c r="J4976">
        <v>0</v>
      </c>
      <c r="K4976">
        <v>0</v>
      </c>
      <c r="L4976">
        <v>2</v>
      </c>
      <c r="M4976">
        <v>2</v>
      </c>
      <c r="N4976">
        <v>3</v>
      </c>
      <c r="P4976">
        <v>0</v>
      </c>
      <c r="Q4976">
        <v>0</v>
      </c>
      <c r="R4976">
        <v>0</v>
      </c>
      <c r="S4976">
        <v>0</v>
      </c>
    </row>
    <row r="4977" spans="1:19" hidden="1" x14ac:dyDescent="0.35">
      <c r="A4977">
        <v>59895134500</v>
      </c>
      <c r="B4977" t="s">
        <v>4970</v>
      </c>
      <c r="C4977" t="str">
        <f>_xlfn.XLOOKUP(A4977,[1]Affiliations!$J$2:$J$5328,[1]Affiliations!$K$2:$K$5328,0)</f>
        <v>Universidade Federal de Alagoas</v>
      </c>
      <c r="D4977">
        <v>0</v>
      </c>
      <c r="G4977">
        <v>0</v>
      </c>
    </row>
    <row r="4978" spans="1:19" hidden="1" x14ac:dyDescent="0.35">
      <c r="A4978">
        <v>57201908367</v>
      </c>
      <c r="B4978" t="s">
        <v>4971</v>
      </c>
      <c r="C4978" t="str">
        <f>_xlfn.XLOOKUP(A4978,[1]Affiliations!$J$2:$J$5328,[1]Affiliations!$K$2:$K$5328,0)</f>
        <v>Pontifical Catholic University of Rio de Janeiro</v>
      </c>
      <c r="D4978">
        <v>2</v>
      </c>
      <c r="E4978">
        <v>4</v>
      </c>
      <c r="F4978">
        <v>2</v>
      </c>
      <c r="G4978">
        <v>2</v>
      </c>
      <c r="H4978">
        <v>0.05</v>
      </c>
      <c r="I4978">
        <v>0</v>
      </c>
      <c r="J4978">
        <v>1</v>
      </c>
      <c r="K4978">
        <v>1</v>
      </c>
      <c r="L4978">
        <v>1</v>
      </c>
      <c r="M4978">
        <v>1</v>
      </c>
      <c r="N4978">
        <v>1</v>
      </c>
      <c r="P4978">
        <v>0</v>
      </c>
      <c r="Q4978">
        <v>0</v>
      </c>
      <c r="R4978">
        <v>0</v>
      </c>
      <c r="S4978">
        <v>0</v>
      </c>
    </row>
    <row r="4979" spans="1:19" x14ac:dyDescent="0.35">
      <c r="A4979">
        <v>58458560500</v>
      </c>
      <c r="B4979" t="s">
        <v>3982</v>
      </c>
      <c r="C4979" t="str">
        <f>_xlfn.XLOOKUP(A4979,[1]Affiliations!$J$2:$J$5328,[1]Affiliations!$K$2:$K$5328,0)</f>
        <v>Federal University of Rio de Janeiro</v>
      </c>
      <c r="D4979">
        <v>86</v>
      </c>
      <c r="E4979">
        <v>855</v>
      </c>
      <c r="F4979">
        <v>9.9418600000000001</v>
      </c>
      <c r="G4979">
        <v>16</v>
      </c>
      <c r="H4979">
        <v>0.56000000000000005</v>
      </c>
      <c r="I4979">
        <v>0</v>
      </c>
      <c r="J4979">
        <v>3</v>
      </c>
      <c r="K4979">
        <v>8</v>
      </c>
      <c r="L4979">
        <v>35</v>
      </c>
      <c r="M4979">
        <v>61</v>
      </c>
      <c r="N4979">
        <v>84</v>
      </c>
      <c r="P4979">
        <v>1</v>
      </c>
      <c r="Q4979">
        <v>5</v>
      </c>
      <c r="R4979">
        <v>7</v>
      </c>
      <c r="S4979">
        <v>25</v>
      </c>
    </row>
    <row r="4980" spans="1:19" x14ac:dyDescent="0.35">
      <c r="A4980">
        <v>7103218937</v>
      </c>
      <c r="B4980" t="s">
        <v>4306</v>
      </c>
      <c r="C4980" t="str">
        <f>_xlfn.XLOOKUP(A4980,[1]Affiliations!$J$2:$J$5328,[1]Affiliations!$K$2:$K$5328,0)</f>
        <v>Universidade de São Paulo</v>
      </c>
      <c r="D4980">
        <v>45</v>
      </c>
      <c r="E4980">
        <v>471</v>
      </c>
      <c r="F4980">
        <v>10.466666</v>
      </c>
      <c r="G4980">
        <v>21</v>
      </c>
      <c r="H4980">
        <v>0.56000000000000005</v>
      </c>
      <c r="I4980">
        <v>0</v>
      </c>
      <c r="J4980">
        <v>3</v>
      </c>
      <c r="K4980">
        <v>9</v>
      </c>
      <c r="L4980">
        <v>23</v>
      </c>
      <c r="M4980">
        <v>29</v>
      </c>
      <c r="N4980">
        <v>30</v>
      </c>
      <c r="P4980">
        <v>0</v>
      </c>
      <c r="Q4980">
        <v>0</v>
      </c>
      <c r="R4980">
        <v>3</v>
      </c>
      <c r="S4980">
        <v>7</v>
      </c>
    </row>
    <row r="4981" spans="1:19" x14ac:dyDescent="0.35">
      <c r="A4981">
        <v>16317694200</v>
      </c>
      <c r="B4981" t="s">
        <v>4997</v>
      </c>
      <c r="C4981" t="str">
        <f>_xlfn.XLOOKUP(A4981,[1]Affiliations!$J$2:$J$5328,[1]Affiliations!$K$2:$K$5328,0)</f>
        <v>Universidade de São Paulo</v>
      </c>
      <c r="D4981">
        <v>22</v>
      </c>
      <c r="E4981">
        <v>265</v>
      </c>
      <c r="F4981">
        <v>12.045455</v>
      </c>
      <c r="G4981">
        <v>14</v>
      </c>
      <c r="H4981">
        <v>0.56000000000000005</v>
      </c>
      <c r="I4981">
        <v>1</v>
      </c>
      <c r="J4981">
        <v>4</v>
      </c>
      <c r="K4981">
        <v>9</v>
      </c>
      <c r="L4981">
        <v>12</v>
      </c>
      <c r="M4981">
        <v>18</v>
      </c>
      <c r="N4981">
        <v>22</v>
      </c>
      <c r="P4981">
        <v>0</v>
      </c>
      <c r="Q4981">
        <v>0</v>
      </c>
      <c r="R4981">
        <v>1</v>
      </c>
      <c r="S4981">
        <v>3</v>
      </c>
    </row>
    <row r="4982" spans="1:19" hidden="1" x14ac:dyDescent="0.35">
      <c r="A4982">
        <v>55927562600</v>
      </c>
      <c r="B4982" t="s">
        <v>4975</v>
      </c>
      <c r="C4982" t="str">
        <f>_xlfn.XLOOKUP(A4982,[1]Affiliations!$J$2:$J$5328,[1]Affiliations!$K$2:$K$5328,0)</f>
        <v>University of Campinas</v>
      </c>
      <c r="D4982">
        <v>6</v>
      </c>
      <c r="E4982">
        <v>136</v>
      </c>
      <c r="F4982">
        <v>22.666665999999999</v>
      </c>
      <c r="G4982">
        <v>8</v>
      </c>
      <c r="H4982">
        <v>0.79</v>
      </c>
      <c r="I4982">
        <v>0</v>
      </c>
      <c r="J4982">
        <v>3</v>
      </c>
      <c r="K4982">
        <v>3</v>
      </c>
      <c r="L4982">
        <v>5</v>
      </c>
      <c r="M4982">
        <v>6</v>
      </c>
      <c r="N4982">
        <v>6</v>
      </c>
      <c r="P4982">
        <v>0</v>
      </c>
      <c r="Q4982">
        <v>0</v>
      </c>
      <c r="R4982">
        <v>0</v>
      </c>
      <c r="S4982">
        <v>4</v>
      </c>
    </row>
    <row r="4983" spans="1:19" hidden="1" x14ac:dyDescent="0.35">
      <c r="A4983">
        <v>57215870875</v>
      </c>
      <c r="B4983" t="s">
        <v>4976</v>
      </c>
      <c r="C4983" t="str">
        <f>_xlfn.XLOOKUP(A4983,[1]Affiliations!$J$2:$J$5328,[1]Affiliations!$K$2:$K$5328,0)</f>
        <v>Universidade Tecnológica Federal do Paraná (+1 more)</v>
      </c>
      <c r="D4983">
        <v>3</v>
      </c>
      <c r="E4983">
        <v>8</v>
      </c>
      <c r="F4983">
        <v>2.6666666999999999</v>
      </c>
      <c r="G4983">
        <v>2</v>
      </c>
      <c r="H4983">
        <v>0.33</v>
      </c>
      <c r="I4983">
        <v>0</v>
      </c>
      <c r="J4983">
        <v>1</v>
      </c>
      <c r="K4983">
        <v>2</v>
      </c>
      <c r="L4983">
        <v>2</v>
      </c>
      <c r="M4983">
        <v>2</v>
      </c>
      <c r="N4983">
        <v>2</v>
      </c>
      <c r="P4983">
        <v>0</v>
      </c>
      <c r="Q4983">
        <v>0</v>
      </c>
      <c r="R4983">
        <v>0</v>
      </c>
      <c r="S4983">
        <v>0</v>
      </c>
    </row>
    <row r="4984" spans="1:19" hidden="1" x14ac:dyDescent="0.35">
      <c r="A4984">
        <v>57194016858</v>
      </c>
      <c r="B4984" t="s">
        <v>4977</v>
      </c>
      <c r="C4984" t="str">
        <f>_xlfn.XLOOKUP(A4984,[1]Affiliations!$J$2:$J$5328,[1]Affiliations!$K$2:$K$5328,0)</f>
        <v>Universidade Federal do Paraná</v>
      </c>
      <c r="D4984">
        <v>6</v>
      </c>
      <c r="E4984">
        <v>112</v>
      </c>
      <c r="F4984">
        <v>18.666665999999999</v>
      </c>
      <c r="G4984">
        <v>4</v>
      </c>
      <c r="H4984">
        <v>0.98</v>
      </c>
      <c r="I4984">
        <v>0</v>
      </c>
      <c r="J4984">
        <v>1</v>
      </c>
      <c r="K4984">
        <v>1</v>
      </c>
      <c r="L4984">
        <v>3</v>
      </c>
      <c r="M4984">
        <v>6</v>
      </c>
      <c r="N4984">
        <v>6</v>
      </c>
      <c r="P4984">
        <v>0</v>
      </c>
      <c r="Q4984">
        <v>0</v>
      </c>
      <c r="R4984">
        <v>0</v>
      </c>
      <c r="S4984">
        <v>2</v>
      </c>
    </row>
    <row r="4985" spans="1:19" x14ac:dyDescent="0.35">
      <c r="A4985">
        <v>55838171200</v>
      </c>
      <c r="B4985" t="s">
        <v>343</v>
      </c>
      <c r="C4985" t="str">
        <f>_xlfn.XLOOKUP(A4985,[1]Affiliations!$J$2:$J$5328,[1]Affiliations!$K$2:$K$5328,0)</f>
        <v>LNDC-COPPE-UFRJ (+1 more)</v>
      </c>
      <c r="D4985">
        <v>19</v>
      </c>
      <c r="E4985">
        <v>233</v>
      </c>
      <c r="F4985">
        <v>12.263158000000001</v>
      </c>
      <c r="G4985">
        <v>8</v>
      </c>
      <c r="H4985">
        <v>0.55000000000000004</v>
      </c>
      <c r="I4985">
        <v>0</v>
      </c>
      <c r="J4985">
        <v>3</v>
      </c>
      <c r="K4985">
        <v>4</v>
      </c>
      <c r="L4985">
        <v>5</v>
      </c>
      <c r="M4985">
        <v>6</v>
      </c>
      <c r="N4985">
        <v>10</v>
      </c>
      <c r="P4985">
        <v>0</v>
      </c>
      <c r="Q4985">
        <v>1</v>
      </c>
      <c r="R4985">
        <v>1</v>
      </c>
      <c r="S4985">
        <v>3</v>
      </c>
    </row>
    <row r="4986" spans="1:19" hidden="1" x14ac:dyDescent="0.35">
      <c r="A4986">
        <v>56274633200</v>
      </c>
      <c r="B4986" t="s">
        <v>4979</v>
      </c>
      <c r="C4986" t="str">
        <f>_xlfn.XLOOKUP(A4986,[1]Affiliations!$J$2:$J$5328,[1]Affiliations!$K$2:$K$5328,0)</f>
        <v>Federal University of Rio de Janeiro</v>
      </c>
      <c r="D4986">
        <v>0</v>
      </c>
      <c r="G4986">
        <v>1</v>
      </c>
    </row>
    <row r="4987" spans="1:19" x14ac:dyDescent="0.35">
      <c r="A4987">
        <v>6601905641</v>
      </c>
      <c r="B4987" t="s">
        <v>906</v>
      </c>
      <c r="C4987" t="str">
        <f>_xlfn.XLOOKUP(A4987,[1]Affiliations!$J$2:$J$5328,[1]Affiliations!$K$2:$K$5328,0)</f>
        <v>Universidade Federal do Rio Grande do Norte (+1 more)</v>
      </c>
      <c r="D4987">
        <v>56</v>
      </c>
      <c r="E4987">
        <v>588</v>
      </c>
      <c r="F4987">
        <v>10.5</v>
      </c>
      <c r="G4987">
        <v>21</v>
      </c>
      <c r="H4987">
        <v>0.55000000000000004</v>
      </c>
      <c r="I4987">
        <v>0</v>
      </c>
      <c r="J4987">
        <v>1</v>
      </c>
      <c r="K4987">
        <v>7</v>
      </c>
      <c r="L4987">
        <v>33</v>
      </c>
      <c r="M4987">
        <v>46</v>
      </c>
      <c r="N4987">
        <v>51</v>
      </c>
      <c r="P4987">
        <v>0</v>
      </c>
      <c r="Q4987">
        <v>1</v>
      </c>
      <c r="R4987">
        <v>1</v>
      </c>
      <c r="S4987">
        <v>11</v>
      </c>
    </row>
    <row r="4988" spans="1:19" hidden="1" x14ac:dyDescent="0.35">
      <c r="A4988">
        <v>57451997300</v>
      </c>
      <c r="B4988" t="s">
        <v>4981</v>
      </c>
      <c r="C4988" t="str">
        <f>_xlfn.XLOOKUP(A4988,[1]Affiliations!$J$2:$J$5328,[1]Affiliations!$K$2:$K$5328,0)</f>
        <v>Federal University of Rio de Janeiro</v>
      </c>
      <c r="D4988">
        <v>2</v>
      </c>
      <c r="E4988">
        <v>13</v>
      </c>
      <c r="F4988">
        <v>6.5</v>
      </c>
      <c r="G4988">
        <v>2</v>
      </c>
      <c r="H4988">
        <v>0.43</v>
      </c>
      <c r="I4988">
        <v>0</v>
      </c>
      <c r="J4988">
        <v>1</v>
      </c>
      <c r="K4988">
        <v>2</v>
      </c>
      <c r="L4988">
        <v>2</v>
      </c>
      <c r="M4988">
        <v>2</v>
      </c>
      <c r="N4988">
        <v>2</v>
      </c>
      <c r="P4988">
        <v>0</v>
      </c>
      <c r="Q4988">
        <v>0</v>
      </c>
      <c r="R4988">
        <v>0</v>
      </c>
      <c r="S4988">
        <v>0</v>
      </c>
    </row>
    <row r="4989" spans="1:19" hidden="1" x14ac:dyDescent="0.35">
      <c r="A4989">
        <v>59258211400</v>
      </c>
      <c r="B4989" t="s">
        <v>4982</v>
      </c>
      <c r="C4989" t="str">
        <f>_xlfn.XLOOKUP(A4989,[1]Affiliations!$J$2:$J$5328,[1]Affiliations!$K$2:$K$5328,0)</f>
        <v>Federal University of Santa Catarina</v>
      </c>
      <c r="D4989">
        <v>1</v>
      </c>
      <c r="E4989">
        <v>4</v>
      </c>
      <c r="F4989">
        <v>4</v>
      </c>
      <c r="G4989">
        <v>1</v>
      </c>
      <c r="H4989">
        <v>0.54</v>
      </c>
      <c r="I4989">
        <v>0</v>
      </c>
      <c r="J4989">
        <v>0</v>
      </c>
      <c r="K4989">
        <v>1</v>
      </c>
      <c r="L4989">
        <v>1</v>
      </c>
      <c r="M4989">
        <v>1</v>
      </c>
      <c r="N4989">
        <v>1</v>
      </c>
      <c r="P4989">
        <v>0</v>
      </c>
      <c r="Q4989">
        <v>0</v>
      </c>
      <c r="R4989">
        <v>0</v>
      </c>
      <c r="S4989">
        <v>0</v>
      </c>
    </row>
    <row r="4990" spans="1:19" x14ac:dyDescent="0.35">
      <c r="A4990">
        <v>7403023528</v>
      </c>
      <c r="B4990" t="s">
        <v>1240</v>
      </c>
      <c r="C4990" t="str">
        <f>_xlfn.XLOOKUP(A4990,[1]Affiliations!$J$2:$J$5328,[1]Affiliations!$K$2:$K$5328,0)</f>
        <v>Universidade Tecnológica Federal do Paraná</v>
      </c>
      <c r="D4990">
        <v>108</v>
      </c>
      <c r="E4990">
        <v>896</v>
      </c>
      <c r="F4990">
        <v>8.2962959999999999</v>
      </c>
      <c r="G4990">
        <v>21</v>
      </c>
      <c r="H4990">
        <v>0.55000000000000004</v>
      </c>
      <c r="I4990">
        <v>0</v>
      </c>
      <c r="J4990">
        <v>0</v>
      </c>
      <c r="K4990">
        <v>20</v>
      </c>
      <c r="L4990">
        <v>34</v>
      </c>
      <c r="M4990">
        <v>40</v>
      </c>
      <c r="N4990">
        <v>53</v>
      </c>
      <c r="P4990">
        <v>0</v>
      </c>
      <c r="Q4990">
        <v>1</v>
      </c>
      <c r="R4990">
        <v>4</v>
      </c>
      <c r="S4990">
        <v>17</v>
      </c>
    </row>
    <row r="4991" spans="1:19" hidden="1" x14ac:dyDescent="0.35">
      <c r="A4991">
        <v>6508145651</v>
      </c>
      <c r="B4991" t="s">
        <v>4984</v>
      </c>
      <c r="C4991" t="str">
        <f>_xlfn.XLOOKUP(A4991,[1]Affiliations!$J$2:$J$5328,[1]Affiliations!$K$2:$K$5328,0)</f>
        <v>Universidade do Estado do Rio de Janeiro (+2 more)</v>
      </c>
      <c r="D4991">
        <v>17</v>
      </c>
      <c r="E4991">
        <v>136</v>
      </c>
      <c r="F4991">
        <v>8</v>
      </c>
      <c r="G4991">
        <v>9</v>
      </c>
      <c r="H4991">
        <v>0.46</v>
      </c>
      <c r="I4991">
        <v>0</v>
      </c>
      <c r="J4991">
        <v>0</v>
      </c>
      <c r="K4991">
        <v>2</v>
      </c>
      <c r="L4991">
        <v>8</v>
      </c>
      <c r="M4991">
        <v>11</v>
      </c>
      <c r="N4991">
        <v>13</v>
      </c>
      <c r="P4991">
        <v>0</v>
      </c>
      <c r="Q4991">
        <v>0</v>
      </c>
      <c r="R4991">
        <v>0</v>
      </c>
      <c r="S4991">
        <v>4</v>
      </c>
    </row>
    <row r="4992" spans="1:19" x14ac:dyDescent="0.35">
      <c r="A4992">
        <v>36891026400</v>
      </c>
      <c r="B4992" t="s">
        <v>1410</v>
      </c>
      <c r="C4992" t="str">
        <f>_xlfn.XLOOKUP(A4992,[1]Affiliations!$J$2:$J$5328,[1]Affiliations!$K$2:$K$5328,0)</f>
        <v>Universidade do Estado do Rio de Janeiro</v>
      </c>
      <c r="D4992">
        <v>10</v>
      </c>
      <c r="E4992">
        <v>165</v>
      </c>
      <c r="F4992">
        <v>16.5</v>
      </c>
      <c r="G4992">
        <v>9</v>
      </c>
      <c r="H4992">
        <v>0.55000000000000004</v>
      </c>
      <c r="I4992">
        <v>0</v>
      </c>
      <c r="J4992">
        <v>1</v>
      </c>
      <c r="K4992">
        <v>2</v>
      </c>
      <c r="L4992">
        <v>6</v>
      </c>
      <c r="M4992">
        <v>7</v>
      </c>
      <c r="N4992">
        <v>10</v>
      </c>
      <c r="P4992">
        <v>0</v>
      </c>
      <c r="Q4992">
        <v>0</v>
      </c>
      <c r="R4992">
        <v>1</v>
      </c>
      <c r="S4992">
        <v>4</v>
      </c>
    </row>
    <row r="4993" spans="1:19" hidden="1" x14ac:dyDescent="0.35">
      <c r="A4993">
        <v>15123501900</v>
      </c>
      <c r="B4993" t="s">
        <v>4986</v>
      </c>
      <c r="C4993" t="str">
        <f>_xlfn.XLOOKUP(A4993,[1]Affiliations!$J$2:$J$5328,[1]Affiliations!$K$2:$K$5328,0)</f>
        <v>IFSP</v>
      </c>
      <c r="D4993">
        <v>3</v>
      </c>
      <c r="E4993">
        <v>0</v>
      </c>
      <c r="F4993">
        <v>0</v>
      </c>
      <c r="G4993">
        <v>0</v>
      </c>
      <c r="H4993">
        <v>0</v>
      </c>
      <c r="P4993">
        <v>0</v>
      </c>
      <c r="Q4993">
        <v>0</v>
      </c>
      <c r="R4993">
        <v>0</v>
      </c>
      <c r="S4993">
        <v>0</v>
      </c>
    </row>
    <row r="4994" spans="1:19" hidden="1" x14ac:dyDescent="0.35">
      <c r="A4994">
        <v>57219609577</v>
      </c>
      <c r="B4994" t="s">
        <v>4987</v>
      </c>
      <c r="C4994" t="str">
        <f>_xlfn.XLOOKUP(A4994,[1]Affiliations!$J$2:$J$5328,[1]Affiliations!$K$2:$K$5328,0)</f>
        <v>Universidade Tecnológica Federal do Paraná</v>
      </c>
      <c r="D4994">
        <v>2</v>
      </c>
      <c r="E4994">
        <v>11</v>
      </c>
      <c r="F4994">
        <v>5.5</v>
      </c>
      <c r="G4994">
        <v>2</v>
      </c>
      <c r="H4994">
        <v>0.31</v>
      </c>
      <c r="I4994">
        <v>0</v>
      </c>
      <c r="J4994">
        <v>0</v>
      </c>
      <c r="K4994">
        <v>1</v>
      </c>
      <c r="L4994">
        <v>2</v>
      </c>
      <c r="M4994">
        <v>2</v>
      </c>
      <c r="N4994">
        <v>2</v>
      </c>
      <c r="P4994">
        <v>0</v>
      </c>
      <c r="Q4994">
        <v>0</v>
      </c>
      <c r="R4994">
        <v>0</v>
      </c>
      <c r="S4994">
        <v>0</v>
      </c>
    </row>
    <row r="4995" spans="1:19" hidden="1" x14ac:dyDescent="0.35">
      <c r="A4995">
        <v>56785844600</v>
      </c>
      <c r="B4995" t="s">
        <v>4988</v>
      </c>
      <c r="C4995" t="str">
        <f>_xlfn.XLOOKUP(A4995,[1]Affiliations!$J$2:$J$5328,[1]Affiliations!$K$2:$K$5328,0)</f>
        <v>Universidade de Brasília</v>
      </c>
      <c r="D4995">
        <v>3</v>
      </c>
      <c r="E4995">
        <v>81</v>
      </c>
      <c r="F4995">
        <v>27</v>
      </c>
      <c r="G4995">
        <v>3</v>
      </c>
      <c r="H4995">
        <v>1.1000000000000001</v>
      </c>
      <c r="I4995">
        <v>0</v>
      </c>
      <c r="J4995">
        <v>1</v>
      </c>
      <c r="K4995">
        <v>1</v>
      </c>
      <c r="L4995">
        <v>1</v>
      </c>
      <c r="M4995">
        <v>2</v>
      </c>
      <c r="N4995">
        <v>3</v>
      </c>
      <c r="P4995">
        <v>0</v>
      </c>
      <c r="Q4995">
        <v>0</v>
      </c>
      <c r="R4995">
        <v>0</v>
      </c>
      <c r="S4995">
        <v>2</v>
      </c>
    </row>
    <row r="4996" spans="1:19" hidden="1" x14ac:dyDescent="0.35">
      <c r="A4996">
        <v>57056430900</v>
      </c>
      <c r="B4996" t="s">
        <v>4989</v>
      </c>
      <c r="C4996" t="str">
        <f>_xlfn.XLOOKUP(A4996,[1]Affiliations!$J$2:$J$5328,[1]Affiliations!$K$2:$K$5328,0)</f>
        <v>Universidade Santa Cecília</v>
      </c>
      <c r="D4996">
        <v>1</v>
      </c>
      <c r="E4996">
        <v>5</v>
      </c>
      <c r="F4996">
        <v>5</v>
      </c>
      <c r="G4996">
        <v>1</v>
      </c>
      <c r="H4996">
        <v>0.36</v>
      </c>
      <c r="I4996">
        <v>0</v>
      </c>
      <c r="J4996">
        <v>0</v>
      </c>
      <c r="K4996">
        <v>0</v>
      </c>
      <c r="L4996">
        <v>1</v>
      </c>
      <c r="M4996">
        <v>1</v>
      </c>
      <c r="N4996">
        <v>1</v>
      </c>
      <c r="P4996">
        <v>0</v>
      </c>
      <c r="Q4996">
        <v>0</v>
      </c>
      <c r="R4996">
        <v>0</v>
      </c>
      <c r="S4996">
        <v>0</v>
      </c>
    </row>
    <row r="4997" spans="1:19" hidden="1" x14ac:dyDescent="0.35">
      <c r="A4997">
        <v>57192985774</v>
      </c>
      <c r="B4997" t="s">
        <v>4990</v>
      </c>
      <c r="C4997" t="str">
        <f>_xlfn.XLOOKUP(A4997,[1]Affiliations!$J$2:$J$5328,[1]Affiliations!$K$2:$K$5328,0)</f>
        <v>Universidade Federal do Rio Grande do Sul</v>
      </c>
      <c r="D4997">
        <v>1</v>
      </c>
      <c r="E4997">
        <v>20</v>
      </c>
      <c r="F4997">
        <v>20</v>
      </c>
      <c r="G4997">
        <v>1</v>
      </c>
      <c r="H4997">
        <v>0.44</v>
      </c>
      <c r="I4997">
        <v>0</v>
      </c>
      <c r="J4997">
        <v>0</v>
      </c>
      <c r="K4997">
        <v>0</v>
      </c>
      <c r="L4997">
        <v>1</v>
      </c>
      <c r="M4997">
        <v>1</v>
      </c>
      <c r="N4997">
        <v>1</v>
      </c>
      <c r="P4997">
        <v>0</v>
      </c>
      <c r="Q4997">
        <v>0</v>
      </c>
      <c r="R4997">
        <v>0</v>
      </c>
      <c r="S4997">
        <v>0</v>
      </c>
    </row>
    <row r="4998" spans="1:19" x14ac:dyDescent="0.35">
      <c r="A4998">
        <v>14821864000</v>
      </c>
      <c r="B4998" t="s">
        <v>1651</v>
      </c>
      <c r="C4998" t="str">
        <f>_xlfn.XLOOKUP(A4998,[1]Affiliations!$J$2:$J$5328,[1]Affiliations!$K$2:$K$5328,0)</f>
        <v>Universidade Federal de Juiz de Fora</v>
      </c>
      <c r="D4998">
        <v>120</v>
      </c>
      <c r="E4998">
        <v>1626</v>
      </c>
      <c r="F4998">
        <v>13.55</v>
      </c>
      <c r="G4998">
        <v>30</v>
      </c>
      <c r="H4998">
        <v>0.55000000000000004</v>
      </c>
      <c r="I4998">
        <v>0</v>
      </c>
      <c r="J4998">
        <v>10</v>
      </c>
      <c r="K4998">
        <v>26</v>
      </c>
      <c r="L4998">
        <v>65</v>
      </c>
      <c r="M4998">
        <v>94</v>
      </c>
      <c r="N4998">
        <v>111</v>
      </c>
      <c r="P4998">
        <v>0</v>
      </c>
      <c r="Q4998">
        <v>1</v>
      </c>
      <c r="R4998">
        <v>5</v>
      </c>
      <c r="S4998">
        <v>31</v>
      </c>
    </row>
    <row r="4999" spans="1:19" x14ac:dyDescent="0.35">
      <c r="A4999">
        <v>7101944157</v>
      </c>
      <c r="B4999" t="s">
        <v>2795</v>
      </c>
      <c r="C4999" t="str">
        <f>_xlfn.XLOOKUP(A4999,[1]Affiliations!$J$2:$J$5328,[1]Affiliations!$K$2:$K$5328,0)</f>
        <v>Federal University of Rio de Janeiro</v>
      </c>
      <c r="D4999">
        <v>65</v>
      </c>
      <c r="E4999">
        <v>655</v>
      </c>
      <c r="F4999">
        <v>10.076923000000001</v>
      </c>
      <c r="G4999">
        <v>18</v>
      </c>
      <c r="H4999">
        <v>0.55000000000000004</v>
      </c>
      <c r="I4999">
        <v>1</v>
      </c>
      <c r="J4999">
        <v>5</v>
      </c>
      <c r="K4999">
        <v>12</v>
      </c>
      <c r="L4999">
        <v>25</v>
      </c>
      <c r="M4999">
        <v>42</v>
      </c>
      <c r="N4999">
        <v>44</v>
      </c>
      <c r="P4999">
        <v>0</v>
      </c>
      <c r="Q4999">
        <v>3</v>
      </c>
      <c r="R4999">
        <v>5</v>
      </c>
      <c r="S4999">
        <v>13</v>
      </c>
    </row>
    <row r="5000" spans="1:19" x14ac:dyDescent="0.35">
      <c r="A5000">
        <v>57210600647</v>
      </c>
      <c r="B5000" t="s">
        <v>3654</v>
      </c>
      <c r="C5000" t="str">
        <f>_xlfn.XLOOKUP(A5000,[1]Affiliations!$J$2:$J$5328,[1]Affiliations!$K$2:$K$5328,0)</f>
        <v>RJ (+1 more)</v>
      </c>
      <c r="D5000">
        <v>60</v>
      </c>
      <c r="E5000">
        <v>586</v>
      </c>
      <c r="F5000">
        <v>9.7666660000000007</v>
      </c>
      <c r="G5000">
        <v>19</v>
      </c>
      <c r="H5000">
        <v>0.55000000000000004</v>
      </c>
      <c r="I5000">
        <v>0</v>
      </c>
      <c r="J5000">
        <v>8</v>
      </c>
      <c r="K5000">
        <v>13</v>
      </c>
      <c r="L5000">
        <v>20</v>
      </c>
      <c r="M5000">
        <v>28</v>
      </c>
      <c r="N5000">
        <v>41</v>
      </c>
      <c r="P5000">
        <v>0</v>
      </c>
      <c r="Q5000">
        <v>3</v>
      </c>
      <c r="R5000">
        <v>3</v>
      </c>
      <c r="S5000">
        <v>9</v>
      </c>
    </row>
    <row r="5001" spans="1:19" hidden="1" x14ac:dyDescent="0.35">
      <c r="A5001">
        <v>57219130715</v>
      </c>
      <c r="B5001" t="s">
        <v>4994</v>
      </c>
      <c r="C5001" t="str">
        <f>_xlfn.XLOOKUP(A5001,[1]Affiliations!$J$2:$J$5328,[1]Affiliations!$K$2:$K$5328,0)</f>
        <v>Universidade Federal do Rio Grande do Sul</v>
      </c>
      <c r="D5001">
        <v>3</v>
      </c>
      <c r="E5001">
        <v>15</v>
      </c>
      <c r="F5001">
        <v>5</v>
      </c>
      <c r="G5001">
        <v>3</v>
      </c>
      <c r="H5001">
        <v>0.36</v>
      </c>
      <c r="I5001">
        <v>0</v>
      </c>
      <c r="J5001">
        <v>1</v>
      </c>
      <c r="K5001">
        <v>2</v>
      </c>
      <c r="L5001">
        <v>2</v>
      </c>
      <c r="M5001">
        <v>3</v>
      </c>
      <c r="N5001">
        <v>3</v>
      </c>
      <c r="P5001">
        <v>0</v>
      </c>
      <c r="Q5001">
        <v>0</v>
      </c>
      <c r="R5001">
        <v>0</v>
      </c>
      <c r="S5001">
        <v>0</v>
      </c>
    </row>
    <row r="5002" spans="1:19" x14ac:dyDescent="0.35">
      <c r="A5002">
        <v>57194323193</v>
      </c>
      <c r="B5002" t="s">
        <v>4211</v>
      </c>
      <c r="C5002" t="str">
        <f>_xlfn.XLOOKUP(A5002,[1]Affiliations!$J$2:$J$5328,[1]Affiliations!$K$2:$K$5328,0)</f>
        <v>LABSOLDA Welding Institute (+1 more)</v>
      </c>
      <c r="D5002">
        <v>26</v>
      </c>
      <c r="E5002">
        <v>180</v>
      </c>
      <c r="F5002">
        <v>6.9230770000000001</v>
      </c>
      <c r="G5002">
        <v>9</v>
      </c>
      <c r="H5002">
        <v>0.55000000000000004</v>
      </c>
      <c r="I5002">
        <v>0</v>
      </c>
      <c r="J5002">
        <v>2</v>
      </c>
      <c r="K5002">
        <v>3</v>
      </c>
      <c r="L5002">
        <v>9</v>
      </c>
      <c r="M5002">
        <v>17</v>
      </c>
      <c r="N5002">
        <v>21</v>
      </c>
      <c r="P5002">
        <v>0</v>
      </c>
      <c r="Q5002">
        <v>0</v>
      </c>
      <c r="R5002">
        <v>1</v>
      </c>
      <c r="S5002">
        <v>5</v>
      </c>
    </row>
    <row r="5003" spans="1:19" hidden="1" x14ac:dyDescent="0.35">
      <c r="A5003">
        <v>57221224472</v>
      </c>
      <c r="B5003" t="s">
        <v>4996</v>
      </c>
      <c r="C5003" t="str">
        <f>_xlfn.XLOOKUP(A5003,[1]Affiliations!$J$2:$J$5328,[1]Affiliations!$K$2:$K$5328,0)</f>
        <v>Federal University of Santa Catarina</v>
      </c>
      <c r="D5003">
        <v>2</v>
      </c>
      <c r="E5003">
        <v>72</v>
      </c>
      <c r="F5003">
        <v>36</v>
      </c>
      <c r="G5003">
        <v>2</v>
      </c>
      <c r="H5003">
        <v>1.0900000000000001</v>
      </c>
      <c r="I5003">
        <v>0</v>
      </c>
      <c r="J5003">
        <v>2</v>
      </c>
      <c r="K5003">
        <v>2</v>
      </c>
      <c r="L5003">
        <v>2</v>
      </c>
      <c r="M5003">
        <v>2</v>
      </c>
      <c r="N5003">
        <v>2</v>
      </c>
      <c r="P5003">
        <v>0</v>
      </c>
      <c r="Q5003">
        <v>1</v>
      </c>
      <c r="R5003">
        <v>1</v>
      </c>
      <c r="S5003">
        <v>2</v>
      </c>
    </row>
    <row r="5004" spans="1:19" x14ac:dyDescent="0.35">
      <c r="A5004">
        <v>26424813300</v>
      </c>
      <c r="B5004" t="s">
        <v>4463</v>
      </c>
      <c r="C5004" t="str">
        <f>_xlfn.XLOOKUP(A5004,[1]Affiliations!$J$2:$J$5328,[1]Affiliations!$K$2:$K$5328,0)</f>
        <v>Serviço Nacional de Aprendizagem Industrial</v>
      </c>
      <c r="D5004">
        <v>53</v>
      </c>
      <c r="E5004">
        <v>655</v>
      </c>
      <c r="F5004">
        <v>12.358491000000001</v>
      </c>
      <c r="G5004">
        <v>14</v>
      </c>
      <c r="H5004">
        <v>0.55000000000000004</v>
      </c>
      <c r="I5004">
        <v>1</v>
      </c>
      <c r="J5004">
        <v>5</v>
      </c>
      <c r="K5004">
        <v>12</v>
      </c>
      <c r="L5004">
        <v>32</v>
      </c>
      <c r="M5004">
        <v>43</v>
      </c>
      <c r="N5004">
        <v>46</v>
      </c>
      <c r="P5004">
        <v>0</v>
      </c>
      <c r="Q5004">
        <v>3</v>
      </c>
      <c r="R5004">
        <v>8</v>
      </c>
      <c r="S5004">
        <v>15</v>
      </c>
    </row>
    <row r="5005" spans="1:19" hidden="1" x14ac:dyDescent="0.35">
      <c r="A5005">
        <v>58172273400</v>
      </c>
      <c r="B5005" t="s">
        <v>4998</v>
      </c>
      <c r="C5005" t="str">
        <f>_xlfn.XLOOKUP(A5005,[1]Affiliations!$J$2:$J$5328,[1]Affiliations!$K$2:$K$5328,0)</f>
        <v>Universidade Federal de Juiz de Fora</v>
      </c>
      <c r="D5005">
        <v>2</v>
      </c>
      <c r="E5005">
        <v>0</v>
      </c>
      <c r="F5005">
        <v>0</v>
      </c>
      <c r="G5005">
        <v>1</v>
      </c>
      <c r="H5005">
        <v>0</v>
      </c>
      <c r="P5005">
        <v>0</v>
      </c>
      <c r="Q5005">
        <v>0</v>
      </c>
      <c r="R5005">
        <v>0</v>
      </c>
      <c r="S5005">
        <v>0</v>
      </c>
    </row>
    <row r="5006" spans="1:19" hidden="1" x14ac:dyDescent="0.35">
      <c r="A5006">
        <v>57222742182</v>
      </c>
      <c r="B5006" t="s">
        <v>4999</v>
      </c>
      <c r="C5006" t="str">
        <f>_xlfn.XLOOKUP(A5006,[1]Affiliations!$J$2:$J$5328,[1]Affiliations!$K$2:$K$5328,0)</f>
        <v>Umicore</v>
      </c>
      <c r="D5006">
        <v>1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1</v>
      </c>
      <c r="P5006">
        <v>0</v>
      </c>
      <c r="Q5006">
        <v>0</v>
      </c>
      <c r="R5006">
        <v>0</v>
      </c>
      <c r="S5006">
        <v>0</v>
      </c>
    </row>
    <row r="5007" spans="1:19" x14ac:dyDescent="0.35">
      <c r="A5007">
        <v>57217782610</v>
      </c>
      <c r="B5007" t="s">
        <v>4577</v>
      </c>
      <c r="C5007" t="str">
        <f>_xlfn.XLOOKUP(A5007,[1]Affiliations!$J$2:$J$5328,[1]Affiliations!$K$2:$K$5328,0)</f>
        <v>Universidade Federal de Santa Maria</v>
      </c>
      <c r="D5007">
        <v>19</v>
      </c>
      <c r="E5007">
        <v>174</v>
      </c>
      <c r="F5007">
        <v>9.1578949999999999</v>
      </c>
      <c r="G5007">
        <v>8</v>
      </c>
      <c r="H5007">
        <v>0.55000000000000004</v>
      </c>
      <c r="I5007">
        <v>0</v>
      </c>
      <c r="J5007">
        <v>4</v>
      </c>
      <c r="K5007">
        <v>4</v>
      </c>
      <c r="L5007">
        <v>15</v>
      </c>
      <c r="M5007">
        <v>15</v>
      </c>
      <c r="N5007">
        <v>17</v>
      </c>
      <c r="P5007">
        <v>0</v>
      </c>
      <c r="Q5007">
        <v>1</v>
      </c>
      <c r="R5007">
        <v>1</v>
      </c>
      <c r="S5007">
        <v>6</v>
      </c>
    </row>
    <row r="5008" spans="1:19" hidden="1" x14ac:dyDescent="0.35">
      <c r="A5008">
        <v>53870965500</v>
      </c>
      <c r="B5008" t="s">
        <v>5001</v>
      </c>
      <c r="C5008" t="str">
        <f>_xlfn.XLOOKUP(A5008,[1]Affiliations!$J$2:$J$5328,[1]Affiliations!$K$2:$K$5328,0)</f>
        <v>Universidade Federal de Pernambuco</v>
      </c>
      <c r="D5008">
        <v>9</v>
      </c>
      <c r="E5008">
        <v>155</v>
      </c>
      <c r="F5008">
        <v>17.222221000000001</v>
      </c>
      <c r="G5008">
        <v>7</v>
      </c>
      <c r="H5008">
        <v>1.71</v>
      </c>
      <c r="I5008">
        <v>0</v>
      </c>
      <c r="J5008">
        <v>0</v>
      </c>
      <c r="K5008">
        <v>0</v>
      </c>
      <c r="L5008">
        <v>2</v>
      </c>
      <c r="M5008">
        <v>7</v>
      </c>
      <c r="N5008">
        <v>7</v>
      </c>
      <c r="P5008">
        <v>0</v>
      </c>
      <c r="Q5008">
        <v>0</v>
      </c>
      <c r="R5008">
        <v>2</v>
      </c>
      <c r="S5008">
        <v>5</v>
      </c>
    </row>
    <row r="5009" spans="1:19" hidden="1" x14ac:dyDescent="0.35">
      <c r="A5009">
        <v>57202162041</v>
      </c>
      <c r="B5009" t="s">
        <v>5002</v>
      </c>
      <c r="C5009" t="str">
        <f>_xlfn.XLOOKUP(A5009,[1]Affiliations!$J$2:$J$5328,[1]Affiliations!$K$2:$K$5328,0)</f>
        <v>University of Campinas</v>
      </c>
      <c r="D5009">
        <v>7</v>
      </c>
      <c r="E5009">
        <v>44</v>
      </c>
      <c r="F5009">
        <v>6.2857139999999996</v>
      </c>
      <c r="G5009">
        <v>3</v>
      </c>
      <c r="H5009">
        <v>0.52</v>
      </c>
      <c r="I5009">
        <v>0</v>
      </c>
      <c r="J5009">
        <v>0</v>
      </c>
      <c r="K5009">
        <v>3</v>
      </c>
      <c r="L5009">
        <v>4</v>
      </c>
      <c r="M5009">
        <v>4</v>
      </c>
      <c r="N5009">
        <v>6</v>
      </c>
      <c r="P5009">
        <v>0</v>
      </c>
      <c r="Q5009">
        <v>0</v>
      </c>
      <c r="R5009">
        <v>0</v>
      </c>
      <c r="S5009">
        <v>0</v>
      </c>
    </row>
    <row r="5010" spans="1:19" hidden="1" x14ac:dyDescent="0.35">
      <c r="A5010">
        <v>55355151800</v>
      </c>
      <c r="B5010" t="s">
        <v>5003</v>
      </c>
      <c r="C5010" t="str">
        <f>_xlfn.XLOOKUP(A5010,[1]Affiliations!$J$2:$J$5328,[1]Affiliations!$K$2:$K$5328,0)</f>
        <v>Universidade de São Paulo (+1 more)</v>
      </c>
      <c r="D5010">
        <v>16</v>
      </c>
      <c r="E5010">
        <v>38</v>
      </c>
      <c r="F5010">
        <v>2.375</v>
      </c>
      <c r="G5010">
        <v>4</v>
      </c>
      <c r="H5010">
        <v>0.44</v>
      </c>
      <c r="I5010">
        <v>0</v>
      </c>
      <c r="J5010">
        <v>0</v>
      </c>
      <c r="K5010">
        <v>0</v>
      </c>
      <c r="L5010">
        <v>2</v>
      </c>
      <c r="M5010">
        <v>5</v>
      </c>
      <c r="N5010">
        <v>14</v>
      </c>
      <c r="P5010">
        <v>0</v>
      </c>
      <c r="Q5010">
        <v>0</v>
      </c>
      <c r="R5010">
        <v>0</v>
      </c>
      <c r="S5010">
        <v>0</v>
      </c>
    </row>
    <row r="5011" spans="1:19" hidden="1" x14ac:dyDescent="0.35">
      <c r="A5011">
        <v>36054083200</v>
      </c>
      <c r="B5011" t="s">
        <v>5004</v>
      </c>
      <c r="C5011" t="str">
        <f>_xlfn.XLOOKUP(A5011,[1]Affiliations!$J$2:$J$5328,[1]Affiliations!$K$2:$K$5328,0)</f>
        <v>Pontifical Catholic University of Rio de Janeiro</v>
      </c>
      <c r="D5011">
        <v>6</v>
      </c>
      <c r="E5011">
        <v>48</v>
      </c>
      <c r="F5011">
        <v>8</v>
      </c>
      <c r="G5011">
        <v>3</v>
      </c>
      <c r="H5011">
        <v>0.37</v>
      </c>
      <c r="I5011">
        <v>0</v>
      </c>
      <c r="J5011">
        <v>0</v>
      </c>
      <c r="K5011">
        <v>0</v>
      </c>
      <c r="L5011">
        <v>2</v>
      </c>
      <c r="M5011">
        <v>4</v>
      </c>
      <c r="N5011">
        <v>5</v>
      </c>
      <c r="P5011">
        <v>0</v>
      </c>
      <c r="Q5011">
        <v>0</v>
      </c>
      <c r="R5011">
        <v>0</v>
      </c>
      <c r="S5011">
        <v>1</v>
      </c>
    </row>
    <row r="5012" spans="1:19" x14ac:dyDescent="0.35">
      <c r="A5012">
        <v>56572209600</v>
      </c>
      <c r="B5012" t="s">
        <v>5165</v>
      </c>
      <c r="C5012" t="str">
        <f>_xlfn.XLOOKUP(A5012,[1]Affiliations!$J$2:$J$5328,[1]Affiliations!$K$2:$K$5328,0)</f>
        <v>Universidade Federal do Espírito Santo</v>
      </c>
      <c r="D5012">
        <v>12</v>
      </c>
      <c r="E5012">
        <v>139</v>
      </c>
      <c r="F5012">
        <v>11.583333</v>
      </c>
      <c r="G5012">
        <v>9</v>
      </c>
      <c r="H5012">
        <v>0.55000000000000004</v>
      </c>
      <c r="I5012">
        <v>0</v>
      </c>
      <c r="J5012">
        <v>4</v>
      </c>
      <c r="K5012">
        <v>6</v>
      </c>
      <c r="L5012">
        <v>8</v>
      </c>
      <c r="M5012">
        <v>11</v>
      </c>
      <c r="N5012">
        <v>12</v>
      </c>
      <c r="P5012">
        <v>0</v>
      </c>
      <c r="Q5012">
        <v>0</v>
      </c>
      <c r="R5012">
        <v>1</v>
      </c>
      <c r="S5012">
        <v>2</v>
      </c>
    </row>
    <row r="5013" spans="1:19" x14ac:dyDescent="0.35">
      <c r="A5013">
        <v>57210914749</v>
      </c>
      <c r="B5013" t="s">
        <v>54</v>
      </c>
      <c r="C5013" t="str">
        <f>_xlfn.XLOOKUP(A5013,[1]Affiliations!$J$2:$J$5328,[1]Affiliations!$K$2:$K$5328,0)</f>
        <v>X-Reality GeoInformatics Lab Unisinos University (+1 more)</v>
      </c>
      <c r="D5013">
        <v>14</v>
      </c>
      <c r="E5013">
        <v>102</v>
      </c>
      <c r="F5013">
        <v>7.2857139999999996</v>
      </c>
      <c r="G5013">
        <v>5</v>
      </c>
      <c r="H5013">
        <v>0.54</v>
      </c>
      <c r="I5013">
        <v>1</v>
      </c>
      <c r="J5013">
        <v>2</v>
      </c>
      <c r="K5013">
        <v>3</v>
      </c>
      <c r="L5013">
        <v>5</v>
      </c>
      <c r="M5013">
        <v>5</v>
      </c>
      <c r="N5013">
        <v>11</v>
      </c>
      <c r="P5013">
        <v>0</v>
      </c>
      <c r="Q5013">
        <v>0</v>
      </c>
      <c r="R5013">
        <v>1</v>
      </c>
      <c r="S5013">
        <v>2</v>
      </c>
    </row>
    <row r="5014" spans="1:19" x14ac:dyDescent="0.35">
      <c r="A5014">
        <v>57194166674</v>
      </c>
      <c r="B5014" t="s">
        <v>541</v>
      </c>
      <c r="C5014" t="str">
        <f>_xlfn.XLOOKUP(A5014,[1]Affiliations!$J$2:$J$5328,[1]Affiliations!$K$2:$K$5328,0)</f>
        <v>UFSC and LTrace (+5 more)</v>
      </c>
      <c r="D5014">
        <v>18</v>
      </c>
      <c r="E5014">
        <v>153</v>
      </c>
      <c r="F5014">
        <v>8.5</v>
      </c>
      <c r="G5014">
        <v>4</v>
      </c>
      <c r="H5014">
        <v>0.54</v>
      </c>
      <c r="I5014">
        <v>0</v>
      </c>
      <c r="J5014">
        <v>2</v>
      </c>
      <c r="K5014">
        <v>3</v>
      </c>
      <c r="L5014">
        <v>5</v>
      </c>
      <c r="M5014">
        <v>7</v>
      </c>
      <c r="N5014">
        <v>9</v>
      </c>
      <c r="P5014">
        <v>0</v>
      </c>
      <c r="Q5014">
        <v>1</v>
      </c>
      <c r="R5014">
        <v>1</v>
      </c>
      <c r="S5014">
        <v>1</v>
      </c>
    </row>
    <row r="5015" spans="1:19" x14ac:dyDescent="0.35">
      <c r="A5015">
        <v>56937660000</v>
      </c>
      <c r="B5015" t="s">
        <v>1027</v>
      </c>
      <c r="C5015" t="str">
        <f>_xlfn.XLOOKUP(A5015,[1]Affiliations!$J$2:$J$5328,[1]Affiliations!$K$2:$K$5328,0)</f>
        <v>UFPA (+4 more)</v>
      </c>
      <c r="D5015">
        <v>40</v>
      </c>
      <c r="E5015">
        <v>169</v>
      </c>
      <c r="F5015">
        <v>4.2249999999999996</v>
      </c>
      <c r="G5015">
        <v>14</v>
      </c>
      <c r="H5015">
        <v>0.54</v>
      </c>
      <c r="I5015">
        <v>0</v>
      </c>
      <c r="J5015">
        <v>1</v>
      </c>
      <c r="K5015">
        <v>2</v>
      </c>
      <c r="L5015">
        <v>12</v>
      </c>
      <c r="M5015">
        <v>21</v>
      </c>
      <c r="N5015">
        <v>21</v>
      </c>
      <c r="P5015">
        <v>0</v>
      </c>
      <c r="Q5015">
        <v>0</v>
      </c>
      <c r="R5015">
        <v>1</v>
      </c>
      <c r="S5015">
        <v>4</v>
      </c>
    </row>
    <row r="5016" spans="1:19" hidden="1" x14ac:dyDescent="0.35">
      <c r="A5016">
        <v>56449443400</v>
      </c>
      <c r="B5016" t="s">
        <v>5009</v>
      </c>
      <c r="C5016" t="str">
        <f>_xlfn.XLOOKUP(A5016,[1]Affiliations!$J$2:$J$5328,[1]Affiliations!$K$2:$K$5328,0)</f>
        <v>Universidade de São Paulo (+1 more)</v>
      </c>
      <c r="D5016">
        <v>2</v>
      </c>
      <c r="E5016">
        <v>1</v>
      </c>
      <c r="F5016">
        <v>0.5</v>
      </c>
      <c r="G5016">
        <v>1</v>
      </c>
      <c r="H5016">
        <v>0</v>
      </c>
      <c r="P5016">
        <v>0</v>
      </c>
      <c r="Q5016">
        <v>0</v>
      </c>
      <c r="R5016">
        <v>0</v>
      </c>
      <c r="S5016">
        <v>0</v>
      </c>
    </row>
    <row r="5017" spans="1:19" hidden="1" x14ac:dyDescent="0.35">
      <c r="A5017">
        <v>57192248959</v>
      </c>
      <c r="B5017" t="s">
        <v>5010</v>
      </c>
      <c r="C5017" t="str">
        <f>_xlfn.XLOOKUP(A5017,[1]Affiliations!$J$2:$J$5328,[1]Affiliations!$K$2:$K$5328,0)</f>
        <v>Universidade Federal do Ceará</v>
      </c>
      <c r="D5017">
        <v>1</v>
      </c>
      <c r="E5017">
        <v>5</v>
      </c>
      <c r="F5017">
        <v>5</v>
      </c>
      <c r="G5017">
        <v>1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1</v>
      </c>
      <c r="N5017">
        <v>1</v>
      </c>
      <c r="P5017">
        <v>0</v>
      </c>
      <c r="Q5017">
        <v>0</v>
      </c>
      <c r="R5017">
        <v>0</v>
      </c>
      <c r="S5017">
        <v>0</v>
      </c>
    </row>
    <row r="5018" spans="1:19" hidden="1" x14ac:dyDescent="0.35">
      <c r="A5018">
        <v>59420463500</v>
      </c>
      <c r="B5018" t="s">
        <v>5011</v>
      </c>
      <c r="C5018" t="str">
        <f>_xlfn.XLOOKUP(A5018,[1]Affiliations!$J$2:$J$5328,[1]Affiliations!$K$2:$K$5328,0)</f>
        <v>Federal University of Rio de Janeiro</v>
      </c>
      <c r="D5018">
        <v>1</v>
      </c>
      <c r="E5018">
        <v>1</v>
      </c>
      <c r="F5018">
        <v>1</v>
      </c>
      <c r="G5018">
        <v>1</v>
      </c>
      <c r="H5018">
        <v>1.39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35">
      <c r="A5019">
        <v>57193015101</v>
      </c>
      <c r="B5019" t="s">
        <v>1583</v>
      </c>
      <c r="C5019" t="str">
        <f>_xlfn.XLOOKUP(A5019,[1]Affiliations!$J$2:$J$5328,[1]Affiliations!$K$2:$K$5328,0)</f>
        <v>Universidade Federal do Rio Grande do Sul</v>
      </c>
      <c r="D5019">
        <v>19</v>
      </c>
      <c r="E5019">
        <v>141</v>
      </c>
      <c r="F5019">
        <v>7.4210525000000001</v>
      </c>
      <c r="G5019">
        <v>7</v>
      </c>
      <c r="H5019">
        <v>0.54</v>
      </c>
      <c r="I5019">
        <v>0</v>
      </c>
      <c r="J5019">
        <v>1</v>
      </c>
      <c r="K5019">
        <v>4</v>
      </c>
      <c r="L5019">
        <v>6</v>
      </c>
      <c r="M5019">
        <v>11</v>
      </c>
      <c r="N5019">
        <v>14</v>
      </c>
      <c r="P5019">
        <v>0</v>
      </c>
      <c r="Q5019">
        <v>0</v>
      </c>
      <c r="R5019">
        <v>2</v>
      </c>
      <c r="S5019">
        <v>3</v>
      </c>
    </row>
    <row r="5020" spans="1:19" x14ac:dyDescent="0.35">
      <c r="A5020">
        <v>56497062800</v>
      </c>
      <c r="B5020" t="s">
        <v>1615</v>
      </c>
      <c r="C5020" t="str">
        <f>_xlfn.XLOOKUP(A5020,[1]Affiliations!$J$2:$J$5328,[1]Affiliations!$K$2:$K$5328,0)</f>
        <v>Centro Nacional de Pesquisa em Energia e Materiais</v>
      </c>
      <c r="D5020">
        <v>7</v>
      </c>
      <c r="E5020">
        <v>81</v>
      </c>
      <c r="F5020">
        <v>11.571427999999999</v>
      </c>
      <c r="G5020">
        <v>3</v>
      </c>
      <c r="H5020">
        <v>0.54</v>
      </c>
      <c r="I5020">
        <v>0</v>
      </c>
      <c r="J5020">
        <v>1</v>
      </c>
      <c r="K5020">
        <v>1</v>
      </c>
      <c r="L5020">
        <v>2</v>
      </c>
      <c r="M5020">
        <v>5</v>
      </c>
      <c r="N5020">
        <v>6</v>
      </c>
      <c r="P5020">
        <v>0</v>
      </c>
      <c r="Q5020">
        <v>0</v>
      </c>
      <c r="R5020">
        <v>1</v>
      </c>
      <c r="S5020">
        <v>2</v>
      </c>
    </row>
    <row r="5021" spans="1:19" hidden="1" x14ac:dyDescent="0.35">
      <c r="A5021">
        <v>57197189322</v>
      </c>
      <c r="B5021" t="s">
        <v>5014</v>
      </c>
      <c r="C5021" t="str">
        <f>_xlfn.XLOOKUP(A5021,[1]Affiliations!$J$2:$J$5328,[1]Affiliations!$K$2:$K$5328,0)</f>
        <v>Fundação Gorceix (+1 more)</v>
      </c>
      <c r="D5021">
        <v>8</v>
      </c>
      <c r="E5021">
        <v>51</v>
      </c>
      <c r="F5021">
        <v>6.375</v>
      </c>
      <c r="G5021">
        <v>4</v>
      </c>
      <c r="H5021">
        <v>0.65</v>
      </c>
      <c r="I5021">
        <v>0</v>
      </c>
      <c r="J5021">
        <v>0</v>
      </c>
      <c r="K5021">
        <v>0</v>
      </c>
      <c r="L5021">
        <v>2</v>
      </c>
      <c r="M5021">
        <v>5</v>
      </c>
      <c r="N5021">
        <v>6</v>
      </c>
      <c r="P5021">
        <v>0</v>
      </c>
      <c r="Q5021">
        <v>0</v>
      </c>
      <c r="R5021">
        <v>1</v>
      </c>
      <c r="S5021">
        <v>1</v>
      </c>
    </row>
    <row r="5022" spans="1:19" x14ac:dyDescent="0.35">
      <c r="A5022">
        <v>26667570700</v>
      </c>
      <c r="B5022" t="s">
        <v>1625</v>
      </c>
      <c r="C5022" t="str">
        <f>_xlfn.XLOOKUP(A5022,[1]Affiliations!$J$2:$J$5328,[1]Affiliations!$K$2:$K$5328,0)</f>
        <v>Universidade Tecnológica Federal do Paraná (+1 more)</v>
      </c>
      <c r="D5022">
        <v>105</v>
      </c>
      <c r="E5022">
        <v>604</v>
      </c>
      <c r="F5022">
        <v>5.7523809999999997</v>
      </c>
      <c r="G5022">
        <v>11</v>
      </c>
      <c r="H5022">
        <v>0.54</v>
      </c>
      <c r="I5022">
        <v>1</v>
      </c>
      <c r="J5022">
        <v>3</v>
      </c>
      <c r="K5022">
        <v>16</v>
      </c>
      <c r="L5022">
        <v>29</v>
      </c>
      <c r="M5022">
        <v>30</v>
      </c>
      <c r="N5022">
        <v>51</v>
      </c>
      <c r="P5022">
        <v>0</v>
      </c>
      <c r="Q5022">
        <v>0</v>
      </c>
      <c r="R5022">
        <v>2</v>
      </c>
      <c r="S5022">
        <v>11</v>
      </c>
    </row>
    <row r="5023" spans="1:19" hidden="1" x14ac:dyDescent="0.35">
      <c r="A5023">
        <v>57199783998</v>
      </c>
      <c r="B5023" t="s">
        <v>5016</v>
      </c>
      <c r="C5023" t="str">
        <f>_xlfn.XLOOKUP(A5023,[1]Affiliations!$J$2:$J$5328,[1]Affiliations!$K$2:$K$5328,0)</f>
        <v>Universidade Federal de Pernambuco</v>
      </c>
      <c r="D5023">
        <v>2</v>
      </c>
      <c r="E5023">
        <v>32</v>
      </c>
      <c r="F5023">
        <v>16</v>
      </c>
      <c r="G5023">
        <v>2</v>
      </c>
      <c r="H5023">
        <v>0.83</v>
      </c>
      <c r="I5023">
        <v>0</v>
      </c>
      <c r="J5023">
        <v>0</v>
      </c>
      <c r="K5023">
        <v>0</v>
      </c>
      <c r="L5023">
        <v>0</v>
      </c>
      <c r="M5023">
        <v>2</v>
      </c>
      <c r="N5023">
        <v>2</v>
      </c>
      <c r="P5023">
        <v>0</v>
      </c>
      <c r="Q5023">
        <v>0</v>
      </c>
      <c r="R5023">
        <v>0</v>
      </c>
      <c r="S5023">
        <v>1</v>
      </c>
    </row>
    <row r="5024" spans="1:19" hidden="1" x14ac:dyDescent="0.35">
      <c r="A5024">
        <v>58527638500</v>
      </c>
      <c r="B5024" t="s">
        <v>5017</v>
      </c>
      <c r="C5024" t="str">
        <f>_xlfn.XLOOKUP(A5024,[1]Affiliations!$J$2:$J$5328,[1]Affiliations!$K$2:$K$5328,0)</f>
        <v>Núcleo de Estudo em Sistemas Coloidais (NUESC) / Instituto de Tecnologia e Pesquisa (ITP)</v>
      </c>
      <c r="D5024">
        <v>3</v>
      </c>
      <c r="E5024">
        <v>12</v>
      </c>
      <c r="F5024">
        <v>4</v>
      </c>
      <c r="G5024">
        <v>2</v>
      </c>
      <c r="H5024">
        <v>0.64</v>
      </c>
      <c r="I5024">
        <v>0</v>
      </c>
      <c r="J5024">
        <v>1</v>
      </c>
      <c r="K5024">
        <v>1</v>
      </c>
      <c r="L5024">
        <v>1</v>
      </c>
      <c r="M5024">
        <v>2</v>
      </c>
      <c r="N5024">
        <v>3</v>
      </c>
      <c r="P5024">
        <v>0</v>
      </c>
      <c r="Q5024">
        <v>0</v>
      </c>
      <c r="R5024">
        <v>0</v>
      </c>
      <c r="S5024">
        <v>1</v>
      </c>
    </row>
    <row r="5025" spans="1:19" x14ac:dyDescent="0.35">
      <c r="A5025">
        <v>55956124700</v>
      </c>
      <c r="B5025" t="s">
        <v>2537</v>
      </c>
      <c r="C5025" t="str">
        <f>_xlfn.XLOOKUP(A5025,[1]Affiliations!$J$2:$J$5328,[1]Affiliations!$K$2:$K$5328,0)</f>
        <v>Federal University of Rio de Janeiro</v>
      </c>
      <c r="D5025">
        <v>7</v>
      </c>
      <c r="E5025">
        <v>90</v>
      </c>
      <c r="F5025">
        <v>12.857142</v>
      </c>
      <c r="G5025">
        <v>4</v>
      </c>
      <c r="H5025">
        <v>0.54</v>
      </c>
      <c r="I5025">
        <v>0</v>
      </c>
      <c r="J5025">
        <v>1</v>
      </c>
      <c r="K5025">
        <v>4</v>
      </c>
      <c r="L5025">
        <v>6</v>
      </c>
      <c r="M5025">
        <v>7</v>
      </c>
      <c r="N5025">
        <v>7</v>
      </c>
      <c r="P5025">
        <v>0</v>
      </c>
      <c r="Q5025">
        <v>0</v>
      </c>
      <c r="R5025">
        <v>1</v>
      </c>
      <c r="S5025">
        <v>1</v>
      </c>
    </row>
    <row r="5026" spans="1:19" hidden="1" x14ac:dyDescent="0.35">
      <c r="A5026">
        <v>57204000647</v>
      </c>
      <c r="B5026" t="s">
        <v>5019</v>
      </c>
      <c r="C5026" t="str">
        <f>_xlfn.XLOOKUP(A5026,[1]Affiliations!$J$2:$J$5328,[1]Affiliations!$K$2:$K$5328,0)</f>
        <v>Pontifical Catholic University of Rio de Janeiro (+2 more)</v>
      </c>
      <c r="D5026">
        <v>5</v>
      </c>
      <c r="E5026">
        <v>21</v>
      </c>
      <c r="F5026">
        <v>4.2</v>
      </c>
      <c r="G5026">
        <v>2</v>
      </c>
      <c r="H5026">
        <v>0.33</v>
      </c>
      <c r="I5026">
        <v>0</v>
      </c>
      <c r="J5026">
        <v>0</v>
      </c>
      <c r="K5026">
        <v>2</v>
      </c>
      <c r="L5026">
        <v>2</v>
      </c>
      <c r="M5026">
        <v>2</v>
      </c>
      <c r="N5026">
        <v>2</v>
      </c>
      <c r="P5026">
        <v>0</v>
      </c>
      <c r="Q5026">
        <v>0</v>
      </c>
      <c r="R5026">
        <v>0</v>
      </c>
      <c r="S5026">
        <v>1</v>
      </c>
    </row>
    <row r="5027" spans="1:19" hidden="1" x14ac:dyDescent="0.35">
      <c r="A5027">
        <v>57210156630</v>
      </c>
      <c r="B5027" t="s">
        <v>5020</v>
      </c>
      <c r="C5027" t="str">
        <f>_xlfn.XLOOKUP(A5027,[1]Affiliations!$J$2:$J$5328,[1]Affiliations!$K$2:$K$5328,0)</f>
        <v>Federal University of Rio de Janeiro</v>
      </c>
      <c r="D5027">
        <v>5</v>
      </c>
      <c r="E5027">
        <v>12</v>
      </c>
      <c r="F5027">
        <v>2.4</v>
      </c>
      <c r="G5027">
        <v>3</v>
      </c>
      <c r="H5027">
        <v>0.33</v>
      </c>
      <c r="I5027">
        <v>0</v>
      </c>
      <c r="J5027">
        <v>0</v>
      </c>
      <c r="K5027">
        <v>1</v>
      </c>
      <c r="L5027">
        <v>1</v>
      </c>
      <c r="M5027">
        <v>2</v>
      </c>
      <c r="N5027">
        <v>2</v>
      </c>
      <c r="P5027">
        <v>0</v>
      </c>
      <c r="Q5027">
        <v>0</v>
      </c>
      <c r="R5027">
        <v>0</v>
      </c>
      <c r="S5027">
        <v>0</v>
      </c>
    </row>
    <row r="5028" spans="1:19" x14ac:dyDescent="0.35">
      <c r="A5028">
        <v>36240685100</v>
      </c>
      <c r="B5028" t="s">
        <v>3111</v>
      </c>
      <c r="C5028" t="str">
        <f>_xlfn.XLOOKUP(A5028,[1]Affiliations!$J$2:$J$5328,[1]Affiliations!$K$2:$K$5328,0)</f>
        <v>Federal University of Rio de Janeiro</v>
      </c>
      <c r="D5028">
        <v>47</v>
      </c>
      <c r="E5028">
        <v>484</v>
      </c>
      <c r="F5028">
        <v>10.297872999999999</v>
      </c>
      <c r="G5028">
        <v>16</v>
      </c>
      <c r="H5028">
        <v>0.54</v>
      </c>
      <c r="I5028">
        <v>1</v>
      </c>
      <c r="J5028">
        <v>3</v>
      </c>
      <c r="K5028">
        <v>4</v>
      </c>
      <c r="L5028">
        <v>21</v>
      </c>
      <c r="M5028">
        <v>24</v>
      </c>
      <c r="N5028">
        <v>28</v>
      </c>
      <c r="P5028">
        <v>0</v>
      </c>
      <c r="Q5028">
        <v>0</v>
      </c>
      <c r="R5028">
        <v>3</v>
      </c>
      <c r="S5028">
        <v>9</v>
      </c>
    </row>
    <row r="5029" spans="1:19" hidden="1" x14ac:dyDescent="0.35">
      <c r="A5029">
        <v>38062189900</v>
      </c>
      <c r="B5029" t="s">
        <v>5022</v>
      </c>
      <c r="C5029" t="str">
        <f>_xlfn.XLOOKUP(A5029,[1]Affiliations!$J$2:$J$5328,[1]Affiliations!$K$2:$K$5328,0)</f>
        <v>Federal University of Rio de Janeiro</v>
      </c>
      <c r="D5029">
        <v>15</v>
      </c>
      <c r="E5029">
        <v>104</v>
      </c>
      <c r="F5029">
        <v>6.9333334000000004</v>
      </c>
      <c r="G5029">
        <v>8</v>
      </c>
      <c r="H5029">
        <v>0.46</v>
      </c>
      <c r="I5029">
        <v>0</v>
      </c>
      <c r="J5029">
        <v>1</v>
      </c>
      <c r="K5029">
        <v>5</v>
      </c>
      <c r="L5029">
        <v>8</v>
      </c>
      <c r="M5029">
        <v>11</v>
      </c>
      <c r="N5029">
        <v>12</v>
      </c>
      <c r="P5029">
        <v>0</v>
      </c>
      <c r="Q5029">
        <v>0</v>
      </c>
      <c r="R5029">
        <v>0</v>
      </c>
      <c r="S5029">
        <v>2</v>
      </c>
    </row>
    <row r="5030" spans="1:19" hidden="1" x14ac:dyDescent="0.35">
      <c r="A5030">
        <v>58413441100</v>
      </c>
      <c r="B5030" t="s">
        <v>5023</v>
      </c>
      <c r="C5030" t="str">
        <f>_xlfn.XLOOKUP(A5030,[1]Affiliations!$J$2:$J$5328,[1]Affiliations!$K$2:$K$5328,0)</f>
        <v>Universidade Federal Fluminense</v>
      </c>
      <c r="D5030">
        <v>1</v>
      </c>
      <c r="E5030">
        <v>2</v>
      </c>
      <c r="F5030">
        <v>2</v>
      </c>
      <c r="G5030">
        <v>1</v>
      </c>
      <c r="H5030">
        <v>0.28000000000000003</v>
      </c>
      <c r="I5030">
        <v>0</v>
      </c>
      <c r="J5030">
        <v>0</v>
      </c>
      <c r="K5030">
        <v>0</v>
      </c>
      <c r="L5030">
        <v>0</v>
      </c>
      <c r="M5030">
        <v>1</v>
      </c>
      <c r="N5030">
        <v>1</v>
      </c>
      <c r="P5030">
        <v>0</v>
      </c>
      <c r="Q5030">
        <v>0</v>
      </c>
      <c r="R5030">
        <v>0</v>
      </c>
      <c r="S5030">
        <v>0</v>
      </c>
    </row>
    <row r="5031" spans="1:19" hidden="1" x14ac:dyDescent="0.35">
      <c r="A5031">
        <v>59204242500</v>
      </c>
      <c r="B5031" t="s">
        <v>5024</v>
      </c>
      <c r="C5031" t="str">
        <f>_xlfn.XLOOKUP(A5031,[1]Affiliations!$J$2:$J$5328,[1]Affiliations!$K$2:$K$5328,0)</f>
        <v>Pontifical Catholic University of Rio de Janeiro</v>
      </c>
      <c r="D5031">
        <v>1</v>
      </c>
      <c r="E5031">
        <v>0</v>
      </c>
      <c r="F5031">
        <v>0</v>
      </c>
      <c r="G5031">
        <v>1</v>
      </c>
      <c r="H5031">
        <v>0</v>
      </c>
      <c r="P5031">
        <v>0</v>
      </c>
      <c r="Q5031">
        <v>0</v>
      </c>
      <c r="R5031">
        <v>0</v>
      </c>
      <c r="S5031">
        <v>0</v>
      </c>
    </row>
    <row r="5032" spans="1:19" hidden="1" x14ac:dyDescent="0.35">
      <c r="A5032">
        <v>8642376400</v>
      </c>
      <c r="B5032" t="s">
        <v>5025</v>
      </c>
      <c r="C5032" t="str">
        <f>_xlfn.XLOOKUP(A5032,[1]Affiliations!$J$2:$J$5328,[1]Affiliations!$K$2:$K$5328,0)</f>
        <v>University of Campinas (+1 more)</v>
      </c>
      <c r="D5032">
        <v>44</v>
      </c>
      <c r="E5032">
        <v>425</v>
      </c>
      <c r="F5032">
        <v>9.6590910000000001</v>
      </c>
      <c r="G5032">
        <v>15</v>
      </c>
      <c r="H5032">
        <v>0.61</v>
      </c>
      <c r="I5032">
        <v>0</v>
      </c>
      <c r="J5032">
        <v>5</v>
      </c>
      <c r="K5032">
        <v>5</v>
      </c>
      <c r="L5032">
        <v>16</v>
      </c>
      <c r="M5032">
        <v>29</v>
      </c>
      <c r="N5032">
        <v>35</v>
      </c>
      <c r="P5032">
        <v>0</v>
      </c>
      <c r="Q5032">
        <v>0</v>
      </c>
      <c r="R5032">
        <v>0</v>
      </c>
      <c r="S5032">
        <v>12</v>
      </c>
    </row>
    <row r="5033" spans="1:19" hidden="1" x14ac:dyDescent="0.35">
      <c r="A5033">
        <v>57201682600</v>
      </c>
      <c r="B5033" t="s">
        <v>5026</v>
      </c>
      <c r="C5033" t="str">
        <f>_xlfn.XLOOKUP(A5033,[1]Affiliations!$J$2:$J$5328,[1]Affiliations!$K$2:$K$5328,0)</f>
        <v>Pontifical Catholic University of Rio de Janeiro</v>
      </c>
      <c r="D5033">
        <v>2</v>
      </c>
      <c r="E5033">
        <v>38</v>
      </c>
      <c r="F5033">
        <v>19</v>
      </c>
      <c r="G5033">
        <v>2</v>
      </c>
      <c r="H5033">
        <v>0.62</v>
      </c>
      <c r="I5033">
        <v>0</v>
      </c>
      <c r="J5033">
        <v>0</v>
      </c>
      <c r="K5033">
        <v>0</v>
      </c>
      <c r="L5033">
        <v>1</v>
      </c>
      <c r="M5033">
        <v>2</v>
      </c>
      <c r="N5033">
        <v>2</v>
      </c>
      <c r="P5033">
        <v>0</v>
      </c>
      <c r="Q5033">
        <v>0</v>
      </c>
      <c r="R5033">
        <v>0</v>
      </c>
      <c r="S5033">
        <v>1</v>
      </c>
    </row>
    <row r="5034" spans="1:19" x14ac:dyDescent="0.35">
      <c r="A5034">
        <v>55773290700</v>
      </c>
      <c r="B5034" t="s">
        <v>3412</v>
      </c>
      <c r="C5034" t="str">
        <f>_xlfn.XLOOKUP(A5034,[1]Affiliations!$J$2:$J$5328,[1]Affiliations!$K$2:$K$5328,0)</f>
        <v>Federal University of Rio de Janeiro</v>
      </c>
      <c r="D5034">
        <v>28</v>
      </c>
      <c r="E5034">
        <v>230</v>
      </c>
      <c r="F5034">
        <v>8.2142859999999995</v>
      </c>
      <c r="G5034">
        <v>9</v>
      </c>
      <c r="H5034">
        <v>0.54</v>
      </c>
      <c r="I5034">
        <v>0</v>
      </c>
      <c r="J5034">
        <v>1</v>
      </c>
      <c r="K5034">
        <v>3</v>
      </c>
      <c r="L5034">
        <v>12</v>
      </c>
      <c r="M5034">
        <v>20</v>
      </c>
      <c r="N5034">
        <v>25</v>
      </c>
      <c r="P5034">
        <v>0</v>
      </c>
      <c r="Q5034">
        <v>0</v>
      </c>
      <c r="R5034">
        <v>1</v>
      </c>
      <c r="S5034">
        <v>6</v>
      </c>
    </row>
    <row r="5035" spans="1:19" hidden="1" x14ac:dyDescent="0.35">
      <c r="A5035">
        <v>56730350000</v>
      </c>
      <c r="B5035" t="s">
        <v>5028</v>
      </c>
      <c r="C5035" t="str">
        <f>_xlfn.XLOOKUP(A5035,[1]Affiliations!$J$2:$J$5328,[1]Affiliations!$K$2:$K$5328,0)</f>
        <v>Universidade Federal do Espírito Santo</v>
      </c>
      <c r="D5035">
        <v>3</v>
      </c>
      <c r="E5035">
        <v>53</v>
      </c>
      <c r="F5035">
        <v>17.666665999999999</v>
      </c>
      <c r="G5035">
        <v>3</v>
      </c>
      <c r="H5035">
        <v>0.88</v>
      </c>
      <c r="I5035">
        <v>0</v>
      </c>
      <c r="J5035">
        <v>1</v>
      </c>
      <c r="K5035">
        <v>1</v>
      </c>
      <c r="L5035">
        <v>2</v>
      </c>
      <c r="M5035">
        <v>3</v>
      </c>
      <c r="N5035">
        <v>3</v>
      </c>
      <c r="P5035">
        <v>0</v>
      </c>
      <c r="Q5035">
        <v>0</v>
      </c>
      <c r="R5035">
        <v>0</v>
      </c>
      <c r="S5035">
        <v>1</v>
      </c>
    </row>
    <row r="5036" spans="1:19" hidden="1" x14ac:dyDescent="0.35">
      <c r="A5036">
        <v>23483040900</v>
      </c>
      <c r="B5036" t="s">
        <v>5029</v>
      </c>
      <c r="C5036" t="str">
        <f>_xlfn.XLOOKUP(A5036,[1]Affiliations!$J$2:$J$5328,[1]Affiliations!$K$2:$K$5328,0)</f>
        <v>Federal University of Rio de Janeiro</v>
      </c>
      <c r="D5036">
        <v>6</v>
      </c>
      <c r="E5036">
        <v>115</v>
      </c>
      <c r="F5036">
        <v>19.166665999999999</v>
      </c>
      <c r="G5036">
        <v>9</v>
      </c>
      <c r="H5036">
        <v>0.77</v>
      </c>
      <c r="I5036">
        <v>0</v>
      </c>
      <c r="J5036">
        <v>0</v>
      </c>
      <c r="K5036">
        <v>3</v>
      </c>
      <c r="L5036">
        <v>6</v>
      </c>
      <c r="M5036">
        <v>6</v>
      </c>
      <c r="N5036">
        <v>6</v>
      </c>
      <c r="P5036">
        <v>0</v>
      </c>
      <c r="Q5036">
        <v>0</v>
      </c>
      <c r="R5036">
        <v>0</v>
      </c>
      <c r="S5036">
        <v>3</v>
      </c>
    </row>
    <row r="5037" spans="1:19" hidden="1" x14ac:dyDescent="0.35">
      <c r="A5037">
        <v>57209617575</v>
      </c>
      <c r="B5037" t="s">
        <v>5030</v>
      </c>
      <c r="C5037" t="str">
        <f>_xlfn.XLOOKUP(A5037,[1]Affiliations!$J$2:$J$5328,[1]Affiliations!$K$2:$K$5328,0)</f>
        <v>Vizlab - X-Reality and GeoInformatics Lab</v>
      </c>
      <c r="D5037">
        <v>2</v>
      </c>
      <c r="E5037">
        <v>23</v>
      </c>
      <c r="F5037">
        <v>11.5</v>
      </c>
      <c r="G5037">
        <v>2</v>
      </c>
      <c r="H5037">
        <v>1.54</v>
      </c>
      <c r="I5037">
        <v>0</v>
      </c>
      <c r="J5037">
        <v>0</v>
      </c>
      <c r="K5037">
        <v>1</v>
      </c>
      <c r="L5037">
        <v>2</v>
      </c>
      <c r="M5037">
        <v>2</v>
      </c>
      <c r="N5037">
        <v>2</v>
      </c>
      <c r="P5037">
        <v>0</v>
      </c>
      <c r="Q5037">
        <v>0</v>
      </c>
      <c r="R5037">
        <v>1</v>
      </c>
      <c r="S5037">
        <v>1</v>
      </c>
    </row>
    <row r="5038" spans="1:19" x14ac:dyDescent="0.35">
      <c r="A5038">
        <v>6602398053</v>
      </c>
      <c r="B5038" t="s">
        <v>3806</v>
      </c>
      <c r="C5038" t="str">
        <f>_xlfn.XLOOKUP(A5038,[1]Affiliations!$J$2:$J$5328,[1]Affiliations!$K$2:$K$5328,0)</f>
        <v>Subsea 7 (+1 more)</v>
      </c>
      <c r="D5038">
        <v>36</v>
      </c>
      <c r="E5038">
        <v>449</v>
      </c>
      <c r="F5038">
        <v>12.472222</v>
      </c>
      <c r="G5038">
        <v>18</v>
      </c>
      <c r="H5038">
        <v>0.54</v>
      </c>
      <c r="I5038">
        <v>0</v>
      </c>
      <c r="J5038">
        <v>1</v>
      </c>
      <c r="K5038">
        <v>2</v>
      </c>
      <c r="L5038">
        <v>4</v>
      </c>
      <c r="M5038">
        <v>16</v>
      </c>
      <c r="N5038">
        <v>25</v>
      </c>
      <c r="P5038">
        <v>1</v>
      </c>
      <c r="Q5038">
        <v>1</v>
      </c>
      <c r="R5038">
        <v>1</v>
      </c>
      <c r="S5038">
        <v>7</v>
      </c>
    </row>
    <row r="5039" spans="1:19" hidden="1" x14ac:dyDescent="0.35">
      <c r="A5039">
        <v>8137953900</v>
      </c>
      <c r="B5039" t="s">
        <v>5032</v>
      </c>
      <c r="C5039" t="str">
        <f>_xlfn.XLOOKUP(A5039,[1]Affiliations!$J$2:$J$5328,[1]Affiliations!$K$2:$K$5328,0)</f>
        <v>Universidade de São Paulo</v>
      </c>
      <c r="D5039">
        <v>14</v>
      </c>
      <c r="E5039">
        <v>53</v>
      </c>
      <c r="F5039">
        <v>3.7857143999999998</v>
      </c>
      <c r="G5039">
        <v>7</v>
      </c>
      <c r="H5039">
        <v>0.28000000000000003</v>
      </c>
      <c r="I5039">
        <v>1</v>
      </c>
      <c r="J5039">
        <v>2</v>
      </c>
      <c r="K5039">
        <v>2</v>
      </c>
      <c r="L5039">
        <v>4</v>
      </c>
      <c r="M5039">
        <v>9</v>
      </c>
      <c r="N5039">
        <v>11</v>
      </c>
      <c r="P5039">
        <v>0</v>
      </c>
      <c r="Q5039">
        <v>0</v>
      </c>
      <c r="R5039">
        <v>0</v>
      </c>
      <c r="S5039">
        <v>1</v>
      </c>
    </row>
    <row r="5040" spans="1:19" hidden="1" x14ac:dyDescent="0.35">
      <c r="A5040">
        <v>58493508400</v>
      </c>
      <c r="B5040" t="s">
        <v>5033</v>
      </c>
      <c r="C5040" t="str">
        <f>_xlfn.XLOOKUP(A5040,[1]Affiliations!$J$2:$J$5328,[1]Affiliations!$K$2:$K$5328,0)</f>
        <v>Universidade Federal de Minas Gerais</v>
      </c>
      <c r="D5040">
        <v>1</v>
      </c>
      <c r="E5040">
        <v>5</v>
      </c>
      <c r="F5040">
        <v>5</v>
      </c>
      <c r="G5040">
        <v>1</v>
      </c>
      <c r="H5040">
        <v>0.72</v>
      </c>
      <c r="I5040">
        <v>0</v>
      </c>
      <c r="J5040">
        <v>1</v>
      </c>
      <c r="K5040">
        <v>1</v>
      </c>
      <c r="L5040">
        <v>1</v>
      </c>
      <c r="M5040">
        <v>1</v>
      </c>
      <c r="N5040">
        <v>1</v>
      </c>
      <c r="P5040">
        <v>0</v>
      </c>
      <c r="Q5040">
        <v>0</v>
      </c>
      <c r="R5040">
        <v>0</v>
      </c>
      <c r="S5040">
        <v>0</v>
      </c>
    </row>
    <row r="5041" spans="1:19" hidden="1" x14ac:dyDescent="0.35">
      <c r="A5041">
        <v>40662037800</v>
      </c>
      <c r="B5041" t="s">
        <v>5034</v>
      </c>
      <c r="C5041" t="str">
        <f>_xlfn.XLOOKUP(A5041,[1]Affiliations!$J$2:$J$5328,[1]Affiliations!$K$2:$K$5328,0)</f>
        <v>Pontifical Catholic University of Rio de Janeiro</v>
      </c>
      <c r="D5041">
        <v>0</v>
      </c>
      <c r="G5041">
        <v>4</v>
      </c>
    </row>
    <row r="5042" spans="1:19" x14ac:dyDescent="0.35">
      <c r="A5042">
        <v>6504209331</v>
      </c>
      <c r="B5042" t="s">
        <v>3928</v>
      </c>
      <c r="C5042" t="str">
        <f>_xlfn.XLOOKUP(A5042,[1]Affiliations!$J$2:$J$5328,[1]Affiliations!$K$2:$K$5328,0)</f>
        <v>Universidade Federal do Rio Grande do Sul</v>
      </c>
      <c r="D5042">
        <v>45</v>
      </c>
      <c r="E5042">
        <v>414</v>
      </c>
      <c r="F5042">
        <v>9.1999999999999993</v>
      </c>
      <c r="G5042">
        <v>14</v>
      </c>
      <c r="H5042">
        <v>0.54</v>
      </c>
      <c r="I5042">
        <v>1</v>
      </c>
      <c r="J5042">
        <v>2</v>
      </c>
      <c r="K5042">
        <v>7</v>
      </c>
      <c r="L5042">
        <v>15</v>
      </c>
      <c r="M5042">
        <v>24</v>
      </c>
      <c r="N5042">
        <v>30</v>
      </c>
      <c r="P5042">
        <v>0</v>
      </c>
      <c r="Q5042">
        <v>0</v>
      </c>
      <c r="R5042">
        <v>1</v>
      </c>
      <c r="S5042">
        <v>6</v>
      </c>
    </row>
    <row r="5043" spans="1:19" hidden="1" x14ac:dyDescent="0.35">
      <c r="A5043">
        <v>6701594170</v>
      </c>
      <c r="B5043" t="s">
        <v>5036</v>
      </c>
      <c r="C5043" t="str">
        <f>_xlfn.XLOOKUP(A5043,[1]Affiliations!$J$2:$J$5328,[1]Affiliations!$K$2:$K$5328,0)</f>
        <v>Petróleo Brasileiro S.A. (+1 more)</v>
      </c>
      <c r="D5043">
        <v>1</v>
      </c>
      <c r="E5043">
        <v>0</v>
      </c>
      <c r="F5043">
        <v>0</v>
      </c>
      <c r="G5043">
        <v>3</v>
      </c>
      <c r="H5043">
        <v>0</v>
      </c>
      <c r="P5043">
        <v>0</v>
      </c>
      <c r="Q5043">
        <v>0</v>
      </c>
      <c r="R5043">
        <v>0</v>
      </c>
      <c r="S5043">
        <v>0</v>
      </c>
    </row>
    <row r="5044" spans="1:19" hidden="1" x14ac:dyDescent="0.35">
      <c r="A5044">
        <v>57266859300</v>
      </c>
      <c r="B5044" t="s">
        <v>5037</v>
      </c>
      <c r="C5044" t="str">
        <f>_xlfn.XLOOKUP(A5044,[1]Affiliations!$J$2:$J$5328,[1]Affiliations!$K$2:$K$5328,0)</f>
        <v>Federal University of Rio de Janeiro</v>
      </c>
      <c r="D5044">
        <v>2</v>
      </c>
      <c r="E5044">
        <v>17</v>
      </c>
      <c r="F5044">
        <v>8.5</v>
      </c>
      <c r="G5044">
        <v>2</v>
      </c>
      <c r="H5044">
        <v>0.36</v>
      </c>
      <c r="I5044">
        <v>0</v>
      </c>
      <c r="J5044">
        <v>0</v>
      </c>
      <c r="K5044">
        <v>0</v>
      </c>
      <c r="L5044">
        <v>1</v>
      </c>
      <c r="M5044">
        <v>1</v>
      </c>
      <c r="N5044">
        <v>2</v>
      </c>
      <c r="P5044">
        <v>0</v>
      </c>
      <c r="Q5044">
        <v>0</v>
      </c>
      <c r="R5044">
        <v>0</v>
      </c>
      <c r="S5044">
        <v>0</v>
      </c>
    </row>
    <row r="5045" spans="1:19" x14ac:dyDescent="0.35">
      <c r="A5045">
        <v>37105111000</v>
      </c>
      <c r="B5045" t="s">
        <v>4928</v>
      </c>
      <c r="C5045" t="str">
        <f>_xlfn.XLOOKUP(A5045,[1]Affiliations!$J$2:$J$5328,[1]Affiliations!$K$2:$K$5328,0)</f>
        <v>Universidade de São Paulo</v>
      </c>
      <c r="D5045">
        <v>28</v>
      </c>
      <c r="E5045">
        <v>166</v>
      </c>
      <c r="F5045">
        <v>5.9285709999999998</v>
      </c>
      <c r="G5045">
        <v>9</v>
      </c>
      <c r="H5045">
        <v>0.54</v>
      </c>
      <c r="I5045">
        <v>0</v>
      </c>
      <c r="J5045">
        <v>1</v>
      </c>
      <c r="K5045">
        <v>2</v>
      </c>
      <c r="L5045">
        <v>4</v>
      </c>
      <c r="M5045">
        <v>6</v>
      </c>
      <c r="N5045">
        <v>15</v>
      </c>
      <c r="P5045">
        <v>0</v>
      </c>
      <c r="Q5045">
        <v>0</v>
      </c>
      <c r="R5045">
        <v>1</v>
      </c>
      <c r="S5045">
        <v>2</v>
      </c>
    </row>
    <row r="5046" spans="1:19" hidden="1" x14ac:dyDescent="0.35">
      <c r="A5046">
        <v>55895199400</v>
      </c>
      <c r="B5046" t="s">
        <v>5039</v>
      </c>
      <c r="C5046" t="str">
        <f>_xlfn.XLOOKUP(A5046,[1]Affiliations!$J$2:$J$5328,[1]Affiliations!$K$2:$K$5328,0)</f>
        <v>University of Campinas</v>
      </c>
      <c r="D5046">
        <v>8</v>
      </c>
      <c r="E5046">
        <v>108</v>
      </c>
      <c r="F5046">
        <v>13.5</v>
      </c>
      <c r="G5046">
        <v>6</v>
      </c>
      <c r="H5046">
        <v>0.64</v>
      </c>
      <c r="I5046">
        <v>0</v>
      </c>
      <c r="J5046">
        <v>1</v>
      </c>
      <c r="K5046">
        <v>3</v>
      </c>
      <c r="L5046">
        <v>6</v>
      </c>
      <c r="M5046">
        <v>8</v>
      </c>
      <c r="N5046">
        <v>8</v>
      </c>
      <c r="P5046">
        <v>0</v>
      </c>
      <c r="Q5046">
        <v>0</v>
      </c>
      <c r="R5046">
        <v>0</v>
      </c>
      <c r="S5046">
        <v>2</v>
      </c>
    </row>
    <row r="5047" spans="1:19" hidden="1" x14ac:dyDescent="0.35">
      <c r="A5047">
        <v>6604025148</v>
      </c>
      <c r="B5047" t="s">
        <v>5040</v>
      </c>
      <c r="C5047" t="str">
        <f>_xlfn.XLOOKUP(A5047,[1]Affiliations!$J$2:$J$5328,[1]Affiliations!$K$2:$K$5328,0)</f>
        <v>Vallourec South America</v>
      </c>
      <c r="D5047">
        <v>21</v>
      </c>
      <c r="E5047">
        <v>66</v>
      </c>
      <c r="F5047">
        <v>3.1428569999999998</v>
      </c>
      <c r="G5047">
        <v>16</v>
      </c>
      <c r="H5047">
        <v>0.09</v>
      </c>
      <c r="I5047">
        <v>0</v>
      </c>
      <c r="J5047">
        <v>0</v>
      </c>
      <c r="K5047">
        <v>0</v>
      </c>
      <c r="L5047">
        <v>2</v>
      </c>
      <c r="M5047">
        <v>3</v>
      </c>
      <c r="N5047">
        <v>9</v>
      </c>
      <c r="P5047">
        <v>0</v>
      </c>
      <c r="Q5047">
        <v>0</v>
      </c>
      <c r="R5047">
        <v>0</v>
      </c>
      <c r="S5047">
        <v>1</v>
      </c>
    </row>
    <row r="5048" spans="1:19" hidden="1" x14ac:dyDescent="0.35">
      <c r="A5048">
        <v>57914854300</v>
      </c>
      <c r="B5048" t="s">
        <v>5041</v>
      </c>
      <c r="C5048" t="str">
        <f>_xlfn.XLOOKUP(A5048,[1]Affiliations!$J$2:$J$5328,[1]Affiliations!$K$2:$K$5328,0)</f>
        <v>Universidade Estadual do Norte Fluminense</v>
      </c>
      <c r="D5048">
        <v>1</v>
      </c>
      <c r="E5048">
        <v>9</v>
      </c>
      <c r="F5048">
        <v>9</v>
      </c>
      <c r="G5048">
        <v>1</v>
      </c>
      <c r="H5048">
        <v>0.53</v>
      </c>
      <c r="I5048">
        <v>0</v>
      </c>
      <c r="J5048">
        <v>0</v>
      </c>
      <c r="K5048">
        <v>1</v>
      </c>
      <c r="L5048">
        <v>1</v>
      </c>
      <c r="M5048">
        <v>1</v>
      </c>
      <c r="N5048">
        <v>1</v>
      </c>
      <c r="P5048">
        <v>0</v>
      </c>
      <c r="Q5048">
        <v>0</v>
      </c>
      <c r="R5048">
        <v>0</v>
      </c>
      <c r="S5048">
        <v>0</v>
      </c>
    </row>
    <row r="5049" spans="1:19" hidden="1" x14ac:dyDescent="0.35">
      <c r="A5049">
        <v>57208229664</v>
      </c>
      <c r="B5049" t="s">
        <v>5042</v>
      </c>
      <c r="C5049" t="str">
        <f>_xlfn.XLOOKUP(A5049,[1]Affiliations!$J$2:$J$5328,[1]Affiliations!$K$2:$K$5328,0)</f>
        <v>Marinha do Brasil</v>
      </c>
      <c r="D5049">
        <v>2</v>
      </c>
      <c r="E5049">
        <v>111</v>
      </c>
      <c r="F5049">
        <v>55.5</v>
      </c>
      <c r="G5049">
        <v>2</v>
      </c>
      <c r="H5049">
        <v>3</v>
      </c>
      <c r="I5049">
        <v>0</v>
      </c>
      <c r="J5049">
        <v>0</v>
      </c>
      <c r="K5049">
        <v>0</v>
      </c>
      <c r="L5049">
        <v>1</v>
      </c>
      <c r="M5049">
        <v>2</v>
      </c>
      <c r="N5049">
        <v>2</v>
      </c>
      <c r="P5049">
        <v>0</v>
      </c>
      <c r="Q5049">
        <v>1</v>
      </c>
      <c r="R5049">
        <v>1</v>
      </c>
      <c r="S5049">
        <v>2</v>
      </c>
    </row>
    <row r="5050" spans="1:19" x14ac:dyDescent="0.35">
      <c r="A5050">
        <v>57188699720</v>
      </c>
      <c r="B5050" t="s">
        <v>5076</v>
      </c>
      <c r="C5050" t="str">
        <f>_xlfn.XLOOKUP(A5050,[1]Affiliations!$J$2:$J$5328,[1]Affiliations!$K$2:$K$5328,0)</f>
        <v>Universidade Estadual Paulista “Júlio de Mesquita Filho”</v>
      </c>
      <c r="D5050">
        <v>42</v>
      </c>
      <c r="E5050">
        <v>401</v>
      </c>
      <c r="F5050">
        <v>9.5476189999999992</v>
      </c>
      <c r="G5050">
        <v>12</v>
      </c>
      <c r="H5050">
        <v>0.54</v>
      </c>
      <c r="I5050">
        <v>1</v>
      </c>
      <c r="J5050">
        <v>8</v>
      </c>
      <c r="K5050">
        <v>9</v>
      </c>
      <c r="L5050">
        <v>17</v>
      </c>
      <c r="M5050">
        <v>22</v>
      </c>
      <c r="N5050">
        <v>23</v>
      </c>
      <c r="P5050">
        <v>1</v>
      </c>
      <c r="Q5050">
        <v>1</v>
      </c>
      <c r="R5050">
        <v>3</v>
      </c>
      <c r="S5050">
        <v>9</v>
      </c>
    </row>
    <row r="5051" spans="1:19" hidden="1" x14ac:dyDescent="0.35">
      <c r="A5051">
        <v>6504382134</v>
      </c>
      <c r="B5051" t="s">
        <v>5044</v>
      </c>
      <c r="C5051" t="str">
        <f>_xlfn.XLOOKUP(A5051,[1]Affiliations!$J$2:$J$5328,[1]Affiliations!$K$2:$K$5328,0)</f>
        <v>Federal University of Rio de Janeiro</v>
      </c>
      <c r="D5051">
        <v>4</v>
      </c>
      <c r="E5051">
        <v>8</v>
      </c>
      <c r="F5051">
        <v>2</v>
      </c>
      <c r="G5051">
        <v>2</v>
      </c>
      <c r="H5051">
        <v>0.18</v>
      </c>
      <c r="I5051">
        <v>0</v>
      </c>
      <c r="J5051">
        <v>0</v>
      </c>
      <c r="K5051">
        <v>0</v>
      </c>
      <c r="L5051">
        <v>0</v>
      </c>
      <c r="M5051">
        <v>1</v>
      </c>
      <c r="N5051">
        <v>1</v>
      </c>
      <c r="P5051">
        <v>0</v>
      </c>
      <c r="Q5051">
        <v>0</v>
      </c>
      <c r="R5051">
        <v>0</v>
      </c>
      <c r="S5051">
        <v>0</v>
      </c>
    </row>
    <row r="5052" spans="1:19" x14ac:dyDescent="0.35">
      <c r="A5052">
        <v>6601976136</v>
      </c>
      <c r="B5052" t="s">
        <v>5264</v>
      </c>
      <c r="C5052" t="str">
        <f>_xlfn.XLOOKUP(A5052,[1]Affiliations!$J$2:$J$5328,[1]Affiliations!$K$2:$K$5328,0)</f>
        <v>University of Campinas</v>
      </c>
      <c r="D5052">
        <v>111</v>
      </c>
      <c r="E5052">
        <v>2093</v>
      </c>
      <c r="F5052">
        <v>18.855855999999999</v>
      </c>
      <c r="G5052">
        <v>39</v>
      </c>
      <c r="H5052">
        <v>0.54</v>
      </c>
      <c r="I5052">
        <v>0</v>
      </c>
      <c r="J5052">
        <v>9</v>
      </c>
      <c r="K5052">
        <v>17</v>
      </c>
      <c r="L5052">
        <v>30</v>
      </c>
      <c r="M5052">
        <v>61</v>
      </c>
      <c r="N5052">
        <v>105</v>
      </c>
      <c r="P5052">
        <v>2</v>
      </c>
      <c r="Q5052">
        <v>5</v>
      </c>
      <c r="R5052">
        <v>13</v>
      </c>
      <c r="S5052">
        <v>28</v>
      </c>
    </row>
    <row r="5053" spans="1:19" x14ac:dyDescent="0.35">
      <c r="A5053">
        <v>35608798100</v>
      </c>
      <c r="B5053" t="s">
        <v>334</v>
      </c>
      <c r="C5053" t="str">
        <f>_xlfn.XLOOKUP(A5053,[1]Affiliations!$J$2:$J$5328,[1]Affiliations!$K$2:$K$5328,0)</f>
        <v>Universidade Estadual Paulista “Júlio de Mesquita Filho”</v>
      </c>
      <c r="D5053">
        <v>29</v>
      </c>
      <c r="E5053">
        <v>174</v>
      </c>
      <c r="F5053">
        <v>6</v>
      </c>
      <c r="G5053">
        <v>9</v>
      </c>
      <c r="H5053">
        <v>0.53</v>
      </c>
      <c r="I5053">
        <v>1</v>
      </c>
      <c r="J5053">
        <v>3</v>
      </c>
      <c r="K5053">
        <v>7</v>
      </c>
      <c r="L5053">
        <v>10</v>
      </c>
      <c r="M5053">
        <v>17</v>
      </c>
      <c r="N5053">
        <v>21</v>
      </c>
      <c r="P5053">
        <v>0</v>
      </c>
      <c r="Q5053">
        <v>0</v>
      </c>
      <c r="R5053">
        <v>1</v>
      </c>
      <c r="S5053">
        <v>3</v>
      </c>
    </row>
    <row r="5054" spans="1:19" x14ac:dyDescent="0.35">
      <c r="A5054">
        <v>15135113400</v>
      </c>
      <c r="B5054" t="s">
        <v>375</v>
      </c>
      <c r="C5054" t="str">
        <f>_xlfn.XLOOKUP(A5054,[1]Affiliations!$J$2:$J$5328,[1]Affiliations!$K$2:$K$5328,0)</f>
        <v>Observatório Nacional (+2 more)</v>
      </c>
      <c r="D5054">
        <v>45</v>
      </c>
      <c r="E5054">
        <v>583</v>
      </c>
      <c r="F5054">
        <v>12.955556</v>
      </c>
      <c r="G5054">
        <v>28</v>
      </c>
      <c r="H5054">
        <v>0.53</v>
      </c>
      <c r="I5054">
        <v>0</v>
      </c>
      <c r="J5054">
        <v>0</v>
      </c>
      <c r="K5054">
        <v>2</v>
      </c>
      <c r="L5054">
        <v>10</v>
      </c>
      <c r="M5054">
        <v>20</v>
      </c>
      <c r="N5054">
        <v>23</v>
      </c>
      <c r="P5054">
        <v>0</v>
      </c>
      <c r="Q5054">
        <v>2</v>
      </c>
      <c r="R5054">
        <v>2</v>
      </c>
      <c r="S5054">
        <v>6</v>
      </c>
    </row>
    <row r="5055" spans="1:19" hidden="1" x14ac:dyDescent="0.35">
      <c r="A5055">
        <v>57202774445</v>
      </c>
      <c r="B5055" t="s">
        <v>5048</v>
      </c>
      <c r="C5055" t="str">
        <f>_xlfn.XLOOKUP(A5055,[1]Affiliations!$J$2:$J$5328,[1]Affiliations!$K$2:$K$5328,0)</f>
        <v>Universidade Federal de Pernambuco</v>
      </c>
      <c r="D5055">
        <v>11</v>
      </c>
      <c r="E5055">
        <v>68</v>
      </c>
      <c r="F5055">
        <v>6.1818179999999998</v>
      </c>
      <c r="G5055">
        <v>5</v>
      </c>
      <c r="H5055">
        <v>0.89</v>
      </c>
      <c r="I5055">
        <v>0</v>
      </c>
      <c r="J5055">
        <v>0</v>
      </c>
      <c r="K5055">
        <v>2</v>
      </c>
      <c r="L5055">
        <v>5</v>
      </c>
      <c r="M5055">
        <v>5</v>
      </c>
      <c r="N5055">
        <v>5</v>
      </c>
      <c r="P5055">
        <v>0</v>
      </c>
      <c r="Q5055">
        <v>0</v>
      </c>
      <c r="R5055">
        <v>0</v>
      </c>
      <c r="S5055">
        <v>1</v>
      </c>
    </row>
    <row r="5056" spans="1:19" hidden="1" x14ac:dyDescent="0.35">
      <c r="A5056">
        <v>58204643700</v>
      </c>
      <c r="B5056" t="s">
        <v>5049</v>
      </c>
      <c r="C5056" t="str">
        <f>_xlfn.XLOOKUP(A5056,[1]Affiliations!$J$2:$J$5328,[1]Affiliations!$K$2:$K$5328,0)</f>
        <v>Vizlab - X-Reality and GeoInformatics Lab (+1 more)</v>
      </c>
      <c r="D5056">
        <v>2</v>
      </c>
      <c r="E5056">
        <v>33</v>
      </c>
      <c r="F5056">
        <v>16.5</v>
      </c>
      <c r="G5056">
        <v>1</v>
      </c>
      <c r="H5056">
        <v>1.27</v>
      </c>
      <c r="I5056">
        <v>0</v>
      </c>
      <c r="J5056">
        <v>0</v>
      </c>
      <c r="K5056">
        <v>1</v>
      </c>
      <c r="L5056">
        <v>1</v>
      </c>
      <c r="M5056">
        <v>1</v>
      </c>
      <c r="N5056">
        <v>1</v>
      </c>
      <c r="P5056">
        <v>0</v>
      </c>
      <c r="Q5056">
        <v>1</v>
      </c>
      <c r="R5056">
        <v>1</v>
      </c>
      <c r="S5056">
        <v>1</v>
      </c>
    </row>
    <row r="5057" spans="1:19" hidden="1" x14ac:dyDescent="0.35">
      <c r="A5057">
        <v>57223392470</v>
      </c>
      <c r="B5057" t="s">
        <v>5050</v>
      </c>
      <c r="C5057" t="str">
        <f>_xlfn.XLOOKUP(A5057,[1]Affiliations!$J$2:$J$5328,[1]Affiliations!$K$2:$K$5328,0)</f>
        <v>Federal University of Santa Catarina</v>
      </c>
      <c r="D5057">
        <v>4</v>
      </c>
      <c r="E5057">
        <v>13</v>
      </c>
      <c r="F5057">
        <v>3.25</v>
      </c>
      <c r="G5057">
        <v>2</v>
      </c>
      <c r="H5057">
        <v>0.66</v>
      </c>
      <c r="I5057">
        <v>0</v>
      </c>
      <c r="J5057">
        <v>1</v>
      </c>
      <c r="K5057">
        <v>1</v>
      </c>
      <c r="L5057">
        <v>1</v>
      </c>
      <c r="M5057">
        <v>1</v>
      </c>
      <c r="N5057">
        <v>2</v>
      </c>
      <c r="P5057">
        <v>0</v>
      </c>
      <c r="Q5057">
        <v>0</v>
      </c>
      <c r="R5057">
        <v>0</v>
      </c>
      <c r="S5057">
        <v>1</v>
      </c>
    </row>
    <row r="5058" spans="1:19" x14ac:dyDescent="0.35">
      <c r="A5058">
        <v>7005430688</v>
      </c>
      <c r="B5058" t="s">
        <v>399</v>
      </c>
      <c r="C5058" t="str">
        <f>_xlfn.XLOOKUP(A5058,[1]Affiliations!$J$2:$J$5328,[1]Affiliations!$K$2:$K$5328,0)</f>
        <v>Universidade Federal do Ceará</v>
      </c>
      <c r="D5058">
        <v>57</v>
      </c>
      <c r="E5058">
        <v>534</v>
      </c>
      <c r="F5058">
        <v>9.3684209999999997</v>
      </c>
      <c r="G5058">
        <v>20</v>
      </c>
      <c r="H5058">
        <v>0.53</v>
      </c>
      <c r="I5058">
        <v>0</v>
      </c>
      <c r="J5058">
        <v>6</v>
      </c>
      <c r="K5058">
        <v>9</v>
      </c>
      <c r="L5058">
        <v>23</v>
      </c>
      <c r="M5058">
        <v>37</v>
      </c>
      <c r="N5058">
        <v>44</v>
      </c>
      <c r="P5058">
        <v>0</v>
      </c>
      <c r="Q5058">
        <v>0</v>
      </c>
      <c r="R5058">
        <v>1</v>
      </c>
      <c r="S5058">
        <v>6</v>
      </c>
    </row>
    <row r="5059" spans="1:19" x14ac:dyDescent="0.35">
      <c r="A5059">
        <v>57222538412</v>
      </c>
      <c r="B5059" t="s">
        <v>1353</v>
      </c>
      <c r="C5059" t="str">
        <f>_xlfn.XLOOKUP(A5059,[1]Affiliations!$J$2:$J$5328,[1]Affiliations!$K$2:$K$5328,0)</f>
        <v>University of Campinas</v>
      </c>
      <c r="D5059">
        <v>5</v>
      </c>
      <c r="E5059">
        <v>85</v>
      </c>
      <c r="F5059">
        <v>17</v>
      </c>
      <c r="G5059">
        <v>2</v>
      </c>
      <c r="H5059">
        <v>0.53</v>
      </c>
      <c r="I5059">
        <v>0</v>
      </c>
      <c r="J5059">
        <v>1</v>
      </c>
      <c r="K5059">
        <v>2</v>
      </c>
      <c r="L5059">
        <v>2</v>
      </c>
      <c r="M5059">
        <v>2</v>
      </c>
      <c r="N5059">
        <v>2</v>
      </c>
      <c r="P5059">
        <v>0</v>
      </c>
      <c r="Q5059">
        <v>1</v>
      </c>
      <c r="R5059">
        <v>1</v>
      </c>
      <c r="S5059">
        <v>1</v>
      </c>
    </row>
    <row r="5060" spans="1:19" hidden="1" x14ac:dyDescent="0.35">
      <c r="A5060">
        <v>6603386234</v>
      </c>
      <c r="B5060" t="s">
        <v>5053</v>
      </c>
      <c r="C5060" t="str">
        <f>_xlfn.XLOOKUP(A5060,[1]Affiliations!$J$2:$J$5328,[1]Affiliations!$K$2:$K$5328,0)</f>
        <v>Federal University of Rio de Janeiro</v>
      </c>
      <c r="D5060">
        <v>5</v>
      </c>
      <c r="E5060">
        <v>59</v>
      </c>
      <c r="F5060">
        <v>11.8</v>
      </c>
      <c r="G5060">
        <v>11</v>
      </c>
      <c r="H5060">
        <v>0.16</v>
      </c>
      <c r="I5060">
        <v>0</v>
      </c>
      <c r="J5060">
        <v>0</v>
      </c>
      <c r="K5060">
        <v>1</v>
      </c>
      <c r="L5060">
        <v>2</v>
      </c>
      <c r="M5060">
        <v>2</v>
      </c>
      <c r="N5060">
        <v>2</v>
      </c>
      <c r="P5060">
        <v>0</v>
      </c>
      <c r="Q5060">
        <v>0</v>
      </c>
      <c r="R5060">
        <v>0</v>
      </c>
      <c r="S5060">
        <v>1</v>
      </c>
    </row>
    <row r="5061" spans="1:19" x14ac:dyDescent="0.35">
      <c r="A5061">
        <v>7005410347</v>
      </c>
      <c r="B5061" t="s">
        <v>1540</v>
      </c>
      <c r="C5061" t="str">
        <f>_xlfn.XLOOKUP(A5061,[1]Affiliations!$J$2:$J$5328,[1]Affiliations!$K$2:$K$5328,0)</f>
        <v>Universidade Federal do Rio Grande do Sul</v>
      </c>
      <c r="D5061">
        <v>14</v>
      </c>
      <c r="E5061">
        <v>168</v>
      </c>
      <c r="F5061">
        <v>12</v>
      </c>
      <c r="G5061">
        <v>20</v>
      </c>
      <c r="H5061">
        <v>0.53</v>
      </c>
      <c r="I5061">
        <v>0</v>
      </c>
      <c r="J5061">
        <v>0</v>
      </c>
      <c r="K5061">
        <v>1</v>
      </c>
      <c r="L5061">
        <v>5</v>
      </c>
      <c r="M5061">
        <v>12</v>
      </c>
      <c r="N5061">
        <v>13</v>
      </c>
      <c r="P5061">
        <v>0</v>
      </c>
      <c r="Q5061">
        <v>0</v>
      </c>
      <c r="R5061">
        <v>1</v>
      </c>
      <c r="S5061">
        <v>1</v>
      </c>
    </row>
    <row r="5062" spans="1:19" hidden="1" x14ac:dyDescent="0.35">
      <c r="A5062">
        <v>55972465700</v>
      </c>
      <c r="B5062" t="s">
        <v>5055</v>
      </c>
      <c r="C5062" t="str">
        <f>_xlfn.XLOOKUP(A5062,[1]Affiliations!$J$2:$J$5328,[1]Affiliations!$K$2:$K$5328,0)</f>
        <v>CPRM</v>
      </c>
      <c r="D5062">
        <v>6</v>
      </c>
      <c r="E5062">
        <v>111</v>
      </c>
      <c r="F5062">
        <v>18.5</v>
      </c>
      <c r="G5062">
        <v>6</v>
      </c>
      <c r="H5062">
        <v>0.82</v>
      </c>
      <c r="I5062">
        <v>0</v>
      </c>
      <c r="J5062">
        <v>2</v>
      </c>
      <c r="K5062">
        <v>3</v>
      </c>
      <c r="L5062">
        <v>4</v>
      </c>
      <c r="M5062">
        <v>6</v>
      </c>
      <c r="N5062">
        <v>6</v>
      </c>
      <c r="P5062">
        <v>0</v>
      </c>
      <c r="Q5062">
        <v>0</v>
      </c>
      <c r="R5062">
        <v>0</v>
      </c>
      <c r="S5062">
        <v>2</v>
      </c>
    </row>
    <row r="5063" spans="1:19" hidden="1" x14ac:dyDescent="0.35">
      <c r="A5063">
        <v>55659454200</v>
      </c>
      <c r="B5063" t="s">
        <v>5056</v>
      </c>
      <c r="C5063" t="str">
        <f>_xlfn.XLOOKUP(A5063,[1]Affiliations!$J$2:$J$5328,[1]Affiliations!$K$2:$K$5328,0)</f>
        <v>Universidade de São Paulo</v>
      </c>
      <c r="D5063">
        <v>20</v>
      </c>
      <c r="E5063">
        <v>107</v>
      </c>
      <c r="F5063">
        <v>5.35</v>
      </c>
      <c r="G5063">
        <v>7</v>
      </c>
      <c r="H5063">
        <v>0.62</v>
      </c>
      <c r="I5063">
        <v>0</v>
      </c>
      <c r="J5063">
        <v>1</v>
      </c>
      <c r="K5063">
        <v>1</v>
      </c>
      <c r="L5063">
        <v>2</v>
      </c>
      <c r="M5063">
        <v>4</v>
      </c>
      <c r="N5063">
        <v>11</v>
      </c>
      <c r="P5063">
        <v>0</v>
      </c>
      <c r="Q5063">
        <v>0</v>
      </c>
      <c r="R5063">
        <v>0</v>
      </c>
      <c r="S5063">
        <v>1</v>
      </c>
    </row>
    <row r="5064" spans="1:19" x14ac:dyDescent="0.35">
      <c r="A5064">
        <v>8360642300</v>
      </c>
      <c r="B5064" t="s">
        <v>1848</v>
      </c>
      <c r="C5064" t="str">
        <f>_xlfn.XLOOKUP(A5064,[1]Affiliations!$J$2:$J$5328,[1]Affiliations!$K$2:$K$5328,0)</f>
        <v>Universidade Federal de Juiz de Fora</v>
      </c>
      <c r="D5064">
        <v>68</v>
      </c>
      <c r="E5064">
        <v>693</v>
      </c>
      <c r="F5064">
        <v>10.191176</v>
      </c>
      <c r="G5064">
        <v>23</v>
      </c>
      <c r="H5064">
        <v>0.53</v>
      </c>
      <c r="I5064">
        <v>0</v>
      </c>
      <c r="J5064">
        <v>0</v>
      </c>
      <c r="K5064">
        <v>7</v>
      </c>
      <c r="L5064">
        <v>30</v>
      </c>
      <c r="M5064">
        <v>56</v>
      </c>
      <c r="N5064">
        <v>64</v>
      </c>
      <c r="P5064">
        <v>0</v>
      </c>
      <c r="Q5064">
        <v>0</v>
      </c>
      <c r="R5064">
        <v>2</v>
      </c>
      <c r="S5064">
        <v>11</v>
      </c>
    </row>
    <row r="5065" spans="1:19" x14ac:dyDescent="0.35">
      <c r="A5065">
        <v>6504596034</v>
      </c>
      <c r="B5065" t="s">
        <v>2221</v>
      </c>
      <c r="C5065" t="str">
        <f>_xlfn.XLOOKUP(A5065,[1]Affiliations!$J$2:$J$5328,[1]Affiliations!$K$2:$K$5328,0)</f>
        <v>Universidade Federal de Uberlândia</v>
      </c>
      <c r="D5065">
        <v>23</v>
      </c>
      <c r="E5065">
        <v>229</v>
      </c>
      <c r="F5065">
        <v>9.9565219999999997</v>
      </c>
      <c r="G5065">
        <v>11</v>
      </c>
      <c r="H5065">
        <v>0.53</v>
      </c>
      <c r="I5065">
        <v>0</v>
      </c>
      <c r="J5065">
        <v>2</v>
      </c>
      <c r="K5065">
        <v>4</v>
      </c>
      <c r="L5065">
        <v>6</v>
      </c>
      <c r="M5065">
        <v>9</v>
      </c>
      <c r="N5065">
        <v>12</v>
      </c>
      <c r="P5065">
        <v>0</v>
      </c>
      <c r="Q5065">
        <v>0</v>
      </c>
      <c r="R5065">
        <v>1</v>
      </c>
      <c r="S5065">
        <v>5</v>
      </c>
    </row>
    <row r="5066" spans="1:19" hidden="1" x14ac:dyDescent="0.35">
      <c r="A5066">
        <v>57188643026</v>
      </c>
      <c r="B5066" t="s">
        <v>5059</v>
      </c>
      <c r="C5066" t="str">
        <f>_xlfn.XLOOKUP(A5066,[1]Affiliations!$J$2:$J$5328,[1]Affiliations!$K$2:$K$5328,0)</f>
        <v>Universidade de São Paulo</v>
      </c>
      <c r="D5066">
        <v>20</v>
      </c>
      <c r="E5066">
        <v>122</v>
      </c>
      <c r="F5066">
        <v>6.1</v>
      </c>
      <c r="G5066">
        <v>7</v>
      </c>
      <c r="H5066">
        <v>1.02</v>
      </c>
      <c r="I5066">
        <v>0</v>
      </c>
      <c r="J5066">
        <v>0</v>
      </c>
      <c r="K5066">
        <v>2</v>
      </c>
      <c r="L5066">
        <v>4</v>
      </c>
      <c r="M5066">
        <v>7</v>
      </c>
      <c r="N5066">
        <v>9</v>
      </c>
      <c r="P5066">
        <v>0</v>
      </c>
      <c r="Q5066">
        <v>0</v>
      </c>
      <c r="R5066">
        <v>0</v>
      </c>
      <c r="S5066">
        <v>2</v>
      </c>
    </row>
    <row r="5067" spans="1:19" x14ac:dyDescent="0.35">
      <c r="A5067">
        <v>57214365095</v>
      </c>
      <c r="B5067" t="s">
        <v>2443</v>
      </c>
      <c r="C5067" t="str">
        <f>_xlfn.XLOOKUP(A5067,[1]Affiliations!$J$2:$J$5328,[1]Affiliations!$K$2:$K$5328,0)</f>
        <v>Universidade Tecnológica Federal do Paraná</v>
      </c>
      <c r="D5067">
        <v>19</v>
      </c>
      <c r="E5067">
        <v>94</v>
      </c>
      <c r="F5067">
        <v>4.9473685999999999</v>
      </c>
      <c r="G5067">
        <v>5</v>
      </c>
      <c r="H5067">
        <v>0.53</v>
      </c>
      <c r="I5067">
        <v>0</v>
      </c>
      <c r="J5067">
        <v>0</v>
      </c>
      <c r="K5067">
        <v>1</v>
      </c>
      <c r="L5067">
        <v>3</v>
      </c>
      <c r="M5067">
        <v>6</v>
      </c>
      <c r="N5067">
        <v>8</v>
      </c>
      <c r="P5067">
        <v>0</v>
      </c>
      <c r="Q5067">
        <v>1</v>
      </c>
      <c r="R5067">
        <v>1</v>
      </c>
      <c r="S5067">
        <v>2</v>
      </c>
    </row>
    <row r="5068" spans="1:19" x14ac:dyDescent="0.35">
      <c r="A5068">
        <v>12759359800</v>
      </c>
      <c r="B5068" t="s">
        <v>2533</v>
      </c>
      <c r="C5068" t="str">
        <f>_xlfn.XLOOKUP(A5068,[1]Affiliations!$J$2:$J$5328,[1]Affiliations!$K$2:$K$5328,0)</f>
        <v>Serviço Nacional de Aprendizagem Industrial</v>
      </c>
      <c r="D5068">
        <v>32</v>
      </c>
      <c r="E5068">
        <v>321</v>
      </c>
      <c r="F5068">
        <v>10.03125</v>
      </c>
      <c r="G5068">
        <v>17</v>
      </c>
      <c r="H5068">
        <v>0.53</v>
      </c>
      <c r="I5068">
        <v>0</v>
      </c>
      <c r="J5068">
        <v>1</v>
      </c>
      <c r="K5068">
        <v>2</v>
      </c>
      <c r="L5068">
        <v>10</v>
      </c>
      <c r="M5068">
        <v>15</v>
      </c>
      <c r="N5068">
        <v>20</v>
      </c>
      <c r="P5068">
        <v>0</v>
      </c>
      <c r="Q5068">
        <v>1</v>
      </c>
      <c r="R5068">
        <v>2</v>
      </c>
      <c r="S5068">
        <v>9</v>
      </c>
    </row>
    <row r="5069" spans="1:19" hidden="1" x14ac:dyDescent="0.35">
      <c r="A5069">
        <v>57216781448</v>
      </c>
      <c r="B5069" t="s">
        <v>5062</v>
      </c>
      <c r="C5069" t="str">
        <f>_xlfn.XLOOKUP(A5069,[1]Affiliations!$J$2:$J$5328,[1]Affiliations!$K$2:$K$5328,0)</f>
        <v>Pontifical Catholic University of Rio de Janeiro</v>
      </c>
      <c r="D5069">
        <v>1</v>
      </c>
      <c r="E5069">
        <v>1</v>
      </c>
      <c r="F5069">
        <v>1</v>
      </c>
      <c r="G5069">
        <v>1</v>
      </c>
      <c r="H5069">
        <v>0.9</v>
      </c>
      <c r="P5069">
        <v>0</v>
      </c>
      <c r="Q5069">
        <v>0</v>
      </c>
      <c r="R5069">
        <v>0</v>
      </c>
      <c r="S5069">
        <v>0</v>
      </c>
    </row>
    <row r="5070" spans="1:19" hidden="1" x14ac:dyDescent="0.35">
      <c r="A5070">
        <v>57423596500</v>
      </c>
      <c r="B5070" t="s">
        <v>5063</v>
      </c>
      <c r="C5070" t="str">
        <f>_xlfn.XLOOKUP(A5070,[1]Affiliations!$J$2:$J$5328,[1]Affiliations!$K$2:$K$5328,0)</f>
        <v>Pontifical Catholic University of Rio de Janeiro</v>
      </c>
      <c r="D5070">
        <v>1</v>
      </c>
      <c r="E5070">
        <v>0</v>
      </c>
      <c r="F5070">
        <v>0</v>
      </c>
      <c r="G5070">
        <v>0</v>
      </c>
      <c r="H5070">
        <v>0</v>
      </c>
      <c r="P5070">
        <v>0</v>
      </c>
      <c r="Q5070">
        <v>0</v>
      </c>
      <c r="R5070">
        <v>0</v>
      </c>
      <c r="S5070">
        <v>0</v>
      </c>
    </row>
    <row r="5071" spans="1:19" x14ac:dyDescent="0.35">
      <c r="A5071">
        <v>7003371726</v>
      </c>
      <c r="B5071" t="s">
        <v>3112</v>
      </c>
      <c r="C5071" t="str">
        <f>_xlfn.XLOOKUP(A5071,[1]Affiliations!$J$2:$J$5328,[1]Affiliations!$K$2:$K$5328,0)</f>
        <v>LAMEMO - Modelling Methods in Engineering and Geophysics Laboratory (+1 more)</v>
      </c>
      <c r="D5071">
        <v>86</v>
      </c>
      <c r="E5071">
        <v>740</v>
      </c>
      <c r="F5071">
        <v>8.6046510000000005</v>
      </c>
      <c r="G5071">
        <v>31</v>
      </c>
      <c r="H5071">
        <v>0.53</v>
      </c>
      <c r="I5071">
        <v>0</v>
      </c>
      <c r="J5071">
        <v>13</v>
      </c>
      <c r="K5071">
        <v>37</v>
      </c>
      <c r="L5071">
        <v>51</v>
      </c>
      <c r="M5071">
        <v>72</v>
      </c>
      <c r="N5071">
        <v>73</v>
      </c>
      <c r="P5071">
        <v>0</v>
      </c>
      <c r="Q5071">
        <v>1</v>
      </c>
      <c r="R5071">
        <v>3</v>
      </c>
      <c r="S5071">
        <v>13</v>
      </c>
    </row>
    <row r="5072" spans="1:19" x14ac:dyDescent="0.35">
      <c r="A5072">
        <v>57189618643</v>
      </c>
      <c r="B5072" t="s">
        <v>3254</v>
      </c>
      <c r="C5072" t="str">
        <f>_xlfn.XLOOKUP(A5072,[1]Affiliations!$J$2:$J$5328,[1]Affiliations!$K$2:$K$5328,0)</f>
        <v>Federal University of Rio de Janeiro</v>
      </c>
      <c r="D5072">
        <v>5</v>
      </c>
      <c r="E5072">
        <v>49</v>
      </c>
      <c r="F5072">
        <v>9.8000000000000007</v>
      </c>
      <c r="G5072">
        <v>2</v>
      </c>
      <c r="H5072">
        <v>0.53</v>
      </c>
      <c r="I5072">
        <v>0</v>
      </c>
      <c r="J5072">
        <v>1</v>
      </c>
      <c r="K5072">
        <v>1</v>
      </c>
      <c r="L5072">
        <v>2</v>
      </c>
      <c r="M5072">
        <v>2</v>
      </c>
      <c r="N5072">
        <v>2</v>
      </c>
      <c r="P5072">
        <v>0</v>
      </c>
      <c r="Q5072">
        <v>0</v>
      </c>
      <c r="R5072">
        <v>1</v>
      </c>
      <c r="S5072">
        <v>1</v>
      </c>
    </row>
    <row r="5073" spans="1:19" hidden="1" x14ac:dyDescent="0.35">
      <c r="A5073">
        <v>7801525765</v>
      </c>
      <c r="B5073" t="s">
        <v>5066</v>
      </c>
      <c r="C5073" t="str">
        <f>_xlfn.XLOOKUP(A5073,[1]Affiliations!$J$2:$J$5328,[1]Affiliations!$K$2:$K$5328,0)</f>
        <v>Pontifícia Universidade Católica do Rio Grande do Sul</v>
      </c>
      <c r="D5073">
        <v>28</v>
      </c>
      <c r="E5073">
        <v>228</v>
      </c>
      <c r="F5073">
        <v>8.1428580000000004</v>
      </c>
      <c r="G5073">
        <v>13</v>
      </c>
      <c r="H5073">
        <v>0.39</v>
      </c>
      <c r="I5073">
        <v>0</v>
      </c>
      <c r="J5073">
        <v>0</v>
      </c>
      <c r="K5073">
        <v>1</v>
      </c>
      <c r="L5073">
        <v>8</v>
      </c>
      <c r="M5073">
        <v>20</v>
      </c>
      <c r="N5073">
        <v>28</v>
      </c>
      <c r="P5073">
        <v>0</v>
      </c>
      <c r="Q5073">
        <v>0</v>
      </c>
      <c r="R5073">
        <v>0</v>
      </c>
      <c r="S5073">
        <v>2</v>
      </c>
    </row>
    <row r="5074" spans="1:19" hidden="1" x14ac:dyDescent="0.35">
      <c r="A5074">
        <v>55541310700</v>
      </c>
      <c r="B5074" t="s">
        <v>5067</v>
      </c>
      <c r="C5074" t="str">
        <f>_xlfn.XLOOKUP(A5074,[1]Affiliations!$J$2:$J$5328,[1]Affiliations!$K$2:$K$5328,0)</f>
        <v>University of Blumenau (FURB) (+2 more)</v>
      </c>
      <c r="D5074">
        <v>20</v>
      </c>
      <c r="E5074">
        <v>145</v>
      </c>
      <c r="F5074">
        <v>7.25</v>
      </c>
      <c r="G5074">
        <v>7</v>
      </c>
      <c r="H5074">
        <v>0.59</v>
      </c>
      <c r="I5074">
        <v>0</v>
      </c>
      <c r="J5074">
        <v>0</v>
      </c>
      <c r="K5074">
        <v>0</v>
      </c>
      <c r="L5074">
        <v>7</v>
      </c>
      <c r="M5074">
        <v>8</v>
      </c>
      <c r="N5074">
        <v>9</v>
      </c>
      <c r="P5074">
        <v>0</v>
      </c>
      <c r="Q5074">
        <v>0</v>
      </c>
      <c r="R5074">
        <v>0</v>
      </c>
      <c r="S5074">
        <v>4</v>
      </c>
    </row>
    <row r="5075" spans="1:19" hidden="1" x14ac:dyDescent="0.35">
      <c r="A5075">
        <v>35099885700</v>
      </c>
      <c r="B5075" t="s">
        <v>5068</v>
      </c>
      <c r="C5075" t="str">
        <f>_xlfn.XLOOKUP(A5075,[1]Affiliations!$J$2:$J$5328,[1]Affiliations!$K$2:$K$5328,0)</f>
        <v>Petróleo Brasileiro S.A. (+2 more)</v>
      </c>
      <c r="D5075">
        <v>4</v>
      </c>
      <c r="E5075">
        <v>8</v>
      </c>
      <c r="F5075">
        <v>2</v>
      </c>
      <c r="G5075">
        <v>2</v>
      </c>
      <c r="H5075">
        <v>0.77</v>
      </c>
      <c r="I5075">
        <v>0</v>
      </c>
      <c r="J5075">
        <v>0</v>
      </c>
      <c r="K5075">
        <v>0</v>
      </c>
      <c r="L5075">
        <v>1</v>
      </c>
      <c r="M5075">
        <v>1</v>
      </c>
      <c r="N5075">
        <v>2</v>
      </c>
      <c r="P5075">
        <v>0</v>
      </c>
      <c r="Q5075">
        <v>0</v>
      </c>
      <c r="R5075">
        <v>0</v>
      </c>
      <c r="S5075">
        <v>0</v>
      </c>
    </row>
    <row r="5076" spans="1:19" x14ac:dyDescent="0.35">
      <c r="A5076">
        <v>7005486161</v>
      </c>
      <c r="B5076" t="s">
        <v>3308</v>
      </c>
      <c r="C5076" t="str">
        <f>_xlfn.XLOOKUP(A5076,[1]Affiliations!$J$2:$J$5328,[1]Affiliations!$K$2:$K$5328,0)</f>
        <v>Ministério da Ciência e Tecnologia (+2 more)</v>
      </c>
      <c r="D5076">
        <v>17</v>
      </c>
      <c r="E5076">
        <v>260</v>
      </c>
      <c r="F5076">
        <v>15.294117999999999</v>
      </c>
      <c r="G5076">
        <v>16</v>
      </c>
      <c r="H5076">
        <v>0.53</v>
      </c>
      <c r="I5076">
        <v>0</v>
      </c>
      <c r="J5076">
        <v>1</v>
      </c>
      <c r="K5076">
        <v>6</v>
      </c>
      <c r="L5076">
        <v>12</v>
      </c>
      <c r="M5076">
        <v>15</v>
      </c>
      <c r="N5076">
        <v>16</v>
      </c>
      <c r="P5076">
        <v>0</v>
      </c>
      <c r="Q5076">
        <v>1</v>
      </c>
      <c r="R5076">
        <v>1</v>
      </c>
      <c r="S5076">
        <v>2</v>
      </c>
    </row>
    <row r="5077" spans="1:19" hidden="1" x14ac:dyDescent="0.35">
      <c r="A5077">
        <v>6507911992</v>
      </c>
      <c r="B5077" t="s">
        <v>5070</v>
      </c>
      <c r="C5077" t="str">
        <f>_xlfn.XLOOKUP(A5077,[1]Affiliations!$J$2:$J$5328,[1]Affiliations!$K$2:$K$5328,0)</f>
        <v>Federal University of Rio de Janeiro</v>
      </c>
      <c r="D5077">
        <v>0</v>
      </c>
      <c r="G5077">
        <v>12</v>
      </c>
    </row>
    <row r="5078" spans="1:19" hidden="1" x14ac:dyDescent="0.35">
      <c r="A5078">
        <v>57214726125</v>
      </c>
      <c r="B5078" t="s">
        <v>5071</v>
      </c>
      <c r="C5078" t="str">
        <f>_xlfn.XLOOKUP(A5078,[1]Affiliations!$J$2:$J$5328,[1]Affiliations!$K$2:$K$5328,0)</f>
        <v>Universidade Federal de Goiás</v>
      </c>
      <c r="D5078">
        <v>4</v>
      </c>
      <c r="E5078">
        <v>37</v>
      </c>
      <c r="F5078">
        <v>9.25</v>
      </c>
      <c r="G5078">
        <v>3</v>
      </c>
      <c r="H5078">
        <v>0.81</v>
      </c>
      <c r="I5078">
        <v>0</v>
      </c>
      <c r="J5078">
        <v>0</v>
      </c>
      <c r="K5078">
        <v>2</v>
      </c>
      <c r="L5078">
        <v>3</v>
      </c>
      <c r="M5078">
        <v>3</v>
      </c>
      <c r="N5078">
        <v>4</v>
      </c>
      <c r="P5078">
        <v>0</v>
      </c>
      <c r="Q5078">
        <v>0</v>
      </c>
      <c r="R5078">
        <v>0</v>
      </c>
      <c r="S5078">
        <v>2</v>
      </c>
    </row>
    <row r="5079" spans="1:19" hidden="1" x14ac:dyDescent="0.35">
      <c r="A5079">
        <v>56231094500</v>
      </c>
      <c r="B5079" t="s">
        <v>5072</v>
      </c>
      <c r="C5079" t="str">
        <f>_xlfn.XLOOKUP(A5079,[1]Affiliations!$J$2:$J$5328,[1]Affiliations!$K$2:$K$5328,0)</f>
        <v>Universidade Federal de Viçosa</v>
      </c>
      <c r="D5079">
        <v>0</v>
      </c>
      <c r="G5079">
        <v>1</v>
      </c>
    </row>
    <row r="5080" spans="1:19" hidden="1" x14ac:dyDescent="0.35">
      <c r="A5080">
        <v>57204825661</v>
      </c>
      <c r="B5080" t="s">
        <v>5073</v>
      </c>
      <c r="C5080" t="str">
        <f>_xlfn.XLOOKUP(A5080,[1]Affiliations!$J$2:$J$5328,[1]Affiliations!$K$2:$K$5328,0)</f>
        <v>University of Campinas</v>
      </c>
      <c r="D5080">
        <v>4</v>
      </c>
      <c r="E5080">
        <v>27</v>
      </c>
      <c r="F5080">
        <v>6.75</v>
      </c>
      <c r="G5080">
        <v>3</v>
      </c>
      <c r="H5080">
        <v>0.82</v>
      </c>
      <c r="I5080">
        <v>0</v>
      </c>
      <c r="J5080">
        <v>0</v>
      </c>
      <c r="K5080">
        <v>0</v>
      </c>
      <c r="L5080">
        <v>0</v>
      </c>
      <c r="M5080">
        <v>1</v>
      </c>
      <c r="N5080">
        <v>1</v>
      </c>
      <c r="P5080">
        <v>0</v>
      </c>
      <c r="Q5080">
        <v>0</v>
      </c>
      <c r="R5080">
        <v>0</v>
      </c>
      <c r="S5080">
        <v>1</v>
      </c>
    </row>
    <row r="5081" spans="1:19" hidden="1" x14ac:dyDescent="0.35">
      <c r="A5081">
        <v>24468889300</v>
      </c>
      <c r="B5081" t="s">
        <v>5074</v>
      </c>
      <c r="C5081" t="str">
        <f>_xlfn.XLOOKUP(A5081,[1]Affiliations!$J$2:$J$5328,[1]Affiliations!$K$2:$K$5328,0)</f>
        <v>Pontifícia Universidade Católica do Rio Grande do Sul</v>
      </c>
      <c r="D5081">
        <v>7</v>
      </c>
      <c r="E5081">
        <v>161</v>
      </c>
      <c r="F5081">
        <v>23</v>
      </c>
      <c r="G5081">
        <v>9</v>
      </c>
      <c r="H5081">
        <v>0.46</v>
      </c>
      <c r="I5081">
        <v>0</v>
      </c>
      <c r="J5081">
        <v>0</v>
      </c>
      <c r="K5081">
        <v>3</v>
      </c>
      <c r="L5081">
        <v>3</v>
      </c>
      <c r="M5081">
        <v>6</v>
      </c>
      <c r="N5081">
        <v>6</v>
      </c>
      <c r="P5081">
        <v>0</v>
      </c>
      <c r="Q5081">
        <v>0</v>
      </c>
      <c r="R5081">
        <v>0</v>
      </c>
      <c r="S5081">
        <v>2</v>
      </c>
    </row>
    <row r="5082" spans="1:19" hidden="1" x14ac:dyDescent="0.35">
      <c r="A5082">
        <v>57195488321</v>
      </c>
      <c r="B5082" t="s">
        <v>5075</v>
      </c>
      <c r="C5082" t="str">
        <f>_xlfn.XLOOKUP(A5082,[1]Affiliations!$J$2:$J$5328,[1]Affiliations!$K$2:$K$5328,0)</f>
        <v>Federal University of Rio de Janeiro</v>
      </c>
      <c r="D5082">
        <v>7</v>
      </c>
      <c r="E5082">
        <v>22</v>
      </c>
      <c r="F5082">
        <v>3.1428569999999998</v>
      </c>
      <c r="G5082">
        <v>3</v>
      </c>
      <c r="H5082">
        <v>0.17</v>
      </c>
      <c r="I5082">
        <v>0</v>
      </c>
      <c r="J5082">
        <v>1</v>
      </c>
      <c r="K5082">
        <v>1</v>
      </c>
      <c r="L5082">
        <v>2</v>
      </c>
      <c r="M5082">
        <v>4</v>
      </c>
      <c r="N5082">
        <v>5</v>
      </c>
      <c r="P5082">
        <v>0</v>
      </c>
      <c r="Q5082">
        <v>0</v>
      </c>
      <c r="R5082">
        <v>0</v>
      </c>
      <c r="S5082">
        <v>0</v>
      </c>
    </row>
    <row r="5083" spans="1:19" x14ac:dyDescent="0.35">
      <c r="A5083">
        <v>6602492499</v>
      </c>
      <c r="B5083" t="s">
        <v>4564</v>
      </c>
      <c r="C5083" t="str">
        <f>_xlfn.XLOOKUP(A5083,[1]Affiliations!$J$2:$J$5328,[1]Affiliations!$K$2:$K$5328,0)</f>
        <v>Universidade Federal do Rio Grande do Sul</v>
      </c>
      <c r="D5083">
        <v>46</v>
      </c>
      <c r="E5083">
        <v>712</v>
      </c>
      <c r="F5083">
        <v>15.478261</v>
      </c>
      <c r="G5083">
        <v>23</v>
      </c>
      <c r="H5083">
        <v>0.53</v>
      </c>
      <c r="I5083">
        <v>0</v>
      </c>
      <c r="J5083">
        <v>4</v>
      </c>
      <c r="K5083">
        <v>10</v>
      </c>
      <c r="L5083">
        <v>21</v>
      </c>
      <c r="M5083">
        <v>33</v>
      </c>
      <c r="N5083">
        <v>33</v>
      </c>
      <c r="P5083">
        <v>1</v>
      </c>
      <c r="Q5083">
        <v>1</v>
      </c>
      <c r="R5083">
        <v>3</v>
      </c>
      <c r="S5083">
        <v>8</v>
      </c>
    </row>
    <row r="5084" spans="1:19" hidden="1" x14ac:dyDescent="0.35">
      <c r="A5084">
        <v>58678068400</v>
      </c>
      <c r="B5084" t="s">
        <v>5077</v>
      </c>
      <c r="C5084" t="str">
        <f>_xlfn.XLOOKUP(A5084,[1]Affiliations!$J$2:$J$5328,[1]Affiliations!$K$2:$K$5328,0)</f>
        <v>Universidade Federal de Alagoas</v>
      </c>
      <c r="D5084">
        <v>1</v>
      </c>
      <c r="E5084">
        <v>0</v>
      </c>
      <c r="F5084">
        <v>0</v>
      </c>
      <c r="G5084">
        <v>0</v>
      </c>
      <c r="H5084">
        <v>0</v>
      </c>
      <c r="P5084">
        <v>0</v>
      </c>
      <c r="Q5084">
        <v>0</v>
      </c>
      <c r="R5084">
        <v>0</v>
      </c>
      <c r="S5084">
        <v>0</v>
      </c>
    </row>
    <row r="5085" spans="1:19" hidden="1" x14ac:dyDescent="0.35">
      <c r="A5085">
        <v>14322814100</v>
      </c>
      <c r="B5085" t="s">
        <v>5078</v>
      </c>
      <c r="C5085" t="str">
        <f>_xlfn.XLOOKUP(A5085,[1]Affiliations!$J$2:$J$5328,[1]Affiliations!$K$2:$K$5328,0)</f>
        <v>PGS</v>
      </c>
      <c r="D5085">
        <v>58</v>
      </c>
      <c r="E5085">
        <v>513</v>
      </c>
      <c r="F5085">
        <v>8.8448279999999997</v>
      </c>
      <c r="G5085">
        <v>18</v>
      </c>
      <c r="H5085">
        <v>2.4300000000000002</v>
      </c>
      <c r="I5085">
        <v>0</v>
      </c>
      <c r="J5085">
        <v>0</v>
      </c>
      <c r="K5085">
        <v>0</v>
      </c>
      <c r="L5085">
        <v>0</v>
      </c>
      <c r="M5085">
        <v>9</v>
      </c>
      <c r="N5085">
        <v>20</v>
      </c>
      <c r="P5085">
        <v>0</v>
      </c>
      <c r="Q5085">
        <v>0</v>
      </c>
      <c r="R5085">
        <v>3</v>
      </c>
      <c r="S5085">
        <v>7</v>
      </c>
    </row>
    <row r="5086" spans="1:19" hidden="1" x14ac:dyDescent="0.35">
      <c r="A5086">
        <v>57546278400</v>
      </c>
      <c r="B5086" t="s">
        <v>5079</v>
      </c>
      <c r="C5086" t="str">
        <f>_xlfn.XLOOKUP(A5086,[1]Affiliations!$J$2:$J$5328,[1]Affiliations!$K$2:$K$5328,0)</f>
        <v>Universidade Federal de Goiás</v>
      </c>
      <c r="D5086">
        <v>2</v>
      </c>
      <c r="E5086">
        <v>7</v>
      </c>
      <c r="F5086">
        <v>3.5</v>
      </c>
      <c r="G5086">
        <v>1</v>
      </c>
      <c r="H5086">
        <v>0.24</v>
      </c>
      <c r="I5086">
        <v>0</v>
      </c>
      <c r="J5086">
        <v>1</v>
      </c>
      <c r="K5086">
        <v>1</v>
      </c>
      <c r="L5086">
        <v>1</v>
      </c>
      <c r="M5086">
        <v>2</v>
      </c>
      <c r="N5086">
        <v>2</v>
      </c>
      <c r="P5086">
        <v>0</v>
      </c>
      <c r="Q5086">
        <v>0</v>
      </c>
      <c r="R5086">
        <v>0</v>
      </c>
      <c r="S5086">
        <v>0</v>
      </c>
    </row>
    <row r="5087" spans="1:19" hidden="1" x14ac:dyDescent="0.35">
      <c r="A5087">
        <v>25029058200</v>
      </c>
      <c r="B5087" t="s">
        <v>5080</v>
      </c>
      <c r="C5087" t="str">
        <f>_xlfn.XLOOKUP(A5087,[1]Affiliations!$J$2:$J$5328,[1]Affiliations!$K$2:$K$5328,0)</f>
        <v>Universidade Federal Rural do Rio de Janeiro</v>
      </c>
      <c r="D5087">
        <v>5</v>
      </c>
      <c r="E5087">
        <v>15</v>
      </c>
      <c r="F5087">
        <v>3</v>
      </c>
      <c r="G5087">
        <v>5</v>
      </c>
      <c r="H5087">
        <v>0.35</v>
      </c>
      <c r="I5087">
        <v>0</v>
      </c>
      <c r="J5087">
        <v>0</v>
      </c>
      <c r="K5087">
        <v>0</v>
      </c>
      <c r="L5087">
        <v>0</v>
      </c>
      <c r="M5087">
        <v>3</v>
      </c>
      <c r="N5087">
        <v>3</v>
      </c>
      <c r="P5087">
        <v>0</v>
      </c>
      <c r="Q5087">
        <v>0</v>
      </c>
      <c r="R5087">
        <v>0</v>
      </c>
      <c r="S5087">
        <v>0</v>
      </c>
    </row>
    <row r="5088" spans="1:19" hidden="1" x14ac:dyDescent="0.35">
      <c r="A5088">
        <v>57214939158</v>
      </c>
      <c r="B5088" t="s">
        <v>5081</v>
      </c>
      <c r="C5088" t="str">
        <f>_xlfn.XLOOKUP(A5088,[1]Affiliations!$J$2:$J$5328,[1]Affiliations!$K$2:$K$5328,0)</f>
        <v>Universidade Federal Rural do Rio de Janeiro</v>
      </c>
      <c r="D5088">
        <v>1</v>
      </c>
      <c r="E5088">
        <v>2</v>
      </c>
      <c r="F5088">
        <v>2</v>
      </c>
      <c r="G5088">
        <v>1</v>
      </c>
      <c r="H5088">
        <v>0.51</v>
      </c>
      <c r="P5088">
        <v>0</v>
      </c>
      <c r="Q5088">
        <v>0</v>
      </c>
      <c r="R5088">
        <v>0</v>
      </c>
      <c r="S5088">
        <v>0</v>
      </c>
    </row>
    <row r="5089" spans="1:19" x14ac:dyDescent="0.35">
      <c r="A5089">
        <v>7201387222</v>
      </c>
      <c r="B5089" t="s">
        <v>4645</v>
      </c>
      <c r="C5089" t="str">
        <f>_xlfn.XLOOKUP(A5089,[1]Affiliations!$J$2:$J$5328,[1]Affiliations!$K$2:$K$5328,0)</f>
        <v>Universidade Federal de Viçosa</v>
      </c>
      <c r="D5089">
        <v>44</v>
      </c>
      <c r="E5089">
        <v>550</v>
      </c>
      <c r="F5089">
        <v>12.5</v>
      </c>
      <c r="G5089">
        <v>14</v>
      </c>
      <c r="H5089">
        <v>0.53</v>
      </c>
      <c r="I5089">
        <v>0</v>
      </c>
      <c r="J5089">
        <v>5</v>
      </c>
      <c r="K5089">
        <v>9</v>
      </c>
      <c r="L5089">
        <v>14</v>
      </c>
      <c r="M5089">
        <v>33</v>
      </c>
      <c r="N5089">
        <v>37</v>
      </c>
      <c r="P5089">
        <v>0</v>
      </c>
      <c r="Q5089">
        <v>0</v>
      </c>
      <c r="R5089">
        <v>5</v>
      </c>
      <c r="S5089">
        <v>8</v>
      </c>
    </row>
    <row r="5090" spans="1:19" hidden="1" x14ac:dyDescent="0.35">
      <c r="A5090">
        <v>57195757304</v>
      </c>
      <c r="B5090" t="s">
        <v>5083</v>
      </c>
      <c r="C5090" t="str">
        <f>_xlfn.XLOOKUP(A5090,[1]Affiliations!$J$2:$J$5328,[1]Affiliations!$K$2:$K$5328,0)</f>
        <v>University of Campinas</v>
      </c>
      <c r="D5090">
        <v>1</v>
      </c>
      <c r="E5090">
        <v>40</v>
      </c>
      <c r="F5090">
        <v>40</v>
      </c>
      <c r="G5090">
        <v>1</v>
      </c>
      <c r="H5090">
        <v>0.95</v>
      </c>
      <c r="I5090">
        <v>0</v>
      </c>
      <c r="J5090">
        <v>1</v>
      </c>
      <c r="K5090">
        <v>1</v>
      </c>
      <c r="L5090">
        <v>1</v>
      </c>
      <c r="M5090">
        <v>1</v>
      </c>
      <c r="N5090">
        <v>1</v>
      </c>
      <c r="P5090">
        <v>0</v>
      </c>
      <c r="Q5090">
        <v>0</v>
      </c>
      <c r="R5090">
        <v>0</v>
      </c>
      <c r="S5090">
        <v>1</v>
      </c>
    </row>
    <row r="5091" spans="1:19" x14ac:dyDescent="0.35">
      <c r="A5091">
        <v>6507352230</v>
      </c>
      <c r="B5091" t="s">
        <v>443</v>
      </c>
      <c r="C5091" t="str">
        <f>_xlfn.XLOOKUP(A5091,[1]Affiliations!$J$2:$J$5328,[1]Affiliations!$K$2:$K$5328,0)</f>
        <v>Universidade Federal do Paraná</v>
      </c>
      <c r="D5091">
        <v>34</v>
      </c>
      <c r="E5091">
        <v>436</v>
      </c>
      <c r="F5091">
        <v>12.823529000000001</v>
      </c>
      <c r="G5091">
        <v>15</v>
      </c>
      <c r="H5091">
        <v>0.52</v>
      </c>
      <c r="I5091">
        <v>0</v>
      </c>
      <c r="J5091">
        <v>0</v>
      </c>
      <c r="K5091">
        <v>7</v>
      </c>
      <c r="L5091">
        <v>15</v>
      </c>
      <c r="M5091">
        <v>27</v>
      </c>
      <c r="N5091">
        <v>28</v>
      </c>
      <c r="P5091">
        <v>0</v>
      </c>
      <c r="Q5091">
        <v>0</v>
      </c>
      <c r="R5091">
        <v>3</v>
      </c>
      <c r="S5091">
        <v>6</v>
      </c>
    </row>
    <row r="5092" spans="1:19" hidden="1" x14ac:dyDescent="0.35">
      <c r="A5092">
        <v>56513637100</v>
      </c>
      <c r="B5092" t="s">
        <v>5085</v>
      </c>
      <c r="C5092" t="str">
        <f>_xlfn.XLOOKUP(A5092,[1]Affiliations!$J$2:$J$5328,[1]Affiliations!$K$2:$K$5328,0)</f>
        <v>Fundação Gorceix</v>
      </c>
      <c r="D5092">
        <v>3</v>
      </c>
      <c r="E5092">
        <v>83</v>
      </c>
      <c r="F5092">
        <v>27.666665999999999</v>
      </c>
      <c r="G5092">
        <v>3</v>
      </c>
      <c r="H5092">
        <v>2.98</v>
      </c>
      <c r="I5092">
        <v>0</v>
      </c>
      <c r="J5092">
        <v>0</v>
      </c>
      <c r="K5092">
        <v>0</v>
      </c>
      <c r="L5092">
        <v>2</v>
      </c>
      <c r="M5092">
        <v>2</v>
      </c>
      <c r="N5092">
        <v>2</v>
      </c>
      <c r="P5092">
        <v>0</v>
      </c>
      <c r="Q5092">
        <v>0</v>
      </c>
      <c r="R5092">
        <v>0</v>
      </c>
      <c r="S5092">
        <v>2</v>
      </c>
    </row>
    <row r="5093" spans="1:19" hidden="1" x14ac:dyDescent="0.35">
      <c r="A5093">
        <v>55964559400</v>
      </c>
      <c r="B5093" t="s">
        <v>5086</v>
      </c>
      <c r="C5093" t="str">
        <f>_xlfn.XLOOKUP(A5093,[1]Affiliations!$J$2:$J$5328,[1]Affiliations!$K$2:$K$5328,0)</f>
        <v>Pontifical Catholic University of Rio de Janeiro</v>
      </c>
      <c r="D5093">
        <v>26</v>
      </c>
      <c r="E5093">
        <v>298</v>
      </c>
      <c r="F5093">
        <v>11.461537999999999</v>
      </c>
      <c r="G5093">
        <v>12</v>
      </c>
      <c r="H5093">
        <v>0.44</v>
      </c>
      <c r="I5093">
        <v>2</v>
      </c>
      <c r="J5093">
        <v>6</v>
      </c>
      <c r="K5093">
        <v>8</v>
      </c>
      <c r="L5093">
        <v>16</v>
      </c>
      <c r="M5093">
        <v>21</v>
      </c>
      <c r="N5093">
        <v>23</v>
      </c>
      <c r="P5093">
        <v>0</v>
      </c>
      <c r="Q5093">
        <v>0</v>
      </c>
      <c r="R5093">
        <v>0</v>
      </c>
      <c r="S5093">
        <v>8</v>
      </c>
    </row>
    <row r="5094" spans="1:19" hidden="1" x14ac:dyDescent="0.35">
      <c r="A5094">
        <v>58917394700</v>
      </c>
      <c r="B5094" t="s">
        <v>5087</v>
      </c>
      <c r="C5094" t="str">
        <f>_xlfn.XLOOKUP(A5094,[1]Affiliations!$J$2:$J$5328,[1]Affiliations!$K$2:$K$5328,0)</f>
        <v>Universidade Federal Fluminense</v>
      </c>
      <c r="D5094">
        <v>1</v>
      </c>
      <c r="E5094">
        <v>2</v>
      </c>
      <c r="F5094">
        <v>2</v>
      </c>
      <c r="G5094">
        <v>1</v>
      </c>
      <c r="H5094">
        <v>0.24</v>
      </c>
      <c r="I5094">
        <v>0</v>
      </c>
      <c r="J5094">
        <v>0</v>
      </c>
      <c r="K5094">
        <v>0</v>
      </c>
      <c r="L5094">
        <v>1</v>
      </c>
      <c r="M5094">
        <v>1</v>
      </c>
      <c r="N5094">
        <v>1</v>
      </c>
      <c r="P5094">
        <v>0</v>
      </c>
      <c r="Q5094">
        <v>0</v>
      </c>
      <c r="R5094">
        <v>0</v>
      </c>
      <c r="S5094">
        <v>0</v>
      </c>
    </row>
    <row r="5095" spans="1:19" hidden="1" x14ac:dyDescent="0.35">
      <c r="A5095">
        <v>57196417090</v>
      </c>
      <c r="B5095" t="s">
        <v>5088</v>
      </c>
      <c r="C5095" t="str">
        <f>_xlfn.XLOOKUP(A5095,[1]Affiliations!$J$2:$J$5328,[1]Affiliations!$K$2:$K$5328,0)</f>
        <v>University of Campinas</v>
      </c>
      <c r="D5095">
        <v>1</v>
      </c>
      <c r="E5095">
        <v>14</v>
      </c>
      <c r="F5095">
        <v>14</v>
      </c>
      <c r="G5095">
        <v>1</v>
      </c>
      <c r="H5095">
        <v>0.28999999999999998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1</v>
      </c>
      <c r="P5095">
        <v>0</v>
      </c>
      <c r="Q5095">
        <v>0</v>
      </c>
      <c r="R5095">
        <v>0</v>
      </c>
      <c r="S5095">
        <v>0</v>
      </c>
    </row>
    <row r="5096" spans="1:19" x14ac:dyDescent="0.35">
      <c r="A5096">
        <v>6603350207</v>
      </c>
      <c r="B5096" t="s">
        <v>997</v>
      </c>
      <c r="C5096" t="str">
        <f>_xlfn.XLOOKUP(A5096,[1]Affiliations!$J$2:$J$5328,[1]Affiliations!$K$2:$K$5328,0)</f>
        <v>Pontifícia Universidade Católica do Rio Grande do Sul</v>
      </c>
      <c r="D5096">
        <v>12</v>
      </c>
      <c r="E5096">
        <v>200</v>
      </c>
      <c r="F5096">
        <v>16.666665999999999</v>
      </c>
      <c r="G5096">
        <v>16</v>
      </c>
      <c r="H5096">
        <v>0.52</v>
      </c>
      <c r="I5096">
        <v>0</v>
      </c>
      <c r="J5096">
        <v>3</v>
      </c>
      <c r="K5096">
        <v>3</v>
      </c>
      <c r="L5096">
        <v>7</v>
      </c>
      <c r="M5096">
        <v>9</v>
      </c>
      <c r="N5096">
        <v>10</v>
      </c>
      <c r="P5096">
        <v>0</v>
      </c>
      <c r="Q5096">
        <v>0</v>
      </c>
      <c r="R5096">
        <v>1</v>
      </c>
      <c r="S5096">
        <v>4</v>
      </c>
    </row>
    <row r="5097" spans="1:19" x14ac:dyDescent="0.35">
      <c r="A5097">
        <v>24477159700</v>
      </c>
      <c r="B5097" t="s">
        <v>1258</v>
      </c>
      <c r="C5097" t="str">
        <f>_xlfn.XLOOKUP(A5097,[1]Affiliations!$J$2:$J$5328,[1]Affiliations!$K$2:$K$5328,0)</f>
        <v>Vizlab - X-Reality and GeoInformatics Lab</v>
      </c>
      <c r="D5097">
        <v>7</v>
      </c>
      <c r="E5097">
        <v>52</v>
      </c>
      <c r="F5097">
        <v>7.4285709999999998</v>
      </c>
      <c r="G5097">
        <v>4</v>
      </c>
      <c r="H5097">
        <v>0.52</v>
      </c>
      <c r="I5097">
        <v>0</v>
      </c>
      <c r="J5097">
        <v>0</v>
      </c>
      <c r="K5097">
        <v>1</v>
      </c>
      <c r="L5097">
        <v>1</v>
      </c>
      <c r="M5097">
        <v>2</v>
      </c>
      <c r="N5097">
        <v>3</v>
      </c>
      <c r="P5097">
        <v>0</v>
      </c>
      <c r="Q5097">
        <v>0</v>
      </c>
      <c r="R5097">
        <v>1</v>
      </c>
      <c r="S5097">
        <v>1</v>
      </c>
    </row>
    <row r="5098" spans="1:19" hidden="1" x14ac:dyDescent="0.35">
      <c r="A5098">
        <v>59518731400</v>
      </c>
      <c r="B5098" t="s">
        <v>5091</v>
      </c>
      <c r="C5098" t="str">
        <f>_xlfn.XLOOKUP(A5098,[1]Affiliations!$J$2:$J$5328,[1]Affiliations!$K$2:$K$5328,0)</f>
        <v>Universidade Federal do Rio Grande do Sul</v>
      </c>
      <c r="D5098">
        <v>0</v>
      </c>
      <c r="G5098">
        <v>1</v>
      </c>
    </row>
    <row r="5099" spans="1:19" hidden="1" x14ac:dyDescent="0.35">
      <c r="A5099">
        <v>59418783600</v>
      </c>
      <c r="B5099" t="s">
        <v>5092</v>
      </c>
      <c r="C5099" t="str">
        <f>_xlfn.XLOOKUP(A5099,[1]Affiliations!$J$2:$J$5328,[1]Affiliations!$K$2:$K$5328,0)</f>
        <v>Universidade Federal de Alagoas</v>
      </c>
      <c r="D5099">
        <v>1</v>
      </c>
      <c r="E5099">
        <v>3</v>
      </c>
      <c r="F5099">
        <v>3</v>
      </c>
      <c r="G5099">
        <v>1</v>
      </c>
      <c r="H5099">
        <v>0.44</v>
      </c>
      <c r="I5099">
        <v>0</v>
      </c>
      <c r="J5099">
        <v>0</v>
      </c>
      <c r="K5099">
        <v>0</v>
      </c>
      <c r="L5099">
        <v>1</v>
      </c>
      <c r="M5099">
        <v>1</v>
      </c>
      <c r="N5099">
        <v>1</v>
      </c>
      <c r="P5099">
        <v>0</v>
      </c>
      <c r="Q5099">
        <v>0</v>
      </c>
      <c r="R5099">
        <v>0</v>
      </c>
      <c r="S5099">
        <v>0</v>
      </c>
    </row>
    <row r="5100" spans="1:19" hidden="1" x14ac:dyDescent="0.35">
      <c r="A5100">
        <v>6504769920</v>
      </c>
      <c r="B5100" t="s">
        <v>5093</v>
      </c>
      <c r="C5100" t="str">
        <f>_xlfn.XLOOKUP(A5100,[1]Affiliations!$J$2:$J$5328,[1]Affiliations!$K$2:$K$5328,0)</f>
        <v>Universidade Federal do Rio Grande do Sul (+2 more)</v>
      </c>
      <c r="D5100">
        <v>3</v>
      </c>
      <c r="E5100">
        <v>17</v>
      </c>
      <c r="F5100">
        <v>5.6666664999999998</v>
      </c>
      <c r="G5100">
        <v>4</v>
      </c>
      <c r="H5100">
        <v>1.43</v>
      </c>
      <c r="I5100">
        <v>0</v>
      </c>
      <c r="J5100">
        <v>0</v>
      </c>
      <c r="K5100">
        <v>0</v>
      </c>
      <c r="L5100">
        <v>0</v>
      </c>
      <c r="M5100">
        <v>1</v>
      </c>
      <c r="N5100">
        <v>2</v>
      </c>
      <c r="P5100">
        <v>0</v>
      </c>
      <c r="Q5100">
        <v>0</v>
      </c>
      <c r="R5100">
        <v>0</v>
      </c>
      <c r="S5100">
        <v>0</v>
      </c>
    </row>
    <row r="5101" spans="1:19" x14ac:dyDescent="0.35">
      <c r="A5101">
        <v>16402325600</v>
      </c>
      <c r="B5101" t="s">
        <v>2724</v>
      </c>
      <c r="C5101" t="str">
        <f>_xlfn.XLOOKUP(A5101,[1]Affiliations!$J$2:$J$5328,[1]Affiliations!$K$2:$K$5328,0)</f>
        <v>Universidade de São Paulo</v>
      </c>
      <c r="D5101">
        <v>30</v>
      </c>
      <c r="E5101">
        <v>226</v>
      </c>
      <c r="F5101">
        <v>7.5333332999999998</v>
      </c>
      <c r="G5101">
        <v>11</v>
      </c>
      <c r="H5101">
        <v>0.52</v>
      </c>
      <c r="I5101">
        <v>1</v>
      </c>
      <c r="J5101">
        <v>7</v>
      </c>
      <c r="K5101">
        <v>11</v>
      </c>
      <c r="L5101">
        <v>20</v>
      </c>
      <c r="M5101">
        <v>25</v>
      </c>
      <c r="N5101">
        <v>26</v>
      </c>
      <c r="P5101">
        <v>0</v>
      </c>
      <c r="Q5101">
        <v>0</v>
      </c>
      <c r="R5101">
        <v>1</v>
      </c>
      <c r="S5101">
        <v>4</v>
      </c>
    </row>
    <row r="5102" spans="1:19" hidden="1" x14ac:dyDescent="0.35">
      <c r="A5102">
        <v>59835348700</v>
      </c>
      <c r="B5102" t="s">
        <v>5095</v>
      </c>
      <c r="C5102" t="str">
        <f>_xlfn.XLOOKUP(A5102,[1]Affiliations!$J$2:$J$5328,[1]Affiliations!$K$2:$K$5328,0)</f>
        <v>Universidade Federal do Espírito Santo</v>
      </c>
      <c r="D5102">
        <v>0</v>
      </c>
      <c r="G5102">
        <v>1</v>
      </c>
    </row>
    <row r="5103" spans="1:19" x14ac:dyDescent="0.35">
      <c r="A5103">
        <v>57205623347</v>
      </c>
      <c r="B5103" t="s">
        <v>3838</v>
      </c>
      <c r="C5103" t="str">
        <f>_xlfn.XLOOKUP(A5103,[1]Affiliations!$J$2:$J$5328,[1]Affiliations!$K$2:$K$5328,0)</f>
        <v>Pontifical Catholic University of Rio de Janeiro</v>
      </c>
      <c r="D5103">
        <v>17</v>
      </c>
      <c r="E5103">
        <v>151</v>
      </c>
      <c r="F5103">
        <v>8.8823530000000002</v>
      </c>
      <c r="G5103">
        <v>7</v>
      </c>
      <c r="H5103">
        <v>0.52</v>
      </c>
      <c r="I5103">
        <v>0</v>
      </c>
      <c r="J5103">
        <v>1</v>
      </c>
      <c r="K5103">
        <v>4</v>
      </c>
      <c r="L5103">
        <v>8</v>
      </c>
      <c r="M5103">
        <v>14</v>
      </c>
      <c r="N5103">
        <v>17</v>
      </c>
      <c r="P5103">
        <v>0</v>
      </c>
      <c r="Q5103">
        <v>0</v>
      </c>
      <c r="R5103">
        <v>1</v>
      </c>
      <c r="S5103">
        <v>4</v>
      </c>
    </row>
    <row r="5104" spans="1:19" hidden="1" x14ac:dyDescent="0.35">
      <c r="A5104">
        <v>57222062405</v>
      </c>
      <c r="B5104" t="s">
        <v>5097</v>
      </c>
      <c r="C5104" t="str">
        <f>_xlfn.XLOOKUP(A5104,[1]Affiliations!$J$2:$J$5328,[1]Affiliations!$K$2:$K$5328,0)</f>
        <v>Pontifical Catholic University of Rio de Janeiro</v>
      </c>
      <c r="D5104">
        <v>2</v>
      </c>
      <c r="E5104">
        <v>25</v>
      </c>
      <c r="F5104">
        <v>12.5</v>
      </c>
      <c r="G5104">
        <v>2</v>
      </c>
      <c r="H5104">
        <v>1.43</v>
      </c>
      <c r="I5104">
        <v>0</v>
      </c>
      <c r="J5104">
        <v>1</v>
      </c>
      <c r="K5104">
        <v>1</v>
      </c>
      <c r="L5104">
        <v>2</v>
      </c>
      <c r="M5104">
        <v>2</v>
      </c>
      <c r="N5104">
        <v>2</v>
      </c>
      <c r="P5104">
        <v>0</v>
      </c>
      <c r="Q5104">
        <v>0</v>
      </c>
      <c r="R5104">
        <v>1</v>
      </c>
      <c r="S5104">
        <v>1</v>
      </c>
    </row>
    <row r="5105" spans="1:19" hidden="1" x14ac:dyDescent="0.35">
      <c r="A5105">
        <v>58573324900</v>
      </c>
      <c r="B5105" t="s">
        <v>5098</v>
      </c>
      <c r="C5105" t="str">
        <f>_xlfn.XLOOKUP(A5105,[1]Affiliations!$J$2:$J$5328,[1]Affiliations!$K$2:$K$5328,0)</f>
        <v>Universidade Federal do Rio Grande do Sul</v>
      </c>
      <c r="D5105">
        <v>1</v>
      </c>
      <c r="E5105">
        <v>5</v>
      </c>
      <c r="F5105">
        <v>5</v>
      </c>
      <c r="G5105">
        <v>1</v>
      </c>
      <c r="H5105">
        <v>0.35</v>
      </c>
      <c r="I5105">
        <v>0</v>
      </c>
      <c r="J5105">
        <v>1</v>
      </c>
      <c r="K5105">
        <v>1</v>
      </c>
      <c r="L5105">
        <v>1</v>
      </c>
      <c r="M5105">
        <v>1</v>
      </c>
      <c r="N5105">
        <v>1</v>
      </c>
      <c r="P5105">
        <v>0</v>
      </c>
      <c r="Q5105">
        <v>0</v>
      </c>
      <c r="R5105">
        <v>0</v>
      </c>
      <c r="S5105">
        <v>0</v>
      </c>
    </row>
    <row r="5106" spans="1:19" hidden="1" x14ac:dyDescent="0.35">
      <c r="A5106">
        <v>57193665042</v>
      </c>
      <c r="B5106" t="s">
        <v>5099</v>
      </c>
      <c r="C5106" t="str">
        <f>_xlfn.XLOOKUP(A5106,[1]Affiliations!$J$2:$J$5328,[1]Affiliations!$K$2:$K$5328,0)</f>
        <v>Universidade Federal de Goiás</v>
      </c>
      <c r="D5106">
        <v>1</v>
      </c>
      <c r="E5106">
        <v>2</v>
      </c>
      <c r="F5106">
        <v>2</v>
      </c>
      <c r="G5106">
        <v>1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P5106">
        <v>0</v>
      </c>
      <c r="Q5106">
        <v>0</v>
      </c>
      <c r="R5106">
        <v>0</v>
      </c>
      <c r="S5106">
        <v>0</v>
      </c>
    </row>
    <row r="5107" spans="1:19" hidden="1" x14ac:dyDescent="0.35">
      <c r="A5107">
        <v>57206720367</v>
      </c>
      <c r="B5107" t="s">
        <v>5100</v>
      </c>
      <c r="C5107" t="str">
        <f>_xlfn.XLOOKUP(A5107,[1]Affiliations!$J$2:$J$5328,[1]Affiliations!$K$2:$K$5328,0)</f>
        <v>Universidade Federal do Rio Grande do Sul</v>
      </c>
      <c r="D5107">
        <v>7</v>
      </c>
      <c r="E5107">
        <v>82</v>
      </c>
      <c r="F5107">
        <v>11.714286</v>
      </c>
      <c r="G5107">
        <v>4</v>
      </c>
      <c r="H5107">
        <v>1.1100000000000001</v>
      </c>
      <c r="I5107">
        <v>0</v>
      </c>
      <c r="J5107">
        <v>1</v>
      </c>
      <c r="K5107">
        <v>1</v>
      </c>
      <c r="L5107">
        <v>2</v>
      </c>
      <c r="M5107">
        <v>3</v>
      </c>
      <c r="N5107">
        <v>4</v>
      </c>
      <c r="P5107">
        <v>0</v>
      </c>
      <c r="Q5107">
        <v>0</v>
      </c>
      <c r="R5107">
        <v>0</v>
      </c>
      <c r="S5107">
        <v>3</v>
      </c>
    </row>
    <row r="5108" spans="1:19" hidden="1" x14ac:dyDescent="0.35">
      <c r="A5108">
        <v>57198075322</v>
      </c>
      <c r="B5108" t="s">
        <v>5101</v>
      </c>
      <c r="C5108" t="str">
        <f>_xlfn.XLOOKUP(A5108,[1]Affiliations!$J$2:$J$5328,[1]Affiliations!$K$2:$K$5328,0)</f>
        <v>Pontifical Catholic University of Rio de Janeiro</v>
      </c>
      <c r="D5108">
        <v>4</v>
      </c>
      <c r="E5108">
        <v>13</v>
      </c>
      <c r="F5108">
        <v>3.25</v>
      </c>
      <c r="G5108">
        <v>3</v>
      </c>
      <c r="H5108">
        <v>2.27</v>
      </c>
      <c r="P5108">
        <v>0</v>
      </c>
      <c r="Q5108">
        <v>0</v>
      </c>
      <c r="R5108">
        <v>0</v>
      </c>
      <c r="S5108">
        <v>0</v>
      </c>
    </row>
    <row r="5109" spans="1:19" x14ac:dyDescent="0.35">
      <c r="A5109">
        <v>35465490100</v>
      </c>
      <c r="B5109" t="s">
        <v>3981</v>
      </c>
      <c r="C5109" t="str">
        <f>_xlfn.XLOOKUP(A5109,[1]Affiliations!$J$2:$J$5328,[1]Affiliations!$K$2:$K$5328,0)</f>
        <v>OPTIMATECH LTDA (+2 more)</v>
      </c>
      <c r="D5109">
        <v>123</v>
      </c>
      <c r="E5109">
        <v>1903</v>
      </c>
      <c r="F5109">
        <v>15.471544</v>
      </c>
      <c r="G5109">
        <v>47</v>
      </c>
      <c r="H5109">
        <v>0.52</v>
      </c>
      <c r="I5109">
        <v>1</v>
      </c>
      <c r="J5109">
        <v>6</v>
      </c>
      <c r="K5109">
        <v>19</v>
      </c>
      <c r="L5109">
        <v>55</v>
      </c>
      <c r="M5109">
        <v>91</v>
      </c>
      <c r="N5109">
        <v>120</v>
      </c>
      <c r="P5109">
        <v>0</v>
      </c>
      <c r="Q5109">
        <v>2</v>
      </c>
      <c r="R5109">
        <v>7</v>
      </c>
      <c r="S5109">
        <v>24</v>
      </c>
    </row>
    <row r="5110" spans="1:19" x14ac:dyDescent="0.35">
      <c r="A5110">
        <v>10540689200</v>
      </c>
      <c r="B5110" t="s">
        <v>4992</v>
      </c>
      <c r="C5110" t="str">
        <f>_xlfn.XLOOKUP(A5110,[1]Affiliations!$J$2:$J$5328,[1]Affiliations!$K$2:$K$5328,0)</f>
        <v>Vizlab - X-Reality and GeoInformatics Lab</v>
      </c>
      <c r="D5110">
        <v>27</v>
      </c>
      <c r="E5110">
        <v>247</v>
      </c>
      <c r="F5110">
        <v>9.1481490000000001</v>
      </c>
      <c r="G5110">
        <v>11</v>
      </c>
      <c r="H5110">
        <v>0.52</v>
      </c>
      <c r="I5110">
        <v>1</v>
      </c>
      <c r="J5110">
        <v>2</v>
      </c>
      <c r="K5110">
        <v>5</v>
      </c>
      <c r="L5110">
        <v>10</v>
      </c>
      <c r="M5110">
        <v>17</v>
      </c>
      <c r="N5110">
        <v>22</v>
      </c>
      <c r="P5110">
        <v>0</v>
      </c>
      <c r="Q5110">
        <v>0</v>
      </c>
      <c r="R5110">
        <v>1</v>
      </c>
      <c r="S5110">
        <v>6</v>
      </c>
    </row>
    <row r="5111" spans="1:19" x14ac:dyDescent="0.35">
      <c r="A5111">
        <v>15844805000</v>
      </c>
      <c r="B5111" t="s">
        <v>438</v>
      </c>
      <c r="C5111" t="str">
        <f>_xlfn.XLOOKUP(A5111,[1]Affiliations!$J$2:$J$5328,[1]Affiliations!$K$2:$K$5328,0)</f>
        <v>Universidade Federal da Paraíba</v>
      </c>
      <c r="D5111">
        <v>24</v>
      </c>
      <c r="E5111">
        <v>143</v>
      </c>
      <c r="F5111">
        <v>5.9583335000000002</v>
      </c>
      <c r="G5111">
        <v>12</v>
      </c>
      <c r="H5111">
        <v>0.51</v>
      </c>
      <c r="I5111">
        <v>0</v>
      </c>
      <c r="J5111">
        <v>1</v>
      </c>
      <c r="K5111">
        <v>4</v>
      </c>
      <c r="L5111">
        <v>5</v>
      </c>
      <c r="M5111">
        <v>7</v>
      </c>
      <c r="N5111">
        <v>10</v>
      </c>
      <c r="P5111">
        <v>0</v>
      </c>
      <c r="Q5111">
        <v>1</v>
      </c>
      <c r="R5111">
        <v>2</v>
      </c>
      <c r="S5111">
        <v>5</v>
      </c>
    </row>
    <row r="5112" spans="1:19" hidden="1" x14ac:dyDescent="0.35">
      <c r="A5112">
        <v>57223392518</v>
      </c>
      <c r="B5112" t="s">
        <v>5104</v>
      </c>
      <c r="C5112" t="str">
        <f>_xlfn.XLOOKUP(A5112,[1]Affiliations!$J$2:$J$5328,[1]Affiliations!$K$2:$K$5328,0)</f>
        <v>Federal University of Santa Catarina</v>
      </c>
      <c r="D5112">
        <v>3</v>
      </c>
      <c r="E5112">
        <v>13</v>
      </c>
      <c r="F5112">
        <v>4.3333335000000002</v>
      </c>
      <c r="G5112">
        <v>2</v>
      </c>
      <c r="H5112">
        <v>0.88</v>
      </c>
      <c r="I5112">
        <v>0</v>
      </c>
      <c r="J5112">
        <v>1</v>
      </c>
      <c r="K5112">
        <v>1</v>
      </c>
      <c r="L5112">
        <v>1</v>
      </c>
      <c r="M5112">
        <v>1</v>
      </c>
      <c r="N5112">
        <v>1</v>
      </c>
      <c r="P5112">
        <v>0</v>
      </c>
      <c r="Q5112">
        <v>0</v>
      </c>
      <c r="R5112">
        <v>0</v>
      </c>
      <c r="S5112">
        <v>1</v>
      </c>
    </row>
    <row r="5113" spans="1:19" hidden="1" x14ac:dyDescent="0.35">
      <c r="A5113">
        <v>57202231424</v>
      </c>
      <c r="B5113" t="s">
        <v>5105</v>
      </c>
      <c r="C5113" t="str">
        <f>_xlfn.XLOOKUP(A5113,[1]Affiliations!$J$2:$J$5328,[1]Affiliations!$K$2:$K$5328,0)</f>
        <v>Vizlab - X-Reality and GeoInformatics Lab</v>
      </c>
      <c r="D5113">
        <v>7</v>
      </c>
      <c r="E5113">
        <v>103</v>
      </c>
      <c r="F5113">
        <v>14.714286</v>
      </c>
      <c r="G5113">
        <v>5</v>
      </c>
      <c r="H5113">
        <v>0.89</v>
      </c>
      <c r="I5113">
        <v>0</v>
      </c>
      <c r="J5113">
        <v>0</v>
      </c>
      <c r="K5113">
        <v>3</v>
      </c>
      <c r="L5113">
        <v>5</v>
      </c>
      <c r="M5113">
        <v>6</v>
      </c>
      <c r="N5113">
        <v>6</v>
      </c>
      <c r="P5113">
        <v>0</v>
      </c>
      <c r="Q5113">
        <v>0</v>
      </c>
      <c r="R5113">
        <v>0</v>
      </c>
      <c r="S5113">
        <v>3</v>
      </c>
    </row>
    <row r="5114" spans="1:19" hidden="1" x14ac:dyDescent="0.35">
      <c r="A5114">
        <v>35276221500</v>
      </c>
      <c r="B5114" t="s">
        <v>5106</v>
      </c>
      <c r="C5114" t="str">
        <f>_xlfn.XLOOKUP(A5114,[1]Affiliations!$J$2:$J$5328,[1]Affiliations!$K$2:$K$5328,0)</f>
        <v>Universidade do Estado do Rio de Janeiro (+1 more)</v>
      </c>
      <c r="D5114">
        <v>10</v>
      </c>
      <c r="E5114">
        <v>81</v>
      </c>
      <c r="F5114">
        <v>8.1</v>
      </c>
      <c r="G5114">
        <v>10</v>
      </c>
      <c r="H5114">
        <v>0.54</v>
      </c>
      <c r="I5114">
        <v>0</v>
      </c>
      <c r="J5114">
        <v>0</v>
      </c>
      <c r="K5114">
        <v>0</v>
      </c>
      <c r="L5114">
        <v>1</v>
      </c>
      <c r="M5114">
        <v>3</v>
      </c>
      <c r="N5114">
        <v>5</v>
      </c>
      <c r="P5114">
        <v>0</v>
      </c>
      <c r="Q5114">
        <v>0</v>
      </c>
      <c r="R5114">
        <v>0</v>
      </c>
      <c r="S5114">
        <v>2</v>
      </c>
    </row>
    <row r="5115" spans="1:19" x14ac:dyDescent="0.35">
      <c r="A5115">
        <v>56464171900</v>
      </c>
      <c r="B5115" t="s">
        <v>518</v>
      </c>
      <c r="C5115" t="str">
        <f>_xlfn.XLOOKUP(A5115,[1]Affiliations!$J$2:$J$5328,[1]Affiliations!$K$2:$K$5328,0)</f>
        <v>Universidade de São Paulo</v>
      </c>
      <c r="D5115">
        <v>7</v>
      </c>
      <c r="E5115">
        <v>97</v>
      </c>
      <c r="F5115">
        <v>13.857142</v>
      </c>
      <c r="G5115">
        <v>5</v>
      </c>
      <c r="H5115">
        <v>0.51</v>
      </c>
      <c r="I5115">
        <v>0</v>
      </c>
      <c r="J5115">
        <v>1</v>
      </c>
      <c r="K5115">
        <v>2</v>
      </c>
      <c r="L5115">
        <v>6</v>
      </c>
      <c r="M5115">
        <v>6</v>
      </c>
      <c r="N5115">
        <v>6</v>
      </c>
      <c r="P5115">
        <v>0</v>
      </c>
      <c r="Q5115">
        <v>0</v>
      </c>
      <c r="R5115">
        <v>1</v>
      </c>
      <c r="S5115">
        <v>1</v>
      </c>
    </row>
    <row r="5116" spans="1:19" hidden="1" x14ac:dyDescent="0.35">
      <c r="A5116">
        <v>57190228134</v>
      </c>
      <c r="B5116" t="s">
        <v>5108</v>
      </c>
      <c r="C5116" t="str">
        <f>_xlfn.XLOOKUP(A5116,[1]Affiliations!$J$2:$J$5328,[1]Affiliations!$K$2:$K$5328,0)</f>
        <v>Universidade Federal Fluminense</v>
      </c>
      <c r="D5116">
        <v>10</v>
      </c>
      <c r="E5116">
        <v>42</v>
      </c>
      <c r="F5116">
        <v>4.2</v>
      </c>
      <c r="G5116">
        <v>4</v>
      </c>
      <c r="H5116">
        <v>0.45</v>
      </c>
      <c r="I5116">
        <v>0</v>
      </c>
      <c r="J5116">
        <v>1</v>
      </c>
      <c r="K5116">
        <v>1</v>
      </c>
      <c r="L5116">
        <v>1</v>
      </c>
      <c r="M5116">
        <v>4</v>
      </c>
      <c r="N5116">
        <v>5</v>
      </c>
      <c r="P5116">
        <v>0</v>
      </c>
      <c r="Q5116">
        <v>0</v>
      </c>
      <c r="R5116">
        <v>0</v>
      </c>
      <c r="S5116">
        <v>1</v>
      </c>
    </row>
    <row r="5117" spans="1:19" hidden="1" x14ac:dyDescent="0.35">
      <c r="A5117">
        <v>57219792856</v>
      </c>
      <c r="B5117" t="s">
        <v>5109</v>
      </c>
      <c r="C5117" t="str">
        <f>_xlfn.XLOOKUP(A5117,[1]Affiliations!$J$2:$J$5328,[1]Affiliations!$K$2:$K$5328,0)</f>
        <v>Federal University of Rio de Janeiro</v>
      </c>
      <c r="D5117">
        <v>2</v>
      </c>
      <c r="E5117">
        <v>46</v>
      </c>
      <c r="F5117">
        <v>23</v>
      </c>
      <c r="G5117">
        <v>1</v>
      </c>
      <c r="H5117">
        <v>1.1100000000000001</v>
      </c>
      <c r="I5117">
        <v>0</v>
      </c>
      <c r="J5117">
        <v>0</v>
      </c>
      <c r="K5117">
        <v>0</v>
      </c>
      <c r="L5117">
        <v>1</v>
      </c>
      <c r="M5117">
        <v>2</v>
      </c>
      <c r="N5117">
        <v>2</v>
      </c>
      <c r="P5117">
        <v>0</v>
      </c>
      <c r="Q5117">
        <v>0</v>
      </c>
      <c r="R5117">
        <v>1</v>
      </c>
      <c r="S5117">
        <v>1</v>
      </c>
    </row>
    <row r="5118" spans="1:19" hidden="1" x14ac:dyDescent="0.35">
      <c r="A5118">
        <v>56274456500</v>
      </c>
      <c r="B5118" t="s">
        <v>5110</v>
      </c>
      <c r="C5118" t="str">
        <f>_xlfn.XLOOKUP(A5118,[1]Affiliations!$J$2:$J$5328,[1]Affiliations!$K$2:$K$5328,0)</f>
        <v>Federal University of Rio de Janeiro</v>
      </c>
      <c r="D5118">
        <v>4</v>
      </c>
      <c r="E5118">
        <v>17</v>
      </c>
      <c r="F5118">
        <v>4.25</v>
      </c>
      <c r="G5118">
        <v>4</v>
      </c>
      <c r="H5118">
        <v>0.81</v>
      </c>
      <c r="I5118">
        <v>1</v>
      </c>
      <c r="J5118">
        <v>1</v>
      </c>
      <c r="K5118">
        <v>2</v>
      </c>
      <c r="L5118">
        <v>2</v>
      </c>
      <c r="M5118">
        <v>2</v>
      </c>
      <c r="N5118">
        <v>2</v>
      </c>
      <c r="P5118">
        <v>0</v>
      </c>
      <c r="Q5118">
        <v>0</v>
      </c>
      <c r="R5118">
        <v>0</v>
      </c>
      <c r="S5118">
        <v>1</v>
      </c>
    </row>
    <row r="5119" spans="1:19" hidden="1" x14ac:dyDescent="0.35">
      <c r="A5119">
        <v>57672453300</v>
      </c>
      <c r="B5119" t="s">
        <v>5111</v>
      </c>
      <c r="C5119" t="str">
        <f>_xlfn.XLOOKUP(A5119,[1]Affiliations!$J$2:$J$5328,[1]Affiliations!$K$2:$K$5328,0)</f>
        <v>Universidade Federal do Rio Grande do Norte</v>
      </c>
      <c r="D5119">
        <v>2</v>
      </c>
      <c r="E5119">
        <v>8</v>
      </c>
      <c r="F5119">
        <v>4</v>
      </c>
      <c r="G5119">
        <v>2</v>
      </c>
      <c r="H5119">
        <v>0.31</v>
      </c>
      <c r="I5119">
        <v>0</v>
      </c>
      <c r="J5119">
        <v>0</v>
      </c>
      <c r="K5119">
        <v>1</v>
      </c>
      <c r="L5119">
        <v>1</v>
      </c>
      <c r="M5119">
        <v>1</v>
      </c>
      <c r="N5119">
        <v>2</v>
      </c>
      <c r="P5119">
        <v>0</v>
      </c>
      <c r="Q5119">
        <v>0</v>
      </c>
      <c r="R5119">
        <v>0</v>
      </c>
      <c r="S5119">
        <v>0</v>
      </c>
    </row>
    <row r="5120" spans="1:19" hidden="1" x14ac:dyDescent="0.35">
      <c r="A5120">
        <v>7003501098</v>
      </c>
      <c r="B5120" t="s">
        <v>5112</v>
      </c>
      <c r="C5120" t="str">
        <f>_xlfn.XLOOKUP(A5120,[1]Affiliations!$J$2:$J$5328,[1]Affiliations!$K$2:$K$5328,0)</f>
        <v>Universidade Federal de Minas Gerais</v>
      </c>
      <c r="D5120">
        <v>20</v>
      </c>
      <c r="E5120">
        <v>416</v>
      </c>
      <c r="F5120">
        <v>20.8</v>
      </c>
      <c r="G5120">
        <v>16</v>
      </c>
      <c r="H5120">
        <v>0.5</v>
      </c>
      <c r="I5120">
        <v>0</v>
      </c>
      <c r="J5120">
        <v>0</v>
      </c>
      <c r="K5120">
        <v>0</v>
      </c>
      <c r="L5120">
        <v>10</v>
      </c>
      <c r="M5120">
        <v>18</v>
      </c>
      <c r="N5120">
        <v>18</v>
      </c>
      <c r="P5120">
        <v>0</v>
      </c>
      <c r="Q5120">
        <v>1</v>
      </c>
      <c r="R5120">
        <v>1</v>
      </c>
      <c r="S5120">
        <v>5</v>
      </c>
    </row>
    <row r="5121" spans="1:19" x14ac:dyDescent="0.35">
      <c r="A5121">
        <v>57118837300</v>
      </c>
      <c r="B5121" t="s">
        <v>1248</v>
      </c>
      <c r="C5121" t="str">
        <f>_xlfn.XLOOKUP(A5121,[1]Affiliations!$J$2:$J$5328,[1]Affiliations!$K$2:$K$5328,0)</f>
        <v>Universidade Estadual de Maringá</v>
      </c>
      <c r="D5121">
        <v>8</v>
      </c>
      <c r="E5121">
        <v>148</v>
      </c>
      <c r="F5121">
        <v>18.5</v>
      </c>
      <c r="G5121">
        <v>5</v>
      </c>
      <c r="H5121">
        <v>0.51</v>
      </c>
      <c r="I5121">
        <v>0</v>
      </c>
      <c r="J5121">
        <v>0</v>
      </c>
      <c r="K5121">
        <v>2</v>
      </c>
      <c r="L5121">
        <v>3</v>
      </c>
      <c r="M5121">
        <v>4</v>
      </c>
      <c r="N5121">
        <v>6</v>
      </c>
      <c r="P5121">
        <v>0</v>
      </c>
      <c r="Q5121">
        <v>0</v>
      </c>
      <c r="R5121">
        <v>1</v>
      </c>
      <c r="S5121">
        <v>3</v>
      </c>
    </row>
    <row r="5122" spans="1:19" x14ac:dyDescent="0.35">
      <c r="A5122">
        <v>55215011700</v>
      </c>
      <c r="B5122" t="s">
        <v>1528</v>
      </c>
      <c r="C5122" t="str">
        <f>_xlfn.XLOOKUP(A5122,[1]Affiliations!$J$2:$J$5328,[1]Affiliations!$K$2:$K$5328,0)</f>
        <v>Universidade Tecnológica Federal do Paraná (+1 more)</v>
      </c>
      <c r="D5122">
        <v>19</v>
      </c>
      <c r="E5122">
        <v>114</v>
      </c>
      <c r="F5122">
        <v>6</v>
      </c>
      <c r="G5122">
        <v>6</v>
      </c>
      <c r="H5122">
        <v>0.51</v>
      </c>
      <c r="I5122">
        <v>1</v>
      </c>
      <c r="J5122">
        <v>3</v>
      </c>
      <c r="K5122">
        <v>4</v>
      </c>
      <c r="L5122">
        <v>8</v>
      </c>
      <c r="M5122">
        <v>9</v>
      </c>
      <c r="N5122">
        <v>12</v>
      </c>
      <c r="P5122">
        <v>0</v>
      </c>
      <c r="Q5122">
        <v>0</v>
      </c>
      <c r="R5122">
        <v>1</v>
      </c>
      <c r="S5122">
        <v>2</v>
      </c>
    </row>
    <row r="5123" spans="1:19" hidden="1" x14ac:dyDescent="0.35">
      <c r="A5123">
        <v>57196042260</v>
      </c>
      <c r="B5123" t="s">
        <v>5115</v>
      </c>
      <c r="C5123" t="str">
        <f>_xlfn.XLOOKUP(A5123,[1]Affiliations!$J$2:$J$5328,[1]Affiliations!$K$2:$K$5328,0)</f>
        <v>Universidade de Brasília</v>
      </c>
      <c r="D5123">
        <v>1</v>
      </c>
      <c r="E5123">
        <v>39</v>
      </c>
      <c r="F5123">
        <v>39</v>
      </c>
      <c r="G5123">
        <v>1</v>
      </c>
      <c r="H5123">
        <v>1.62</v>
      </c>
      <c r="I5123">
        <v>0</v>
      </c>
      <c r="J5123">
        <v>1</v>
      </c>
      <c r="K5123">
        <v>1</v>
      </c>
      <c r="L5123">
        <v>1</v>
      </c>
      <c r="M5123">
        <v>1</v>
      </c>
      <c r="N5123">
        <v>1</v>
      </c>
      <c r="P5123">
        <v>0</v>
      </c>
      <c r="Q5123">
        <v>0</v>
      </c>
      <c r="R5123">
        <v>0</v>
      </c>
      <c r="S5123">
        <v>1</v>
      </c>
    </row>
    <row r="5124" spans="1:19" x14ac:dyDescent="0.35">
      <c r="A5124">
        <v>55454633300</v>
      </c>
      <c r="B5124" t="s">
        <v>2385</v>
      </c>
      <c r="C5124" t="str">
        <f>_xlfn.XLOOKUP(A5124,[1]Affiliations!$J$2:$J$5328,[1]Affiliations!$K$2:$K$5328,0)</f>
        <v>Universidade Federal de Mato Grosso do Sul</v>
      </c>
      <c r="D5124">
        <v>46</v>
      </c>
      <c r="E5124">
        <v>222</v>
      </c>
      <c r="F5124">
        <v>4.8260870000000002</v>
      </c>
      <c r="G5124">
        <v>8</v>
      </c>
      <c r="H5124">
        <v>0.51</v>
      </c>
      <c r="I5124">
        <v>0</v>
      </c>
      <c r="J5124">
        <v>2</v>
      </c>
      <c r="K5124">
        <v>6</v>
      </c>
      <c r="L5124">
        <v>11</v>
      </c>
      <c r="M5124">
        <v>14</v>
      </c>
      <c r="N5124">
        <v>17</v>
      </c>
      <c r="P5124">
        <v>0</v>
      </c>
      <c r="Q5124">
        <v>0</v>
      </c>
      <c r="R5124">
        <v>1</v>
      </c>
      <c r="S5124">
        <v>3</v>
      </c>
    </row>
    <row r="5125" spans="1:19" x14ac:dyDescent="0.35">
      <c r="A5125">
        <v>25225029800</v>
      </c>
      <c r="B5125" t="s">
        <v>2450</v>
      </c>
      <c r="C5125" t="str">
        <f>_xlfn.XLOOKUP(A5125,[1]Affiliations!$J$2:$J$5328,[1]Affiliations!$K$2:$K$5328,0)</f>
        <v>Federal University of Rio de Janeiro</v>
      </c>
      <c r="D5125">
        <v>74</v>
      </c>
      <c r="E5125">
        <v>619</v>
      </c>
      <c r="F5125">
        <v>8.364865</v>
      </c>
      <c r="G5125">
        <v>24</v>
      </c>
      <c r="H5125">
        <v>0.51</v>
      </c>
      <c r="I5125">
        <v>0</v>
      </c>
      <c r="J5125">
        <v>6</v>
      </c>
      <c r="K5125">
        <v>10</v>
      </c>
      <c r="L5125">
        <v>25</v>
      </c>
      <c r="M5125">
        <v>43</v>
      </c>
      <c r="N5125">
        <v>54</v>
      </c>
      <c r="P5125">
        <v>0</v>
      </c>
      <c r="Q5125">
        <v>0</v>
      </c>
      <c r="R5125">
        <v>1</v>
      </c>
      <c r="S5125">
        <v>11</v>
      </c>
    </row>
    <row r="5126" spans="1:19" hidden="1" x14ac:dyDescent="0.35">
      <c r="A5126">
        <v>24831151000</v>
      </c>
      <c r="B5126" t="s">
        <v>5118</v>
      </c>
      <c r="C5126" t="str">
        <f>_xlfn.XLOOKUP(A5126,[1]Affiliations!$J$2:$J$5328,[1]Affiliations!$K$2:$K$5328,0)</f>
        <v>Welltec S.A.</v>
      </c>
      <c r="D5126">
        <v>10</v>
      </c>
      <c r="E5126">
        <v>22</v>
      </c>
      <c r="F5126">
        <v>2.2000000000000002</v>
      </c>
      <c r="G5126">
        <v>8</v>
      </c>
      <c r="H5126">
        <v>0.47</v>
      </c>
      <c r="I5126">
        <v>0</v>
      </c>
      <c r="J5126">
        <v>1</v>
      </c>
      <c r="K5126">
        <v>1</v>
      </c>
      <c r="L5126">
        <v>1</v>
      </c>
      <c r="M5126">
        <v>2</v>
      </c>
      <c r="N5126">
        <v>3</v>
      </c>
      <c r="P5126">
        <v>0</v>
      </c>
      <c r="Q5126">
        <v>0</v>
      </c>
      <c r="R5126">
        <v>0</v>
      </c>
      <c r="S5126">
        <v>0</v>
      </c>
    </row>
    <row r="5127" spans="1:19" hidden="1" x14ac:dyDescent="0.35">
      <c r="A5127">
        <v>57203579213</v>
      </c>
      <c r="B5127" t="s">
        <v>5119</v>
      </c>
      <c r="C5127" t="str">
        <f>_xlfn.XLOOKUP(A5127,[1]Affiliations!$J$2:$J$5328,[1]Affiliations!$K$2:$K$5328,0)</f>
        <v>Universidade Federal do Ceará</v>
      </c>
      <c r="D5127">
        <v>6</v>
      </c>
      <c r="E5127">
        <v>18</v>
      </c>
      <c r="F5127">
        <v>3</v>
      </c>
      <c r="G5127">
        <v>3</v>
      </c>
      <c r="H5127">
        <v>0.31</v>
      </c>
      <c r="I5127">
        <v>0</v>
      </c>
      <c r="J5127">
        <v>0</v>
      </c>
      <c r="K5127">
        <v>0</v>
      </c>
      <c r="L5127">
        <v>0</v>
      </c>
      <c r="M5127">
        <v>2</v>
      </c>
      <c r="N5127">
        <v>5</v>
      </c>
      <c r="P5127">
        <v>0</v>
      </c>
      <c r="Q5127">
        <v>0</v>
      </c>
      <c r="R5127">
        <v>0</v>
      </c>
      <c r="S5127">
        <v>1</v>
      </c>
    </row>
    <row r="5128" spans="1:19" hidden="1" x14ac:dyDescent="0.35">
      <c r="A5128">
        <v>57014558900</v>
      </c>
      <c r="B5128" t="s">
        <v>5120</v>
      </c>
      <c r="C5128" t="str">
        <f>_xlfn.XLOOKUP(A5128,[1]Affiliations!$J$2:$J$5328,[1]Affiliations!$K$2:$K$5328,0)</f>
        <v>Pontifical Catholic University of Rio de Janeiro (+1 more)</v>
      </c>
      <c r="D5128">
        <v>2</v>
      </c>
      <c r="E5128">
        <v>9</v>
      </c>
      <c r="F5128">
        <v>4.5</v>
      </c>
      <c r="G5128">
        <v>1</v>
      </c>
      <c r="H5128">
        <v>0.22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1</v>
      </c>
      <c r="P5128">
        <v>0</v>
      </c>
      <c r="Q5128">
        <v>0</v>
      </c>
      <c r="R5128">
        <v>0</v>
      </c>
      <c r="S5128">
        <v>0</v>
      </c>
    </row>
    <row r="5129" spans="1:19" hidden="1" x14ac:dyDescent="0.35">
      <c r="A5129">
        <v>11739003300</v>
      </c>
      <c r="B5129" t="s">
        <v>5121</v>
      </c>
      <c r="C5129" t="str">
        <f>_xlfn.XLOOKUP(A5129,[1]Affiliations!$J$2:$J$5328,[1]Affiliations!$K$2:$K$5328,0)</f>
        <v>Universidade Tiradentes</v>
      </c>
      <c r="D5129">
        <v>0</v>
      </c>
      <c r="G5129">
        <v>4</v>
      </c>
    </row>
    <row r="5130" spans="1:19" x14ac:dyDescent="0.35">
      <c r="A5130">
        <v>33667772300</v>
      </c>
      <c r="B5130" t="s">
        <v>2868</v>
      </c>
      <c r="C5130" t="str">
        <f>_xlfn.XLOOKUP(A5130,[1]Affiliations!$J$2:$J$5328,[1]Affiliations!$K$2:$K$5328,0)</f>
        <v>Federal University of Rio de Janeiro</v>
      </c>
      <c r="D5130">
        <v>18</v>
      </c>
      <c r="E5130">
        <v>117</v>
      </c>
      <c r="F5130">
        <v>6.5</v>
      </c>
      <c r="G5130">
        <v>8</v>
      </c>
      <c r="H5130">
        <v>0.51</v>
      </c>
      <c r="I5130">
        <v>0</v>
      </c>
      <c r="J5130">
        <v>0</v>
      </c>
      <c r="K5130">
        <v>1</v>
      </c>
      <c r="L5130">
        <v>7</v>
      </c>
      <c r="M5130">
        <v>13</v>
      </c>
      <c r="N5130">
        <v>18</v>
      </c>
      <c r="P5130">
        <v>0</v>
      </c>
      <c r="Q5130">
        <v>0</v>
      </c>
      <c r="R5130">
        <v>2</v>
      </c>
      <c r="S5130">
        <v>5</v>
      </c>
    </row>
    <row r="5131" spans="1:19" x14ac:dyDescent="0.35">
      <c r="A5131">
        <v>56373257800</v>
      </c>
      <c r="B5131" t="s">
        <v>3335</v>
      </c>
      <c r="C5131" t="str">
        <f>_xlfn.XLOOKUP(A5131,[1]Affiliations!$J$2:$J$5328,[1]Affiliations!$K$2:$K$5328,0)</f>
        <v>Universidade Federal de Sergipe</v>
      </c>
      <c r="D5131">
        <v>42</v>
      </c>
      <c r="E5131">
        <v>566</v>
      </c>
      <c r="F5131">
        <v>13.476191</v>
      </c>
      <c r="G5131">
        <v>24</v>
      </c>
      <c r="H5131">
        <v>0.51</v>
      </c>
      <c r="I5131">
        <v>1</v>
      </c>
      <c r="J5131">
        <v>1</v>
      </c>
      <c r="K5131">
        <v>11</v>
      </c>
      <c r="L5131">
        <v>29</v>
      </c>
      <c r="M5131">
        <v>35</v>
      </c>
      <c r="N5131">
        <v>41</v>
      </c>
      <c r="P5131">
        <v>0</v>
      </c>
      <c r="Q5131">
        <v>1</v>
      </c>
      <c r="R5131">
        <v>2</v>
      </c>
      <c r="S5131">
        <v>11</v>
      </c>
    </row>
    <row r="5132" spans="1:19" hidden="1" x14ac:dyDescent="0.35">
      <c r="A5132">
        <v>58632681000</v>
      </c>
      <c r="B5132" t="s">
        <v>5123</v>
      </c>
      <c r="C5132" t="str">
        <f>_xlfn.XLOOKUP(A5132,[1]Affiliations!$J$2:$J$5328,[1]Affiliations!$K$2:$K$5328,0)</f>
        <v>Universidade Federal do Rio Grande do Norte</v>
      </c>
      <c r="D5132">
        <v>1</v>
      </c>
      <c r="E5132">
        <v>11</v>
      </c>
      <c r="F5132">
        <v>11</v>
      </c>
      <c r="G5132">
        <v>1</v>
      </c>
      <c r="H5132">
        <v>1.51</v>
      </c>
      <c r="I5132">
        <v>0</v>
      </c>
      <c r="J5132">
        <v>0</v>
      </c>
      <c r="K5132">
        <v>0</v>
      </c>
      <c r="L5132">
        <v>1</v>
      </c>
      <c r="M5132">
        <v>1</v>
      </c>
      <c r="N5132">
        <v>1</v>
      </c>
      <c r="P5132">
        <v>0</v>
      </c>
      <c r="Q5132">
        <v>0</v>
      </c>
      <c r="R5132">
        <v>0</v>
      </c>
      <c r="S5132">
        <v>1</v>
      </c>
    </row>
    <row r="5133" spans="1:19" hidden="1" x14ac:dyDescent="0.35">
      <c r="A5133">
        <v>57190497358</v>
      </c>
      <c r="B5133" t="s">
        <v>5124</v>
      </c>
      <c r="C5133" t="str">
        <f>_xlfn.XLOOKUP(A5133,[1]Affiliations!$J$2:$J$5328,[1]Affiliations!$K$2:$K$5328,0)</f>
        <v>Federal University of Rio de Janeiro</v>
      </c>
      <c r="D5133">
        <v>27</v>
      </c>
      <c r="E5133">
        <v>188</v>
      </c>
      <c r="F5133">
        <v>6.9629630000000002</v>
      </c>
      <c r="G5133">
        <v>9</v>
      </c>
      <c r="H5133">
        <v>0.48</v>
      </c>
      <c r="I5133">
        <v>0</v>
      </c>
      <c r="J5133">
        <v>0</v>
      </c>
      <c r="K5133">
        <v>0</v>
      </c>
      <c r="L5133">
        <v>9</v>
      </c>
      <c r="M5133">
        <v>18</v>
      </c>
      <c r="N5133">
        <v>23</v>
      </c>
      <c r="P5133">
        <v>0</v>
      </c>
      <c r="Q5133">
        <v>0</v>
      </c>
      <c r="R5133">
        <v>1</v>
      </c>
      <c r="S5133">
        <v>5</v>
      </c>
    </row>
    <row r="5134" spans="1:19" x14ac:dyDescent="0.35">
      <c r="A5134">
        <v>20436676300</v>
      </c>
      <c r="B5134" t="s">
        <v>3785</v>
      </c>
      <c r="C5134" t="str">
        <f>_xlfn.XLOOKUP(A5134,[1]Affiliations!$J$2:$J$5328,[1]Affiliations!$K$2:$K$5328,0)</f>
        <v>Instituto Tecnológico da Aeronáutica</v>
      </c>
      <c r="D5134">
        <v>21</v>
      </c>
      <c r="E5134">
        <v>238</v>
      </c>
      <c r="F5134">
        <v>11.333333</v>
      </c>
      <c r="G5134">
        <v>13</v>
      </c>
      <c r="H5134">
        <v>0.51</v>
      </c>
      <c r="I5134">
        <v>0</v>
      </c>
      <c r="J5134">
        <v>2</v>
      </c>
      <c r="K5134">
        <v>2</v>
      </c>
      <c r="L5134">
        <v>2</v>
      </c>
      <c r="M5134">
        <v>10</v>
      </c>
      <c r="N5134">
        <v>13</v>
      </c>
      <c r="P5134">
        <v>0</v>
      </c>
      <c r="Q5134">
        <v>0</v>
      </c>
      <c r="R5134">
        <v>2</v>
      </c>
      <c r="S5134">
        <v>4</v>
      </c>
    </row>
    <row r="5135" spans="1:19" x14ac:dyDescent="0.35">
      <c r="A5135">
        <v>35580866800</v>
      </c>
      <c r="B5135" t="s">
        <v>4419</v>
      </c>
      <c r="C5135" t="str">
        <f>_xlfn.XLOOKUP(A5135,[1]Affiliations!$J$2:$J$5328,[1]Affiliations!$K$2:$K$5328,0)</f>
        <v>Federal University of Rio de Janeiro</v>
      </c>
      <c r="D5135">
        <v>28</v>
      </c>
      <c r="E5135">
        <v>399</v>
      </c>
      <c r="F5135">
        <v>14.25</v>
      </c>
      <c r="G5135">
        <v>22</v>
      </c>
      <c r="H5135">
        <v>0.51</v>
      </c>
      <c r="I5135">
        <v>0</v>
      </c>
      <c r="J5135">
        <v>1</v>
      </c>
      <c r="K5135">
        <v>6</v>
      </c>
      <c r="L5135">
        <v>17</v>
      </c>
      <c r="M5135">
        <v>22</v>
      </c>
      <c r="N5135">
        <v>28</v>
      </c>
      <c r="P5135">
        <v>0</v>
      </c>
      <c r="Q5135">
        <v>0</v>
      </c>
      <c r="R5135">
        <v>3</v>
      </c>
      <c r="S5135">
        <v>7</v>
      </c>
    </row>
    <row r="5136" spans="1:19" hidden="1" x14ac:dyDescent="0.35">
      <c r="A5136">
        <v>57191412078</v>
      </c>
      <c r="B5136" t="s">
        <v>5127</v>
      </c>
      <c r="C5136" t="str">
        <f>_xlfn.XLOOKUP(A5136,[1]Affiliations!$J$2:$J$5328,[1]Affiliations!$K$2:$K$5328,0)</f>
        <v>Federal Institute</v>
      </c>
      <c r="D5136">
        <v>1</v>
      </c>
      <c r="E5136">
        <v>2</v>
      </c>
      <c r="F5136">
        <v>2</v>
      </c>
      <c r="G5136">
        <v>1</v>
      </c>
      <c r="H5136">
        <v>0.81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1</v>
      </c>
      <c r="P5136">
        <v>0</v>
      </c>
      <c r="Q5136">
        <v>0</v>
      </c>
      <c r="R5136">
        <v>0</v>
      </c>
      <c r="S5136">
        <v>0</v>
      </c>
    </row>
    <row r="5137" spans="1:19" x14ac:dyDescent="0.35">
      <c r="A5137">
        <v>57193011356</v>
      </c>
      <c r="B5137" t="s">
        <v>4973</v>
      </c>
      <c r="C5137" t="str">
        <f>_xlfn.XLOOKUP(A5137,[1]Affiliations!$J$2:$J$5328,[1]Affiliations!$K$2:$K$5328,0)</f>
        <v>Universidade Estadual Paulista “Júlio de Mesquita Filho” (+1 more)</v>
      </c>
      <c r="D5137">
        <v>32</v>
      </c>
      <c r="E5137">
        <v>425</v>
      </c>
      <c r="F5137">
        <v>13.28125</v>
      </c>
      <c r="G5137">
        <v>13</v>
      </c>
      <c r="H5137">
        <v>0.51</v>
      </c>
      <c r="I5137">
        <v>0</v>
      </c>
      <c r="J5137">
        <v>3</v>
      </c>
      <c r="K5137">
        <v>6</v>
      </c>
      <c r="L5137">
        <v>15</v>
      </c>
      <c r="M5137">
        <v>21</v>
      </c>
      <c r="N5137">
        <v>22</v>
      </c>
      <c r="P5137">
        <v>0</v>
      </c>
      <c r="Q5137">
        <v>1</v>
      </c>
      <c r="R5137">
        <v>2</v>
      </c>
      <c r="S5137">
        <v>7</v>
      </c>
    </row>
    <row r="5138" spans="1:19" x14ac:dyDescent="0.35">
      <c r="A5138">
        <v>57194194811</v>
      </c>
      <c r="B5138" t="s">
        <v>5245</v>
      </c>
      <c r="C5138" t="str">
        <f>_xlfn.XLOOKUP(A5138,[1]Affiliations!$J$2:$J$5328,[1]Affiliations!$K$2:$K$5328,0)</f>
        <v>Universidade Tecnológica Federal do Paraná</v>
      </c>
      <c r="D5138">
        <v>18</v>
      </c>
      <c r="E5138">
        <v>98</v>
      </c>
      <c r="F5138">
        <v>5.4444447</v>
      </c>
      <c r="G5138">
        <v>5</v>
      </c>
      <c r="H5138">
        <v>0.51</v>
      </c>
      <c r="I5138">
        <v>0</v>
      </c>
      <c r="J5138">
        <v>0</v>
      </c>
      <c r="K5138">
        <v>3</v>
      </c>
      <c r="L5138">
        <v>5</v>
      </c>
      <c r="M5138">
        <v>7</v>
      </c>
      <c r="N5138">
        <v>11</v>
      </c>
      <c r="P5138">
        <v>0</v>
      </c>
      <c r="Q5138">
        <v>1</v>
      </c>
      <c r="R5138">
        <v>1</v>
      </c>
      <c r="S5138">
        <v>2</v>
      </c>
    </row>
    <row r="5139" spans="1:19" hidden="1" x14ac:dyDescent="0.35">
      <c r="A5139">
        <v>7102943460</v>
      </c>
      <c r="B5139" t="s">
        <v>5130</v>
      </c>
      <c r="C5139" t="str">
        <f>_xlfn.XLOOKUP(A5139,[1]Affiliations!$J$2:$J$5328,[1]Affiliations!$K$2:$K$5328,0)</f>
        <v>Universidade Federal Rural do Rio de Janeiro (+1 more)</v>
      </c>
      <c r="D5139">
        <v>10</v>
      </c>
      <c r="E5139">
        <v>82</v>
      </c>
      <c r="F5139">
        <v>8.1999999999999993</v>
      </c>
      <c r="G5139">
        <v>10</v>
      </c>
      <c r="H5139">
        <v>0.34</v>
      </c>
      <c r="I5139">
        <v>0</v>
      </c>
      <c r="J5139">
        <v>0</v>
      </c>
      <c r="K5139">
        <v>0</v>
      </c>
      <c r="L5139">
        <v>5</v>
      </c>
      <c r="M5139">
        <v>6</v>
      </c>
      <c r="N5139">
        <v>8</v>
      </c>
      <c r="P5139">
        <v>0</v>
      </c>
      <c r="Q5139">
        <v>0</v>
      </c>
      <c r="R5139">
        <v>0</v>
      </c>
      <c r="S5139">
        <v>0</v>
      </c>
    </row>
    <row r="5140" spans="1:19" hidden="1" x14ac:dyDescent="0.35">
      <c r="A5140">
        <v>57195684856</v>
      </c>
      <c r="B5140" t="s">
        <v>5131</v>
      </c>
      <c r="C5140" t="str">
        <f>_xlfn.XLOOKUP(A5140,[1]Affiliations!$J$2:$J$5328,[1]Affiliations!$K$2:$K$5328,0)</f>
        <v>Federal University of Santa Catarina</v>
      </c>
      <c r="D5140">
        <v>1</v>
      </c>
      <c r="E5140">
        <v>2</v>
      </c>
      <c r="F5140">
        <v>2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1</v>
      </c>
      <c r="N5140">
        <v>1</v>
      </c>
      <c r="P5140">
        <v>0</v>
      </c>
      <c r="Q5140">
        <v>0</v>
      </c>
      <c r="R5140">
        <v>0</v>
      </c>
      <c r="S5140">
        <v>0</v>
      </c>
    </row>
    <row r="5141" spans="1:19" hidden="1" x14ac:dyDescent="0.35">
      <c r="A5141">
        <v>56127563300</v>
      </c>
      <c r="B5141" t="s">
        <v>5132</v>
      </c>
      <c r="C5141" t="str">
        <f>_xlfn.XLOOKUP(A5141,[1]Affiliations!$J$2:$J$5328,[1]Affiliations!$K$2:$K$5328,0)</f>
        <v>Pontifical Catholic University of Rio de Janeiro</v>
      </c>
      <c r="D5141">
        <v>4</v>
      </c>
      <c r="E5141">
        <v>33</v>
      </c>
      <c r="F5141">
        <v>8.25</v>
      </c>
      <c r="G5141">
        <v>3</v>
      </c>
      <c r="H5141">
        <v>0.31</v>
      </c>
      <c r="I5141">
        <v>0</v>
      </c>
      <c r="J5141">
        <v>0</v>
      </c>
      <c r="K5141">
        <v>0</v>
      </c>
      <c r="L5141">
        <v>2</v>
      </c>
      <c r="M5141">
        <v>2</v>
      </c>
      <c r="N5141">
        <v>3</v>
      </c>
      <c r="P5141">
        <v>0</v>
      </c>
      <c r="Q5141">
        <v>0</v>
      </c>
      <c r="R5141">
        <v>0</v>
      </c>
      <c r="S5141">
        <v>0</v>
      </c>
    </row>
    <row r="5142" spans="1:19" hidden="1" x14ac:dyDescent="0.35">
      <c r="A5142">
        <v>57189052410</v>
      </c>
      <c r="B5142" t="s">
        <v>5133</v>
      </c>
      <c r="C5142" t="str">
        <f>_xlfn.XLOOKUP(A5142,[1]Affiliations!$J$2:$J$5328,[1]Affiliations!$K$2:$K$5328,0)</f>
        <v>Pontifical Catholic University of Rio de Janeiro</v>
      </c>
      <c r="D5142">
        <v>3</v>
      </c>
      <c r="E5142">
        <v>9</v>
      </c>
      <c r="F5142">
        <v>3</v>
      </c>
      <c r="G5142">
        <v>1</v>
      </c>
      <c r="H5142">
        <v>0.24</v>
      </c>
      <c r="P5142">
        <v>0</v>
      </c>
      <c r="Q5142">
        <v>0</v>
      </c>
      <c r="R5142">
        <v>0</v>
      </c>
      <c r="S5142">
        <v>0</v>
      </c>
    </row>
    <row r="5143" spans="1:19" x14ac:dyDescent="0.35">
      <c r="A5143">
        <v>55397261900</v>
      </c>
      <c r="B5143" t="s">
        <v>564</v>
      </c>
      <c r="C5143" t="str">
        <f>_xlfn.XLOOKUP(A5143,[1]Affiliations!$J$2:$J$5328,[1]Affiliations!$K$2:$K$5328,0)</f>
        <v>Pontifical Catholic University of Rio de Janeiro (+1 more)</v>
      </c>
      <c r="D5143">
        <v>32</v>
      </c>
      <c r="E5143">
        <v>398</v>
      </c>
      <c r="F5143">
        <v>12.4375</v>
      </c>
      <c r="G5143">
        <v>16</v>
      </c>
      <c r="H5143">
        <v>0.5</v>
      </c>
      <c r="I5143">
        <v>0</v>
      </c>
      <c r="J5143">
        <v>1</v>
      </c>
      <c r="K5143">
        <v>3</v>
      </c>
      <c r="L5143">
        <v>4</v>
      </c>
      <c r="M5143">
        <v>16</v>
      </c>
      <c r="N5143">
        <v>22</v>
      </c>
      <c r="P5143">
        <v>0</v>
      </c>
      <c r="Q5143">
        <v>1</v>
      </c>
      <c r="R5143">
        <v>3</v>
      </c>
      <c r="S5143">
        <v>6</v>
      </c>
    </row>
    <row r="5144" spans="1:19" hidden="1" x14ac:dyDescent="0.35">
      <c r="A5144">
        <v>59486425800</v>
      </c>
      <c r="B5144" t="s">
        <v>5135</v>
      </c>
      <c r="C5144" t="str">
        <f>_xlfn.XLOOKUP(A5144,[1]Affiliations!$J$2:$J$5328,[1]Affiliations!$K$2:$K$5328,0)</f>
        <v>Pontifical Catholic University of Rio de Janeiro</v>
      </c>
      <c r="D5144">
        <v>1</v>
      </c>
      <c r="E5144">
        <v>0</v>
      </c>
      <c r="F5144">
        <v>0</v>
      </c>
      <c r="G5144">
        <v>0</v>
      </c>
      <c r="H5144">
        <v>0</v>
      </c>
      <c r="P5144">
        <v>0</v>
      </c>
      <c r="Q5144">
        <v>0</v>
      </c>
      <c r="R5144">
        <v>0</v>
      </c>
      <c r="S5144">
        <v>0</v>
      </c>
    </row>
    <row r="5145" spans="1:19" x14ac:dyDescent="0.35">
      <c r="A5145">
        <v>6602386285</v>
      </c>
      <c r="B5145" t="s">
        <v>878</v>
      </c>
      <c r="C5145" t="str">
        <f>_xlfn.XLOOKUP(A5145,[1]Affiliations!$J$2:$J$5328,[1]Affiliations!$K$2:$K$5328,0)</f>
        <v>Universidade Federal da Bahia (+1 more)</v>
      </c>
      <c r="D5145">
        <v>26</v>
      </c>
      <c r="E5145">
        <v>183</v>
      </c>
      <c r="F5145">
        <v>7.0384617</v>
      </c>
      <c r="G5145">
        <v>8</v>
      </c>
      <c r="H5145">
        <v>0.5</v>
      </c>
      <c r="I5145">
        <v>0</v>
      </c>
      <c r="J5145">
        <v>4</v>
      </c>
      <c r="K5145">
        <v>4</v>
      </c>
      <c r="L5145">
        <v>7</v>
      </c>
      <c r="M5145">
        <v>15</v>
      </c>
      <c r="N5145">
        <v>17</v>
      </c>
      <c r="P5145">
        <v>0</v>
      </c>
      <c r="Q5145">
        <v>1</v>
      </c>
      <c r="R5145">
        <v>1</v>
      </c>
      <c r="S5145">
        <v>2</v>
      </c>
    </row>
    <row r="5146" spans="1:19" hidden="1" x14ac:dyDescent="0.35">
      <c r="A5146">
        <v>57878591000</v>
      </c>
      <c r="B5146" t="s">
        <v>5137</v>
      </c>
      <c r="C5146" t="str">
        <f>_xlfn.XLOOKUP(A5146,[1]Affiliations!$J$2:$J$5328,[1]Affiliations!$K$2:$K$5328,0)</f>
        <v>Pontifical Catholic University of Rio de Janeiro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P5146">
        <v>0</v>
      </c>
      <c r="Q5146">
        <v>0</v>
      </c>
      <c r="R5146">
        <v>0</v>
      </c>
      <c r="S5146">
        <v>0</v>
      </c>
    </row>
    <row r="5147" spans="1:19" x14ac:dyDescent="0.35">
      <c r="A5147">
        <v>24483220200</v>
      </c>
      <c r="B5147" t="s">
        <v>916</v>
      </c>
      <c r="C5147" t="str">
        <f>_xlfn.XLOOKUP(A5147,[1]Affiliations!$J$2:$J$5328,[1]Affiliations!$K$2:$K$5328,0)</f>
        <v>Universidade Federal do Espírito Santo</v>
      </c>
      <c r="D5147">
        <v>43</v>
      </c>
      <c r="E5147">
        <v>387</v>
      </c>
      <c r="F5147">
        <v>9</v>
      </c>
      <c r="G5147">
        <v>14</v>
      </c>
      <c r="H5147">
        <v>0.5</v>
      </c>
      <c r="I5147">
        <v>0</v>
      </c>
      <c r="J5147">
        <v>7</v>
      </c>
      <c r="K5147">
        <v>11</v>
      </c>
      <c r="L5147">
        <v>15</v>
      </c>
      <c r="M5147">
        <v>19</v>
      </c>
      <c r="N5147">
        <v>30</v>
      </c>
      <c r="P5147">
        <v>0</v>
      </c>
      <c r="Q5147">
        <v>1</v>
      </c>
      <c r="R5147">
        <v>3</v>
      </c>
      <c r="S5147">
        <v>11</v>
      </c>
    </row>
    <row r="5148" spans="1:19" hidden="1" x14ac:dyDescent="0.35">
      <c r="A5148">
        <v>35548981800</v>
      </c>
      <c r="B5148" t="s">
        <v>5139</v>
      </c>
      <c r="C5148" t="str">
        <f>_xlfn.XLOOKUP(A5148,[1]Affiliations!$J$2:$J$5328,[1]Affiliations!$K$2:$K$5328,0)</f>
        <v>Universidade Federal Do Estado Do Rio de Janeiro (Unirio)</v>
      </c>
      <c r="D5148">
        <v>2</v>
      </c>
      <c r="E5148">
        <v>97</v>
      </c>
      <c r="F5148">
        <v>48.5</v>
      </c>
      <c r="G5148">
        <v>16</v>
      </c>
      <c r="H5148">
        <v>1.1299999999999999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1</v>
      </c>
      <c r="P5148">
        <v>0</v>
      </c>
      <c r="Q5148">
        <v>1</v>
      </c>
      <c r="R5148">
        <v>1</v>
      </c>
      <c r="S5148">
        <v>1</v>
      </c>
    </row>
    <row r="5149" spans="1:19" x14ac:dyDescent="0.35">
      <c r="A5149">
        <v>57188965318</v>
      </c>
      <c r="B5149" t="s">
        <v>1348</v>
      </c>
      <c r="C5149" t="str">
        <f>_xlfn.XLOOKUP(A5149,[1]Affiliations!$J$2:$J$5328,[1]Affiliations!$K$2:$K$5328,0)</f>
        <v>Universidade Federal do Rio Grande do Sul</v>
      </c>
      <c r="D5149">
        <v>14</v>
      </c>
      <c r="E5149">
        <v>82</v>
      </c>
      <c r="F5149">
        <v>5.8571429999999998</v>
      </c>
      <c r="G5149">
        <v>5</v>
      </c>
      <c r="H5149">
        <v>0.5</v>
      </c>
      <c r="I5149">
        <v>0</v>
      </c>
      <c r="J5149">
        <v>3</v>
      </c>
      <c r="K5149">
        <v>6</v>
      </c>
      <c r="L5149">
        <v>8</v>
      </c>
      <c r="M5149">
        <v>9</v>
      </c>
      <c r="N5149">
        <v>11</v>
      </c>
      <c r="P5149">
        <v>0</v>
      </c>
      <c r="Q5149">
        <v>0</v>
      </c>
      <c r="R5149">
        <v>1</v>
      </c>
      <c r="S5149">
        <v>3</v>
      </c>
    </row>
    <row r="5150" spans="1:19" x14ac:dyDescent="0.35">
      <c r="A5150">
        <v>55266659900</v>
      </c>
      <c r="B5150" t="s">
        <v>4040</v>
      </c>
      <c r="C5150" t="str">
        <f>_xlfn.XLOOKUP(A5150,[1]Affiliations!$J$2:$J$5328,[1]Affiliations!$K$2:$K$5328,0)</f>
        <v>Federal University of Santa Catarina</v>
      </c>
      <c r="D5150">
        <v>16</v>
      </c>
      <c r="E5150">
        <v>114</v>
      </c>
      <c r="F5150">
        <v>7.125</v>
      </c>
      <c r="G5150">
        <v>8</v>
      </c>
      <c r="H5150">
        <v>0.5</v>
      </c>
      <c r="I5150">
        <v>0</v>
      </c>
      <c r="J5150">
        <v>1</v>
      </c>
      <c r="K5150">
        <v>2</v>
      </c>
      <c r="L5150">
        <v>7</v>
      </c>
      <c r="M5150">
        <v>11</v>
      </c>
      <c r="N5150">
        <v>13</v>
      </c>
      <c r="P5150">
        <v>0</v>
      </c>
      <c r="Q5150">
        <v>0</v>
      </c>
      <c r="R5150">
        <v>1</v>
      </c>
      <c r="S5150">
        <v>5</v>
      </c>
    </row>
    <row r="5151" spans="1:19" x14ac:dyDescent="0.35">
      <c r="A5151">
        <v>23488150000</v>
      </c>
      <c r="B5151" t="s">
        <v>203</v>
      </c>
      <c r="C5151" t="str">
        <f>_xlfn.XLOOKUP(A5151,[1]Affiliations!$J$2:$J$5328,[1]Affiliations!$K$2:$K$5328,0)</f>
        <v>University of State Rio de Janeiro (+2 more)</v>
      </c>
      <c r="D5151">
        <v>23</v>
      </c>
      <c r="E5151">
        <v>142</v>
      </c>
      <c r="F5151">
        <v>6.1739129999999998</v>
      </c>
      <c r="G5151">
        <v>11</v>
      </c>
      <c r="H5151">
        <v>0.49</v>
      </c>
      <c r="I5151">
        <v>1</v>
      </c>
      <c r="J5151">
        <v>2</v>
      </c>
      <c r="K5151">
        <v>2</v>
      </c>
      <c r="L5151">
        <v>7</v>
      </c>
      <c r="M5151">
        <v>14</v>
      </c>
      <c r="N5151">
        <v>17</v>
      </c>
      <c r="P5151">
        <v>0</v>
      </c>
      <c r="Q5151">
        <v>0</v>
      </c>
      <c r="R5151">
        <v>2</v>
      </c>
      <c r="S5151">
        <v>4</v>
      </c>
    </row>
    <row r="5152" spans="1:19" hidden="1" x14ac:dyDescent="0.35">
      <c r="A5152">
        <v>58016810000</v>
      </c>
      <c r="B5152" t="s">
        <v>5143</v>
      </c>
      <c r="C5152" t="str">
        <f>_xlfn.XLOOKUP(A5152,[1]Affiliations!$J$2:$J$5328,[1]Affiliations!$K$2:$K$5328,0)</f>
        <v>Universidade Federal Fluminense</v>
      </c>
      <c r="D5152">
        <v>1</v>
      </c>
      <c r="E5152">
        <v>7</v>
      </c>
      <c r="F5152">
        <v>7</v>
      </c>
      <c r="G5152">
        <v>2</v>
      </c>
      <c r="H5152">
        <v>0.47</v>
      </c>
      <c r="I5152">
        <v>0</v>
      </c>
      <c r="J5152">
        <v>0</v>
      </c>
      <c r="K5152">
        <v>0</v>
      </c>
      <c r="L5152">
        <v>1</v>
      </c>
      <c r="M5152">
        <v>1</v>
      </c>
      <c r="N5152">
        <v>1</v>
      </c>
      <c r="P5152">
        <v>0</v>
      </c>
      <c r="Q5152">
        <v>0</v>
      </c>
      <c r="R5152">
        <v>0</v>
      </c>
      <c r="S5152">
        <v>0</v>
      </c>
    </row>
    <row r="5153" spans="1:19" hidden="1" x14ac:dyDescent="0.35">
      <c r="A5153">
        <v>57190181681</v>
      </c>
      <c r="B5153" t="s">
        <v>5144</v>
      </c>
      <c r="C5153" t="str">
        <f>_xlfn.XLOOKUP(A5153,[1]Affiliations!$J$2:$J$5328,[1]Affiliations!$K$2:$K$5328,0)</f>
        <v>Universidade do Estado do Rio de Janeiro</v>
      </c>
      <c r="D5153">
        <v>1</v>
      </c>
      <c r="E5153">
        <v>1</v>
      </c>
      <c r="F5153">
        <v>1</v>
      </c>
      <c r="G5153">
        <v>1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1</v>
      </c>
      <c r="P5153">
        <v>0</v>
      </c>
      <c r="Q5153">
        <v>0</v>
      </c>
      <c r="R5153">
        <v>0</v>
      </c>
      <c r="S5153">
        <v>0</v>
      </c>
    </row>
    <row r="5154" spans="1:19" hidden="1" x14ac:dyDescent="0.35">
      <c r="A5154">
        <v>57608583200</v>
      </c>
      <c r="B5154" t="s">
        <v>5145</v>
      </c>
      <c r="C5154" t="str">
        <f>_xlfn.XLOOKUP(A5154,[1]Affiliations!$J$2:$J$5328,[1]Affiliations!$K$2:$K$5328,0)</f>
        <v>Federal University of Rio de Janeiro</v>
      </c>
      <c r="D5154">
        <v>2</v>
      </c>
      <c r="E5154">
        <v>9</v>
      </c>
      <c r="F5154">
        <v>4.5</v>
      </c>
      <c r="G5154">
        <v>2</v>
      </c>
      <c r="H5154">
        <v>0.34</v>
      </c>
      <c r="I5154">
        <v>0</v>
      </c>
      <c r="J5154">
        <v>0</v>
      </c>
      <c r="K5154">
        <v>0</v>
      </c>
      <c r="L5154">
        <v>2</v>
      </c>
      <c r="M5154">
        <v>2</v>
      </c>
      <c r="N5154">
        <v>2</v>
      </c>
      <c r="P5154">
        <v>0</v>
      </c>
      <c r="Q5154">
        <v>0</v>
      </c>
      <c r="R5154">
        <v>0</v>
      </c>
      <c r="S5154">
        <v>0</v>
      </c>
    </row>
    <row r="5155" spans="1:19" x14ac:dyDescent="0.35">
      <c r="A5155">
        <v>6507662081</v>
      </c>
      <c r="B5155" t="s">
        <v>482</v>
      </c>
      <c r="C5155" t="str">
        <f>_xlfn.XLOOKUP(A5155,[1]Affiliations!$J$2:$J$5328,[1]Affiliations!$K$2:$K$5328,0)</f>
        <v>SCT/CETEM (+2 more)</v>
      </c>
      <c r="D5155">
        <v>74</v>
      </c>
      <c r="E5155">
        <v>616</v>
      </c>
      <c r="F5155">
        <v>8.324325</v>
      </c>
      <c r="G5155">
        <v>16</v>
      </c>
      <c r="H5155">
        <v>0.49</v>
      </c>
      <c r="I5155">
        <v>0</v>
      </c>
      <c r="J5155">
        <v>3</v>
      </c>
      <c r="K5155">
        <v>9</v>
      </c>
      <c r="L5155">
        <v>16</v>
      </c>
      <c r="M5155">
        <v>34</v>
      </c>
      <c r="N5155">
        <v>47</v>
      </c>
      <c r="P5155">
        <v>0</v>
      </c>
      <c r="Q5155">
        <v>0</v>
      </c>
      <c r="R5155">
        <v>3</v>
      </c>
      <c r="S5155">
        <v>13</v>
      </c>
    </row>
    <row r="5156" spans="1:19" hidden="1" x14ac:dyDescent="0.35">
      <c r="A5156">
        <v>57219941286</v>
      </c>
      <c r="B5156" t="s">
        <v>5147</v>
      </c>
      <c r="C5156" t="str">
        <f>_xlfn.XLOOKUP(A5156,[1]Affiliations!$J$2:$J$5328,[1]Affiliations!$K$2:$K$5328,0)</f>
        <v>Universidade Federal de Juiz de Fora</v>
      </c>
      <c r="D5156">
        <v>1</v>
      </c>
      <c r="E5156">
        <v>2</v>
      </c>
      <c r="F5156">
        <v>2</v>
      </c>
      <c r="G5156">
        <v>2</v>
      </c>
      <c r="H5156">
        <v>0</v>
      </c>
      <c r="I5156">
        <v>0</v>
      </c>
      <c r="J5156">
        <v>1</v>
      </c>
      <c r="K5156">
        <v>1</v>
      </c>
      <c r="L5156">
        <v>1</v>
      </c>
      <c r="M5156">
        <v>1</v>
      </c>
      <c r="N5156">
        <v>1</v>
      </c>
      <c r="P5156">
        <v>0</v>
      </c>
      <c r="Q5156">
        <v>0</v>
      </c>
      <c r="R5156">
        <v>0</v>
      </c>
      <c r="S5156">
        <v>0</v>
      </c>
    </row>
    <row r="5157" spans="1:19" hidden="1" x14ac:dyDescent="0.35">
      <c r="A5157">
        <v>57189389336</v>
      </c>
      <c r="B5157" t="s">
        <v>5148</v>
      </c>
      <c r="C5157" t="str">
        <f>_xlfn.XLOOKUP(A5157,[1]Affiliations!$J$2:$J$5328,[1]Affiliations!$K$2:$K$5328,0)</f>
        <v>University of Blumenau (FURB) (+1 more)</v>
      </c>
      <c r="D5157">
        <v>4</v>
      </c>
      <c r="E5157">
        <v>66</v>
      </c>
      <c r="F5157">
        <v>16.5</v>
      </c>
      <c r="G5157">
        <v>2</v>
      </c>
      <c r="H5157">
        <v>0.7</v>
      </c>
      <c r="I5157">
        <v>0</v>
      </c>
      <c r="J5157">
        <v>0</v>
      </c>
      <c r="K5157">
        <v>1</v>
      </c>
      <c r="L5157">
        <v>3</v>
      </c>
      <c r="M5157">
        <v>3</v>
      </c>
      <c r="N5157">
        <v>3</v>
      </c>
      <c r="P5157">
        <v>0</v>
      </c>
      <c r="Q5157">
        <v>0</v>
      </c>
      <c r="R5157">
        <v>1</v>
      </c>
      <c r="S5157">
        <v>1</v>
      </c>
    </row>
    <row r="5158" spans="1:19" x14ac:dyDescent="0.35">
      <c r="A5158">
        <v>15055697700</v>
      </c>
      <c r="B5158" t="s">
        <v>1822</v>
      </c>
      <c r="C5158" t="str">
        <f>_xlfn.XLOOKUP(A5158,[1]Affiliations!$J$2:$J$5328,[1]Affiliations!$K$2:$K$5328,0)</f>
        <v>University of Limerick (+1 more)</v>
      </c>
      <c r="D5158">
        <v>44</v>
      </c>
      <c r="E5158">
        <v>259</v>
      </c>
      <c r="F5158">
        <v>5.8863634999999999</v>
      </c>
      <c r="G5158">
        <v>10</v>
      </c>
      <c r="H5158">
        <v>0.49</v>
      </c>
      <c r="I5158">
        <v>0</v>
      </c>
      <c r="J5158">
        <v>0</v>
      </c>
      <c r="K5158">
        <v>3</v>
      </c>
      <c r="L5158">
        <v>9</v>
      </c>
      <c r="M5158">
        <v>14</v>
      </c>
      <c r="N5158">
        <v>17</v>
      </c>
      <c r="P5158">
        <v>0</v>
      </c>
      <c r="Q5158">
        <v>0</v>
      </c>
      <c r="R5158">
        <v>1</v>
      </c>
      <c r="S5158">
        <v>2</v>
      </c>
    </row>
    <row r="5159" spans="1:19" hidden="1" x14ac:dyDescent="0.35">
      <c r="A5159">
        <v>57699565000</v>
      </c>
      <c r="B5159" t="s">
        <v>5150</v>
      </c>
      <c r="C5159" t="str">
        <f>_xlfn.XLOOKUP(A5159,[1]Affiliations!$J$2:$J$5328,[1]Affiliations!$K$2:$K$5328,0)</f>
        <v>Federal University of Rio de Janeiro</v>
      </c>
      <c r="D5159">
        <v>1</v>
      </c>
      <c r="E5159">
        <v>2</v>
      </c>
      <c r="F5159">
        <v>2</v>
      </c>
      <c r="G5159">
        <v>1</v>
      </c>
      <c r="H5159">
        <v>7.0000000000000007E-2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1</v>
      </c>
      <c r="P5159">
        <v>0</v>
      </c>
      <c r="Q5159">
        <v>0</v>
      </c>
      <c r="R5159">
        <v>0</v>
      </c>
      <c r="S5159">
        <v>0</v>
      </c>
    </row>
    <row r="5160" spans="1:19" hidden="1" x14ac:dyDescent="0.35">
      <c r="A5160">
        <v>56940815200</v>
      </c>
      <c r="B5160" t="s">
        <v>5151</v>
      </c>
      <c r="C5160" t="str">
        <f>_xlfn.XLOOKUP(A5160,[1]Affiliations!$J$2:$J$5328,[1]Affiliations!$K$2:$K$5328,0)</f>
        <v>University of Campinas</v>
      </c>
      <c r="D5160">
        <v>2</v>
      </c>
      <c r="E5160">
        <v>25</v>
      </c>
      <c r="F5160">
        <v>12.5</v>
      </c>
      <c r="G5160">
        <v>2</v>
      </c>
      <c r="H5160">
        <v>0.24</v>
      </c>
      <c r="I5160">
        <v>0</v>
      </c>
      <c r="J5160">
        <v>0</v>
      </c>
      <c r="K5160">
        <v>0</v>
      </c>
      <c r="L5160">
        <v>1</v>
      </c>
      <c r="M5160">
        <v>2</v>
      </c>
      <c r="N5160">
        <v>2</v>
      </c>
      <c r="P5160">
        <v>0</v>
      </c>
      <c r="Q5160">
        <v>0</v>
      </c>
      <c r="R5160">
        <v>0</v>
      </c>
      <c r="S5160">
        <v>0</v>
      </c>
    </row>
    <row r="5161" spans="1:19" hidden="1" x14ac:dyDescent="0.35">
      <c r="A5161">
        <v>57200728842</v>
      </c>
      <c r="B5161" t="s">
        <v>5152</v>
      </c>
      <c r="C5161" t="str">
        <f>_xlfn.XLOOKUP(A5161,[1]Affiliations!$J$2:$J$5328,[1]Affiliations!$K$2:$K$5328,0)</f>
        <v>Federal University of Rio de Janeiro</v>
      </c>
      <c r="D5161">
        <v>9</v>
      </c>
      <c r="E5161">
        <v>45</v>
      </c>
      <c r="F5161">
        <v>5</v>
      </c>
      <c r="G5161">
        <v>3</v>
      </c>
      <c r="H5161">
        <v>0.24</v>
      </c>
      <c r="I5161">
        <v>0</v>
      </c>
      <c r="J5161">
        <v>0</v>
      </c>
      <c r="K5161">
        <v>1</v>
      </c>
      <c r="L5161">
        <v>3</v>
      </c>
      <c r="M5161">
        <v>8</v>
      </c>
      <c r="N5161">
        <v>8</v>
      </c>
      <c r="P5161">
        <v>0</v>
      </c>
      <c r="Q5161">
        <v>0</v>
      </c>
      <c r="R5161">
        <v>0</v>
      </c>
      <c r="S5161">
        <v>0</v>
      </c>
    </row>
    <row r="5162" spans="1:19" x14ac:dyDescent="0.35">
      <c r="A5162">
        <v>55577978100</v>
      </c>
      <c r="B5162" t="s">
        <v>3403</v>
      </c>
      <c r="C5162" t="str">
        <f>_xlfn.XLOOKUP(A5162,[1]Affiliations!$J$2:$J$5328,[1]Affiliations!$K$2:$K$5328,0)</f>
        <v>Universidade Federal Fluminense (+1 more)</v>
      </c>
      <c r="D5162">
        <v>6</v>
      </c>
      <c r="E5162">
        <v>74</v>
      </c>
      <c r="F5162">
        <v>12.333333</v>
      </c>
      <c r="G5162">
        <v>5</v>
      </c>
      <c r="H5162">
        <v>0.49</v>
      </c>
      <c r="I5162">
        <v>0</v>
      </c>
      <c r="J5162">
        <v>1</v>
      </c>
      <c r="K5162">
        <v>1</v>
      </c>
      <c r="L5162">
        <v>4</v>
      </c>
      <c r="M5162">
        <v>4</v>
      </c>
      <c r="N5162">
        <v>6</v>
      </c>
      <c r="P5162">
        <v>0</v>
      </c>
      <c r="Q5162">
        <v>0</v>
      </c>
      <c r="R5162">
        <v>1</v>
      </c>
      <c r="S5162">
        <v>1</v>
      </c>
    </row>
    <row r="5163" spans="1:19" x14ac:dyDescent="0.35">
      <c r="A5163">
        <v>57195976411</v>
      </c>
      <c r="B5163" t="s">
        <v>4468</v>
      </c>
      <c r="C5163" t="str">
        <f>_xlfn.XLOOKUP(A5163,[1]Affiliations!$J$2:$J$5328,[1]Affiliations!$K$2:$K$5328,0)</f>
        <v>Universidade Federal de São João del-Rei</v>
      </c>
      <c r="D5163">
        <v>18</v>
      </c>
      <c r="E5163">
        <v>143</v>
      </c>
      <c r="F5163">
        <v>7.9444447</v>
      </c>
      <c r="G5163">
        <v>6</v>
      </c>
      <c r="H5163">
        <v>0.49</v>
      </c>
      <c r="I5163">
        <v>0</v>
      </c>
      <c r="J5163">
        <v>1</v>
      </c>
      <c r="K5163">
        <v>3</v>
      </c>
      <c r="L5163">
        <v>4</v>
      </c>
      <c r="M5163">
        <v>6</v>
      </c>
      <c r="N5163">
        <v>12</v>
      </c>
      <c r="P5163">
        <v>0</v>
      </c>
      <c r="Q5163">
        <v>0</v>
      </c>
      <c r="R5163">
        <v>1</v>
      </c>
      <c r="S5163">
        <v>4</v>
      </c>
    </row>
    <row r="5164" spans="1:19" hidden="1" x14ac:dyDescent="0.35">
      <c r="A5164">
        <v>57896381600</v>
      </c>
      <c r="B5164" t="s">
        <v>5155</v>
      </c>
      <c r="C5164" t="str">
        <f>_xlfn.XLOOKUP(A5164,[1]Affiliations!$J$2:$J$5328,[1]Affiliations!$K$2:$K$5328,0)</f>
        <v>Universidade de São Paulo</v>
      </c>
      <c r="D5164">
        <v>4</v>
      </c>
      <c r="E5164">
        <v>40</v>
      </c>
      <c r="F5164">
        <v>10</v>
      </c>
      <c r="G5164">
        <v>2</v>
      </c>
      <c r="H5164">
        <v>0.82</v>
      </c>
      <c r="I5164">
        <v>0</v>
      </c>
      <c r="J5164">
        <v>1</v>
      </c>
      <c r="K5164">
        <v>1</v>
      </c>
      <c r="L5164">
        <v>1</v>
      </c>
      <c r="M5164">
        <v>1</v>
      </c>
      <c r="N5164">
        <v>1</v>
      </c>
      <c r="P5164">
        <v>0</v>
      </c>
      <c r="Q5164">
        <v>0</v>
      </c>
      <c r="R5164">
        <v>1</v>
      </c>
      <c r="S5164">
        <v>1</v>
      </c>
    </row>
    <row r="5165" spans="1:19" hidden="1" x14ac:dyDescent="0.35">
      <c r="A5165">
        <v>57203408745</v>
      </c>
      <c r="B5165" t="s">
        <v>5156</v>
      </c>
      <c r="C5165" t="str">
        <f>_xlfn.XLOOKUP(A5165,[1]Affiliations!$J$2:$J$5328,[1]Affiliations!$K$2:$K$5328,0)</f>
        <v>Federal University of Santa Catarina</v>
      </c>
      <c r="D5165">
        <v>2</v>
      </c>
      <c r="E5165">
        <v>14</v>
      </c>
      <c r="F5165">
        <v>7</v>
      </c>
      <c r="G5165">
        <v>1</v>
      </c>
      <c r="H5165">
        <v>0.42</v>
      </c>
      <c r="I5165">
        <v>0</v>
      </c>
      <c r="J5165">
        <v>0</v>
      </c>
      <c r="K5165">
        <v>1</v>
      </c>
      <c r="L5165">
        <v>1</v>
      </c>
      <c r="M5165">
        <v>1</v>
      </c>
      <c r="N5165">
        <v>1</v>
      </c>
      <c r="P5165">
        <v>0</v>
      </c>
      <c r="Q5165">
        <v>0</v>
      </c>
      <c r="R5165">
        <v>0</v>
      </c>
      <c r="S5165">
        <v>1</v>
      </c>
    </row>
    <row r="5166" spans="1:19" hidden="1" x14ac:dyDescent="0.35">
      <c r="A5166">
        <v>57205054681</v>
      </c>
      <c r="B5166" t="s">
        <v>5157</v>
      </c>
      <c r="C5166" t="str">
        <f>_xlfn.XLOOKUP(A5166,[1]Affiliations!$J$2:$J$5328,[1]Affiliations!$K$2:$K$5328,0)</f>
        <v>Universidade Federal de Santa Maria</v>
      </c>
      <c r="D5166">
        <v>18</v>
      </c>
      <c r="E5166">
        <v>189</v>
      </c>
      <c r="F5166">
        <v>10.5</v>
      </c>
      <c r="G5166">
        <v>8</v>
      </c>
      <c r="H5166">
        <v>0.51</v>
      </c>
      <c r="I5166">
        <v>0</v>
      </c>
      <c r="J5166">
        <v>0</v>
      </c>
      <c r="K5166">
        <v>4</v>
      </c>
      <c r="L5166">
        <v>7</v>
      </c>
      <c r="M5166">
        <v>10</v>
      </c>
      <c r="N5166">
        <v>16</v>
      </c>
      <c r="P5166">
        <v>0</v>
      </c>
      <c r="Q5166">
        <v>0</v>
      </c>
      <c r="R5166">
        <v>0</v>
      </c>
      <c r="S5166">
        <v>3</v>
      </c>
    </row>
    <row r="5167" spans="1:19" x14ac:dyDescent="0.35">
      <c r="A5167">
        <v>7004766599</v>
      </c>
      <c r="B5167" t="s">
        <v>3170</v>
      </c>
      <c r="C5167" t="str">
        <f>_xlfn.XLOOKUP(A5167,[1]Affiliations!$J$2:$J$5328,[1]Affiliations!$K$2:$K$5328,0)</f>
        <v>University of Campinas</v>
      </c>
      <c r="D5167">
        <v>42</v>
      </c>
      <c r="E5167">
        <v>638</v>
      </c>
      <c r="F5167">
        <v>15.190476</v>
      </c>
      <c r="G5167">
        <v>36</v>
      </c>
      <c r="H5167">
        <v>0.48</v>
      </c>
      <c r="I5167">
        <v>0</v>
      </c>
      <c r="J5167">
        <v>3</v>
      </c>
      <c r="K5167">
        <v>6</v>
      </c>
      <c r="L5167">
        <v>15</v>
      </c>
      <c r="M5167">
        <v>32</v>
      </c>
      <c r="N5167">
        <v>38</v>
      </c>
      <c r="P5167">
        <v>0</v>
      </c>
      <c r="Q5167">
        <v>1</v>
      </c>
      <c r="R5167">
        <v>2</v>
      </c>
      <c r="S5167">
        <v>12</v>
      </c>
    </row>
    <row r="5168" spans="1:19" hidden="1" x14ac:dyDescent="0.35">
      <c r="A5168">
        <v>57203400857</v>
      </c>
      <c r="B5168" t="s">
        <v>5159</v>
      </c>
      <c r="C5168" t="str">
        <f>_xlfn.XLOOKUP(A5168,[1]Affiliations!$J$2:$J$5328,[1]Affiliations!$K$2:$K$5328,0)</f>
        <v>Federal Educational Center</v>
      </c>
      <c r="D5168">
        <v>1</v>
      </c>
      <c r="E5168">
        <v>5</v>
      </c>
      <c r="F5168">
        <v>5</v>
      </c>
      <c r="G5168">
        <v>1</v>
      </c>
      <c r="H5168">
        <v>0</v>
      </c>
      <c r="P5168">
        <v>0</v>
      </c>
      <c r="Q5168">
        <v>0</v>
      </c>
      <c r="R5168">
        <v>0</v>
      </c>
      <c r="S5168">
        <v>0</v>
      </c>
    </row>
    <row r="5169" spans="1:19" hidden="1" x14ac:dyDescent="0.35">
      <c r="A5169">
        <v>57221616745</v>
      </c>
      <c r="B5169" t="s">
        <v>5160</v>
      </c>
      <c r="C5169" t="str">
        <f>_xlfn.XLOOKUP(A5169,[1]Affiliations!$J$2:$J$5328,[1]Affiliations!$K$2:$K$5328,0)</f>
        <v>Universidade Federal do Rio Grande do Norte</v>
      </c>
      <c r="D5169">
        <v>2</v>
      </c>
      <c r="E5169">
        <v>23</v>
      </c>
      <c r="F5169">
        <v>11.5</v>
      </c>
      <c r="G5169">
        <v>2</v>
      </c>
      <c r="H5169">
        <v>0.74</v>
      </c>
      <c r="I5169">
        <v>0</v>
      </c>
      <c r="J5169">
        <v>0</v>
      </c>
      <c r="K5169">
        <v>1</v>
      </c>
      <c r="L5169">
        <v>2</v>
      </c>
      <c r="M5169">
        <v>2</v>
      </c>
      <c r="N5169">
        <v>2</v>
      </c>
      <c r="P5169">
        <v>0</v>
      </c>
      <c r="Q5169">
        <v>0</v>
      </c>
      <c r="R5169">
        <v>0</v>
      </c>
      <c r="S5169">
        <v>0</v>
      </c>
    </row>
    <row r="5170" spans="1:19" x14ac:dyDescent="0.35">
      <c r="A5170">
        <v>37009221800</v>
      </c>
      <c r="B5170" t="s">
        <v>3552</v>
      </c>
      <c r="C5170" t="str">
        <f>_xlfn.XLOOKUP(A5170,[1]Affiliations!$J$2:$J$5328,[1]Affiliations!$K$2:$K$5328,0)</f>
        <v>Federal University of Santa Catarina</v>
      </c>
      <c r="D5170">
        <v>23</v>
      </c>
      <c r="E5170">
        <v>196</v>
      </c>
      <c r="F5170">
        <v>8.5217390000000002</v>
      </c>
      <c r="G5170">
        <v>9</v>
      </c>
      <c r="H5170">
        <v>0.48</v>
      </c>
      <c r="I5170">
        <v>1</v>
      </c>
      <c r="J5170">
        <v>5</v>
      </c>
      <c r="K5170">
        <v>6</v>
      </c>
      <c r="L5170">
        <v>8</v>
      </c>
      <c r="M5170">
        <v>9</v>
      </c>
      <c r="N5170">
        <v>15</v>
      </c>
      <c r="P5170">
        <v>0</v>
      </c>
      <c r="Q5170">
        <v>1</v>
      </c>
      <c r="R5170">
        <v>2</v>
      </c>
      <c r="S5170">
        <v>2</v>
      </c>
    </row>
    <row r="5171" spans="1:19" x14ac:dyDescent="0.35">
      <c r="A5171">
        <v>56236782200</v>
      </c>
      <c r="B5171" t="s">
        <v>3891</v>
      </c>
      <c r="C5171" t="str">
        <f>_xlfn.XLOOKUP(A5171,[1]Affiliations!$J$2:$J$5328,[1]Affiliations!$K$2:$K$5328,0)</f>
        <v>Universidade Federal do Paraná</v>
      </c>
      <c r="D5171">
        <v>24</v>
      </c>
      <c r="E5171">
        <v>293</v>
      </c>
      <c r="F5171">
        <v>12.208333</v>
      </c>
      <c r="G5171">
        <v>12</v>
      </c>
      <c r="H5171">
        <v>0.48</v>
      </c>
      <c r="I5171">
        <v>0</v>
      </c>
      <c r="J5171">
        <v>1</v>
      </c>
      <c r="K5171">
        <v>3</v>
      </c>
      <c r="L5171">
        <v>9</v>
      </c>
      <c r="M5171">
        <v>19</v>
      </c>
      <c r="N5171">
        <v>21</v>
      </c>
      <c r="P5171">
        <v>0</v>
      </c>
      <c r="Q5171">
        <v>0</v>
      </c>
      <c r="R5171">
        <v>1</v>
      </c>
      <c r="S5171">
        <v>4</v>
      </c>
    </row>
    <row r="5172" spans="1:19" hidden="1" x14ac:dyDescent="0.35">
      <c r="A5172">
        <v>57761674900</v>
      </c>
      <c r="B5172" t="s">
        <v>5163</v>
      </c>
      <c r="C5172" t="str">
        <f>_xlfn.XLOOKUP(A5172,[1]Affiliations!$J$2:$J$5328,[1]Affiliations!$K$2:$K$5328,0)</f>
        <v>Universidade Federal do Espírito Santo</v>
      </c>
      <c r="D5172">
        <v>1</v>
      </c>
      <c r="E5172">
        <v>23</v>
      </c>
      <c r="F5172">
        <v>23</v>
      </c>
      <c r="G5172">
        <v>1</v>
      </c>
      <c r="H5172">
        <v>1.51</v>
      </c>
      <c r="I5172">
        <v>0</v>
      </c>
      <c r="J5172">
        <v>0</v>
      </c>
      <c r="K5172">
        <v>0</v>
      </c>
      <c r="L5172">
        <v>1</v>
      </c>
      <c r="M5172">
        <v>1</v>
      </c>
      <c r="N5172">
        <v>1</v>
      </c>
      <c r="P5172">
        <v>0</v>
      </c>
      <c r="Q5172">
        <v>0</v>
      </c>
      <c r="R5172">
        <v>0</v>
      </c>
      <c r="S5172">
        <v>1</v>
      </c>
    </row>
    <row r="5173" spans="1:19" hidden="1" x14ac:dyDescent="0.35">
      <c r="A5173">
        <v>57215687514</v>
      </c>
      <c r="B5173" t="s">
        <v>5164</v>
      </c>
      <c r="C5173" t="str">
        <f>_xlfn.XLOOKUP(A5173,[1]Affiliations!$J$2:$J$5328,[1]Affiliations!$K$2:$K$5328,0)</f>
        <v>Federal University of Rio de Janeiro</v>
      </c>
      <c r="D5173">
        <v>1</v>
      </c>
      <c r="E5173">
        <v>47</v>
      </c>
      <c r="F5173">
        <v>47</v>
      </c>
      <c r="G5173">
        <v>1</v>
      </c>
      <c r="H5173">
        <v>1.53</v>
      </c>
      <c r="I5173">
        <v>0</v>
      </c>
      <c r="J5173">
        <v>0</v>
      </c>
      <c r="K5173">
        <v>0</v>
      </c>
      <c r="L5173">
        <v>0</v>
      </c>
      <c r="M5173">
        <v>1</v>
      </c>
      <c r="N5173">
        <v>1</v>
      </c>
      <c r="P5173">
        <v>0</v>
      </c>
      <c r="Q5173">
        <v>0</v>
      </c>
      <c r="R5173">
        <v>1</v>
      </c>
      <c r="S5173">
        <v>1</v>
      </c>
    </row>
    <row r="5174" spans="1:19" x14ac:dyDescent="0.35">
      <c r="A5174">
        <v>7006002969</v>
      </c>
      <c r="B5174" t="s">
        <v>1302</v>
      </c>
      <c r="C5174" t="str">
        <f>_xlfn.XLOOKUP(A5174,[1]Affiliations!$J$2:$J$5328,[1]Affiliations!$K$2:$K$5328,0)</f>
        <v>Pontifical Catholic University of Rio de Janeiro</v>
      </c>
      <c r="D5174">
        <v>52</v>
      </c>
      <c r="E5174">
        <v>524</v>
      </c>
      <c r="F5174">
        <v>10.076923000000001</v>
      </c>
      <c r="G5174">
        <v>32</v>
      </c>
      <c r="H5174">
        <v>0.47</v>
      </c>
      <c r="I5174">
        <v>0</v>
      </c>
      <c r="J5174">
        <v>4</v>
      </c>
      <c r="K5174">
        <v>5</v>
      </c>
      <c r="L5174">
        <v>13</v>
      </c>
      <c r="M5174">
        <v>33</v>
      </c>
      <c r="N5174">
        <v>46</v>
      </c>
      <c r="P5174">
        <v>0</v>
      </c>
      <c r="Q5174">
        <v>1</v>
      </c>
      <c r="R5174">
        <v>3</v>
      </c>
      <c r="S5174">
        <v>10</v>
      </c>
    </row>
    <row r="5175" spans="1:19" x14ac:dyDescent="0.35">
      <c r="A5175">
        <v>6602275786</v>
      </c>
      <c r="B5175" t="s">
        <v>3120</v>
      </c>
      <c r="C5175" t="str">
        <f>_xlfn.XLOOKUP(A5175,[1]Affiliations!$J$2:$J$5328,[1]Affiliations!$K$2:$K$5328,0)</f>
        <v>Instituto de Química</v>
      </c>
      <c r="D5175">
        <v>26</v>
      </c>
      <c r="E5175">
        <v>360</v>
      </c>
      <c r="F5175">
        <v>13.846154</v>
      </c>
      <c r="G5175">
        <v>19</v>
      </c>
      <c r="H5175">
        <v>0.47</v>
      </c>
      <c r="I5175">
        <v>0</v>
      </c>
      <c r="J5175">
        <v>0</v>
      </c>
      <c r="K5175">
        <v>9</v>
      </c>
      <c r="L5175">
        <v>16</v>
      </c>
      <c r="M5175">
        <v>24</v>
      </c>
      <c r="N5175">
        <v>25</v>
      </c>
      <c r="P5175">
        <v>0</v>
      </c>
      <c r="Q5175">
        <v>0</v>
      </c>
      <c r="R5175">
        <v>1</v>
      </c>
      <c r="S5175">
        <v>7</v>
      </c>
    </row>
    <row r="5176" spans="1:19" hidden="1" x14ac:dyDescent="0.35">
      <c r="A5176">
        <v>6603329915</v>
      </c>
      <c r="B5176" t="s">
        <v>5167</v>
      </c>
      <c r="C5176" t="str">
        <f>_xlfn.XLOOKUP(A5176,[1]Affiliations!$J$2:$J$5328,[1]Affiliations!$K$2:$K$5328,0)</f>
        <v>Laboratório Nacional de Luz Síncrotron (LNLS)</v>
      </c>
      <c r="D5176">
        <v>18</v>
      </c>
      <c r="E5176">
        <v>236</v>
      </c>
      <c r="F5176">
        <v>13.111110999999999</v>
      </c>
      <c r="G5176">
        <v>14</v>
      </c>
      <c r="H5176">
        <v>0.7</v>
      </c>
      <c r="I5176">
        <v>0</v>
      </c>
      <c r="J5176">
        <v>2</v>
      </c>
      <c r="K5176">
        <v>7</v>
      </c>
      <c r="L5176">
        <v>13</v>
      </c>
      <c r="M5176">
        <v>16</v>
      </c>
      <c r="N5176">
        <v>17</v>
      </c>
      <c r="P5176">
        <v>0</v>
      </c>
      <c r="Q5176">
        <v>0</v>
      </c>
      <c r="R5176">
        <v>0</v>
      </c>
      <c r="S5176">
        <v>5</v>
      </c>
    </row>
    <row r="5177" spans="1:19" x14ac:dyDescent="0.35">
      <c r="A5177">
        <v>6504710819</v>
      </c>
      <c r="B5177" t="s">
        <v>3621</v>
      </c>
      <c r="C5177" t="str">
        <f>_xlfn.XLOOKUP(A5177,[1]Affiliations!$J$2:$J$5328,[1]Affiliations!$K$2:$K$5328,0)</f>
        <v>University of Campinas (+2 more)</v>
      </c>
      <c r="D5177">
        <v>43</v>
      </c>
      <c r="E5177">
        <v>517</v>
      </c>
      <c r="F5177">
        <v>12.023255000000001</v>
      </c>
      <c r="G5177">
        <v>15</v>
      </c>
      <c r="H5177">
        <v>0.47</v>
      </c>
      <c r="I5177">
        <v>1</v>
      </c>
      <c r="J5177">
        <v>1</v>
      </c>
      <c r="K5177">
        <v>4</v>
      </c>
      <c r="L5177">
        <v>22</v>
      </c>
      <c r="M5177">
        <v>32</v>
      </c>
      <c r="N5177">
        <v>32</v>
      </c>
      <c r="P5177">
        <v>0</v>
      </c>
      <c r="Q5177">
        <v>1</v>
      </c>
      <c r="R5177">
        <v>3</v>
      </c>
      <c r="S5177">
        <v>11</v>
      </c>
    </row>
    <row r="5178" spans="1:19" hidden="1" x14ac:dyDescent="0.35">
      <c r="A5178">
        <v>58759691500</v>
      </c>
      <c r="B5178" t="s">
        <v>5169</v>
      </c>
      <c r="C5178" t="str">
        <f>_xlfn.XLOOKUP(A5178,[1]Affiliations!$J$2:$J$5328,[1]Affiliations!$K$2:$K$5328,0)</f>
        <v>Pontifical Catholic University of Rio de Janeiro</v>
      </c>
      <c r="D5178">
        <v>3</v>
      </c>
      <c r="E5178">
        <v>26</v>
      </c>
      <c r="F5178">
        <v>8.6666670000000003</v>
      </c>
      <c r="G5178">
        <v>3</v>
      </c>
      <c r="H5178">
        <v>3.92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1</v>
      </c>
      <c r="P5178">
        <v>0</v>
      </c>
      <c r="Q5178">
        <v>0</v>
      </c>
      <c r="R5178">
        <v>1</v>
      </c>
      <c r="S5178">
        <v>2</v>
      </c>
    </row>
    <row r="5179" spans="1:19" hidden="1" x14ac:dyDescent="0.35">
      <c r="A5179">
        <v>58982316400</v>
      </c>
      <c r="B5179" t="s">
        <v>5170</v>
      </c>
      <c r="C5179" t="str">
        <f>_xlfn.XLOOKUP(A5179,[1]Affiliations!$J$2:$J$5328,[1]Affiliations!$K$2:$K$5328,0)</f>
        <v>Universidade Federal Fluminense (+1 more)</v>
      </c>
      <c r="D5179">
        <v>1</v>
      </c>
      <c r="E5179">
        <v>4</v>
      </c>
      <c r="F5179">
        <v>4</v>
      </c>
      <c r="G5179">
        <v>1</v>
      </c>
      <c r="H5179">
        <v>0.87</v>
      </c>
      <c r="I5179">
        <v>0</v>
      </c>
      <c r="J5179">
        <v>0</v>
      </c>
      <c r="K5179">
        <v>0</v>
      </c>
      <c r="L5179">
        <v>1</v>
      </c>
      <c r="M5179">
        <v>1</v>
      </c>
      <c r="N5179">
        <v>1</v>
      </c>
      <c r="P5179">
        <v>0</v>
      </c>
      <c r="Q5179">
        <v>0</v>
      </c>
      <c r="R5179">
        <v>0</v>
      </c>
      <c r="S5179">
        <v>0</v>
      </c>
    </row>
    <row r="5180" spans="1:19" x14ac:dyDescent="0.35">
      <c r="A5180">
        <v>35609894700</v>
      </c>
      <c r="B5180" t="s">
        <v>3758</v>
      </c>
      <c r="C5180" t="str">
        <f>_xlfn.XLOOKUP(A5180,[1]Affiliations!$J$2:$J$5328,[1]Affiliations!$K$2:$K$5328,0)</f>
        <v>Federal University of Rio de Janeiro</v>
      </c>
      <c r="D5180">
        <v>33</v>
      </c>
      <c r="E5180">
        <v>534</v>
      </c>
      <c r="F5180">
        <v>16.181818</v>
      </c>
      <c r="G5180">
        <v>15</v>
      </c>
      <c r="H5180">
        <v>0.47</v>
      </c>
      <c r="I5180">
        <v>0</v>
      </c>
      <c r="J5180">
        <v>6</v>
      </c>
      <c r="K5180">
        <v>7</v>
      </c>
      <c r="L5180">
        <v>16</v>
      </c>
      <c r="M5180">
        <v>25</v>
      </c>
      <c r="N5180">
        <v>31</v>
      </c>
      <c r="P5180">
        <v>0</v>
      </c>
      <c r="Q5180">
        <v>1</v>
      </c>
      <c r="R5180">
        <v>4</v>
      </c>
      <c r="S5180">
        <v>10</v>
      </c>
    </row>
    <row r="5181" spans="1:19" hidden="1" x14ac:dyDescent="0.35">
      <c r="A5181">
        <v>57194377082</v>
      </c>
      <c r="B5181" t="s">
        <v>5172</v>
      </c>
      <c r="C5181" t="str">
        <f>_xlfn.XLOOKUP(A5181,[1]Affiliations!$J$2:$J$5328,[1]Affiliations!$K$2:$K$5328,0)</f>
        <v>Federal University of Rio de Janeiro</v>
      </c>
      <c r="D5181">
        <v>6</v>
      </c>
      <c r="E5181">
        <v>4</v>
      </c>
      <c r="F5181">
        <v>0.66666669999999995</v>
      </c>
      <c r="G5181">
        <v>1</v>
      </c>
      <c r="H5181">
        <v>0.24</v>
      </c>
      <c r="I5181">
        <v>0</v>
      </c>
      <c r="J5181">
        <v>1</v>
      </c>
      <c r="K5181">
        <v>1</v>
      </c>
      <c r="L5181">
        <v>1</v>
      </c>
      <c r="M5181">
        <v>1</v>
      </c>
      <c r="N5181">
        <v>1</v>
      </c>
      <c r="P5181">
        <v>0</v>
      </c>
      <c r="Q5181">
        <v>0</v>
      </c>
      <c r="R5181">
        <v>0</v>
      </c>
      <c r="S5181">
        <v>0</v>
      </c>
    </row>
    <row r="5182" spans="1:19" hidden="1" x14ac:dyDescent="0.35">
      <c r="A5182">
        <v>58667779200</v>
      </c>
      <c r="B5182" t="s">
        <v>5173</v>
      </c>
      <c r="C5182" t="str">
        <f>_xlfn.XLOOKUP(A5182,[1]Affiliations!$J$2:$J$5328,[1]Affiliations!$K$2:$K$5328,0)</f>
        <v>Universidade de Brasília</v>
      </c>
      <c r="D5182">
        <v>2</v>
      </c>
      <c r="E5182">
        <v>4</v>
      </c>
      <c r="F5182">
        <v>2</v>
      </c>
      <c r="G5182">
        <v>1</v>
      </c>
      <c r="H5182">
        <v>0.5</v>
      </c>
      <c r="I5182">
        <v>0</v>
      </c>
      <c r="J5182">
        <v>1</v>
      </c>
      <c r="K5182">
        <v>2</v>
      </c>
      <c r="L5182">
        <v>2</v>
      </c>
      <c r="M5182">
        <v>2</v>
      </c>
      <c r="N5182">
        <v>2</v>
      </c>
      <c r="P5182">
        <v>0</v>
      </c>
      <c r="Q5182">
        <v>0</v>
      </c>
      <c r="R5182">
        <v>0</v>
      </c>
      <c r="S5182">
        <v>0</v>
      </c>
    </row>
    <row r="5183" spans="1:19" hidden="1" x14ac:dyDescent="0.35">
      <c r="A5183">
        <v>55968244400</v>
      </c>
      <c r="B5183" t="s">
        <v>5174</v>
      </c>
      <c r="C5183" t="str">
        <f>_xlfn.XLOOKUP(A5183,[1]Affiliations!$J$2:$J$5328,[1]Affiliations!$K$2:$K$5328,0)</f>
        <v>Universidade Tiradentes</v>
      </c>
      <c r="D5183">
        <v>1</v>
      </c>
      <c r="E5183">
        <v>7</v>
      </c>
      <c r="F5183">
        <v>7</v>
      </c>
      <c r="G5183">
        <v>2</v>
      </c>
      <c r="H5183">
        <v>0.08</v>
      </c>
      <c r="I5183">
        <v>0</v>
      </c>
      <c r="J5183">
        <v>0</v>
      </c>
      <c r="K5183">
        <v>0</v>
      </c>
      <c r="L5183">
        <v>1</v>
      </c>
      <c r="M5183">
        <v>1</v>
      </c>
      <c r="N5183">
        <v>1</v>
      </c>
      <c r="P5183">
        <v>0</v>
      </c>
      <c r="Q5183">
        <v>0</v>
      </c>
      <c r="R5183">
        <v>0</v>
      </c>
      <c r="S5183">
        <v>0</v>
      </c>
    </row>
    <row r="5184" spans="1:19" hidden="1" x14ac:dyDescent="0.35">
      <c r="A5184">
        <v>56644984600</v>
      </c>
      <c r="B5184" t="s">
        <v>5175</v>
      </c>
      <c r="C5184" t="str">
        <f>_xlfn.XLOOKUP(A5184,[1]Affiliations!$J$2:$J$5328,[1]Affiliations!$K$2:$K$5328,0)</f>
        <v>Universidade Federal Fluminense</v>
      </c>
      <c r="D5184">
        <v>3</v>
      </c>
      <c r="E5184">
        <v>19</v>
      </c>
      <c r="F5184">
        <v>6.3333335000000002</v>
      </c>
      <c r="G5184">
        <v>2</v>
      </c>
      <c r="H5184">
        <v>0.28999999999999998</v>
      </c>
      <c r="I5184">
        <v>0</v>
      </c>
      <c r="J5184">
        <v>0</v>
      </c>
      <c r="K5184">
        <v>0</v>
      </c>
      <c r="L5184">
        <v>0</v>
      </c>
      <c r="M5184">
        <v>2</v>
      </c>
      <c r="N5184">
        <v>3</v>
      </c>
      <c r="P5184">
        <v>0</v>
      </c>
      <c r="Q5184">
        <v>0</v>
      </c>
      <c r="R5184">
        <v>0</v>
      </c>
      <c r="S5184">
        <v>0</v>
      </c>
    </row>
    <row r="5185" spans="1:19" x14ac:dyDescent="0.35">
      <c r="A5185">
        <v>7003776380</v>
      </c>
      <c r="B5185" t="s">
        <v>4126</v>
      </c>
      <c r="C5185" t="str">
        <f>_xlfn.XLOOKUP(A5185,[1]Affiliations!$J$2:$J$5328,[1]Affiliations!$K$2:$K$5328,0)</f>
        <v>Federal University of Rio de Janeiro</v>
      </c>
      <c r="D5185">
        <v>21</v>
      </c>
      <c r="E5185">
        <v>334</v>
      </c>
      <c r="F5185">
        <v>15.904762</v>
      </c>
      <c r="G5185">
        <v>23</v>
      </c>
      <c r="H5185">
        <v>0.47</v>
      </c>
      <c r="I5185">
        <v>0</v>
      </c>
      <c r="J5185">
        <v>2</v>
      </c>
      <c r="K5185">
        <v>2</v>
      </c>
      <c r="L5185">
        <v>15</v>
      </c>
      <c r="M5185">
        <v>18</v>
      </c>
      <c r="N5185">
        <v>18</v>
      </c>
      <c r="P5185">
        <v>0</v>
      </c>
      <c r="Q5185">
        <v>1</v>
      </c>
      <c r="R5185">
        <v>1</v>
      </c>
      <c r="S5185">
        <v>5</v>
      </c>
    </row>
    <row r="5186" spans="1:19" x14ac:dyDescent="0.35">
      <c r="A5186">
        <v>58064367300</v>
      </c>
      <c r="B5186" t="s">
        <v>5194</v>
      </c>
      <c r="C5186" t="str">
        <f>_xlfn.XLOOKUP(A5186,[1]Affiliations!$J$2:$J$5328,[1]Affiliations!$K$2:$K$5328,0)</f>
        <v>Pontifical Catholic University of Rio de Janeiro</v>
      </c>
      <c r="D5186">
        <v>6</v>
      </c>
      <c r="E5186">
        <v>81</v>
      </c>
      <c r="F5186">
        <v>13.5</v>
      </c>
      <c r="G5186">
        <v>2</v>
      </c>
      <c r="H5186">
        <v>0.47</v>
      </c>
      <c r="I5186">
        <v>0</v>
      </c>
      <c r="J5186">
        <v>1</v>
      </c>
      <c r="K5186">
        <v>1</v>
      </c>
      <c r="L5186">
        <v>1</v>
      </c>
      <c r="M5186">
        <v>2</v>
      </c>
      <c r="N5186">
        <v>2</v>
      </c>
      <c r="P5186">
        <v>0</v>
      </c>
      <c r="Q5186">
        <v>0</v>
      </c>
      <c r="R5186">
        <v>2</v>
      </c>
      <c r="S5186">
        <v>2</v>
      </c>
    </row>
    <row r="5187" spans="1:19" x14ac:dyDescent="0.35">
      <c r="A5187">
        <v>36945243300</v>
      </c>
      <c r="B5187" t="s">
        <v>2337</v>
      </c>
      <c r="C5187" t="str">
        <f>_xlfn.XLOOKUP(A5187,[1]Affiliations!$J$2:$J$5328,[1]Affiliations!$K$2:$K$5328,0)</f>
        <v>Pontifical Catholic University of Rio de Janeiro</v>
      </c>
      <c r="D5187">
        <v>28</v>
      </c>
      <c r="E5187">
        <v>222</v>
      </c>
      <c r="F5187">
        <v>7.9285709999999998</v>
      </c>
      <c r="G5187">
        <v>8</v>
      </c>
      <c r="H5187">
        <v>0.46</v>
      </c>
      <c r="I5187">
        <v>0</v>
      </c>
      <c r="J5187">
        <v>3</v>
      </c>
      <c r="K5187">
        <v>4</v>
      </c>
      <c r="L5187">
        <v>7</v>
      </c>
      <c r="M5187">
        <v>14</v>
      </c>
      <c r="N5187">
        <v>17</v>
      </c>
      <c r="P5187">
        <v>0</v>
      </c>
      <c r="Q5187">
        <v>0</v>
      </c>
      <c r="R5187">
        <v>1</v>
      </c>
      <c r="S5187">
        <v>3</v>
      </c>
    </row>
    <row r="5188" spans="1:19" hidden="1" x14ac:dyDescent="0.35">
      <c r="A5188">
        <v>57346826100</v>
      </c>
      <c r="B5188" t="s">
        <v>5179</v>
      </c>
      <c r="C5188" t="str">
        <f>_xlfn.XLOOKUP(A5188,[1]Affiliations!$J$2:$J$5328,[1]Affiliations!$K$2:$K$5328,0)</f>
        <v>Universidade Federal do Espírito Santo</v>
      </c>
      <c r="D5188">
        <v>1</v>
      </c>
      <c r="E5188">
        <v>12</v>
      </c>
      <c r="F5188">
        <v>12</v>
      </c>
      <c r="G5188">
        <v>1</v>
      </c>
      <c r="H5188">
        <v>0.81</v>
      </c>
      <c r="I5188">
        <v>0</v>
      </c>
      <c r="J5188">
        <v>1</v>
      </c>
      <c r="K5188">
        <v>1</v>
      </c>
      <c r="L5188">
        <v>1</v>
      </c>
      <c r="M5188">
        <v>1</v>
      </c>
      <c r="N5188">
        <v>1</v>
      </c>
      <c r="P5188">
        <v>0</v>
      </c>
      <c r="Q5188">
        <v>0</v>
      </c>
      <c r="R5188">
        <v>0</v>
      </c>
      <c r="S5188">
        <v>1</v>
      </c>
    </row>
    <row r="5189" spans="1:19" x14ac:dyDescent="0.35">
      <c r="A5189">
        <v>57209025457</v>
      </c>
      <c r="B5189" t="s">
        <v>2884</v>
      </c>
      <c r="C5189" t="str">
        <f>_xlfn.XLOOKUP(A5189,[1]Affiliations!$J$2:$J$5328,[1]Affiliations!$K$2:$K$5328,0)</f>
        <v>Universidade Federal Fluminense</v>
      </c>
      <c r="D5189">
        <v>82</v>
      </c>
      <c r="E5189">
        <v>861</v>
      </c>
      <c r="F5189">
        <v>10.5</v>
      </c>
      <c r="G5189">
        <v>17</v>
      </c>
      <c r="H5189">
        <v>0.46</v>
      </c>
      <c r="I5189">
        <v>0</v>
      </c>
      <c r="J5189">
        <v>10</v>
      </c>
      <c r="K5189">
        <v>12</v>
      </c>
      <c r="L5189">
        <v>25</v>
      </c>
      <c r="M5189">
        <v>40</v>
      </c>
      <c r="N5189">
        <v>54</v>
      </c>
      <c r="P5189">
        <v>1</v>
      </c>
      <c r="Q5189">
        <v>3</v>
      </c>
      <c r="R5189">
        <v>4</v>
      </c>
      <c r="S5189">
        <v>16</v>
      </c>
    </row>
    <row r="5190" spans="1:19" x14ac:dyDescent="0.35">
      <c r="A5190">
        <v>9740786100</v>
      </c>
      <c r="B5190" t="s">
        <v>3173</v>
      </c>
      <c r="C5190" t="str">
        <f>_xlfn.XLOOKUP(A5190,[1]Affiliations!$J$2:$J$5328,[1]Affiliations!$K$2:$K$5328,0)</f>
        <v>Universidade Tecnológica Federal do Paraná</v>
      </c>
      <c r="D5190">
        <v>95</v>
      </c>
      <c r="E5190">
        <v>715</v>
      </c>
      <c r="F5190">
        <v>7.5263156999999996</v>
      </c>
      <c r="G5190">
        <v>24</v>
      </c>
      <c r="H5190">
        <v>0.46</v>
      </c>
      <c r="I5190">
        <v>0</v>
      </c>
      <c r="J5190">
        <v>1</v>
      </c>
      <c r="K5190">
        <v>14</v>
      </c>
      <c r="L5190">
        <v>29</v>
      </c>
      <c r="M5190">
        <v>35</v>
      </c>
      <c r="N5190">
        <v>52</v>
      </c>
      <c r="P5190">
        <v>0</v>
      </c>
      <c r="Q5190">
        <v>1</v>
      </c>
      <c r="R5190">
        <v>3</v>
      </c>
      <c r="S5190">
        <v>14</v>
      </c>
    </row>
    <row r="5191" spans="1:19" hidden="1" x14ac:dyDescent="0.35">
      <c r="A5191">
        <v>60173435300</v>
      </c>
      <c r="B5191" t="s">
        <v>5182</v>
      </c>
      <c r="C5191" t="str">
        <f>_xlfn.XLOOKUP(A5191,[1]Affiliations!$J$2:$J$5328,[1]Affiliations!$K$2:$K$5328,0)</f>
        <v>Universidade Federal de Minas Gerais</v>
      </c>
      <c r="D5191">
        <v>0</v>
      </c>
      <c r="G5191">
        <v>0</v>
      </c>
    </row>
    <row r="5192" spans="1:19" hidden="1" x14ac:dyDescent="0.35">
      <c r="A5192">
        <v>57301012300</v>
      </c>
      <c r="B5192" t="s">
        <v>5183</v>
      </c>
      <c r="C5192" t="str">
        <f>_xlfn.XLOOKUP(A5192,[1]Affiliations!$J$2:$J$5328,[1]Affiliations!$K$2:$K$5328,0)</f>
        <v>Universidade de São Paulo</v>
      </c>
      <c r="D5192">
        <v>1</v>
      </c>
      <c r="E5192">
        <v>6</v>
      </c>
      <c r="F5192">
        <v>6</v>
      </c>
      <c r="G5192">
        <v>1</v>
      </c>
      <c r="H5192">
        <v>0.63</v>
      </c>
      <c r="I5192">
        <v>0</v>
      </c>
      <c r="J5192">
        <v>0</v>
      </c>
      <c r="K5192">
        <v>0</v>
      </c>
      <c r="L5192">
        <v>1</v>
      </c>
      <c r="M5192">
        <v>1</v>
      </c>
      <c r="N5192">
        <v>1</v>
      </c>
      <c r="P5192">
        <v>0</v>
      </c>
      <c r="Q5192">
        <v>0</v>
      </c>
      <c r="R5192">
        <v>0</v>
      </c>
      <c r="S5192">
        <v>0</v>
      </c>
    </row>
    <row r="5193" spans="1:19" hidden="1" x14ac:dyDescent="0.35">
      <c r="A5193">
        <v>24722034800</v>
      </c>
      <c r="B5193" t="s">
        <v>5184</v>
      </c>
      <c r="C5193" t="str">
        <f>_xlfn.XLOOKUP(A5193,[1]Affiliations!$J$2:$J$5328,[1]Affiliations!$K$2:$K$5328,0)</f>
        <v>Universidade Federal de Uberlândia</v>
      </c>
      <c r="D5193">
        <v>3</v>
      </c>
      <c r="E5193">
        <v>2</v>
      </c>
      <c r="F5193">
        <v>0.66666669999999995</v>
      </c>
      <c r="G5193">
        <v>3</v>
      </c>
      <c r="H5193">
        <v>0.28000000000000003</v>
      </c>
      <c r="I5193">
        <v>0</v>
      </c>
      <c r="J5193">
        <v>0</v>
      </c>
      <c r="K5193">
        <v>0</v>
      </c>
      <c r="L5193">
        <v>1</v>
      </c>
      <c r="M5193">
        <v>1</v>
      </c>
      <c r="N5193">
        <v>1</v>
      </c>
      <c r="P5193">
        <v>0</v>
      </c>
      <c r="Q5193">
        <v>0</v>
      </c>
      <c r="R5193">
        <v>0</v>
      </c>
      <c r="S5193">
        <v>0</v>
      </c>
    </row>
    <row r="5194" spans="1:19" hidden="1" x14ac:dyDescent="0.35">
      <c r="A5194">
        <v>60105470600</v>
      </c>
      <c r="B5194" t="s">
        <v>5185</v>
      </c>
      <c r="C5194" t="str">
        <f>_xlfn.XLOOKUP(A5194,[1]Affiliations!$J$2:$J$5328,[1]Affiliations!$K$2:$K$5328,0)</f>
        <v>Science and Technology of Espírito Santo</v>
      </c>
      <c r="D5194">
        <v>0</v>
      </c>
      <c r="G5194">
        <v>1</v>
      </c>
    </row>
    <row r="5195" spans="1:19" hidden="1" x14ac:dyDescent="0.35">
      <c r="A5195">
        <v>57193208346</v>
      </c>
      <c r="B5195" t="s">
        <v>5186</v>
      </c>
      <c r="C5195" t="str">
        <f>_xlfn.XLOOKUP(A5195,[1]Affiliations!$J$2:$J$5328,[1]Affiliations!$K$2:$K$5328,0)</f>
        <v>Universidade Federal Fluminense (+1 more)</v>
      </c>
      <c r="D5195">
        <v>3</v>
      </c>
      <c r="E5195">
        <v>6</v>
      </c>
      <c r="F5195">
        <v>2</v>
      </c>
      <c r="G5195">
        <v>2</v>
      </c>
      <c r="H5195">
        <v>0.14000000000000001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2</v>
      </c>
      <c r="P5195">
        <v>0</v>
      </c>
      <c r="Q5195">
        <v>0</v>
      </c>
      <c r="R5195">
        <v>0</v>
      </c>
      <c r="S5195">
        <v>0</v>
      </c>
    </row>
    <row r="5196" spans="1:19" hidden="1" x14ac:dyDescent="0.35">
      <c r="A5196">
        <v>47161779100</v>
      </c>
      <c r="B5196" t="s">
        <v>5187</v>
      </c>
      <c r="C5196" t="str">
        <f>_xlfn.XLOOKUP(A5196,[1]Affiliations!$J$2:$J$5328,[1]Affiliations!$K$2:$K$5328,0)</f>
        <v>Universidade Federal Rural do Rio de Janeiro</v>
      </c>
      <c r="D5196">
        <v>1</v>
      </c>
      <c r="E5196">
        <v>13</v>
      </c>
      <c r="F5196">
        <v>13</v>
      </c>
      <c r="G5196">
        <v>2</v>
      </c>
      <c r="H5196">
        <v>0.22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1</v>
      </c>
      <c r="P5196">
        <v>0</v>
      </c>
      <c r="Q5196">
        <v>0</v>
      </c>
      <c r="R5196">
        <v>0</v>
      </c>
      <c r="S5196">
        <v>0</v>
      </c>
    </row>
    <row r="5197" spans="1:19" x14ac:dyDescent="0.35">
      <c r="A5197">
        <v>27667788800</v>
      </c>
      <c r="B5197" t="s">
        <v>4906</v>
      </c>
      <c r="C5197" t="str">
        <f>_xlfn.XLOOKUP(A5197,[1]Affiliations!$J$2:$J$5328,[1]Affiliations!$K$2:$K$5328,0)</f>
        <v>Universidade Federal do Rio Grande do Sul</v>
      </c>
      <c r="D5197">
        <v>24</v>
      </c>
      <c r="E5197">
        <v>224</v>
      </c>
      <c r="F5197">
        <v>9.3333329999999997</v>
      </c>
      <c r="G5197">
        <v>13</v>
      </c>
      <c r="H5197">
        <v>0.46</v>
      </c>
      <c r="I5197">
        <v>0</v>
      </c>
      <c r="J5197">
        <v>1</v>
      </c>
      <c r="K5197">
        <v>3</v>
      </c>
      <c r="L5197">
        <v>13</v>
      </c>
      <c r="M5197">
        <v>24</v>
      </c>
      <c r="N5197">
        <v>24</v>
      </c>
      <c r="P5197">
        <v>0</v>
      </c>
      <c r="Q5197">
        <v>0</v>
      </c>
      <c r="R5197">
        <v>1</v>
      </c>
      <c r="S5197">
        <v>5</v>
      </c>
    </row>
    <row r="5198" spans="1:19" hidden="1" x14ac:dyDescent="0.35">
      <c r="A5198">
        <v>60214129600</v>
      </c>
      <c r="B5198" t="s">
        <v>5189</v>
      </c>
      <c r="C5198" t="str">
        <f>_xlfn.XLOOKUP(A5198,[1]Affiliations!$J$2:$J$5328,[1]Affiliations!$K$2:$K$5328,0)</f>
        <v>Universidade Federal de Minas Gerais</v>
      </c>
      <c r="D5198">
        <v>0</v>
      </c>
      <c r="G5198">
        <v>0</v>
      </c>
    </row>
    <row r="5199" spans="1:19" x14ac:dyDescent="0.35">
      <c r="A5199">
        <v>7006063767</v>
      </c>
      <c r="B5199" t="s">
        <v>4915</v>
      </c>
      <c r="C5199" t="str">
        <f>_xlfn.XLOOKUP(A5199,[1]Affiliations!$J$2:$J$5328,[1]Affiliations!$K$2:$K$5328,0)</f>
        <v>Universidade de Brasília</v>
      </c>
      <c r="D5199">
        <v>40</v>
      </c>
      <c r="E5199">
        <v>510</v>
      </c>
      <c r="F5199">
        <v>12.75</v>
      </c>
      <c r="G5199">
        <v>48</v>
      </c>
      <c r="H5199">
        <v>0.46</v>
      </c>
      <c r="I5199">
        <v>0</v>
      </c>
      <c r="J5199">
        <v>4</v>
      </c>
      <c r="K5199">
        <v>8</v>
      </c>
      <c r="L5199">
        <v>12</v>
      </c>
      <c r="M5199">
        <v>26</v>
      </c>
      <c r="N5199">
        <v>34</v>
      </c>
      <c r="P5199">
        <v>0</v>
      </c>
      <c r="Q5199">
        <v>0</v>
      </c>
      <c r="R5199">
        <v>2</v>
      </c>
      <c r="S5199">
        <v>8</v>
      </c>
    </row>
    <row r="5200" spans="1:19" x14ac:dyDescent="0.35">
      <c r="A5200">
        <v>55665419400</v>
      </c>
      <c r="B5200" t="s">
        <v>59</v>
      </c>
      <c r="C5200" t="str">
        <f>_xlfn.XLOOKUP(A5200,[1]Affiliations!$J$2:$J$5328,[1]Affiliations!$K$2:$K$5328,0)</f>
        <v>Federal University of Santa Catarina</v>
      </c>
      <c r="D5200">
        <v>57</v>
      </c>
      <c r="E5200">
        <v>376</v>
      </c>
      <c r="F5200">
        <v>6.5964913000000003</v>
      </c>
      <c r="G5200">
        <v>17</v>
      </c>
      <c r="H5200">
        <v>0.45</v>
      </c>
      <c r="I5200">
        <v>0</v>
      </c>
      <c r="J5200">
        <v>1</v>
      </c>
      <c r="K5200">
        <v>6</v>
      </c>
      <c r="L5200">
        <v>13</v>
      </c>
      <c r="M5200">
        <v>23</v>
      </c>
      <c r="N5200">
        <v>42</v>
      </c>
      <c r="P5200">
        <v>0</v>
      </c>
      <c r="Q5200">
        <v>0</v>
      </c>
      <c r="R5200">
        <v>2</v>
      </c>
      <c r="S5200">
        <v>7</v>
      </c>
    </row>
    <row r="5201" spans="1:19" hidden="1" x14ac:dyDescent="0.35">
      <c r="A5201">
        <v>58699251800</v>
      </c>
      <c r="B5201" t="s">
        <v>5192</v>
      </c>
      <c r="C5201" t="str">
        <f>_xlfn.XLOOKUP(A5201,[1]Affiliations!$J$2:$J$5328,[1]Affiliations!$K$2:$K$5328,0)</f>
        <v>Universidade Federal de Goiás</v>
      </c>
      <c r="D5201">
        <v>1</v>
      </c>
      <c r="E5201">
        <v>6</v>
      </c>
      <c r="F5201">
        <v>6</v>
      </c>
      <c r="G5201">
        <v>1</v>
      </c>
      <c r="H5201">
        <v>0.46</v>
      </c>
      <c r="I5201">
        <v>0</v>
      </c>
      <c r="J5201">
        <v>0</v>
      </c>
      <c r="K5201">
        <v>0</v>
      </c>
      <c r="L5201">
        <v>1</v>
      </c>
      <c r="M5201">
        <v>1</v>
      </c>
      <c r="N5201">
        <v>1</v>
      </c>
      <c r="P5201">
        <v>0</v>
      </c>
      <c r="Q5201">
        <v>0</v>
      </c>
      <c r="R5201">
        <v>0</v>
      </c>
      <c r="S5201">
        <v>0</v>
      </c>
    </row>
    <row r="5202" spans="1:19" x14ac:dyDescent="0.35">
      <c r="A5202">
        <v>23392058700</v>
      </c>
      <c r="B5202" t="s">
        <v>1587</v>
      </c>
      <c r="C5202" t="str">
        <f>_xlfn.XLOOKUP(A5202,[1]Affiliations!$J$2:$J$5328,[1]Affiliations!$K$2:$K$5328,0)</f>
        <v>Universidade Federal do Ceará (+2 more)</v>
      </c>
      <c r="D5202">
        <v>30</v>
      </c>
      <c r="E5202">
        <v>277</v>
      </c>
      <c r="F5202">
        <v>9.2333339999999993</v>
      </c>
      <c r="G5202">
        <v>15</v>
      </c>
      <c r="H5202">
        <v>0.45</v>
      </c>
      <c r="I5202">
        <v>0</v>
      </c>
      <c r="J5202">
        <v>0</v>
      </c>
      <c r="K5202">
        <v>2</v>
      </c>
      <c r="L5202">
        <v>12</v>
      </c>
      <c r="M5202">
        <v>16</v>
      </c>
      <c r="N5202">
        <v>24</v>
      </c>
      <c r="P5202">
        <v>0</v>
      </c>
      <c r="Q5202">
        <v>0</v>
      </c>
      <c r="R5202">
        <v>1</v>
      </c>
      <c r="S5202">
        <v>7</v>
      </c>
    </row>
    <row r="5203" spans="1:19" x14ac:dyDescent="0.35">
      <c r="A5203">
        <v>6506491472</v>
      </c>
      <c r="B5203" t="s">
        <v>2785</v>
      </c>
      <c r="C5203" t="str">
        <f>_xlfn.XLOOKUP(A5203,[1]Affiliations!$J$2:$J$5328,[1]Affiliations!$K$2:$K$5328,0)</f>
        <v>Universidade Federal de Alagoas</v>
      </c>
      <c r="D5203">
        <v>17</v>
      </c>
      <c r="E5203">
        <v>136</v>
      </c>
      <c r="F5203">
        <v>8</v>
      </c>
      <c r="G5203">
        <v>10</v>
      </c>
      <c r="H5203">
        <v>0.45</v>
      </c>
      <c r="I5203">
        <v>0</v>
      </c>
      <c r="J5203">
        <v>3</v>
      </c>
      <c r="K5203">
        <v>5</v>
      </c>
      <c r="L5203">
        <v>11</v>
      </c>
      <c r="M5203">
        <v>15</v>
      </c>
      <c r="N5203">
        <v>15</v>
      </c>
      <c r="P5203">
        <v>0</v>
      </c>
      <c r="Q5203">
        <v>0</v>
      </c>
      <c r="R5203">
        <v>1</v>
      </c>
      <c r="S5203">
        <v>2</v>
      </c>
    </row>
    <row r="5204" spans="1:19" x14ac:dyDescent="0.35">
      <c r="A5204">
        <v>57188627999</v>
      </c>
      <c r="B5204" t="s">
        <v>3652</v>
      </c>
      <c r="C5204" t="str">
        <f>_xlfn.XLOOKUP(A5204,[1]Affiliations!$J$2:$J$5328,[1]Affiliations!$K$2:$K$5328,0)</f>
        <v>Universidade Federal Rural do Rio de Janeiro (+2 more)</v>
      </c>
      <c r="D5204">
        <v>31</v>
      </c>
      <c r="E5204">
        <v>233</v>
      </c>
      <c r="F5204">
        <v>7.5161290000000003</v>
      </c>
      <c r="G5204">
        <v>8</v>
      </c>
      <c r="H5204">
        <v>0.45</v>
      </c>
      <c r="I5204">
        <v>0</v>
      </c>
      <c r="J5204">
        <v>2</v>
      </c>
      <c r="K5204">
        <v>11</v>
      </c>
      <c r="L5204">
        <v>18</v>
      </c>
      <c r="M5204">
        <v>26</v>
      </c>
      <c r="N5204">
        <v>29</v>
      </c>
      <c r="P5204">
        <v>0</v>
      </c>
      <c r="Q5204">
        <v>0</v>
      </c>
      <c r="R5204">
        <v>1</v>
      </c>
      <c r="S5204">
        <v>4</v>
      </c>
    </row>
    <row r="5205" spans="1:19" hidden="1" x14ac:dyDescent="0.35">
      <c r="A5205">
        <v>7103235935</v>
      </c>
      <c r="B5205" t="s">
        <v>5196</v>
      </c>
      <c r="C5205" t="str">
        <f>_xlfn.XLOOKUP(A5205,[1]Affiliations!$J$2:$J$5328,[1]Affiliations!$K$2:$K$5328,0)</f>
        <v>Pontifical Catholic University of Rio de Janeiro (+1 more)</v>
      </c>
      <c r="D5205">
        <v>14</v>
      </c>
      <c r="E5205">
        <v>188</v>
      </c>
      <c r="F5205">
        <v>13.428572000000001</v>
      </c>
      <c r="G5205">
        <v>16</v>
      </c>
      <c r="H5205">
        <v>1.1200000000000001</v>
      </c>
      <c r="I5205">
        <v>0</v>
      </c>
      <c r="J5205">
        <v>0</v>
      </c>
      <c r="K5205">
        <v>0</v>
      </c>
      <c r="L5205">
        <v>3</v>
      </c>
      <c r="M5205">
        <v>4</v>
      </c>
      <c r="N5205">
        <v>5</v>
      </c>
      <c r="P5205">
        <v>0</v>
      </c>
      <c r="Q5205">
        <v>0</v>
      </c>
      <c r="R5205">
        <v>2</v>
      </c>
      <c r="S5205">
        <v>2</v>
      </c>
    </row>
    <row r="5206" spans="1:19" x14ac:dyDescent="0.35">
      <c r="A5206">
        <v>6505809257</v>
      </c>
      <c r="B5206" t="s">
        <v>4134</v>
      </c>
      <c r="C5206" t="str">
        <f>_xlfn.XLOOKUP(A5206,[1]Affiliations!$J$2:$J$5328,[1]Affiliations!$K$2:$K$5328,0)</f>
        <v>Universidade Federal do Rio Grande do Sul</v>
      </c>
      <c r="D5206">
        <v>49</v>
      </c>
      <c r="E5206">
        <v>408</v>
      </c>
      <c r="F5206">
        <v>8.32653</v>
      </c>
      <c r="G5206">
        <v>18</v>
      </c>
      <c r="H5206">
        <v>0.45</v>
      </c>
      <c r="I5206">
        <v>0</v>
      </c>
      <c r="J5206">
        <v>0</v>
      </c>
      <c r="K5206">
        <v>3</v>
      </c>
      <c r="L5206">
        <v>14</v>
      </c>
      <c r="M5206">
        <v>30</v>
      </c>
      <c r="N5206">
        <v>40</v>
      </c>
      <c r="P5206">
        <v>0</v>
      </c>
      <c r="Q5206">
        <v>0</v>
      </c>
      <c r="R5206">
        <v>1</v>
      </c>
      <c r="S5206">
        <v>10</v>
      </c>
    </row>
    <row r="5207" spans="1:19" hidden="1" x14ac:dyDescent="0.35">
      <c r="A5207">
        <v>59433271800</v>
      </c>
      <c r="B5207" t="s">
        <v>5198</v>
      </c>
      <c r="C5207" t="str">
        <f>_xlfn.XLOOKUP(A5207,[1]Affiliations!$J$2:$J$5328,[1]Affiliations!$K$2:$K$5328,0)</f>
        <v>Universidade Federal de Alagoas</v>
      </c>
      <c r="D5207">
        <v>1</v>
      </c>
      <c r="E5207">
        <v>7</v>
      </c>
      <c r="F5207">
        <v>7</v>
      </c>
      <c r="G5207">
        <v>1</v>
      </c>
      <c r="H5207">
        <v>0.63</v>
      </c>
      <c r="I5207">
        <v>0</v>
      </c>
      <c r="J5207">
        <v>0</v>
      </c>
      <c r="K5207">
        <v>0</v>
      </c>
      <c r="L5207">
        <v>1</v>
      </c>
      <c r="M5207">
        <v>1</v>
      </c>
      <c r="N5207">
        <v>1</v>
      </c>
      <c r="P5207">
        <v>0</v>
      </c>
      <c r="Q5207">
        <v>0</v>
      </c>
      <c r="R5207">
        <v>0</v>
      </c>
      <c r="S5207">
        <v>0</v>
      </c>
    </row>
    <row r="5208" spans="1:19" hidden="1" x14ac:dyDescent="0.35">
      <c r="A5208">
        <v>59970122500</v>
      </c>
      <c r="B5208" t="s">
        <v>5199</v>
      </c>
      <c r="C5208" t="str">
        <f>_xlfn.XLOOKUP(A5208,[1]Affiliations!$J$2:$J$5328,[1]Affiliations!$K$2:$K$5328,0)</f>
        <v>Universidade Federal de Alagoas</v>
      </c>
      <c r="D5208">
        <v>0</v>
      </c>
      <c r="G5208">
        <v>1</v>
      </c>
    </row>
    <row r="5209" spans="1:19" hidden="1" x14ac:dyDescent="0.35">
      <c r="A5209">
        <v>57224985794</v>
      </c>
      <c r="B5209" t="s">
        <v>5200</v>
      </c>
      <c r="C5209" t="str">
        <f>_xlfn.XLOOKUP(A5209,[1]Affiliations!$J$2:$J$5328,[1]Affiliations!$K$2:$K$5328,0)</f>
        <v>DEMa</v>
      </c>
      <c r="D5209">
        <v>4</v>
      </c>
      <c r="E5209">
        <v>27</v>
      </c>
      <c r="F5209">
        <v>6.75</v>
      </c>
      <c r="G5209">
        <v>3</v>
      </c>
      <c r="H5209">
        <v>0.46</v>
      </c>
      <c r="I5209">
        <v>0</v>
      </c>
      <c r="J5209">
        <v>1</v>
      </c>
      <c r="K5209">
        <v>1</v>
      </c>
      <c r="L5209">
        <v>1</v>
      </c>
      <c r="M5209">
        <v>3</v>
      </c>
      <c r="N5209">
        <v>3</v>
      </c>
      <c r="P5209">
        <v>0</v>
      </c>
      <c r="Q5209">
        <v>0</v>
      </c>
      <c r="R5209">
        <v>0</v>
      </c>
      <c r="S5209">
        <v>1</v>
      </c>
    </row>
    <row r="5210" spans="1:19" hidden="1" x14ac:dyDescent="0.35">
      <c r="A5210">
        <v>57204730318</v>
      </c>
      <c r="B5210" t="s">
        <v>5201</v>
      </c>
      <c r="C5210" t="str">
        <f>_xlfn.XLOOKUP(A5210,[1]Affiliations!$J$2:$J$5328,[1]Affiliations!$K$2:$K$5328,0)</f>
        <v>Federal University of Rio de Janeiro</v>
      </c>
      <c r="D5210">
        <v>3</v>
      </c>
      <c r="E5210">
        <v>12</v>
      </c>
      <c r="F5210">
        <v>4</v>
      </c>
      <c r="G5210">
        <v>1</v>
      </c>
      <c r="H5210">
        <v>0.34</v>
      </c>
      <c r="I5210">
        <v>0</v>
      </c>
      <c r="J5210">
        <v>0</v>
      </c>
      <c r="K5210">
        <v>0</v>
      </c>
      <c r="L5210">
        <v>1</v>
      </c>
      <c r="M5210">
        <v>1</v>
      </c>
      <c r="N5210">
        <v>1</v>
      </c>
      <c r="P5210">
        <v>0</v>
      </c>
      <c r="Q5210">
        <v>0</v>
      </c>
      <c r="R5210">
        <v>0</v>
      </c>
      <c r="S5210">
        <v>0</v>
      </c>
    </row>
    <row r="5211" spans="1:19" hidden="1" x14ac:dyDescent="0.35">
      <c r="A5211">
        <v>36807112900</v>
      </c>
      <c r="B5211" t="s">
        <v>5202</v>
      </c>
      <c r="C5211" t="str">
        <f>_xlfn.XLOOKUP(A5211,[1]Affiliations!$J$2:$J$5328,[1]Affiliations!$K$2:$K$5328,0)</f>
        <v>Universidade Federal de São João del-Rei</v>
      </c>
      <c r="D5211">
        <v>15</v>
      </c>
      <c r="E5211">
        <v>40</v>
      </c>
      <c r="F5211">
        <v>2.6666666999999999</v>
      </c>
      <c r="G5211">
        <v>5</v>
      </c>
      <c r="H5211">
        <v>0.27</v>
      </c>
      <c r="I5211">
        <v>0</v>
      </c>
      <c r="J5211">
        <v>0</v>
      </c>
      <c r="K5211">
        <v>0</v>
      </c>
      <c r="L5211">
        <v>2</v>
      </c>
      <c r="M5211">
        <v>5</v>
      </c>
      <c r="N5211">
        <v>12</v>
      </c>
      <c r="P5211">
        <v>0</v>
      </c>
      <c r="Q5211">
        <v>0</v>
      </c>
      <c r="R5211">
        <v>0</v>
      </c>
      <c r="S5211">
        <v>1</v>
      </c>
    </row>
    <row r="5212" spans="1:19" x14ac:dyDescent="0.35">
      <c r="A5212">
        <v>57196232480</v>
      </c>
      <c r="B5212" t="s">
        <v>4767</v>
      </c>
      <c r="C5212" t="str">
        <f>_xlfn.XLOOKUP(A5212,[1]Affiliations!$J$2:$J$5328,[1]Affiliations!$K$2:$K$5328,0)</f>
        <v>Centro Brasileiro de Pesquisas Físicas (+1 more)</v>
      </c>
      <c r="D5212">
        <v>23</v>
      </c>
      <c r="E5212">
        <v>201</v>
      </c>
      <c r="F5212">
        <v>8.7391299999999994</v>
      </c>
      <c r="G5212">
        <v>23</v>
      </c>
      <c r="H5212">
        <v>0.45</v>
      </c>
      <c r="I5212">
        <v>0</v>
      </c>
      <c r="J5212">
        <v>1</v>
      </c>
      <c r="K5212">
        <v>1</v>
      </c>
      <c r="L5212">
        <v>12</v>
      </c>
      <c r="M5212">
        <v>18</v>
      </c>
      <c r="N5212">
        <v>19</v>
      </c>
      <c r="P5212">
        <v>0</v>
      </c>
      <c r="Q5212">
        <v>1</v>
      </c>
      <c r="R5212">
        <v>1</v>
      </c>
      <c r="S5212">
        <v>3</v>
      </c>
    </row>
    <row r="5213" spans="1:19" x14ac:dyDescent="0.35">
      <c r="A5213">
        <v>16403034300</v>
      </c>
      <c r="B5213" t="s">
        <v>4882</v>
      </c>
      <c r="C5213" t="str">
        <f>_xlfn.XLOOKUP(A5213,[1]Affiliations!$J$2:$J$5328,[1]Affiliations!$K$2:$K$5328,0)</f>
        <v>Universidade Federal de Santa Maria</v>
      </c>
      <c r="D5213">
        <v>47</v>
      </c>
      <c r="E5213">
        <v>384</v>
      </c>
      <c r="F5213">
        <v>8.1702130000000004</v>
      </c>
      <c r="G5213">
        <v>14</v>
      </c>
      <c r="H5213">
        <v>0.45</v>
      </c>
      <c r="I5213">
        <v>0</v>
      </c>
      <c r="J5213">
        <v>4</v>
      </c>
      <c r="K5213">
        <v>5</v>
      </c>
      <c r="L5213">
        <v>23</v>
      </c>
      <c r="M5213">
        <v>27</v>
      </c>
      <c r="N5213">
        <v>33</v>
      </c>
      <c r="P5213">
        <v>0</v>
      </c>
      <c r="Q5213">
        <v>1</v>
      </c>
      <c r="R5213">
        <v>1</v>
      </c>
      <c r="S5213">
        <v>14</v>
      </c>
    </row>
    <row r="5214" spans="1:19" x14ac:dyDescent="0.35">
      <c r="A5214">
        <v>15520603700</v>
      </c>
      <c r="B5214" t="s">
        <v>973</v>
      </c>
      <c r="C5214" t="str">
        <f>_xlfn.XLOOKUP(A5214,[1]Affiliations!$J$2:$J$5328,[1]Affiliations!$K$2:$K$5328,0)</f>
        <v>Universidade de Brasília</v>
      </c>
      <c r="D5214">
        <v>42</v>
      </c>
      <c r="E5214">
        <v>376</v>
      </c>
      <c r="F5214">
        <v>8.9523810000000008</v>
      </c>
      <c r="G5214">
        <v>10</v>
      </c>
      <c r="H5214">
        <v>0.44</v>
      </c>
      <c r="I5214">
        <v>2</v>
      </c>
      <c r="J5214">
        <v>5</v>
      </c>
      <c r="K5214">
        <v>5</v>
      </c>
      <c r="L5214">
        <v>11</v>
      </c>
      <c r="M5214">
        <v>18</v>
      </c>
      <c r="N5214">
        <v>22</v>
      </c>
      <c r="P5214">
        <v>0</v>
      </c>
      <c r="Q5214">
        <v>1</v>
      </c>
      <c r="R5214">
        <v>1</v>
      </c>
      <c r="S5214">
        <v>8</v>
      </c>
    </row>
    <row r="5215" spans="1:19" hidden="1" x14ac:dyDescent="0.35">
      <c r="A5215">
        <v>7003641796</v>
      </c>
      <c r="B5215" t="s">
        <v>5206</v>
      </c>
      <c r="C5215" t="str">
        <f>_xlfn.XLOOKUP(A5215,[1]Affiliations!$J$2:$J$5328,[1]Affiliations!$K$2:$K$5328,0)</f>
        <v>Universidade Federal de Minas Gerais</v>
      </c>
      <c r="D5215">
        <v>1</v>
      </c>
      <c r="E5215">
        <v>16</v>
      </c>
      <c r="F5215">
        <v>16</v>
      </c>
      <c r="G5215">
        <v>4</v>
      </c>
      <c r="H5215">
        <v>0.55000000000000004</v>
      </c>
      <c r="I5215">
        <v>0</v>
      </c>
      <c r="J5215">
        <v>0</v>
      </c>
      <c r="K5215">
        <v>0</v>
      </c>
      <c r="L5215">
        <v>1</v>
      </c>
      <c r="M5215">
        <v>1</v>
      </c>
      <c r="N5215">
        <v>1</v>
      </c>
      <c r="P5215">
        <v>0</v>
      </c>
      <c r="Q5215">
        <v>0</v>
      </c>
      <c r="R5215">
        <v>0</v>
      </c>
      <c r="S5215">
        <v>1</v>
      </c>
    </row>
    <row r="5216" spans="1:19" hidden="1" x14ac:dyDescent="0.35">
      <c r="A5216">
        <v>57207576627</v>
      </c>
      <c r="B5216" t="s">
        <v>5207</v>
      </c>
      <c r="C5216" t="str">
        <f>_xlfn.XLOOKUP(A5216,[1]Affiliations!$J$2:$J$5328,[1]Affiliations!$K$2:$K$5328,0)</f>
        <v>Universidade Federal de Uberlândia</v>
      </c>
      <c r="D5216">
        <v>3</v>
      </c>
      <c r="E5216">
        <v>53</v>
      </c>
      <c r="F5216">
        <v>17.666665999999999</v>
      </c>
      <c r="G5216">
        <v>3</v>
      </c>
      <c r="H5216">
        <v>0.78</v>
      </c>
      <c r="I5216">
        <v>0</v>
      </c>
      <c r="J5216">
        <v>0</v>
      </c>
      <c r="K5216">
        <v>1</v>
      </c>
      <c r="L5216">
        <v>3</v>
      </c>
      <c r="M5216">
        <v>3</v>
      </c>
      <c r="N5216">
        <v>3</v>
      </c>
      <c r="P5216">
        <v>0</v>
      </c>
      <c r="Q5216">
        <v>0</v>
      </c>
      <c r="R5216">
        <v>0</v>
      </c>
      <c r="S5216">
        <v>1</v>
      </c>
    </row>
    <row r="5217" spans="1:19" hidden="1" x14ac:dyDescent="0.35">
      <c r="A5217">
        <v>36560807100</v>
      </c>
      <c r="B5217" t="s">
        <v>5208</v>
      </c>
      <c r="C5217" t="str">
        <f>_xlfn.XLOOKUP(A5217,[1]Affiliations!$J$2:$J$5328,[1]Affiliations!$K$2:$K$5328,0)</f>
        <v>Federal University of Rio de Janeiro</v>
      </c>
      <c r="D5217">
        <v>5</v>
      </c>
      <c r="E5217">
        <v>13</v>
      </c>
      <c r="F5217">
        <v>2.6</v>
      </c>
      <c r="G5217">
        <v>3</v>
      </c>
      <c r="H5217">
        <v>0.16</v>
      </c>
      <c r="I5217">
        <v>0</v>
      </c>
      <c r="J5217">
        <v>0</v>
      </c>
      <c r="K5217">
        <v>1</v>
      </c>
      <c r="L5217">
        <v>1</v>
      </c>
      <c r="M5217">
        <v>2</v>
      </c>
      <c r="N5217">
        <v>4</v>
      </c>
      <c r="P5217">
        <v>0</v>
      </c>
      <c r="Q5217">
        <v>0</v>
      </c>
      <c r="R5217">
        <v>0</v>
      </c>
      <c r="S5217">
        <v>0</v>
      </c>
    </row>
    <row r="5218" spans="1:19" hidden="1" x14ac:dyDescent="0.35">
      <c r="A5218">
        <v>57221143130</v>
      </c>
      <c r="B5218" t="s">
        <v>5209</v>
      </c>
      <c r="C5218" t="str">
        <f>_xlfn.XLOOKUP(A5218,[1]Affiliations!$J$2:$J$5328,[1]Affiliations!$K$2:$K$5328,0)</f>
        <v>Pontifical Catholic University of Rio de Janeiro</v>
      </c>
      <c r="D5218">
        <v>9</v>
      </c>
      <c r="E5218">
        <v>20</v>
      </c>
      <c r="F5218">
        <v>2.2222222999999999</v>
      </c>
      <c r="G5218">
        <v>3</v>
      </c>
      <c r="H5218">
        <v>0.77</v>
      </c>
      <c r="I5218">
        <v>0</v>
      </c>
      <c r="J5218">
        <v>0</v>
      </c>
      <c r="K5218">
        <v>0</v>
      </c>
      <c r="L5218">
        <v>0</v>
      </c>
      <c r="M5218">
        <v>1</v>
      </c>
      <c r="N5218">
        <v>3</v>
      </c>
      <c r="P5218">
        <v>0</v>
      </c>
      <c r="Q5218">
        <v>0</v>
      </c>
      <c r="R5218">
        <v>0</v>
      </c>
      <c r="S5218">
        <v>1</v>
      </c>
    </row>
    <row r="5219" spans="1:19" hidden="1" x14ac:dyDescent="0.35">
      <c r="A5219">
        <v>57204793973</v>
      </c>
      <c r="B5219" t="s">
        <v>5210</v>
      </c>
      <c r="C5219" t="str">
        <f>_xlfn.XLOOKUP(A5219,[1]Affiliations!$J$2:$J$5328,[1]Affiliations!$K$2:$K$5328,0)</f>
        <v>Pontifical Catholic University of Rio de Janeiro</v>
      </c>
      <c r="D5219">
        <v>14</v>
      </c>
      <c r="E5219">
        <v>204</v>
      </c>
      <c r="F5219">
        <v>14.571427999999999</v>
      </c>
      <c r="G5219">
        <v>9</v>
      </c>
      <c r="H5219">
        <v>3</v>
      </c>
      <c r="I5219">
        <v>0</v>
      </c>
      <c r="J5219">
        <v>0</v>
      </c>
      <c r="K5219">
        <v>0</v>
      </c>
      <c r="L5219">
        <v>2</v>
      </c>
      <c r="M5219">
        <v>3</v>
      </c>
      <c r="N5219">
        <v>6</v>
      </c>
      <c r="P5219">
        <v>0</v>
      </c>
      <c r="Q5219">
        <v>0</v>
      </c>
      <c r="R5219">
        <v>2</v>
      </c>
      <c r="S5219">
        <v>8</v>
      </c>
    </row>
    <row r="5220" spans="1:19" hidden="1" x14ac:dyDescent="0.35">
      <c r="A5220">
        <v>7102570059</v>
      </c>
      <c r="B5220" t="s">
        <v>5211</v>
      </c>
      <c r="C5220" t="str">
        <f>_xlfn.XLOOKUP(A5220,[1]Affiliations!$J$2:$J$5328,[1]Affiliations!$K$2:$K$5328,0)</f>
        <v>Universidade Federal de Uberlândia</v>
      </c>
      <c r="D5220">
        <v>11</v>
      </c>
      <c r="E5220">
        <v>103</v>
      </c>
      <c r="F5220">
        <v>9.3636359999999996</v>
      </c>
      <c r="G5220">
        <v>8</v>
      </c>
      <c r="H5220">
        <v>0.53</v>
      </c>
      <c r="I5220">
        <v>0</v>
      </c>
      <c r="J5220">
        <v>0</v>
      </c>
      <c r="K5220">
        <v>2</v>
      </c>
      <c r="L5220">
        <v>5</v>
      </c>
      <c r="M5220">
        <v>10</v>
      </c>
      <c r="N5220">
        <v>10</v>
      </c>
      <c r="P5220">
        <v>0</v>
      </c>
      <c r="Q5220">
        <v>0</v>
      </c>
      <c r="R5220">
        <v>0</v>
      </c>
      <c r="S5220">
        <v>2</v>
      </c>
    </row>
    <row r="5221" spans="1:19" hidden="1" x14ac:dyDescent="0.35">
      <c r="A5221">
        <v>57200495678</v>
      </c>
      <c r="B5221" t="s">
        <v>5212</v>
      </c>
      <c r="C5221" t="str">
        <f>_xlfn.XLOOKUP(A5221,[1]Affiliations!$J$2:$J$5328,[1]Affiliations!$K$2:$K$5328,0)</f>
        <v>Universidade Federal de Campina Grande</v>
      </c>
      <c r="D5221">
        <v>1</v>
      </c>
      <c r="E5221">
        <v>4</v>
      </c>
      <c r="F5221">
        <v>4</v>
      </c>
      <c r="G5221">
        <v>1</v>
      </c>
      <c r="H5221">
        <v>0.19</v>
      </c>
      <c r="I5221">
        <v>0</v>
      </c>
      <c r="J5221">
        <v>0</v>
      </c>
      <c r="K5221">
        <v>0</v>
      </c>
      <c r="L5221">
        <v>0</v>
      </c>
      <c r="M5221">
        <v>1</v>
      </c>
      <c r="N5221">
        <v>1</v>
      </c>
      <c r="P5221">
        <v>0</v>
      </c>
      <c r="Q5221">
        <v>0</v>
      </c>
      <c r="R5221">
        <v>0</v>
      </c>
      <c r="S5221">
        <v>0</v>
      </c>
    </row>
    <row r="5222" spans="1:19" x14ac:dyDescent="0.35">
      <c r="A5222">
        <v>57219116264</v>
      </c>
      <c r="B5222" t="s">
        <v>1150</v>
      </c>
      <c r="C5222" t="str">
        <f>_xlfn.XLOOKUP(A5222,[1]Affiliations!$J$2:$J$5328,[1]Affiliations!$K$2:$K$5328,0)</f>
        <v>Universidade Federal de Alagoas</v>
      </c>
      <c r="D5222">
        <v>11</v>
      </c>
      <c r="E5222">
        <v>58</v>
      </c>
      <c r="F5222">
        <v>5.2727275000000002</v>
      </c>
      <c r="G5222">
        <v>6</v>
      </c>
      <c r="H5222">
        <v>0.44</v>
      </c>
      <c r="I5222">
        <v>0</v>
      </c>
      <c r="J5222">
        <v>0</v>
      </c>
      <c r="K5222">
        <v>1</v>
      </c>
      <c r="L5222">
        <v>3</v>
      </c>
      <c r="M5222">
        <v>7</v>
      </c>
      <c r="N5222">
        <v>10</v>
      </c>
      <c r="P5222">
        <v>0</v>
      </c>
      <c r="Q5222">
        <v>0</v>
      </c>
      <c r="R5222">
        <v>1</v>
      </c>
      <c r="S5222">
        <v>1</v>
      </c>
    </row>
    <row r="5223" spans="1:19" hidden="1" x14ac:dyDescent="0.35">
      <c r="A5223">
        <v>58318614500</v>
      </c>
      <c r="B5223" t="s">
        <v>5214</v>
      </c>
      <c r="C5223" t="str">
        <f>_xlfn.XLOOKUP(A5223,[1]Affiliations!$J$2:$J$5328,[1]Affiliations!$K$2:$K$5328,0)</f>
        <v>Universidade Federal Rural do Rio de Janeiro</v>
      </c>
      <c r="D5223">
        <v>1</v>
      </c>
      <c r="E5223">
        <v>5</v>
      </c>
      <c r="F5223">
        <v>5</v>
      </c>
      <c r="G5223">
        <v>1</v>
      </c>
      <c r="H5223">
        <v>0.4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P5223">
        <v>0</v>
      </c>
      <c r="Q5223">
        <v>0</v>
      </c>
      <c r="R5223">
        <v>0</v>
      </c>
      <c r="S5223">
        <v>0</v>
      </c>
    </row>
    <row r="5224" spans="1:19" x14ac:dyDescent="0.35">
      <c r="A5224">
        <v>7201498168</v>
      </c>
      <c r="B5224" t="s">
        <v>2697</v>
      </c>
      <c r="C5224" t="str">
        <f>_xlfn.XLOOKUP(A5224,[1]Affiliations!$J$2:$J$5328,[1]Affiliations!$K$2:$K$5328,0)</f>
        <v>Universidade de São Paulo</v>
      </c>
      <c r="D5224">
        <v>10</v>
      </c>
      <c r="E5224">
        <v>120</v>
      </c>
      <c r="F5224">
        <v>12</v>
      </c>
      <c r="G5224">
        <v>10</v>
      </c>
      <c r="H5224">
        <v>0.44</v>
      </c>
      <c r="I5224">
        <v>0</v>
      </c>
      <c r="J5224">
        <v>0</v>
      </c>
      <c r="K5224">
        <v>1</v>
      </c>
      <c r="L5224">
        <v>3</v>
      </c>
      <c r="M5224">
        <v>7</v>
      </c>
      <c r="N5224">
        <v>8</v>
      </c>
      <c r="P5224">
        <v>0</v>
      </c>
      <c r="Q5224">
        <v>0</v>
      </c>
      <c r="R5224">
        <v>1</v>
      </c>
      <c r="S5224">
        <v>2</v>
      </c>
    </row>
    <row r="5225" spans="1:19" x14ac:dyDescent="0.35">
      <c r="A5225">
        <v>7101848908</v>
      </c>
      <c r="B5225" t="s">
        <v>3388</v>
      </c>
      <c r="C5225" t="str">
        <f>_xlfn.XLOOKUP(A5225,[1]Affiliations!$J$2:$J$5328,[1]Affiliations!$K$2:$K$5328,0)</f>
        <v>Universidade Federal do Rio Grande do Sul</v>
      </c>
      <c r="D5225">
        <v>25</v>
      </c>
      <c r="E5225">
        <v>183</v>
      </c>
      <c r="F5225">
        <v>7.32</v>
      </c>
      <c r="G5225">
        <v>12</v>
      </c>
      <c r="H5225">
        <v>0.44</v>
      </c>
      <c r="I5225">
        <v>0</v>
      </c>
      <c r="J5225">
        <v>1</v>
      </c>
      <c r="K5225">
        <v>2</v>
      </c>
      <c r="L5225">
        <v>7</v>
      </c>
      <c r="M5225">
        <v>16</v>
      </c>
      <c r="N5225">
        <v>18</v>
      </c>
      <c r="P5225">
        <v>0</v>
      </c>
      <c r="Q5225">
        <v>1</v>
      </c>
      <c r="R5225">
        <v>1</v>
      </c>
      <c r="S5225">
        <v>1</v>
      </c>
    </row>
    <row r="5226" spans="1:19" x14ac:dyDescent="0.35">
      <c r="A5226">
        <v>57210186636</v>
      </c>
      <c r="B5226" t="s">
        <v>3444</v>
      </c>
      <c r="C5226" t="str">
        <f>_xlfn.XLOOKUP(A5226,[1]Affiliations!$J$2:$J$5328,[1]Affiliations!$K$2:$K$5328,0)</f>
        <v>Instituto Nacional de Tecnologia</v>
      </c>
      <c r="D5226">
        <v>9</v>
      </c>
      <c r="E5226">
        <v>114</v>
      </c>
      <c r="F5226">
        <v>12.666667</v>
      </c>
      <c r="G5226">
        <v>9</v>
      </c>
      <c r="H5226">
        <v>0.44</v>
      </c>
      <c r="I5226">
        <v>0</v>
      </c>
      <c r="J5226">
        <v>0</v>
      </c>
      <c r="K5226">
        <v>1</v>
      </c>
      <c r="L5226">
        <v>5</v>
      </c>
      <c r="M5226">
        <v>7</v>
      </c>
      <c r="N5226">
        <v>9</v>
      </c>
      <c r="P5226">
        <v>0</v>
      </c>
      <c r="Q5226">
        <v>0</v>
      </c>
      <c r="R5226">
        <v>1</v>
      </c>
      <c r="S5226">
        <v>3</v>
      </c>
    </row>
    <row r="5227" spans="1:19" hidden="1" x14ac:dyDescent="0.35">
      <c r="A5227">
        <v>57023694300</v>
      </c>
      <c r="B5227" t="s">
        <v>5218</v>
      </c>
      <c r="C5227" t="str">
        <f>_xlfn.XLOOKUP(A5227,[1]Affiliations!$J$2:$J$5328,[1]Affiliations!$K$2:$K$5328,0)</f>
        <v>Universidade Federal de Pernambuco</v>
      </c>
      <c r="D5227">
        <v>2</v>
      </c>
      <c r="E5227">
        <v>10</v>
      </c>
      <c r="F5227">
        <v>5</v>
      </c>
      <c r="G5227">
        <v>1</v>
      </c>
      <c r="H5227">
        <v>0.41</v>
      </c>
      <c r="I5227">
        <v>0</v>
      </c>
      <c r="J5227">
        <v>0</v>
      </c>
      <c r="K5227">
        <v>1</v>
      </c>
      <c r="L5227">
        <v>1</v>
      </c>
      <c r="M5227">
        <v>1</v>
      </c>
      <c r="N5227">
        <v>2</v>
      </c>
      <c r="P5227">
        <v>0</v>
      </c>
      <c r="Q5227">
        <v>0</v>
      </c>
      <c r="R5227">
        <v>0</v>
      </c>
      <c r="S5227">
        <v>0</v>
      </c>
    </row>
    <row r="5228" spans="1:19" x14ac:dyDescent="0.35">
      <c r="A5228">
        <v>16638563800</v>
      </c>
      <c r="B5228" t="s">
        <v>3490</v>
      </c>
      <c r="C5228" t="str">
        <f>_xlfn.XLOOKUP(A5228,[1]Affiliations!$J$2:$J$5328,[1]Affiliations!$K$2:$K$5328,0)</f>
        <v>Universidade Federal do Ceará (+2 more)</v>
      </c>
      <c r="D5228">
        <v>22</v>
      </c>
      <c r="E5228">
        <v>202</v>
      </c>
      <c r="F5228">
        <v>9.1818179999999998</v>
      </c>
      <c r="G5228">
        <v>9</v>
      </c>
      <c r="H5228">
        <v>0.44</v>
      </c>
      <c r="I5228">
        <v>0</v>
      </c>
      <c r="J5228">
        <v>0</v>
      </c>
      <c r="K5228">
        <v>3</v>
      </c>
      <c r="L5228">
        <v>8</v>
      </c>
      <c r="M5228">
        <v>10</v>
      </c>
      <c r="N5228">
        <v>15</v>
      </c>
      <c r="P5228">
        <v>0</v>
      </c>
      <c r="Q5228">
        <v>0</v>
      </c>
      <c r="R5228">
        <v>1</v>
      </c>
      <c r="S5228">
        <v>4</v>
      </c>
    </row>
    <row r="5229" spans="1:19" hidden="1" x14ac:dyDescent="0.35">
      <c r="A5229">
        <v>57189212924</v>
      </c>
      <c r="B5229" t="s">
        <v>5220</v>
      </c>
      <c r="C5229" t="str">
        <f>_xlfn.XLOOKUP(A5229,[1]Affiliations!$J$2:$J$5328,[1]Affiliations!$K$2:$K$5328,0)</f>
        <v>Universidade Federal do Rio Grande do Norte (+1 more)</v>
      </c>
      <c r="D5229">
        <v>17</v>
      </c>
      <c r="E5229">
        <v>178</v>
      </c>
      <c r="F5229">
        <v>10.470589</v>
      </c>
      <c r="G5229">
        <v>7</v>
      </c>
      <c r="H5229">
        <v>0.46</v>
      </c>
      <c r="I5229">
        <v>0</v>
      </c>
      <c r="J5229">
        <v>0</v>
      </c>
      <c r="K5229">
        <v>3</v>
      </c>
      <c r="L5229">
        <v>10</v>
      </c>
      <c r="M5229">
        <v>15</v>
      </c>
      <c r="N5229">
        <v>16</v>
      </c>
      <c r="P5229">
        <v>0</v>
      </c>
      <c r="Q5229">
        <v>0</v>
      </c>
      <c r="R5229">
        <v>0</v>
      </c>
      <c r="S5229">
        <v>2</v>
      </c>
    </row>
    <row r="5230" spans="1:19" hidden="1" x14ac:dyDescent="0.35">
      <c r="A5230">
        <v>15849485900</v>
      </c>
      <c r="B5230" t="s">
        <v>5221</v>
      </c>
      <c r="C5230" t="str">
        <f>_xlfn.XLOOKUP(A5230,[1]Affiliations!$J$2:$J$5328,[1]Affiliations!$K$2:$K$5328,0)</f>
        <v>Universidade Estadual Paulista “Júlio de Mesquita Filho”</v>
      </c>
      <c r="D5230">
        <v>12</v>
      </c>
      <c r="E5230">
        <v>86</v>
      </c>
      <c r="F5230">
        <v>7.1666664999999998</v>
      </c>
      <c r="G5230">
        <v>4</v>
      </c>
      <c r="H5230">
        <v>0.22</v>
      </c>
      <c r="I5230">
        <v>0</v>
      </c>
      <c r="J5230">
        <v>0</v>
      </c>
      <c r="K5230">
        <v>0</v>
      </c>
      <c r="L5230">
        <v>2</v>
      </c>
      <c r="M5230">
        <v>6</v>
      </c>
      <c r="N5230">
        <v>7</v>
      </c>
      <c r="P5230">
        <v>0</v>
      </c>
      <c r="Q5230">
        <v>0</v>
      </c>
      <c r="R5230">
        <v>0</v>
      </c>
      <c r="S5230">
        <v>2</v>
      </c>
    </row>
    <row r="5231" spans="1:19" hidden="1" x14ac:dyDescent="0.35">
      <c r="A5231">
        <v>57201741829</v>
      </c>
      <c r="B5231" t="s">
        <v>5222</v>
      </c>
      <c r="C5231" t="str">
        <f>_xlfn.XLOOKUP(A5231,[1]Affiliations!$J$2:$J$5328,[1]Affiliations!$K$2:$K$5328,0)</f>
        <v>Universidade Federal do Pampa</v>
      </c>
      <c r="D5231">
        <v>1</v>
      </c>
      <c r="E5231">
        <v>25</v>
      </c>
      <c r="F5231">
        <v>25</v>
      </c>
      <c r="G5231">
        <v>1</v>
      </c>
      <c r="H5231">
        <v>0.96</v>
      </c>
      <c r="I5231">
        <v>0</v>
      </c>
      <c r="J5231">
        <v>0</v>
      </c>
      <c r="K5231">
        <v>0</v>
      </c>
      <c r="L5231">
        <v>0</v>
      </c>
      <c r="M5231">
        <v>1</v>
      </c>
      <c r="N5231">
        <v>1</v>
      </c>
      <c r="P5231">
        <v>0</v>
      </c>
      <c r="Q5231">
        <v>0</v>
      </c>
      <c r="R5231">
        <v>0</v>
      </c>
      <c r="S5231">
        <v>1</v>
      </c>
    </row>
    <row r="5232" spans="1:19" x14ac:dyDescent="0.35">
      <c r="A5232">
        <v>16023164000</v>
      </c>
      <c r="B5232" t="s">
        <v>3629</v>
      </c>
      <c r="C5232" t="str">
        <f>_xlfn.XLOOKUP(A5232,[1]Affiliations!$J$2:$J$5328,[1]Affiliations!$K$2:$K$5328,0)</f>
        <v>Pontifical Catholic University of Rio de Janeiro</v>
      </c>
      <c r="D5232">
        <v>7</v>
      </c>
      <c r="E5232">
        <v>176</v>
      </c>
      <c r="F5232">
        <v>25.142856999999999</v>
      </c>
      <c r="G5232">
        <v>9</v>
      </c>
      <c r="H5232">
        <v>0.44</v>
      </c>
      <c r="I5232">
        <v>0</v>
      </c>
      <c r="J5232">
        <v>1</v>
      </c>
      <c r="K5232">
        <v>2</v>
      </c>
      <c r="L5232">
        <v>3</v>
      </c>
      <c r="M5232">
        <v>6</v>
      </c>
      <c r="N5232">
        <v>6</v>
      </c>
      <c r="P5232">
        <v>0</v>
      </c>
      <c r="Q5232">
        <v>1</v>
      </c>
      <c r="R5232">
        <v>1</v>
      </c>
      <c r="S5232">
        <v>1</v>
      </c>
    </row>
    <row r="5233" spans="1:19" hidden="1" x14ac:dyDescent="0.35">
      <c r="A5233">
        <v>57195722932</v>
      </c>
      <c r="B5233" t="s">
        <v>5224</v>
      </c>
      <c r="C5233" t="str">
        <f>_xlfn.XLOOKUP(A5233,[1]Affiliations!$J$2:$J$5328,[1]Affiliations!$K$2:$K$5328,0)</f>
        <v>Universidade Estadual Paulista “Júlio de Mesquita Filho”</v>
      </c>
      <c r="D5233">
        <v>1</v>
      </c>
      <c r="E5233">
        <v>2</v>
      </c>
      <c r="F5233">
        <v>2</v>
      </c>
      <c r="G5233">
        <v>1</v>
      </c>
      <c r="H5233">
        <v>0.2</v>
      </c>
      <c r="I5233">
        <v>0</v>
      </c>
      <c r="J5233">
        <v>0</v>
      </c>
      <c r="K5233">
        <v>0</v>
      </c>
      <c r="L5233">
        <v>0</v>
      </c>
      <c r="M5233">
        <v>1</v>
      </c>
      <c r="N5233">
        <v>1</v>
      </c>
      <c r="P5233">
        <v>0</v>
      </c>
      <c r="Q5233">
        <v>0</v>
      </c>
      <c r="R5233">
        <v>0</v>
      </c>
      <c r="S5233">
        <v>0</v>
      </c>
    </row>
    <row r="5234" spans="1:19" x14ac:dyDescent="0.35">
      <c r="A5234">
        <v>7801357126</v>
      </c>
      <c r="B5234" t="s">
        <v>470</v>
      </c>
      <c r="C5234" t="str">
        <f>_xlfn.XLOOKUP(A5234,[1]Affiliations!$J$2:$J$5328,[1]Affiliations!$K$2:$K$5328,0)</f>
        <v>Vizlab - X-Reality and GeoInformatics Lab (+1 more)</v>
      </c>
      <c r="D5234">
        <v>30</v>
      </c>
      <c r="E5234">
        <v>191</v>
      </c>
      <c r="F5234">
        <v>6.3666669999999996</v>
      </c>
      <c r="G5234">
        <v>12</v>
      </c>
      <c r="H5234">
        <v>0.43</v>
      </c>
      <c r="I5234">
        <v>0</v>
      </c>
      <c r="J5234">
        <v>1</v>
      </c>
      <c r="K5234">
        <v>2</v>
      </c>
      <c r="L5234">
        <v>3</v>
      </c>
      <c r="M5234">
        <v>16</v>
      </c>
      <c r="N5234">
        <v>27</v>
      </c>
      <c r="P5234">
        <v>0</v>
      </c>
      <c r="Q5234">
        <v>0</v>
      </c>
      <c r="R5234">
        <v>1</v>
      </c>
      <c r="S5234">
        <v>1</v>
      </c>
    </row>
    <row r="5235" spans="1:19" x14ac:dyDescent="0.35">
      <c r="A5235">
        <v>6508052473</v>
      </c>
      <c r="B5235" t="s">
        <v>1285</v>
      </c>
      <c r="C5235" t="str">
        <f>_xlfn.XLOOKUP(A5235,[1]Affiliations!$J$2:$J$5328,[1]Affiliations!$K$2:$K$5328,0)</f>
        <v>Universidade Federal de Uberlândia</v>
      </c>
      <c r="D5235">
        <v>35</v>
      </c>
      <c r="E5235">
        <v>295</v>
      </c>
      <c r="F5235">
        <v>8.4285720000000008</v>
      </c>
      <c r="G5235">
        <v>16</v>
      </c>
      <c r="H5235">
        <v>0.43</v>
      </c>
      <c r="I5235">
        <v>0</v>
      </c>
      <c r="J5235">
        <v>2</v>
      </c>
      <c r="K5235">
        <v>4</v>
      </c>
      <c r="L5235">
        <v>13</v>
      </c>
      <c r="M5235">
        <v>26</v>
      </c>
      <c r="N5235">
        <v>28</v>
      </c>
      <c r="P5235">
        <v>0</v>
      </c>
      <c r="Q5235">
        <v>0</v>
      </c>
      <c r="R5235">
        <v>1</v>
      </c>
      <c r="S5235">
        <v>3</v>
      </c>
    </row>
    <row r="5236" spans="1:19" hidden="1" x14ac:dyDescent="0.35">
      <c r="A5236">
        <v>58317809900</v>
      </c>
      <c r="B5236" t="s">
        <v>5227</v>
      </c>
      <c r="C5236" t="str">
        <f>_xlfn.XLOOKUP(A5236,[1]Affiliations!$J$2:$J$5328,[1]Affiliations!$K$2:$K$5328,0)</f>
        <v>Shell Brasil Petróleo Ltda</v>
      </c>
      <c r="D5236">
        <v>1</v>
      </c>
      <c r="E5236">
        <v>5</v>
      </c>
      <c r="F5236">
        <v>5</v>
      </c>
      <c r="G5236">
        <v>1</v>
      </c>
      <c r="H5236">
        <v>0.4</v>
      </c>
      <c r="I5236">
        <v>0</v>
      </c>
      <c r="J5236">
        <v>1</v>
      </c>
      <c r="K5236">
        <v>1</v>
      </c>
      <c r="L5236">
        <v>1</v>
      </c>
      <c r="M5236">
        <v>1</v>
      </c>
      <c r="N5236">
        <v>1</v>
      </c>
      <c r="P5236">
        <v>0</v>
      </c>
      <c r="Q5236">
        <v>0</v>
      </c>
      <c r="R5236">
        <v>0</v>
      </c>
      <c r="S5236">
        <v>0</v>
      </c>
    </row>
    <row r="5237" spans="1:19" x14ac:dyDescent="0.35">
      <c r="A5237">
        <v>57194618820</v>
      </c>
      <c r="B5237" t="s">
        <v>3296</v>
      </c>
      <c r="C5237" t="str">
        <f>_xlfn.XLOOKUP(A5237,[1]Affiliations!$J$2:$J$5328,[1]Affiliations!$K$2:$K$5328,0)</f>
        <v>Federal University of Rio de Janeiro (+1 more)</v>
      </c>
      <c r="D5237">
        <v>35</v>
      </c>
      <c r="E5237">
        <v>250</v>
      </c>
      <c r="F5237">
        <v>7.1428570000000002</v>
      </c>
      <c r="G5237">
        <v>17</v>
      </c>
      <c r="H5237">
        <v>0.43</v>
      </c>
      <c r="I5237">
        <v>0</v>
      </c>
      <c r="J5237">
        <v>4</v>
      </c>
      <c r="K5237">
        <v>7</v>
      </c>
      <c r="L5237">
        <v>15</v>
      </c>
      <c r="M5237">
        <v>25</v>
      </c>
      <c r="N5237">
        <v>34</v>
      </c>
      <c r="P5237">
        <v>0</v>
      </c>
      <c r="Q5237">
        <v>0</v>
      </c>
      <c r="R5237">
        <v>1</v>
      </c>
      <c r="S5237">
        <v>6</v>
      </c>
    </row>
    <row r="5238" spans="1:19" hidden="1" x14ac:dyDescent="0.35">
      <c r="A5238">
        <v>57210564976</v>
      </c>
      <c r="B5238" t="s">
        <v>5229</v>
      </c>
      <c r="C5238" t="str">
        <f>_xlfn.XLOOKUP(A5238,[1]Affiliations!$J$2:$J$5328,[1]Affiliations!$K$2:$K$5328,0)</f>
        <v>Federal University of Rio de Janeiro</v>
      </c>
      <c r="D5238">
        <v>1</v>
      </c>
      <c r="E5238">
        <v>4</v>
      </c>
      <c r="F5238">
        <v>4</v>
      </c>
      <c r="G5238">
        <v>1</v>
      </c>
      <c r="H5238">
        <v>0.32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P5238">
        <v>0</v>
      </c>
      <c r="Q5238">
        <v>0</v>
      </c>
      <c r="R5238">
        <v>0</v>
      </c>
      <c r="S5238">
        <v>0</v>
      </c>
    </row>
    <row r="5239" spans="1:19" hidden="1" x14ac:dyDescent="0.35">
      <c r="A5239">
        <v>57194452153</v>
      </c>
      <c r="B5239" t="s">
        <v>5230</v>
      </c>
      <c r="C5239" t="str">
        <f>_xlfn.XLOOKUP(A5239,[1]Affiliations!$J$2:$J$5328,[1]Affiliations!$K$2:$K$5328,0)</f>
        <v>Fundação Gorceix (+1 more)</v>
      </c>
      <c r="D5239">
        <v>1</v>
      </c>
      <c r="E5239">
        <v>24</v>
      </c>
      <c r="F5239">
        <v>24</v>
      </c>
      <c r="G5239">
        <v>2</v>
      </c>
      <c r="H5239">
        <v>0.49</v>
      </c>
      <c r="I5239">
        <v>0</v>
      </c>
      <c r="J5239">
        <v>0</v>
      </c>
      <c r="K5239">
        <v>0</v>
      </c>
      <c r="L5239">
        <v>1</v>
      </c>
      <c r="M5239">
        <v>1</v>
      </c>
      <c r="N5239">
        <v>1</v>
      </c>
      <c r="P5239">
        <v>0</v>
      </c>
      <c r="Q5239">
        <v>0</v>
      </c>
      <c r="R5239">
        <v>0</v>
      </c>
      <c r="S5239">
        <v>1</v>
      </c>
    </row>
    <row r="5240" spans="1:19" x14ac:dyDescent="0.35">
      <c r="A5240">
        <v>54403687700</v>
      </c>
      <c r="B5240" t="s">
        <v>3558</v>
      </c>
      <c r="C5240" t="str">
        <f>_xlfn.XLOOKUP(A5240,[1]Affiliations!$J$2:$J$5328,[1]Affiliations!$K$2:$K$5328,0)</f>
        <v>Universidade Federal do Rio Grande do Norte</v>
      </c>
      <c r="D5240">
        <v>33</v>
      </c>
      <c r="E5240">
        <v>428</v>
      </c>
      <c r="F5240">
        <v>12.969697</v>
      </c>
      <c r="G5240">
        <v>14</v>
      </c>
      <c r="H5240">
        <v>0.43</v>
      </c>
      <c r="I5240">
        <v>0</v>
      </c>
      <c r="J5240">
        <v>3</v>
      </c>
      <c r="K5240">
        <v>7</v>
      </c>
      <c r="L5240">
        <v>15</v>
      </c>
      <c r="M5240">
        <v>24</v>
      </c>
      <c r="N5240">
        <v>27</v>
      </c>
      <c r="P5240">
        <v>0</v>
      </c>
      <c r="Q5240">
        <v>0</v>
      </c>
      <c r="R5240">
        <v>1</v>
      </c>
      <c r="S5240">
        <v>8</v>
      </c>
    </row>
    <row r="5241" spans="1:19" hidden="1" x14ac:dyDescent="0.35">
      <c r="A5241">
        <v>59252104300</v>
      </c>
      <c r="B5241" t="s">
        <v>5232</v>
      </c>
      <c r="C5241" t="str">
        <f>_xlfn.XLOOKUP(A5241,[1]Affiliations!$J$2:$J$5328,[1]Affiliations!$K$2:$K$5328,0)</f>
        <v>SAIPEM</v>
      </c>
      <c r="D5241">
        <v>2</v>
      </c>
      <c r="E5241">
        <v>1</v>
      </c>
      <c r="F5241">
        <v>0.5</v>
      </c>
      <c r="G5241">
        <v>1</v>
      </c>
      <c r="H5241">
        <v>0.69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P5241">
        <v>0</v>
      </c>
      <c r="Q5241">
        <v>0</v>
      </c>
      <c r="R5241">
        <v>0</v>
      </c>
      <c r="S5241">
        <v>0</v>
      </c>
    </row>
    <row r="5242" spans="1:19" hidden="1" x14ac:dyDescent="0.35">
      <c r="A5242">
        <v>60215112000</v>
      </c>
      <c r="B5242" t="s">
        <v>5233</v>
      </c>
      <c r="C5242" t="str">
        <f>_xlfn.XLOOKUP(A5242,[1]Affiliations!$J$2:$J$5328,[1]Affiliations!$K$2:$K$5328,0)</f>
        <v>Universidade Federal de Minas Gerais</v>
      </c>
      <c r="D5242">
        <v>0</v>
      </c>
      <c r="G5242">
        <v>0</v>
      </c>
    </row>
    <row r="5243" spans="1:19" hidden="1" x14ac:dyDescent="0.35">
      <c r="A5243">
        <v>7004422261</v>
      </c>
      <c r="B5243" t="s">
        <v>5234</v>
      </c>
      <c r="C5243" t="str">
        <f>_xlfn.XLOOKUP(A5243,[1]Affiliations!$J$2:$J$5328,[1]Affiliations!$K$2:$K$5328,0)</f>
        <v>Pontifical Catholic University of Rio de Janeiro</v>
      </c>
      <c r="D5243">
        <v>23</v>
      </c>
      <c r="E5243">
        <v>222</v>
      </c>
      <c r="F5243">
        <v>9.6521740000000005</v>
      </c>
      <c r="G5243">
        <v>27</v>
      </c>
      <c r="H5243">
        <v>0.47</v>
      </c>
      <c r="I5243">
        <v>0</v>
      </c>
      <c r="J5243">
        <v>2</v>
      </c>
      <c r="K5243">
        <v>6</v>
      </c>
      <c r="L5243">
        <v>11</v>
      </c>
      <c r="M5243">
        <v>20</v>
      </c>
      <c r="N5243">
        <v>20</v>
      </c>
      <c r="P5243">
        <v>0</v>
      </c>
      <c r="Q5243">
        <v>0</v>
      </c>
      <c r="R5243">
        <v>0</v>
      </c>
      <c r="S5243">
        <v>3</v>
      </c>
    </row>
    <row r="5244" spans="1:19" x14ac:dyDescent="0.35">
      <c r="A5244">
        <v>6603070125</v>
      </c>
      <c r="B5244" t="s">
        <v>3561</v>
      </c>
      <c r="C5244" t="str">
        <f>_xlfn.XLOOKUP(A5244,[1]Affiliations!$J$2:$J$5328,[1]Affiliations!$K$2:$K$5328,0)</f>
        <v>Petróleo Brasileiro S.A. (+1 more)</v>
      </c>
      <c r="D5244">
        <v>66</v>
      </c>
      <c r="E5244">
        <v>717</v>
      </c>
      <c r="F5244">
        <v>10.863636</v>
      </c>
      <c r="G5244">
        <v>29</v>
      </c>
      <c r="H5244">
        <v>0.43</v>
      </c>
      <c r="I5244">
        <v>0</v>
      </c>
      <c r="J5244">
        <v>0</v>
      </c>
      <c r="K5244">
        <v>4</v>
      </c>
      <c r="L5244">
        <v>30</v>
      </c>
      <c r="M5244">
        <v>48</v>
      </c>
      <c r="N5244">
        <v>62</v>
      </c>
      <c r="P5244">
        <v>0</v>
      </c>
      <c r="Q5244">
        <v>0</v>
      </c>
      <c r="R5244">
        <v>1</v>
      </c>
      <c r="S5244">
        <v>10</v>
      </c>
    </row>
    <row r="5245" spans="1:19" x14ac:dyDescent="0.35">
      <c r="A5245">
        <v>56439862700</v>
      </c>
      <c r="B5245" t="s">
        <v>289</v>
      </c>
      <c r="C5245" t="str">
        <f>_xlfn.XLOOKUP(A5245,[1]Affiliations!$J$2:$J$5328,[1]Affiliations!$K$2:$K$5328,0)</f>
        <v>Universidade Federal Fluminense</v>
      </c>
      <c r="D5245">
        <v>13</v>
      </c>
      <c r="E5245">
        <v>121</v>
      </c>
      <c r="F5245">
        <v>9.3076930000000004</v>
      </c>
      <c r="G5245">
        <v>6</v>
      </c>
      <c r="H5245">
        <v>0.42</v>
      </c>
      <c r="I5245">
        <v>0</v>
      </c>
      <c r="J5245">
        <v>2</v>
      </c>
      <c r="K5245">
        <v>2</v>
      </c>
      <c r="L5245">
        <v>6</v>
      </c>
      <c r="M5245">
        <v>6</v>
      </c>
      <c r="N5245">
        <v>7</v>
      </c>
      <c r="P5245">
        <v>0</v>
      </c>
      <c r="Q5245">
        <v>1</v>
      </c>
      <c r="R5245">
        <v>1</v>
      </c>
      <c r="S5245">
        <v>1</v>
      </c>
    </row>
    <row r="5246" spans="1:19" x14ac:dyDescent="0.35">
      <c r="A5246">
        <v>6602478604</v>
      </c>
      <c r="B5246" t="s">
        <v>2584</v>
      </c>
      <c r="C5246" t="str">
        <f>_xlfn.XLOOKUP(A5246,[1]Affiliations!$J$2:$J$5328,[1]Affiliations!$K$2:$K$5328,0)</f>
        <v>Postgraduate Program in Metrology (+1 more)</v>
      </c>
      <c r="D5246">
        <v>60</v>
      </c>
      <c r="E5246">
        <v>341</v>
      </c>
      <c r="F5246">
        <v>5.6833334000000004</v>
      </c>
      <c r="G5246">
        <v>15</v>
      </c>
      <c r="H5246">
        <v>0.42</v>
      </c>
      <c r="I5246">
        <v>0</v>
      </c>
      <c r="J5246">
        <v>3</v>
      </c>
      <c r="K5246">
        <v>10</v>
      </c>
      <c r="L5246">
        <v>20</v>
      </c>
      <c r="M5246">
        <v>27</v>
      </c>
      <c r="N5246">
        <v>33</v>
      </c>
      <c r="P5246">
        <v>0</v>
      </c>
      <c r="Q5246">
        <v>0</v>
      </c>
      <c r="R5246">
        <v>1</v>
      </c>
      <c r="S5246">
        <v>5</v>
      </c>
    </row>
    <row r="5247" spans="1:19" hidden="1" x14ac:dyDescent="0.35">
      <c r="A5247">
        <v>58126137800</v>
      </c>
      <c r="B5247" t="s">
        <v>5238</v>
      </c>
      <c r="C5247" t="str">
        <f>_xlfn.XLOOKUP(A5247,[1]Affiliations!$J$2:$J$5328,[1]Affiliations!$K$2:$K$5328,0)</f>
        <v>SIMEROS</v>
      </c>
      <c r="D5247">
        <v>2</v>
      </c>
      <c r="E5247">
        <v>1</v>
      </c>
      <c r="F5247">
        <v>0.5</v>
      </c>
      <c r="G5247">
        <v>1</v>
      </c>
      <c r="H5247">
        <v>0.24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1</v>
      </c>
      <c r="P5247">
        <v>0</v>
      </c>
      <c r="Q5247">
        <v>0</v>
      </c>
      <c r="R5247">
        <v>0</v>
      </c>
      <c r="S5247">
        <v>0</v>
      </c>
    </row>
    <row r="5248" spans="1:19" hidden="1" x14ac:dyDescent="0.35">
      <c r="A5248">
        <v>57214939843</v>
      </c>
      <c r="B5248" t="s">
        <v>5239</v>
      </c>
      <c r="C5248" t="str">
        <f>_xlfn.XLOOKUP(A5248,[1]Affiliations!$J$2:$J$5328,[1]Affiliations!$K$2:$K$5328,0)</f>
        <v>Shell Brasil Ltda (+1 more)</v>
      </c>
      <c r="D5248">
        <v>3</v>
      </c>
      <c r="E5248">
        <v>6</v>
      </c>
      <c r="F5248">
        <v>2</v>
      </c>
      <c r="G5248">
        <v>2</v>
      </c>
      <c r="H5248">
        <v>0.34</v>
      </c>
      <c r="P5248">
        <v>0</v>
      </c>
      <c r="Q5248">
        <v>0</v>
      </c>
      <c r="R5248">
        <v>0</v>
      </c>
      <c r="S5248">
        <v>0</v>
      </c>
    </row>
    <row r="5249" spans="1:19" x14ac:dyDescent="0.35">
      <c r="A5249">
        <v>57193446125</v>
      </c>
      <c r="B5249" t="s">
        <v>2794</v>
      </c>
      <c r="C5249" t="str">
        <f>_xlfn.XLOOKUP(A5249,[1]Affiliations!$J$2:$J$5328,[1]Affiliations!$K$2:$K$5328,0)</f>
        <v>Laboratório Nacional Agropecuário (LANAGRO)</v>
      </c>
      <c r="D5249">
        <v>15</v>
      </c>
      <c r="E5249">
        <v>131</v>
      </c>
      <c r="F5249">
        <v>8.7333339999999993</v>
      </c>
      <c r="G5249">
        <v>7</v>
      </c>
      <c r="H5249">
        <v>0.42</v>
      </c>
      <c r="I5249">
        <v>0</v>
      </c>
      <c r="J5249">
        <v>0</v>
      </c>
      <c r="K5249">
        <v>8</v>
      </c>
      <c r="L5249">
        <v>11</v>
      </c>
      <c r="M5249">
        <v>14</v>
      </c>
      <c r="N5249">
        <v>15</v>
      </c>
      <c r="P5249">
        <v>0</v>
      </c>
      <c r="Q5249">
        <v>0</v>
      </c>
      <c r="R5249">
        <v>1</v>
      </c>
      <c r="S5249">
        <v>1</v>
      </c>
    </row>
    <row r="5250" spans="1:19" hidden="1" x14ac:dyDescent="0.35">
      <c r="A5250">
        <v>59161234000</v>
      </c>
      <c r="B5250" t="s">
        <v>5241</v>
      </c>
      <c r="C5250" t="str">
        <f>_xlfn.XLOOKUP(A5250,[1]Affiliations!$J$2:$J$5328,[1]Affiliations!$K$2:$K$5328,0)</f>
        <v>Federal University of Rio de Janeiro</v>
      </c>
      <c r="D5250">
        <v>1</v>
      </c>
      <c r="E5250">
        <v>1</v>
      </c>
      <c r="F5250">
        <v>1</v>
      </c>
      <c r="G5250">
        <v>1</v>
      </c>
      <c r="H5250">
        <v>0.13</v>
      </c>
      <c r="I5250">
        <v>0</v>
      </c>
      <c r="J5250">
        <v>0</v>
      </c>
      <c r="K5250">
        <v>1</v>
      </c>
      <c r="L5250">
        <v>1</v>
      </c>
      <c r="M5250">
        <v>1</v>
      </c>
      <c r="N5250">
        <v>1</v>
      </c>
      <c r="P5250">
        <v>0</v>
      </c>
      <c r="Q5250">
        <v>0</v>
      </c>
      <c r="R5250">
        <v>0</v>
      </c>
      <c r="S5250">
        <v>0</v>
      </c>
    </row>
    <row r="5251" spans="1:19" hidden="1" x14ac:dyDescent="0.35">
      <c r="A5251">
        <v>57205609758</v>
      </c>
      <c r="B5251" t="s">
        <v>5242</v>
      </c>
      <c r="C5251" t="str">
        <f>_xlfn.XLOOKUP(A5251,[1]Affiliations!$J$2:$J$5328,[1]Affiliations!$K$2:$K$5328,0)</f>
        <v>Federal University of Rio de Janeiro</v>
      </c>
      <c r="D5251">
        <v>4</v>
      </c>
      <c r="E5251">
        <v>90</v>
      </c>
      <c r="F5251">
        <v>22.5</v>
      </c>
      <c r="G5251">
        <v>12</v>
      </c>
      <c r="H5251">
        <v>0.8</v>
      </c>
      <c r="I5251">
        <v>0</v>
      </c>
      <c r="J5251">
        <v>0</v>
      </c>
      <c r="K5251">
        <v>0</v>
      </c>
      <c r="L5251">
        <v>3</v>
      </c>
      <c r="M5251">
        <v>4</v>
      </c>
      <c r="N5251">
        <v>4</v>
      </c>
      <c r="P5251">
        <v>0</v>
      </c>
      <c r="Q5251">
        <v>0</v>
      </c>
      <c r="R5251">
        <v>0</v>
      </c>
      <c r="S5251">
        <v>1</v>
      </c>
    </row>
    <row r="5252" spans="1:19" x14ac:dyDescent="0.35">
      <c r="A5252">
        <v>56033978700</v>
      </c>
      <c r="B5252" t="s">
        <v>2859</v>
      </c>
      <c r="C5252" t="str">
        <f>_xlfn.XLOOKUP(A5252,[1]Affiliations!$J$2:$J$5328,[1]Affiliations!$K$2:$K$5328,0)</f>
        <v>Universidade Federal Fluminense</v>
      </c>
      <c r="D5252">
        <v>18</v>
      </c>
      <c r="E5252">
        <v>174</v>
      </c>
      <c r="F5252">
        <v>9.6666670000000003</v>
      </c>
      <c r="G5252">
        <v>12</v>
      </c>
      <c r="H5252">
        <v>0.42</v>
      </c>
      <c r="I5252">
        <v>0</v>
      </c>
      <c r="J5252">
        <v>1</v>
      </c>
      <c r="K5252">
        <v>1</v>
      </c>
      <c r="L5252">
        <v>3</v>
      </c>
      <c r="M5252">
        <v>3</v>
      </c>
      <c r="N5252">
        <v>7</v>
      </c>
      <c r="P5252">
        <v>0</v>
      </c>
      <c r="Q5252">
        <v>1</v>
      </c>
      <c r="R5252">
        <v>1</v>
      </c>
      <c r="S5252">
        <v>3</v>
      </c>
    </row>
    <row r="5253" spans="1:19" x14ac:dyDescent="0.35">
      <c r="A5253">
        <v>18635482600</v>
      </c>
      <c r="B5253" t="s">
        <v>4179</v>
      </c>
      <c r="C5253" t="str">
        <f>_xlfn.XLOOKUP(A5253,[1]Affiliations!$J$2:$J$5328,[1]Affiliations!$K$2:$K$5328,0)</f>
        <v>Universidade Federal do Espírito Santo (+2 more)</v>
      </c>
      <c r="D5253">
        <v>18</v>
      </c>
      <c r="E5253">
        <v>166</v>
      </c>
      <c r="F5253">
        <v>9.2222220000000004</v>
      </c>
      <c r="G5253">
        <v>7</v>
      </c>
      <c r="H5253">
        <v>0.42</v>
      </c>
      <c r="I5253">
        <v>0</v>
      </c>
      <c r="J5253">
        <v>1</v>
      </c>
      <c r="K5253">
        <v>3</v>
      </c>
      <c r="L5253">
        <v>6</v>
      </c>
      <c r="M5253">
        <v>8</v>
      </c>
      <c r="N5253">
        <v>11</v>
      </c>
      <c r="P5253">
        <v>0</v>
      </c>
      <c r="Q5253">
        <v>0</v>
      </c>
      <c r="R5253">
        <v>1</v>
      </c>
      <c r="S5253">
        <v>3</v>
      </c>
    </row>
    <row r="5254" spans="1:19" x14ac:dyDescent="0.35">
      <c r="A5254">
        <v>6701381373</v>
      </c>
      <c r="B5254" t="s">
        <v>4974</v>
      </c>
      <c r="C5254" t="str">
        <f>_xlfn.XLOOKUP(A5254,[1]Affiliations!$J$2:$J$5328,[1]Affiliations!$K$2:$K$5328,0)</f>
        <v>Terra Carbonates (+3 more)</v>
      </c>
      <c r="D5254">
        <v>10</v>
      </c>
      <c r="E5254">
        <v>134</v>
      </c>
      <c r="F5254">
        <v>13.4</v>
      </c>
      <c r="G5254">
        <v>6</v>
      </c>
      <c r="H5254">
        <v>0.42</v>
      </c>
      <c r="I5254">
        <v>2</v>
      </c>
      <c r="J5254">
        <v>2</v>
      </c>
      <c r="K5254">
        <v>2</v>
      </c>
      <c r="L5254">
        <v>6</v>
      </c>
      <c r="M5254">
        <v>8</v>
      </c>
      <c r="N5254">
        <v>8</v>
      </c>
      <c r="P5254">
        <v>0</v>
      </c>
      <c r="Q5254">
        <v>0</v>
      </c>
      <c r="R5254">
        <v>2</v>
      </c>
      <c r="S5254">
        <v>2</v>
      </c>
    </row>
    <row r="5255" spans="1:19" hidden="1" x14ac:dyDescent="0.35">
      <c r="A5255">
        <v>57192066581</v>
      </c>
      <c r="B5255" t="s">
        <v>5246</v>
      </c>
      <c r="C5255" t="str">
        <f>_xlfn.XLOOKUP(A5255,[1]Affiliations!$J$2:$J$5328,[1]Affiliations!$K$2:$K$5328,0)</f>
        <v>Universidade Federal do Rio Grande do Sul</v>
      </c>
      <c r="D5255">
        <v>3</v>
      </c>
      <c r="E5255">
        <v>3</v>
      </c>
      <c r="F5255">
        <v>1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1</v>
      </c>
      <c r="P5255">
        <v>0</v>
      </c>
      <c r="Q5255">
        <v>0</v>
      </c>
      <c r="R5255">
        <v>0</v>
      </c>
      <c r="S5255">
        <v>0</v>
      </c>
    </row>
    <row r="5256" spans="1:19" hidden="1" x14ac:dyDescent="0.35">
      <c r="A5256">
        <v>58639067900</v>
      </c>
      <c r="B5256" t="s">
        <v>5247</v>
      </c>
      <c r="C5256" t="str">
        <f>_xlfn.XLOOKUP(A5256,[1]Affiliations!$J$2:$J$5328,[1]Affiliations!$K$2:$K$5328,0)</f>
        <v>Federal University of Rio de Janeiro</v>
      </c>
      <c r="D5256">
        <v>3</v>
      </c>
      <c r="E5256">
        <v>11</v>
      </c>
      <c r="F5256">
        <v>3.6666666999999999</v>
      </c>
      <c r="G5256">
        <v>2</v>
      </c>
      <c r="H5256">
        <v>1.26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1</v>
      </c>
      <c r="P5256">
        <v>0</v>
      </c>
      <c r="Q5256">
        <v>0</v>
      </c>
      <c r="R5256">
        <v>0</v>
      </c>
      <c r="S5256">
        <v>0</v>
      </c>
    </row>
    <row r="5257" spans="1:19" x14ac:dyDescent="0.35">
      <c r="A5257">
        <v>23990254300</v>
      </c>
      <c r="B5257" t="s">
        <v>1379</v>
      </c>
      <c r="C5257" t="str">
        <f>_xlfn.XLOOKUP(A5257,[1]Affiliations!$J$2:$J$5328,[1]Affiliations!$K$2:$K$5328,0)</f>
        <v>Universidade do Vale do Itajaí (+1 more)</v>
      </c>
      <c r="D5257">
        <v>16</v>
      </c>
      <c r="E5257">
        <v>195</v>
      </c>
      <c r="F5257">
        <v>12.1875</v>
      </c>
      <c r="G5257">
        <v>12</v>
      </c>
      <c r="H5257">
        <v>0.41</v>
      </c>
      <c r="I5257">
        <v>0</v>
      </c>
      <c r="J5257">
        <v>1</v>
      </c>
      <c r="K5257">
        <v>3</v>
      </c>
      <c r="L5257">
        <v>6</v>
      </c>
      <c r="M5257">
        <v>10</v>
      </c>
      <c r="N5257">
        <v>12</v>
      </c>
      <c r="P5257">
        <v>0</v>
      </c>
      <c r="Q5257">
        <v>1</v>
      </c>
      <c r="R5257">
        <v>1</v>
      </c>
      <c r="S5257">
        <v>3</v>
      </c>
    </row>
    <row r="5258" spans="1:19" hidden="1" x14ac:dyDescent="0.35">
      <c r="A5258">
        <v>57189375767</v>
      </c>
      <c r="B5258" t="s">
        <v>5249</v>
      </c>
      <c r="C5258" t="str">
        <f>_xlfn.XLOOKUP(A5258,[1]Affiliations!$J$2:$J$5328,[1]Affiliations!$K$2:$K$5328,0)</f>
        <v>Regional University of Blumenau - FURB</v>
      </c>
      <c r="D5258">
        <v>1</v>
      </c>
      <c r="E5258">
        <v>0</v>
      </c>
      <c r="F5258">
        <v>0</v>
      </c>
      <c r="G5258">
        <v>0</v>
      </c>
      <c r="H5258">
        <v>0</v>
      </c>
      <c r="P5258">
        <v>0</v>
      </c>
      <c r="Q5258">
        <v>0</v>
      </c>
      <c r="R5258">
        <v>0</v>
      </c>
      <c r="S5258">
        <v>0</v>
      </c>
    </row>
    <row r="5259" spans="1:19" hidden="1" x14ac:dyDescent="0.35">
      <c r="A5259">
        <v>57214808371</v>
      </c>
      <c r="B5259" t="s">
        <v>5250</v>
      </c>
      <c r="C5259" t="str">
        <f>_xlfn.XLOOKUP(A5259,[1]Affiliations!$J$2:$J$5328,[1]Affiliations!$K$2:$K$5328,0)</f>
        <v>Senai-SC (+3 more)</v>
      </c>
      <c r="D5259">
        <v>7</v>
      </c>
      <c r="E5259">
        <v>12</v>
      </c>
      <c r="F5259">
        <v>1.7142857</v>
      </c>
      <c r="G5259">
        <v>2</v>
      </c>
      <c r="H5259">
        <v>0.39</v>
      </c>
      <c r="I5259">
        <v>0</v>
      </c>
      <c r="J5259">
        <v>0</v>
      </c>
      <c r="K5259">
        <v>0</v>
      </c>
      <c r="L5259">
        <v>1</v>
      </c>
      <c r="M5259">
        <v>2</v>
      </c>
      <c r="N5259">
        <v>5</v>
      </c>
      <c r="P5259">
        <v>0</v>
      </c>
      <c r="Q5259">
        <v>0</v>
      </c>
      <c r="R5259">
        <v>0</v>
      </c>
      <c r="S5259">
        <v>0</v>
      </c>
    </row>
    <row r="5260" spans="1:19" hidden="1" x14ac:dyDescent="0.35">
      <c r="A5260">
        <v>57678818700</v>
      </c>
      <c r="B5260" t="s">
        <v>5251</v>
      </c>
      <c r="C5260" t="str">
        <f>_xlfn.XLOOKUP(A5260,[1]Affiliations!$J$2:$J$5328,[1]Affiliations!$K$2:$K$5328,0)</f>
        <v>Vizlab - X-Reality and GeoInformatics Lab</v>
      </c>
      <c r="D5260">
        <v>1</v>
      </c>
      <c r="E5260">
        <v>3</v>
      </c>
      <c r="F5260">
        <v>3</v>
      </c>
      <c r="G5260">
        <v>1</v>
      </c>
      <c r="H5260">
        <v>0.76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1</v>
      </c>
      <c r="P5260">
        <v>0</v>
      </c>
      <c r="Q5260">
        <v>0</v>
      </c>
      <c r="R5260">
        <v>0</v>
      </c>
      <c r="S5260">
        <v>0</v>
      </c>
    </row>
    <row r="5261" spans="1:19" hidden="1" x14ac:dyDescent="0.35">
      <c r="A5261">
        <v>57197870787</v>
      </c>
      <c r="B5261" t="s">
        <v>5252</v>
      </c>
      <c r="C5261" t="str">
        <f>_xlfn.XLOOKUP(A5261,[1]Affiliations!$J$2:$J$5328,[1]Affiliations!$K$2:$K$5328,0)</f>
        <v>Instituto Infinet</v>
      </c>
      <c r="D5261">
        <v>2</v>
      </c>
      <c r="E5261">
        <v>25</v>
      </c>
      <c r="F5261">
        <v>12.5</v>
      </c>
      <c r="G5261">
        <v>1</v>
      </c>
      <c r="H5261">
        <v>0.23</v>
      </c>
      <c r="I5261">
        <v>0</v>
      </c>
      <c r="J5261">
        <v>0</v>
      </c>
      <c r="K5261">
        <v>0</v>
      </c>
      <c r="L5261">
        <v>1</v>
      </c>
      <c r="M5261">
        <v>1</v>
      </c>
      <c r="N5261">
        <v>1</v>
      </c>
      <c r="P5261">
        <v>0</v>
      </c>
      <c r="Q5261">
        <v>0</v>
      </c>
      <c r="R5261">
        <v>0</v>
      </c>
      <c r="S5261">
        <v>1</v>
      </c>
    </row>
    <row r="5262" spans="1:19" x14ac:dyDescent="0.35">
      <c r="A5262">
        <v>57209211559</v>
      </c>
      <c r="B5262" t="s">
        <v>1446</v>
      </c>
      <c r="C5262" t="str">
        <f>_xlfn.XLOOKUP(A5262,[1]Affiliations!$J$2:$J$5328,[1]Affiliations!$K$2:$K$5328,0)</f>
        <v>Universidade Federal Fluminense</v>
      </c>
      <c r="D5262">
        <v>57</v>
      </c>
      <c r="E5262">
        <v>337</v>
      </c>
      <c r="F5262">
        <v>5.9122805999999999</v>
      </c>
      <c r="G5262">
        <v>27</v>
      </c>
      <c r="H5262">
        <v>0.41</v>
      </c>
      <c r="I5262">
        <v>0</v>
      </c>
      <c r="J5262">
        <v>2</v>
      </c>
      <c r="K5262">
        <v>3</v>
      </c>
      <c r="L5262">
        <v>11</v>
      </c>
      <c r="M5262">
        <v>16</v>
      </c>
      <c r="N5262">
        <v>37</v>
      </c>
      <c r="P5262">
        <v>0</v>
      </c>
      <c r="Q5262">
        <v>0</v>
      </c>
      <c r="R5262">
        <v>1</v>
      </c>
      <c r="S5262">
        <v>6</v>
      </c>
    </row>
    <row r="5263" spans="1:19" hidden="1" x14ac:dyDescent="0.35">
      <c r="A5263">
        <v>57370652400</v>
      </c>
      <c r="B5263" t="s">
        <v>5254</v>
      </c>
      <c r="C5263" t="str">
        <f>_xlfn.XLOOKUP(A5263,[1]Affiliations!$J$2:$J$5328,[1]Affiliations!$K$2:$K$5328,0)</f>
        <v>Vizlab - X-Reality and GeoInformatics Lab</v>
      </c>
      <c r="D5263">
        <v>1</v>
      </c>
      <c r="E5263">
        <v>3</v>
      </c>
      <c r="F5263">
        <v>3</v>
      </c>
      <c r="G5263">
        <v>1</v>
      </c>
      <c r="H5263">
        <v>0.76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</v>
      </c>
      <c r="P5263">
        <v>0</v>
      </c>
      <c r="Q5263">
        <v>0</v>
      </c>
      <c r="R5263">
        <v>0</v>
      </c>
      <c r="S5263">
        <v>0</v>
      </c>
    </row>
    <row r="5264" spans="1:19" x14ac:dyDescent="0.35">
      <c r="A5264">
        <v>57192373428</v>
      </c>
      <c r="B5264" t="s">
        <v>3536</v>
      </c>
      <c r="C5264" t="str">
        <f>_xlfn.XLOOKUP(A5264,[1]Affiliations!$J$2:$J$5328,[1]Affiliations!$K$2:$K$5328,0)</f>
        <v>Universidade Estadual de Goiás</v>
      </c>
      <c r="D5264">
        <v>12</v>
      </c>
      <c r="E5264">
        <v>136</v>
      </c>
      <c r="F5264">
        <v>11.333333</v>
      </c>
      <c r="G5264">
        <v>5</v>
      </c>
      <c r="H5264">
        <v>0.41</v>
      </c>
      <c r="I5264">
        <v>0</v>
      </c>
      <c r="J5264">
        <v>1</v>
      </c>
      <c r="K5264">
        <v>1</v>
      </c>
      <c r="L5264">
        <v>3</v>
      </c>
      <c r="M5264">
        <v>6</v>
      </c>
      <c r="N5264">
        <v>8</v>
      </c>
      <c r="P5264">
        <v>0</v>
      </c>
      <c r="Q5264">
        <v>1</v>
      </c>
      <c r="R5264">
        <v>1</v>
      </c>
      <c r="S5264">
        <v>1</v>
      </c>
    </row>
    <row r="5265" spans="1:19" hidden="1" x14ac:dyDescent="0.35">
      <c r="A5265">
        <v>56067349300</v>
      </c>
      <c r="B5265" t="s">
        <v>5256</v>
      </c>
      <c r="C5265" t="str">
        <f>_xlfn.XLOOKUP(A5265,[1]Affiliations!$J$2:$J$5328,[1]Affiliations!$K$2:$K$5328,0)</f>
        <v>Universidade Federal do Rio Grande do Sul</v>
      </c>
      <c r="D5265">
        <v>2</v>
      </c>
      <c r="E5265">
        <v>4</v>
      </c>
      <c r="F5265">
        <v>2</v>
      </c>
      <c r="G5265">
        <v>2</v>
      </c>
      <c r="H5265">
        <v>1.02</v>
      </c>
      <c r="P5265">
        <v>0</v>
      </c>
      <c r="Q5265">
        <v>0</v>
      </c>
      <c r="R5265">
        <v>0</v>
      </c>
      <c r="S5265">
        <v>0</v>
      </c>
    </row>
    <row r="5266" spans="1:19" hidden="1" x14ac:dyDescent="0.35">
      <c r="A5266">
        <v>6508237821</v>
      </c>
      <c r="B5266" t="s">
        <v>5257</v>
      </c>
      <c r="C5266" t="str">
        <f>_xlfn.XLOOKUP(A5266,[1]Affiliations!$J$2:$J$5328,[1]Affiliations!$K$2:$K$5328,0)</f>
        <v>University of State of Santa Catarina (UDESC) (+3 more)</v>
      </c>
      <c r="D5266">
        <v>20</v>
      </c>
      <c r="E5266">
        <v>133</v>
      </c>
      <c r="F5266">
        <v>6.65</v>
      </c>
      <c r="G5266">
        <v>9</v>
      </c>
      <c r="H5266">
        <v>0.34</v>
      </c>
      <c r="I5266">
        <v>0</v>
      </c>
      <c r="J5266">
        <v>0</v>
      </c>
      <c r="K5266">
        <v>5</v>
      </c>
      <c r="L5266">
        <v>6</v>
      </c>
      <c r="M5266">
        <v>7</v>
      </c>
      <c r="N5266">
        <v>16</v>
      </c>
      <c r="P5266">
        <v>0</v>
      </c>
      <c r="Q5266">
        <v>0</v>
      </c>
      <c r="R5266">
        <v>0</v>
      </c>
      <c r="S5266">
        <v>2</v>
      </c>
    </row>
    <row r="5267" spans="1:19" x14ac:dyDescent="0.35">
      <c r="A5267">
        <v>36814225800</v>
      </c>
      <c r="B5267" t="s">
        <v>3873</v>
      </c>
      <c r="C5267" t="str">
        <f>_xlfn.XLOOKUP(A5267,[1]Affiliations!$J$2:$J$5328,[1]Affiliations!$K$2:$K$5328,0)</f>
        <v>Universidade Federal de Santa Maria</v>
      </c>
      <c r="D5267">
        <v>32</v>
      </c>
      <c r="E5267">
        <v>253</v>
      </c>
      <c r="F5267">
        <v>7.90625</v>
      </c>
      <c r="G5267">
        <v>10</v>
      </c>
      <c r="H5267">
        <v>0.41</v>
      </c>
      <c r="I5267">
        <v>0</v>
      </c>
      <c r="J5267">
        <v>4</v>
      </c>
      <c r="K5267">
        <v>4</v>
      </c>
      <c r="L5267">
        <v>16</v>
      </c>
      <c r="M5267">
        <v>18</v>
      </c>
      <c r="N5267">
        <v>22</v>
      </c>
      <c r="P5267">
        <v>0</v>
      </c>
      <c r="Q5267">
        <v>1</v>
      </c>
      <c r="R5267">
        <v>1</v>
      </c>
      <c r="S5267">
        <v>8</v>
      </c>
    </row>
    <row r="5268" spans="1:19" x14ac:dyDescent="0.35">
      <c r="A5268">
        <v>56925594100</v>
      </c>
      <c r="B5268" t="s">
        <v>4587</v>
      </c>
      <c r="C5268" t="str">
        <f>_xlfn.XLOOKUP(A5268,[1]Affiliations!$J$2:$J$5328,[1]Affiliations!$K$2:$K$5328,0)</f>
        <v>Federal University of Rio de Janeiro</v>
      </c>
      <c r="D5268">
        <v>17</v>
      </c>
      <c r="E5268">
        <v>208</v>
      </c>
      <c r="F5268">
        <v>12.235294</v>
      </c>
      <c r="G5268">
        <v>8</v>
      </c>
      <c r="H5268">
        <v>0.41</v>
      </c>
      <c r="I5268">
        <v>2</v>
      </c>
      <c r="J5268">
        <v>2</v>
      </c>
      <c r="K5268">
        <v>3</v>
      </c>
      <c r="L5268">
        <v>12</v>
      </c>
      <c r="M5268">
        <v>15</v>
      </c>
      <c r="N5268">
        <v>16</v>
      </c>
      <c r="P5268">
        <v>0</v>
      </c>
      <c r="Q5268">
        <v>0</v>
      </c>
      <c r="R5268">
        <v>1</v>
      </c>
      <c r="S5268">
        <v>5</v>
      </c>
    </row>
    <row r="5269" spans="1:19" hidden="1" x14ac:dyDescent="0.35">
      <c r="A5269">
        <v>57221621130</v>
      </c>
      <c r="B5269" t="s">
        <v>5260</v>
      </c>
      <c r="C5269" t="str">
        <f>_xlfn.XLOOKUP(A5269,[1]Affiliations!$J$2:$J$5328,[1]Affiliations!$K$2:$K$5328,0)</f>
        <v>Universidade Federal do Rio Grande do Norte</v>
      </c>
      <c r="D5269">
        <v>4</v>
      </c>
      <c r="E5269">
        <v>42</v>
      </c>
      <c r="F5269">
        <v>10.5</v>
      </c>
      <c r="G5269">
        <v>4</v>
      </c>
      <c r="H5269">
        <v>0.67</v>
      </c>
      <c r="I5269">
        <v>0</v>
      </c>
      <c r="J5269">
        <v>0</v>
      </c>
      <c r="K5269">
        <v>1</v>
      </c>
      <c r="L5269">
        <v>4</v>
      </c>
      <c r="M5269">
        <v>4</v>
      </c>
      <c r="N5269">
        <v>4</v>
      </c>
      <c r="P5269">
        <v>0</v>
      </c>
      <c r="Q5269">
        <v>0</v>
      </c>
      <c r="R5269">
        <v>0</v>
      </c>
      <c r="S5269">
        <v>2</v>
      </c>
    </row>
    <row r="5270" spans="1:19" hidden="1" x14ac:dyDescent="0.35">
      <c r="A5270">
        <v>57193639147</v>
      </c>
      <c r="B5270" t="s">
        <v>5261</v>
      </c>
      <c r="C5270" t="str">
        <f>_xlfn.XLOOKUP(A5270,[1]Affiliations!$J$2:$J$5328,[1]Affiliations!$K$2:$K$5328,0)</f>
        <v>Federal University of Rio de Janeiro</v>
      </c>
      <c r="D5270">
        <v>2</v>
      </c>
      <c r="E5270">
        <v>7</v>
      </c>
      <c r="F5270">
        <v>3.5</v>
      </c>
      <c r="G5270">
        <v>1</v>
      </c>
      <c r="H5270">
        <v>0.21</v>
      </c>
      <c r="I5270">
        <v>0</v>
      </c>
      <c r="J5270">
        <v>1</v>
      </c>
      <c r="K5270">
        <v>1</v>
      </c>
      <c r="L5270">
        <v>1</v>
      </c>
      <c r="M5270">
        <v>2</v>
      </c>
      <c r="N5270">
        <v>2</v>
      </c>
      <c r="P5270">
        <v>0</v>
      </c>
      <c r="Q5270">
        <v>0</v>
      </c>
      <c r="R5270">
        <v>0</v>
      </c>
      <c r="S5270">
        <v>0</v>
      </c>
    </row>
    <row r="5271" spans="1:19" hidden="1" x14ac:dyDescent="0.35">
      <c r="A5271">
        <v>57218867595</v>
      </c>
      <c r="B5271" t="s">
        <v>5262</v>
      </c>
      <c r="C5271" t="str">
        <f>_xlfn.XLOOKUP(A5271,[1]Affiliations!$J$2:$J$5328,[1]Affiliations!$K$2:$K$5328,0)</f>
        <v>Pontifical Catholic University of Rio de Janeiro</v>
      </c>
      <c r="D5271">
        <v>1</v>
      </c>
      <c r="E5271">
        <v>1</v>
      </c>
      <c r="F5271">
        <v>1</v>
      </c>
      <c r="G5271">
        <v>1</v>
      </c>
      <c r="H5271">
        <v>0.42</v>
      </c>
      <c r="P5271">
        <v>0</v>
      </c>
      <c r="Q5271">
        <v>0</v>
      </c>
      <c r="R5271">
        <v>0</v>
      </c>
      <c r="S5271">
        <v>0</v>
      </c>
    </row>
    <row r="5272" spans="1:19" hidden="1" x14ac:dyDescent="0.35">
      <c r="A5272">
        <v>57205764634</v>
      </c>
      <c r="B5272" t="s">
        <v>5263</v>
      </c>
      <c r="C5272" t="str">
        <f>_xlfn.XLOOKUP(A5272,[1]Affiliations!$J$2:$J$5328,[1]Affiliations!$K$2:$K$5328,0)</f>
        <v>Vizlab - X-Reality and GeoInformatics Lab</v>
      </c>
      <c r="D5272">
        <v>1</v>
      </c>
      <c r="E5272">
        <v>0</v>
      </c>
      <c r="F5272">
        <v>0</v>
      </c>
      <c r="G5272">
        <v>0</v>
      </c>
      <c r="H5272">
        <v>0</v>
      </c>
      <c r="P5272">
        <v>0</v>
      </c>
      <c r="Q5272">
        <v>0</v>
      </c>
      <c r="R5272">
        <v>0</v>
      </c>
      <c r="S5272">
        <v>0</v>
      </c>
    </row>
    <row r="5273" spans="1:19" x14ac:dyDescent="0.35">
      <c r="A5273">
        <v>7402942694</v>
      </c>
      <c r="B5273" t="s">
        <v>1203</v>
      </c>
      <c r="C5273" t="str">
        <f>_xlfn.XLOOKUP(A5273,[1]Affiliations!$J$2:$J$5328,[1]Affiliations!$K$2:$K$5328,0)</f>
        <v>Petróleo Brasileiro S.A. (+1 more)</v>
      </c>
      <c r="D5273">
        <v>41</v>
      </c>
      <c r="E5273">
        <v>436</v>
      </c>
      <c r="F5273">
        <v>10.634147</v>
      </c>
      <c r="G5273">
        <v>17</v>
      </c>
      <c r="H5273">
        <v>0.4</v>
      </c>
      <c r="I5273">
        <v>0</v>
      </c>
      <c r="J5273">
        <v>2</v>
      </c>
      <c r="K5273">
        <v>4</v>
      </c>
      <c r="L5273">
        <v>10</v>
      </c>
      <c r="M5273">
        <v>25</v>
      </c>
      <c r="N5273">
        <v>36</v>
      </c>
      <c r="P5273">
        <v>0</v>
      </c>
      <c r="Q5273">
        <v>0</v>
      </c>
      <c r="R5273">
        <v>2</v>
      </c>
      <c r="S5273">
        <v>7</v>
      </c>
    </row>
    <row r="5274" spans="1:19" x14ac:dyDescent="0.35">
      <c r="A5274">
        <v>16242470400</v>
      </c>
      <c r="B5274" t="s">
        <v>3995</v>
      </c>
      <c r="C5274" t="str">
        <f>_xlfn.XLOOKUP(A5274,[1]Affiliations!$J$2:$J$5328,[1]Affiliations!$K$2:$K$5328,0)</f>
        <v>Universidade Federal do Espírito Santo (+1 more)</v>
      </c>
      <c r="D5274">
        <v>32</v>
      </c>
      <c r="E5274">
        <v>283</v>
      </c>
      <c r="F5274">
        <v>8.84375</v>
      </c>
      <c r="G5274">
        <v>18</v>
      </c>
      <c r="H5274">
        <v>0.4</v>
      </c>
      <c r="I5274">
        <v>0</v>
      </c>
      <c r="J5274">
        <v>5</v>
      </c>
      <c r="K5274">
        <v>9</v>
      </c>
      <c r="L5274">
        <v>13</v>
      </c>
      <c r="M5274">
        <v>19</v>
      </c>
      <c r="N5274">
        <v>31</v>
      </c>
      <c r="P5274">
        <v>0</v>
      </c>
      <c r="Q5274">
        <v>1</v>
      </c>
      <c r="R5274">
        <v>1</v>
      </c>
      <c r="S5274">
        <v>5</v>
      </c>
    </row>
    <row r="5275" spans="1:19" hidden="1" x14ac:dyDescent="0.35">
      <c r="A5275">
        <v>58792970700</v>
      </c>
      <c r="B5275" t="s">
        <v>5266</v>
      </c>
      <c r="C5275" t="str">
        <f>_xlfn.XLOOKUP(A5275,[1]Affiliations!$J$2:$J$5328,[1]Affiliations!$K$2:$K$5328,0)</f>
        <v>Federal University of Santa Catarina</v>
      </c>
      <c r="D5275">
        <v>1</v>
      </c>
      <c r="E5275">
        <v>0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1</v>
      </c>
      <c r="N5275">
        <v>1</v>
      </c>
      <c r="P5275">
        <v>0</v>
      </c>
      <c r="Q5275">
        <v>0</v>
      </c>
      <c r="R5275">
        <v>0</v>
      </c>
      <c r="S5275">
        <v>0</v>
      </c>
    </row>
    <row r="5276" spans="1:19" x14ac:dyDescent="0.35">
      <c r="A5276">
        <v>7103244759</v>
      </c>
      <c r="B5276" t="s">
        <v>356</v>
      </c>
      <c r="C5276" t="str">
        <f>_xlfn.XLOOKUP(A5276,[1]Affiliations!$J$2:$J$5328,[1]Affiliations!$K$2:$K$5328,0)</f>
        <v>Universidade Federal Fluminense (+1 more)</v>
      </c>
      <c r="D5276">
        <v>8</v>
      </c>
      <c r="E5276">
        <v>75</v>
      </c>
      <c r="F5276">
        <v>9.375</v>
      </c>
      <c r="G5276">
        <v>10</v>
      </c>
      <c r="H5276">
        <v>0.39</v>
      </c>
      <c r="I5276">
        <v>0</v>
      </c>
      <c r="J5276">
        <v>1</v>
      </c>
      <c r="K5276">
        <v>1</v>
      </c>
      <c r="L5276">
        <v>4</v>
      </c>
      <c r="M5276">
        <v>4</v>
      </c>
      <c r="N5276">
        <v>8</v>
      </c>
      <c r="P5276">
        <v>0</v>
      </c>
      <c r="Q5276">
        <v>0</v>
      </c>
      <c r="R5276">
        <v>1</v>
      </c>
      <c r="S5276">
        <v>1</v>
      </c>
    </row>
    <row r="5277" spans="1:19" hidden="1" x14ac:dyDescent="0.35">
      <c r="A5277">
        <v>56094678600</v>
      </c>
      <c r="B5277" t="s">
        <v>5268</v>
      </c>
      <c r="C5277" t="str">
        <f>_xlfn.XLOOKUP(A5277,[1]Affiliations!$J$2:$J$5328,[1]Affiliations!$K$2:$K$5328,0)</f>
        <v>Federal University of Rio de Janeiro</v>
      </c>
      <c r="D5277">
        <v>4</v>
      </c>
      <c r="E5277">
        <v>34</v>
      </c>
      <c r="F5277">
        <v>8.5</v>
      </c>
      <c r="G5277">
        <v>4</v>
      </c>
      <c r="H5277">
        <v>1.03</v>
      </c>
      <c r="I5277">
        <v>0</v>
      </c>
      <c r="J5277">
        <v>0</v>
      </c>
      <c r="K5277">
        <v>0</v>
      </c>
      <c r="L5277">
        <v>1</v>
      </c>
      <c r="M5277">
        <v>1</v>
      </c>
      <c r="N5277">
        <v>4</v>
      </c>
      <c r="P5277">
        <v>0</v>
      </c>
      <c r="Q5277">
        <v>0</v>
      </c>
      <c r="R5277">
        <v>0</v>
      </c>
      <c r="S5277">
        <v>1</v>
      </c>
    </row>
    <row r="5278" spans="1:19" hidden="1" x14ac:dyDescent="0.35">
      <c r="A5278">
        <v>57196120285</v>
      </c>
      <c r="B5278" t="s">
        <v>5269</v>
      </c>
      <c r="C5278" t="str">
        <f>_xlfn.XLOOKUP(A5278,[1]Affiliations!$J$2:$J$5328,[1]Affiliations!$K$2:$K$5328,0)</f>
        <v>Instituto de Pesquisas da Marinha</v>
      </c>
      <c r="D5278">
        <v>14</v>
      </c>
      <c r="E5278">
        <v>102</v>
      </c>
      <c r="F5278">
        <v>7.2857139999999996</v>
      </c>
      <c r="G5278">
        <v>5</v>
      </c>
      <c r="H5278">
        <v>1.1200000000000001</v>
      </c>
      <c r="I5278">
        <v>0</v>
      </c>
      <c r="J5278">
        <v>0</v>
      </c>
      <c r="K5278">
        <v>0</v>
      </c>
      <c r="L5278">
        <v>6</v>
      </c>
      <c r="M5278">
        <v>7</v>
      </c>
      <c r="N5278">
        <v>11</v>
      </c>
      <c r="P5278">
        <v>0</v>
      </c>
      <c r="Q5278">
        <v>0</v>
      </c>
      <c r="R5278">
        <v>1</v>
      </c>
      <c r="S5278">
        <v>2</v>
      </c>
    </row>
    <row r="5279" spans="1:19" hidden="1" x14ac:dyDescent="0.35">
      <c r="A5279">
        <v>60089647700</v>
      </c>
      <c r="B5279" t="s">
        <v>5270</v>
      </c>
      <c r="C5279" t="str">
        <f>_xlfn.XLOOKUP(A5279,[1]Affiliations!$J$2:$J$5328,[1]Affiliations!$K$2:$K$5328,0)</f>
        <v>Pontifical Catholic University of Rio de Janeiro</v>
      </c>
      <c r="D5279">
        <v>0</v>
      </c>
      <c r="G5279">
        <v>0</v>
      </c>
    </row>
    <row r="5280" spans="1:19" x14ac:dyDescent="0.35">
      <c r="A5280">
        <v>9942366600</v>
      </c>
      <c r="B5280" t="s">
        <v>868</v>
      </c>
      <c r="C5280" t="str">
        <f>_xlfn.XLOOKUP(A5280,[1]Affiliations!$J$2:$J$5328,[1]Affiliations!$K$2:$K$5328,0)</f>
        <v>Pontifical Catholic University of Rio de Janeiro</v>
      </c>
      <c r="D5280">
        <v>23</v>
      </c>
      <c r="E5280">
        <v>283</v>
      </c>
      <c r="F5280">
        <v>12.304347999999999</v>
      </c>
      <c r="G5280">
        <v>18</v>
      </c>
      <c r="H5280">
        <v>0.39</v>
      </c>
      <c r="I5280">
        <v>0</v>
      </c>
      <c r="J5280">
        <v>1</v>
      </c>
      <c r="K5280">
        <v>6</v>
      </c>
      <c r="L5280">
        <v>13</v>
      </c>
      <c r="M5280">
        <v>14</v>
      </c>
      <c r="N5280">
        <v>14</v>
      </c>
      <c r="P5280">
        <v>0</v>
      </c>
      <c r="Q5280">
        <v>0</v>
      </c>
      <c r="R5280">
        <v>1</v>
      </c>
      <c r="S5280">
        <v>4</v>
      </c>
    </row>
    <row r="5281" spans="1:19" x14ac:dyDescent="0.35">
      <c r="A5281">
        <v>6603221672</v>
      </c>
      <c r="B5281" t="s">
        <v>3647</v>
      </c>
      <c r="C5281" t="str">
        <f>_xlfn.XLOOKUP(A5281,[1]Affiliations!$J$2:$J$5328,[1]Affiliations!$K$2:$K$5328,0)</f>
        <v>University of Campinas</v>
      </c>
      <c r="D5281">
        <v>22</v>
      </c>
      <c r="E5281">
        <v>140</v>
      </c>
      <c r="F5281">
        <v>6.3636365000000001</v>
      </c>
      <c r="G5281">
        <v>13</v>
      </c>
      <c r="H5281">
        <v>0.39</v>
      </c>
      <c r="I5281">
        <v>0</v>
      </c>
      <c r="J5281">
        <v>1</v>
      </c>
      <c r="K5281">
        <v>3</v>
      </c>
      <c r="L5281">
        <v>9</v>
      </c>
      <c r="M5281">
        <v>17</v>
      </c>
      <c r="N5281">
        <v>19</v>
      </c>
      <c r="P5281">
        <v>0</v>
      </c>
      <c r="Q5281">
        <v>0</v>
      </c>
      <c r="R5281">
        <v>1</v>
      </c>
      <c r="S5281">
        <v>3</v>
      </c>
    </row>
    <row r="5282" spans="1:19" x14ac:dyDescent="0.35">
      <c r="A5282">
        <v>7003845959</v>
      </c>
      <c r="B5282" t="s">
        <v>5226</v>
      </c>
      <c r="C5282" t="str">
        <f>_xlfn.XLOOKUP(A5282,[1]Affiliations!$J$2:$J$5328,[1]Affiliations!$K$2:$K$5328,0)</f>
        <v>Federal University of Rio de Janeiro</v>
      </c>
      <c r="D5282">
        <v>27</v>
      </c>
      <c r="E5282">
        <v>458</v>
      </c>
      <c r="F5282">
        <v>16.962962999999998</v>
      </c>
      <c r="G5282">
        <v>24</v>
      </c>
      <c r="H5282">
        <v>0.39</v>
      </c>
      <c r="I5282">
        <v>0</v>
      </c>
      <c r="J5282">
        <v>1</v>
      </c>
      <c r="K5282">
        <v>3</v>
      </c>
      <c r="L5282">
        <v>10</v>
      </c>
      <c r="M5282">
        <v>19</v>
      </c>
      <c r="N5282">
        <v>24</v>
      </c>
      <c r="P5282">
        <v>0</v>
      </c>
      <c r="Q5282">
        <v>1</v>
      </c>
      <c r="R5282">
        <v>3</v>
      </c>
      <c r="S5282">
        <v>7</v>
      </c>
    </row>
    <row r="5283" spans="1:19" x14ac:dyDescent="0.35">
      <c r="A5283">
        <v>56548303600</v>
      </c>
      <c r="B5283" t="s">
        <v>804</v>
      </c>
      <c r="C5283" t="str">
        <f>_xlfn.XLOOKUP(A5283,[1]Affiliations!$J$2:$J$5328,[1]Affiliations!$K$2:$K$5328,0)</f>
        <v>Centro Federal de Educação Tecnológica Celso Suckow da Fonseca (CEFET-RJ)</v>
      </c>
      <c r="D5283">
        <v>15</v>
      </c>
      <c r="E5283">
        <v>139</v>
      </c>
      <c r="F5283">
        <v>9.2666660000000007</v>
      </c>
      <c r="G5283">
        <v>6</v>
      </c>
      <c r="H5283">
        <v>0.38</v>
      </c>
      <c r="I5283">
        <v>0</v>
      </c>
      <c r="J5283">
        <v>1</v>
      </c>
      <c r="K5283">
        <v>5</v>
      </c>
      <c r="L5283">
        <v>6</v>
      </c>
      <c r="M5283">
        <v>8</v>
      </c>
      <c r="N5283">
        <v>10</v>
      </c>
      <c r="P5283">
        <v>0</v>
      </c>
      <c r="Q5283">
        <v>1</v>
      </c>
      <c r="R5283">
        <v>1</v>
      </c>
      <c r="S5283">
        <v>2</v>
      </c>
    </row>
    <row r="5284" spans="1:19" hidden="1" x14ac:dyDescent="0.35">
      <c r="A5284">
        <v>16479323500</v>
      </c>
      <c r="B5284" t="s">
        <v>5275</v>
      </c>
      <c r="C5284" t="str">
        <f>_xlfn.XLOOKUP(A5284,[1]Affiliations!$J$2:$J$5328,[1]Affiliations!$K$2:$K$5328,0)</f>
        <v>Universidade de São Paulo</v>
      </c>
      <c r="D5284">
        <v>14</v>
      </c>
      <c r="E5284">
        <v>149</v>
      </c>
      <c r="F5284">
        <v>10.642858</v>
      </c>
      <c r="G5284">
        <v>8</v>
      </c>
      <c r="H5284">
        <v>0.73</v>
      </c>
      <c r="I5284">
        <v>0</v>
      </c>
      <c r="J5284">
        <v>2</v>
      </c>
      <c r="K5284">
        <v>4</v>
      </c>
      <c r="L5284">
        <v>4</v>
      </c>
      <c r="M5284">
        <v>10</v>
      </c>
      <c r="N5284">
        <v>13</v>
      </c>
      <c r="P5284">
        <v>0</v>
      </c>
      <c r="Q5284">
        <v>0</v>
      </c>
      <c r="R5284">
        <v>0</v>
      </c>
      <c r="S5284">
        <v>2</v>
      </c>
    </row>
    <row r="5285" spans="1:19" hidden="1" x14ac:dyDescent="0.35">
      <c r="A5285">
        <v>8966889700</v>
      </c>
      <c r="B5285" t="s">
        <v>5276</v>
      </c>
      <c r="C5285" t="str">
        <f>_xlfn.XLOOKUP(A5285,[1]Affiliations!$J$2:$J$5328,[1]Affiliations!$K$2:$K$5328,0)</f>
        <v>DEMa</v>
      </c>
      <c r="D5285">
        <v>6</v>
      </c>
      <c r="E5285">
        <v>90</v>
      </c>
      <c r="F5285">
        <v>15</v>
      </c>
      <c r="G5285">
        <v>12</v>
      </c>
      <c r="H5285">
        <v>0.96</v>
      </c>
      <c r="I5285">
        <v>0</v>
      </c>
      <c r="J5285">
        <v>1</v>
      </c>
      <c r="K5285">
        <v>1</v>
      </c>
      <c r="L5285">
        <v>2</v>
      </c>
      <c r="M5285">
        <v>2</v>
      </c>
      <c r="N5285">
        <v>4</v>
      </c>
      <c r="P5285">
        <v>0</v>
      </c>
      <c r="Q5285">
        <v>0</v>
      </c>
      <c r="R5285">
        <v>0</v>
      </c>
      <c r="S5285">
        <v>3</v>
      </c>
    </row>
    <row r="5286" spans="1:19" x14ac:dyDescent="0.35">
      <c r="A5286">
        <v>7005511953</v>
      </c>
      <c r="B5286" t="s">
        <v>3533</v>
      </c>
      <c r="C5286" t="str">
        <f>_xlfn.XLOOKUP(A5286,[1]Affiliations!$J$2:$J$5328,[1]Affiliations!$K$2:$K$5328,0)</f>
        <v>Federal University of Rio de Janeiro</v>
      </c>
      <c r="D5286">
        <v>14</v>
      </c>
      <c r="E5286">
        <v>221</v>
      </c>
      <c r="F5286">
        <v>15.785714</v>
      </c>
      <c r="G5286">
        <v>9</v>
      </c>
      <c r="H5286">
        <v>0.38</v>
      </c>
      <c r="I5286">
        <v>0</v>
      </c>
      <c r="J5286">
        <v>1</v>
      </c>
      <c r="K5286">
        <v>1</v>
      </c>
      <c r="L5286">
        <v>7</v>
      </c>
      <c r="M5286">
        <v>12</v>
      </c>
      <c r="N5286">
        <v>14</v>
      </c>
      <c r="P5286">
        <v>0</v>
      </c>
      <c r="Q5286">
        <v>1</v>
      </c>
      <c r="R5286">
        <v>1</v>
      </c>
      <c r="S5286">
        <v>3</v>
      </c>
    </row>
    <row r="5287" spans="1:19" x14ac:dyDescent="0.35">
      <c r="A5287">
        <v>7003797092</v>
      </c>
      <c r="B5287" t="s">
        <v>5205</v>
      </c>
      <c r="C5287" t="str">
        <f>_xlfn.XLOOKUP(A5287,[1]Affiliations!$J$2:$J$5328,[1]Affiliations!$K$2:$K$5328,0)</f>
        <v>Federal University of Rio de Janeiro</v>
      </c>
      <c r="D5287">
        <v>22</v>
      </c>
      <c r="E5287">
        <v>102</v>
      </c>
      <c r="F5287">
        <v>4.6363634999999999</v>
      </c>
      <c r="G5287">
        <v>13</v>
      </c>
      <c r="H5287">
        <v>0.38</v>
      </c>
      <c r="I5287">
        <v>1</v>
      </c>
      <c r="J5287">
        <v>1</v>
      </c>
      <c r="K5287">
        <v>1</v>
      </c>
      <c r="L5287">
        <v>8</v>
      </c>
      <c r="M5287">
        <v>13</v>
      </c>
      <c r="N5287">
        <v>15</v>
      </c>
      <c r="P5287">
        <v>0</v>
      </c>
      <c r="Q5287">
        <v>0</v>
      </c>
      <c r="R5287">
        <v>1</v>
      </c>
      <c r="S5287">
        <v>3</v>
      </c>
    </row>
    <row r="5288" spans="1:19" hidden="1" x14ac:dyDescent="0.35">
      <c r="A5288">
        <v>57226399272</v>
      </c>
      <c r="B5288" t="s">
        <v>5279</v>
      </c>
      <c r="C5288" t="str">
        <f>_xlfn.XLOOKUP(A5288,[1]Affiliations!$J$2:$J$5328,[1]Affiliations!$K$2:$K$5328,0)</f>
        <v>Science and Technology of Sao Paulo (IFSP)</v>
      </c>
      <c r="D5288">
        <v>3</v>
      </c>
      <c r="E5288">
        <v>5</v>
      </c>
      <c r="F5288">
        <v>1.6666666000000001</v>
      </c>
      <c r="G5288">
        <v>1</v>
      </c>
      <c r="H5288">
        <v>0.48</v>
      </c>
      <c r="P5288">
        <v>0</v>
      </c>
      <c r="Q5288">
        <v>0</v>
      </c>
      <c r="R5288">
        <v>0</v>
      </c>
      <c r="S5288">
        <v>0</v>
      </c>
    </row>
    <row r="5289" spans="1:19" hidden="1" x14ac:dyDescent="0.35">
      <c r="A5289">
        <v>8280080400</v>
      </c>
      <c r="B5289" t="s">
        <v>5280</v>
      </c>
      <c r="C5289" t="str">
        <f>_xlfn.XLOOKUP(A5289,[1]Affiliations!$J$2:$J$5328,[1]Affiliations!$K$2:$K$5328,0)</f>
        <v>Federal University of Rio de Janeiro</v>
      </c>
      <c r="D5289">
        <v>1</v>
      </c>
      <c r="E5289">
        <v>113</v>
      </c>
      <c r="F5289">
        <v>113</v>
      </c>
      <c r="G5289">
        <v>4</v>
      </c>
      <c r="H5289">
        <v>2.83</v>
      </c>
      <c r="I5289">
        <v>1</v>
      </c>
      <c r="J5289">
        <v>1</v>
      </c>
      <c r="K5289">
        <v>1</v>
      </c>
      <c r="L5289">
        <v>1</v>
      </c>
      <c r="M5289">
        <v>1</v>
      </c>
      <c r="N5289">
        <v>1</v>
      </c>
      <c r="P5289">
        <v>0</v>
      </c>
      <c r="Q5289">
        <v>1</v>
      </c>
      <c r="R5289">
        <v>1</v>
      </c>
      <c r="S5289">
        <v>1</v>
      </c>
    </row>
    <row r="5290" spans="1:19" hidden="1" x14ac:dyDescent="0.35">
      <c r="A5290">
        <v>22036633200</v>
      </c>
      <c r="B5290" t="s">
        <v>5281</v>
      </c>
      <c r="C5290" t="str">
        <f>_xlfn.XLOOKUP(A5290,[1]Affiliations!$J$2:$J$5328,[1]Affiliations!$K$2:$K$5328,0)</f>
        <v>Universidade de Brasília</v>
      </c>
      <c r="D5290">
        <v>21</v>
      </c>
      <c r="E5290">
        <v>147</v>
      </c>
      <c r="F5290">
        <v>7</v>
      </c>
      <c r="G5290">
        <v>11</v>
      </c>
      <c r="H5290">
        <v>0.66</v>
      </c>
      <c r="I5290">
        <v>1</v>
      </c>
      <c r="J5290">
        <v>3</v>
      </c>
      <c r="K5290">
        <v>4</v>
      </c>
      <c r="L5290">
        <v>15</v>
      </c>
      <c r="M5290">
        <v>20</v>
      </c>
      <c r="N5290">
        <v>20</v>
      </c>
      <c r="P5290">
        <v>0</v>
      </c>
      <c r="Q5290">
        <v>0</v>
      </c>
      <c r="R5290">
        <v>0</v>
      </c>
      <c r="S5290">
        <v>3</v>
      </c>
    </row>
    <row r="5291" spans="1:19" x14ac:dyDescent="0.35">
      <c r="A5291">
        <v>34267940700</v>
      </c>
      <c r="B5291" t="s">
        <v>5272</v>
      </c>
      <c r="C5291" t="str">
        <f>_xlfn.XLOOKUP(A5291,[1]Affiliations!$J$2:$J$5328,[1]Affiliations!$K$2:$K$5328,0)</f>
        <v>Federal University of Rio de Janeiro</v>
      </c>
      <c r="D5291">
        <v>32</v>
      </c>
      <c r="E5291">
        <v>135</v>
      </c>
      <c r="F5291">
        <v>4.21875</v>
      </c>
      <c r="G5291">
        <v>10</v>
      </c>
      <c r="H5291">
        <v>0.37</v>
      </c>
      <c r="I5291">
        <v>0</v>
      </c>
      <c r="J5291">
        <v>3</v>
      </c>
      <c r="K5291">
        <v>6</v>
      </c>
      <c r="L5291">
        <v>11</v>
      </c>
      <c r="M5291">
        <v>13</v>
      </c>
      <c r="N5291">
        <v>16</v>
      </c>
      <c r="P5291">
        <v>0</v>
      </c>
      <c r="Q5291">
        <v>0</v>
      </c>
      <c r="R5291">
        <v>1</v>
      </c>
      <c r="S5291">
        <v>5</v>
      </c>
    </row>
    <row r="5292" spans="1:19" x14ac:dyDescent="0.35">
      <c r="A5292">
        <v>57015022600</v>
      </c>
      <c r="B5292" t="s">
        <v>3253</v>
      </c>
      <c r="C5292" t="str">
        <f>_xlfn.XLOOKUP(A5292,[1]Affiliations!$J$2:$J$5328,[1]Affiliations!$K$2:$K$5328,0)</f>
        <v>Pontifical Catholic University of Rio de Janeiro</v>
      </c>
      <c r="D5292">
        <v>19</v>
      </c>
      <c r="E5292">
        <v>174</v>
      </c>
      <c r="F5292">
        <v>9.1578949999999999</v>
      </c>
      <c r="G5292">
        <v>6</v>
      </c>
      <c r="H5292">
        <v>0.36</v>
      </c>
      <c r="I5292">
        <v>0</v>
      </c>
      <c r="J5292">
        <v>1</v>
      </c>
      <c r="K5292">
        <v>7</v>
      </c>
      <c r="L5292">
        <v>10</v>
      </c>
      <c r="M5292">
        <v>11</v>
      </c>
      <c r="N5292">
        <v>14</v>
      </c>
      <c r="P5292">
        <v>0</v>
      </c>
      <c r="Q5292">
        <v>0</v>
      </c>
      <c r="R5292">
        <v>1</v>
      </c>
      <c r="S5292">
        <v>4</v>
      </c>
    </row>
    <row r="5293" spans="1:19" hidden="1" x14ac:dyDescent="0.35">
      <c r="A5293">
        <v>54788472200</v>
      </c>
      <c r="B5293" t="s">
        <v>5284</v>
      </c>
      <c r="C5293" t="str">
        <f>_xlfn.XLOOKUP(A5293,[1]Affiliations!$J$2:$J$5328,[1]Affiliations!$K$2:$K$5328,0)</f>
        <v>University of Campinas</v>
      </c>
      <c r="D5293">
        <v>23</v>
      </c>
      <c r="E5293">
        <v>85</v>
      </c>
      <c r="F5293">
        <v>3.6956522000000001</v>
      </c>
      <c r="G5293">
        <v>9</v>
      </c>
      <c r="H5293">
        <v>0.54</v>
      </c>
      <c r="I5293">
        <v>0</v>
      </c>
      <c r="J5293">
        <v>0</v>
      </c>
      <c r="K5293">
        <v>1</v>
      </c>
      <c r="L5293">
        <v>1</v>
      </c>
      <c r="M5293">
        <v>2</v>
      </c>
      <c r="N5293">
        <v>9</v>
      </c>
      <c r="P5293">
        <v>0</v>
      </c>
      <c r="Q5293">
        <v>0</v>
      </c>
      <c r="R5293">
        <v>0</v>
      </c>
      <c r="S5293">
        <v>1</v>
      </c>
    </row>
    <row r="5294" spans="1:19" hidden="1" x14ac:dyDescent="0.35">
      <c r="A5294">
        <v>57971886700</v>
      </c>
      <c r="B5294" t="s">
        <v>5285</v>
      </c>
      <c r="C5294" t="str">
        <f>_xlfn.XLOOKUP(A5294,[1]Affiliations!$J$2:$J$5328,[1]Affiliations!$K$2:$K$5328,0)</f>
        <v>Federal University of Santa Catarina</v>
      </c>
      <c r="D5294">
        <v>2</v>
      </c>
      <c r="E5294">
        <v>10</v>
      </c>
      <c r="F5294">
        <v>5</v>
      </c>
      <c r="G5294">
        <v>2</v>
      </c>
      <c r="H5294">
        <v>0.4</v>
      </c>
      <c r="I5294">
        <v>0</v>
      </c>
      <c r="J5294">
        <v>0</v>
      </c>
      <c r="K5294">
        <v>0</v>
      </c>
      <c r="L5294">
        <v>1</v>
      </c>
      <c r="M5294">
        <v>2</v>
      </c>
      <c r="N5294">
        <v>2</v>
      </c>
      <c r="P5294">
        <v>0</v>
      </c>
      <c r="Q5294">
        <v>0</v>
      </c>
      <c r="R5294">
        <v>0</v>
      </c>
      <c r="S5294">
        <v>0</v>
      </c>
    </row>
    <row r="5295" spans="1:19" x14ac:dyDescent="0.35">
      <c r="A5295">
        <v>9432860000</v>
      </c>
      <c r="B5295" t="s">
        <v>2052</v>
      </c>
      <c r="C5295" t="str">
        <f>_xlfn.XLOOKUP(A5295,[1]Affiliations!$J$2:$J$5328,[1]Affiliations!$K$2:$K$5328,0)</f>
        <v>Universidade Tecnológica Federal do Paraná</v>
      </c>
      <c r="D5295">
        <v>46</v>
      </c>
      <c r="E5295">
        <v>192</v>
      </c>
      <c r="F5295">
        <v>4.1739129999999998</v>
      </c>
      <c r="G5295">
        <v>7</v>
      </c>
      <c r="H5295">
        <v>0.35</v>
      </c>
      <c r="I5295">
        <v>0</v>
      </c>
      <c r="J5295">
        <v>1</v>
      </c>
      <c r="K5295">
        <v>1</v>
      </c>
      <c r="L5295">
        <v>3</v>
      </c>
      <c r="M5295">
        <v>6</v>
      </c>
      <c r="N5295">
        <v>18</v>
      </c>
      <c r="P5295">
        <v>0</v>
      </c>
      <c r="Q5295">
        <v>0</v>
      </c>
      <c r="R5295">
        <v>1</v>
      </c>
      <c r="S5295">
        <v>1</v>
      </c>
    </row>
    <row r="5296" spans="1:19" hidden="1" x14ac:dyDescent="0.35">
      <c r="A5296">
        <v>36026238700</v>
      </c>
      <c r="B5296" t="s">
        <v>5287</v>
      </c>
      <c r="C5296" t="str">
        <f>_xlfn.XLOOKUP(A5296,[1]Affiliations!$J$2:$J$5328,[1]Affiliations!$K$2:$K$5328,0)</f>
        <v>Pontifícia Universidade Católica do Rio Grande do Sul</v>
      </c>
      <c r="D5296">
        <v>5</v>
      </c>
      <c r="E5296">
        <v>61</v>
      </c>
      <c r="F5296">
        <v>12.2</v>
      </c>
      <c r="G5296">
        <v>6</v>
      </c>
      <c r="H5296">
        <v>0.56999999999999995</v>
      </c>
      <c r="I5296">
        <v>0</v>
      </c>
      <c r="J5296">
        <v>0</v>
      </c>
      <c r="K5296">
        <v>0</v>
      </c>
      <c r="L5296">
        <v>3</v>
      </c>
      <c r="M5296">
        <v>4</v>
      </c>
      <c r="N5296">
        <v>5</v>
      </c>
      <c r="P5296">
        <v>0</v>
      </c>
      <c r="Q5296">
        <v>0</v>
      </c>
      <c r="R5296">
        <v>0</v>
      </c>
      <c r="S5296">
        <v>1</v>
      </c>
    </row>
    <row r="5297" spans="1:19" x14ac:dyDescent="0.35">
      <c r="A5297">
        <v>26421618300</v>
      </c>
      <c r="B5297" t="s">
        <v>2195</v>
      </c>
      <c r="C5297" t="str">
        <f>_xlfn.XLOOKUP(A5297,[1]Affiliations!$J$2:$J$5328,[1]Affiliations!$K$2:$K$5328,0)</f>
        <v>Universidade Federal de Minas Gerais</v>
      </c>
      <c r="D5297">
        <v>26</v>
      </c>
      <c r="E5297">
        <v>281</v>
      </c>
      <c r="F5297">
        <v>10.807693</v>
      </c>
      <c r="G5297">
        <v>13</v>
      </c>
      <c r="H5297">
        <v>0.35</v>
      </c>
      <c r="I5297">
        <v>0</v>
      </c>
      <c r="J5297">
        <v>1</v>
      </c>
      <c r="K5297">
        <v>2</v>
      </c>
      <c r="L5297">
        <v>4</v>
      </c>
      <c r="M5297">
        <v>14</v>
      </c>
      <c r="N5297">
        <v>23</v>
      </c>
      <c r="P5297">
        <v>0</v>
      </c>
      <c r="Q5297">
        <v>0</v>
      </c>
      <c r="R5297">
        <v>1</v>
      </c>
      <c r="S5297">
        <v>6</v>
      </c>
    </row>
    <row r="5298" spans="1:19" hidden="1" x14ac:dyDescent="0.35">
      <c r="A5298">
        <v>57566593300</v>
      </c>
      <c r="B5298" t="s">
        <v>5289</v>
      </c>
      <c r="C5298" t="str">
        <f>_xlfn.XLOOKUP(A5298,[1]Affiliations!$J$2:$J$5328,[1]Affiliations!$K$2:$K$5328,0)</f>
        <v>Pontifical Catholic University of Rio de Janeiro (+1 more)</v>
      </c>
      <c r="D5298">
        <v>2</v>
      </c>
      <c r="E5298">
        <v>13</v>
      </c>
      <c r="F5298">
        <v>6.5</v>
      </c>
      <c r="G5298">
        <v>1</v>
      </c>
      <c r="H5298">
        <v>0.6</v>
      </c>
      <c r="I5298">
        <v>0</v>
      </c>
      <c r="J5298">
        <v>0</v>
      </c>
      <c r="K5298">
        <v>0</v>
      </c>
      <c r="L5298">
        <v>1</v>
      </c>
      <c r="M5298">
        <v>1</v>
      </c>
      <c r="N5298">
        <v>1</v>
      </c>
      <c r="P5298">
        <v>0</v>
      </c>
      <c r="Q5298">
        <v>0</v>
      </c>
      <c r="R5298">
        <v>0</v>
      </c>
      <c r="S5298">
        <v>1</v>
      </c>
    </row>
    <row r="5299" spans="1:19" hidden="1" x14ac:dyDescent="0.35">
      <c r="A5299">
        <v>57222544401</v>
      </c>
      <c r="B5299" t="s">
        <v>5290</v>
      </c>
      <c r="C5299" t="str">
        <f>_xlfn.XLOOKUP(A5299,[1]Affiliations!$J$2:$J$5328,[1]Affiliations!$K$2:$K$5328,0)</f>
        <v>Universidade Federal do Espírito Santo</v>
      </c>
      <c r="D5299">
        <v>2</v>
      </c>
      <c r="E5299">
        <v>1</v>
      </c>
      <c r="F5299">
        <v>0.5</v>
      </c>
      <c r="G5299">
        <v>1</v>
      </c>
      <c r="H5299">
        <v>0.03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P5299">
        <v>0</v>
      </c>
      <c r="Q5299">
        <v>0</v>
      </c>
      <c r="R5299">
        <v>0</v>
      </c>
      <c r="S5299">
        <v>0</v>
      </c>
    </row>
    <row r="5300" spans="1:19" hidden="1" x14ac:dyDescent="0.35">
      <c r="A5300">
        <v>57336715300</v>
      </c>
      <c r="B5300" t="s">
        <v>5291</v>
      </c>
      <c r="C5300" t="str">
        <f>_xlfn.XLOOKUP(A5300,[1]Affiliations!$J$2:$J$5328,[1]Affiliations!$K$2:$K$5328,0)</f>
        <v>Universidade Federal do Espírito Santo</v>
      </c>
      <c r="D5300">
        <v>1</v>
      </c>
      <c r="E5300">
        <v>7</v>
      </c>
      <c r="F5300">
        <v>7</v>
      </c>
      <c r="G5300">
        <v>1</v>
      </c>
      <c r="H5300">
        <v>0.41</v>
      </c>
      <c r="I5300">
        <v>0</v>
      </c>
      <c r="J5300">
        <v>1</v>
      </c>
      <c r="K5300">
        <v>1</v>
      </c>
      <c r="L5300">
        <v>1</v>
      </c>
      <c r="M5300">
        <v>1</v>
      </c>
      <c r="N5300">
        <v>1</v>
      </c>
      <c r="P5300">
        <v>0</v>
      </c>
      <c r="Q5300">
        <v>0</v>
      </c>
      <c r="R5300">
        <v>0</v>
      </c>
      <c r="S5300">
        <v>0</v>
      </c>
    </row>
    <row r="5301" spans="1:19" hidden="1" x14ac:dyDescent="0.35">
      <c r="A5301">
        <v>60094441900</v>
      </c>
      <c r="B5301" t="s">
        <v>5292</v>
      </c>
      <c r="C5301" t="str">
        <f>_xlfn.XLOOKUP(A5301,[1]Affiliations!$J$2:$J$5328,[1]Affiliations!$K$2:$K$5328,0)</f>
        <v>Universidade Federal de Mato Grosso</v>
      </c>
      <c r="D5301">
        <v>0</v>
      </c>
      <c r="G5301">
        <v>0</v>
      </c>
    </row>
    <row r="5302" spans="1:19" hidden="1" x14ac:dyDescent="0.35">
      <c r="A5302">
        <v>56511981000</v>
      </c>
      <c r="B5302" t="s">
        <v>5293</v>
      </c>
      <c r="C5302" t="str">
        <f>_xlfn.XLOOKUP(A5302,[1]Affiliations!$J$2:$J$5328,[1]Affiliations!$K$2:$K$5328,0)</f>
        <v>Pontifical Catholic University of Rio de Janeiro</v>
      </c>
      <c r="D5302">
        <v>4</v>
      </c>
      <c r="E5302">
        <v>32</v>
      </c>
      <c r="F5302">
        <v>8</v>
      </c>
      <c r="G5302">
        <v>3</v>
      </c>
      <c r="H5302">
        <v>0.56000000000000005</v>
      </c>
      <c r="I5302">
        <v>0</v>
      </c>
      <c r="J5302">
        <v>0</v>
      </c>
      <c r="K5302">
        <v>0</v>
      </c>
      <c r="L5302">
        <v>1</v>
      </c>
      <c r="M5302">
        <v>1</v>
      </c>
      <c r="N5302">
        <v>2</v>
      </c>
      <c r="P5302">
        <v>0</v>
      </c>
      <c r="Q5302">
        <v>0</v>
      </c>
      <c r="R5302">
        <v>0</v>
      </c>
      <c r="S5302">
        <v>0</v>
      </c>
    </row>
    <row r="5303" spans="1:19" x14ac:dyDescent="0.35">
      <c r="A5303">
        <v>59454523600</v>
      </c>
      <c r="B5303" t="s">
        <v>2551</v>
      </c>
      <c r="C5303" t="str">
        <f>_xlfn.XLOOKUP(A5303,[1]Affiliations!$J$2:$J$5328,[1]Affiliations!$K$2:$K$5328,0)</f>
        <v>Universidade Estadual Paulista “Júlio de Mesquita Filho”</v>
      </c>
      <c r="D5303">
        <v>10</v>
      </c>
      <c r="E5303">
        <v>45</v>
      </c>
      <c r="F5303">
        <v>4.5</v>
      </c>
      <c r="G5303">
        <v>3</v>
      </c>
      <c r="H5303">
        <v>0.35</v>
      </c>
      <c r="I5303">
        <v>0</v>
      </c>
      <c r="J5303">
        <v>2</v>
      </c>
      <c r="K5303">
        <v>2</v>
      </c>
      <c r="L5303">
        <v>3</v>
      </c>
      <c r="M5303">
        <v>4</v>
      </c>
      <c r="N5303">
        <v>4</v>
      </c>
      <c r="P5303">
        <v>0</v>
      </c>
      <c r="Q5303">
        <v>0</v>
      </c>
      <c r="R5303">
        <v>1</v>
      </c>
      <c r="S5303">
        <v>1</v>
      </c>
    </row>
    <row r="5304" spans="1:19" x14ac:dyDescent="0.35">
      <c r="A5304">
        <v>7102792643</v>
      </c>
      <c r="B5304" t="s">
        <v>3045</v>
      </c>
      <c r="C5304" t="str">
        <f>_xlfn.XLOOKUP(A5304,[1]Affiliations!$J$2:$J$5328,[1]Affiliations!$K$2:$K$5328,0)</f>
        <v>Federal University of Rio de Janeiro</v>
      </c>
      <c r="D5304">
        <v>33</v>
      </c>
      <c r="E5304">
        <v>128</v>
      </c>
      <c r="F5304">
        <v>3.8787880000000001</v>
      </c>
      <c r="G5304">
        <v>12</v>
      </c>
      <c r="H5304">
        <v>0.35</v>
      </c>
      <c r="I5304">
        <v>0</v>
      </c>
      <c r="J5304">
        <v>0</v>
      </c>
      <c r="K5304">
        <v>2</v>
      </c>
      <c r="L5304">
        <v>12</v>
      </c>
      <c r="M5304">
        <v>13</v>
      </c>
      <c r="N5304">
        <v>17</v>
      </c>
      <c r="P5304">
        <v>0</v>
      </c>
      <c r="Q5304">
        <v>0</v>
      </c>
      <c r="R5304">
        <v>1</v>
      </c>
      <c r="S5304">
        <v>1</v>
      </c>
    </row>
    <row r="5305" spans="1:19" hidden="1" x14ac:dyDescent="0.35">
      <c r="A5305">
        <v>57665462700</v>
      </c>
      <c r="B5305" t="s">
        <v>5296</v>
      </c>
      <c r="C5305" t="str">
        <f>_xlfn.XLOOKUP(A5305,[1]Affiliations!$J$2:$J$5328,[1]Affiliations!$K$2:$K$5328,0)</f>
        <v>Federal University of Santa Catarina</v>
      </c>
      <c r="D5305">
        <v>7</v>
      </c>
      <c r="E5305">
        <v>68</v>
      </c>
      <c r="F5305">
        <v>9.7142859999999995</v>
      </c>
      <c r="G5305">
        <v>5</v>
      </c>
      <c r="H5305">
        <v>0.77</v>
      </c>
      <c r="I5305">
        <v>0</v>
      </c>
      <c r="J5305">
        <v>0</v>
      </c>
      <c r="K5305">
        <v>0</v>
      </c>
      <c r="L5305">
        <v>0</v>
      </c>
      <c r="M5305">
        <v>6</v>
      </c>
      <c r="N5305">
        <v>7</v>
      </c>
      <c r="P5305">
        <v>0</v>
      </c>
      <c r="Q5305">
        <v>0</v>
      </c>
      <c r="R5305">
        <v>0</v>
      </c>
      <c r="S5305">
        <v>5</v>
      </c>
    </row>
    <row r="5306" spans="1:19" hidden="1" x14ac:dyDescent="0.35">
      <c r="A5306">
        <v>57196483974</v>
      </c>
      <c r="B5306" t="s">
        <v>5297</v>
      </c>
      <c r="C5306" t="str">
        <f>_xlfn.XLOOKUP(A5306,[1]Affiliations!$J$2:$J$5328,[1]Affiliations!$K$2:$K$5328,0)</f>
        <v>Federal University of Rio de Janeiro</v>
      </c>
      <c r="D5306">
        <v>2</v>
      </c>
      <c r="E5306">
        <v>41</v>
      </c>
      <c r="F5306">
        <v>20.5</v>
      </c>
      <c r="G5306">
        <v>2</v>
      </c>
      <c r="H5306">
        <v>0.87</v>
      </c>
      <c r="I5306">
        <v>0</v>
      </c>
      <c r="J5306">
        <v>0</v>
      </c>
      <c r="K5306">
        <v>0</v>
      </c>
      <c r="L5306">
        <v>1</v>
      </c>
      <c r="M5306">
        <v>2</v>
      </c>
      <c r="N5306">
        <v>2</v>
      </c>
      <c r="P5306">
        <v>0</v>
      </c>
      <c r="Q5306">
        <v>0</v>
      </c>
      <c r="R5306">
        <v>0</v>
      </c>
      <c r="S5306">
        <v>2</v>
      </c>
    </row>
    <row r="5307" spans="1:19" hidden="1" x14ac:dyDescent="0.35">
      <c r="A5307">
        <v>59131357100</v>
      </c>
      <c r="B5307" t="s">
        <v>5298</v>
      </c>
      <c r="C5307" t="str">
        <f>_xlfn.XLOOKUP(A5307,[1]Affiliations!$J$2:$J$5328,[1]Affiliations!$K$2:$K$5328,0)</f>
        <v>Schlumberger Brasil</v>
      </c>
      <c r="D5307">
        <v>2</v>
      </c>
      <c r="E5307">
        <v>8</v>
      </c>
      <c r="F5307">
        <v>4</v>
      </c>
      <c r="G5307">
        <v>1</v>
      </c>
      <c r="H5307">
        <v>0.8</v>
      </c>
      <c r="I5307">
        <v>0</v>
      </c>
      <c r="J5307">
        <v>0</v>
      </c>
      <c r="K5307">
        <v>0</v>
      </c>
      <c r="L5307">
        <v>0</v>
      </c>
      <c r="M5307">
        <v>1</v>
      </c>
      <c r="N5307">
        <v>1</v>
      </c>
      <c r="P5307">
        <v>0</v>
      </c>
      <c r="Q5307">
        <v>0</v>
      </c>
      <c r="R5307">
        <v>0</v>
      </c>
      <c r="S5307">
        <v>1</v>
      </c>
    </row>
    <row r="5308" spans="1:19" hidden="1" x14ac:dyDescent="0.35">
      <c r="A5308">
        <v>58793144200</v>
      </c>
      <c r="B5308" t="s">
        <v>5299</v>
      </c>
      <c r="C5308" t="str">
        <f>_xlfn.XLOOKUP(A5308,[1]Affiliations!$J$2:$J$5328,[1]Affiliations!$K$2:$K$5328,0)</f>
        <v>Universidade Federal do Rio Grande do Sul</v>
      </c>
      <c r="D5308">
        <v>2</v>
      </c>
      <c r="E5308">
        <v>7</v>
      </c>
      <c r="F5308">
        <v>3.5</v>
      </c>
      <c r="G5308">
        <v>2</v>
      </c>
      <c r="H5308">
        <v>0.52</v>
      </c>
      <c r="I5308">
        <v>0</v>
      </c>
      <c r="J5308">
        <v>0</v>
      </c>
      <c r="K5308">
        <v>0</v>
      </c>
      <c r="L5308">
        <v>1</v>
      </c>
      <c r="M5308">
        <v>2</v>
      </c>
      <c r="N5308">
        <v>2</v>
      </c>
      <c r="P5308">
        <v>0</v>
      </c>
      <c r="Q5308">
        <v>0</v>
      </c>
      <c r="R5308">
        <v>0</v>
      </c>
      <c r="S5308">
        <v>1</v>
      </c>
    </row>
    <row r="5309" spans="1:19" x14ac:dyDescent="0.35">
      <c r="A5309">
        <v>12242439200</v>
      </c>
      <c r="B5309" t="s">
        <v>2639</v>
      </c>
      <c r="C5309" t="str">
        <f>_xlfn.XLOOKUP(A5309,[1]Affiliations!$J$2:$J$5328,[1]Affiliations!$K$2:$K$5328,0)</f>
        <v>Pontifícia Universidade Católica do Rio Grande do Sul</v>
      </c>
      <c r="D5309">
        <v>12</v>
      </c>
      <c r="E5309">
        <v>164</v>
      </c>
      <c r="F5309">
        <v>13.666667</v>
      </c>
      <c r="G5309">
        <v>12</v>
      </c>
      <c r="H5309">
        <v>0.34</v>
      </c>
      <c r="I5309">
        <v>0</v>
      </c>
      <c r="J5309">
        <v>3</v>
      </c>
      <c r="K5309">
        <v>3</v>
      </c>
      <c r="L5309">
        <v>4</v>
      </c>
      <c r="M5309">
        <v>10</v>
      </c>
      <c r="N5309">
        <v>10</v>
      </c>
      <c r="P5309">
        <v>0</v>
      </c>
      <c r="Q5309">
        <v>1</v>
      </c>
      <c r="R5309">
        <v>1</v>
      </c>
      <c r="S5309">
        <v>2</v>
      </c>
    </row>
    <row r="5310" spans="1:19" hidden="1" x14ac:dyDescent="0.35">
      <c r="A5310">
        <v>6602354284</v>
      </c>
      <c r="B5310" t="s">
        <v>5301</v>
      </c>
      <c r="C5310" t="str">
        <f>_xlfn.XLOOKUP(A5310,[1]Affiliations!$J$2:$J$5328,[1]Affiliations!$K$2:$K$5328,0)</f>
        <v>Zlemlink Ltda (+4 more)</v>
      </c>
      <c r="D5310">
        <v>15</v>
      </c>
      <c r="E5310">
        <v>57</v>
      </c>
      <c r="F5310">
        <v>3.8</v>
      </c>
      <c r="G5310">
        <v>7</v>
      </c>
      <c r="H5310">
        <v>0.94</v>
      </c>
      <c r="I5310">
        <v>0</v>
      </c>
      <c r="J5310">
        <v>0</v>
      </c>
      <c r="K5310">
        <v>0</v>
      </c>
      <c r="L5310">
        <v>1</v>
      </c>
      <c r="M5310">
        <v>5</v>
      </c>
      <c r="N5310">
        <v>6</v>
      </c>
      <c r="P5310">
        <v>0</v>
      </c>
      <c r="Q5310">
        <v>0</v>
      </c>
      <c r="R5310">
        <v>0</v>
      </c>
      <c r="S5310">
        <v>0</v>
      </c>
    </row>
    <row r="5311" spans="1:19" hidden="1" x14ac:dyDescent="0.35">
      <c r="A5311">
        <v>57210968585</v>
      </c>
      <c r="B5311" t="s">
        <v>5302</v>
      </c>
      <c r="C5311" t="str">
        <f>_xlfn.XLOOKUP(A5311,[1]Affiliations!$J$2:$J$5328,[1]Affiliations!$K$2:$K$5328,0)</f>
        <v>Pontifícia Universidade Católica do Rio Grande do Sul</v>
      </c>
      <c r="D5311">
        <v>4</v>
      </c>
      <c r="E5311">
        <v>20</v>
      </c>
      <c r="F5311">
        <v>5</v>
      </c>
      <c r="G5311">
        <v>3</v>
      </c>
      <c r="H5311">
        <v>0.3</v>
      </c>
      <c r="I5311">
        <v>0</v>
      </c>
      <c r="J5311">
        <v>0</v>
      </c>
      <c r="K5311">
        <v>0</v>
      </c>
      <c r="L5311">
        <v>2</v>
      </c>
      <c r="M5311">
        <v>3</v>
      </c>
      <c r="N5311">
        <v>3</v>
      </c>
      <c r="P5311">
        <v>0</v>
      </c>
      <c r="Q5311">
        <v>0</v>
      </c>
      <c r="R5311">
        <v>0</v>
      </c>
      <c r="S5311">
        <v>0</v>
      </c>
    </row>
    <row r="5312" spans="1:19" hidden="1" x14ac:dyDescent="0.35">
      <c r="A5312">
        <v>57195301056</v>
      </c>
      <c r="B5312" t="s">
        <v>5303</v>
      </c>
      <c r="C5312" t="str">
        <f>_xlfn.XLOOKUP(A5312,[1]Affiliations!$J$2:$J$5328,[1]Affiliations!$K$2:$K$5328,0)</f>
        <v>Universidade Federal do Rio Grande do Sul</v>
      </c>
      <c r="D5312">
        <v>5</v>
      </c>
      <c r="E5312">
        <v>51</v>
      </c>
      <c r="F5312">
        <v>10.199999999999999</v>
      </c>
      <c r="G5312">
        <v>4</v>
      </c>
      <c r="H5312">
        <v>0.5</v>
      </c>
      <c r="I5312">
        <v>0</v>
      </c>
      <c r="J5312">
        <v>1</v>
      </c>
      <c r="K5312">
        <v>1</v>
      </c>
      <c r="L5312">
        <v>2</v>
      </c>
      <c r="M5312">
        <v>4</v>
      </c>
      <c r="N5312">
        <v>4</v>
      </c>
      <c r="P5312">
        <v>0</v>
      </c>
      <c r="Q5312">
        <v>0</v>
      </c>
      <c r="R5312">
        <v>0</v>
      </c>
      <c r="S5312">
        <v>1</v>
      </c>
    </row>
    <row r="5313" spans="1:19" hidden="1" x14ac:dyDescent="0.35">
      <c r="A5313">
        <v>57785844500</v>
      </c>
      <c r="B5313" t="s">
        <v>5304</v>
      </c>
      <c r="C5313" t="str">
        <f>_xlfn.XLOOKUP(A5313,[1]Affiliations!$J$2:$J$5328,[1]Affiliations!$K$2:$K$5328,0)</f>
        <v>Pontifícia Universidade Católica do Rio Grande do Sul</v>
      </c>
      <c r="D5313">
        <v>1</v>
      </c>
      <c r="E5313">
        <v>8</v>
      </c>
      <c r="F5313">
        <v>8</v>
      </c>
      <c r="G5313">
        <v>1</v>
      </c>
      <c r="H5313">
        <v>0.57999999999999996</v>
      </c>
      <c r="I5313">
        <v>0</v>
      </c>
      <c r="J5313">
        <v>0</v>
      </c>
      <c r="K5313">
        <v>0</v>
      </c>
      <c r="L5313">
        <v>0</v>
      </c>
      <c r="M5313">
        <v>1</v>
      </c>
      <c r="N5313">
        <v>1</v>
      </c>
      <c r="P5313">
        <v>0</v>
      </c>
      <c r="Q5313">
        <v>0</v>
      </c>
      <c r="R5313">
        <v>0</v>
      </c>
      <c r="S5313">
        <v>0</v>
      </c>
    </row>
    <row r="5314" spans="1:19" hidden="1" x14ac:dyDescent="0.35">
      <c r="A5314">
        <v>58573438100</v>
      </c>
      <c r="B5314" t="s">
        <v>5305</v>
      </c>
      <c r="C5314" t="str">
        <f>_xlfn.XLOOKUP(A5314,[1]Affiliations!$J$2:$J$5328,[1]Affiliations!$K$2:$K$5328,0)</f>
        <v>Universidade Federal do Rio Grande do Sul</v>
      </c>
      <c r="D5314">
        <v>1</v>
      </c>
      <c r="E5314">
        <v>5</v>
      </c>
      <c r="F5314">
        <v>5</v>
      </c>
      <c r="G5314">
        <v>1</v>
      </c>
      <c r="H5314">
        <v>0.35</v>
      </c>
      <c r="I5314">
        <v>0</v>
      </c>
      <c r="J5314">
        <v>1</v>
      </c>
      <c r="K5314">
        <v>1</v>
      </c>
      <c r="L5314">
        <v>1</v>
      </c>
      <c r="M5314">
        <v>1</v>
      </c>
      <c r="N5314">
        <v>1</v>
      </c>
      <c r="P5314">
        <v>0</v>
      </c>
      <c r="Q5314">
        <v>0</v>
      </c>
      <c r="R5314">
        <v>0</v>
      </c>
      <c r="S5314">
        <v>0</v>
      </c>
    </row>
    <row r="5315" spans="1:19" hidden="1" x14ac:dyDescent="0.35">
      <c r="A5315">
        <v>6506199902</v>
      </c>
      <c r="B5315" t="s">
        <v>5306</v>
      </c>
      <c r="C5315" t="str">
        <f>_xlfn.XLOOKUP(A5315,[1]Affiliations!$J$2:$J$5328,[1]Affiliations!$K$2:$K$5328,0)</f>
        <v>Universidade Estadual de Maringá</v>
      </c>
      <c r="D5315">
        <v>1</v>
      </c>
      <c r="E5315">
        <v>15</v>
      </c>
      <c r="F5315">
        <v>15</v>
      </c>
      <c r="G5315">
        <v>5</v>
      </c>
      <c r="H5315">
        <v>0.06</v>
      </c>
      <c r="I5315">
        <v>0</v>
      </c>
      <c r="J5315">
        <v>0</v>
      </c>
      <c r="K5315">
        <v>0</v>
      </c>
      <c r="L5315">
        <v>1</v>
      </c>
      <c r="M5315">
        <v>1</v>
      </c>
      <c r="N5315">
        <v>1</v>
      </c>
      <c r="P5315">
        <v>0</v>
      </c>
      <c r="Q5315">
        <v>0</v>
      </c>
      <c r="R5315">
        <v>0</v>
      </c>
      <c r="S5315">
        <v>0</v>
      </c>
    </row>
    <row r="5316" spans="1:19" x14ac:dyDescent="0.35">
      <c r="A5316">
        <v>55991753500</v>
      </c>
      <c r="B5316" t="s">
        <v>3485</v>
      </c>
      <c r="C5316" t="str">
        <f>_xlfn.XLOOKUP(A5316,[1]Affiliations!$J$2:$J$5328,[1]Affiliations!$K$2:$K$5328,0)</f>
        <v>Universidade do Estado do Rio de Janeiro</v>
      </c>
      <c r="D5316">
        <v>10</v>
      </c>
      <c r="E5316">
        <v>140</v>
      </c>
      <c r="F5316">
        <v>14</v>
      </c>
      <c r="G5316">
        <v>14</v>
      </c>
      <c r="H5316">
        <v>0.34</v>
      </c>
      <c r="I5316">
        <v>1</v>
      </c>
      <c r="J5316">
        <v>1</v>
      </c>
      <c r="K5316">
        <v>1</v>
      </c>
      <c r="L5316">
        <v>1</v>
      </c>
      <c r="M5316">
        <v>3</v>
      </c>
      <c r="N5316">
        <v>6</v>
      </c>
      <c r="P5316">
        <v>0</v>
      </c>
      <c r="Q5316">
        <v>1</v>
      </c>
      <c r="R5316">
        <v>1</v>
      </c>
      <c r="S5316">
        <v>2</v>
      </c>
    </row>
    <row r="5317" spans="1:19" x14ac:dyDescent="0.35">
      <c r="A5317">
        <v>57217596544</v>
      </c>
      <c r="B5317" t="s">
        <v>321</v>
      </c>
      <c r="C5317" t="str">
        <f>_xlfn.XLOOKUP(A5317,[1]Affiliations!$J$2:$J$5328,[1]Affiliations!$K$2:$K$5328,0)</f>
        <v>Vizlab - X-Reality and GeoInformatics Lab</v>
      </c>
      <c r="D5317">
        <v>7</v>
      </c>
      <c r="E5317">
        <v>66</v>
      </c>
      <c r="F5317">
        <v>9.4285720000000008</v>
      </c>
      <c r="G5317">
        <v>2</v>
      </c>
      <c r="H5317">
        <v>0.33</v>
      </c>
      <c r="I5317">
        <v>1</v>
      </c>
      <c r="J5317">
        <v>1</v>
      </c>
      <c r="K5317">
        <v>1</v>
      </c>
      <c r="L5317">
        <v>3</v>
      </c>
      <c r="M5317">
        <v>4</v>
      </c>
      <c r="N5317">
        <v>7</v>
      </c>
      <c r="P5317">
        <v>0</v>
      </c>
      <c r="Q5317">
        <v>0</v>
      </c>
      <c r="R5317">
        <v>1</v>
      </c>
      <c r="S5317">
        <v>1</v>
      </c>
    </row>
    <row r="5318" spans="1:19" x14ac:dyDescent="0.35">
      <c r="A5318">
        <v>6507352789</v>
      </c>
      <c r="B5318" t="s">
        <v>2185</v>
      </c>
      <c r="C5318" t="str">
        <f>_xlfn.XLOOKUP(A5318,[1]Affiliations!$J$2:$J$5328,[1]Affiliations!$K$2:$K$5328,0)</f>
        <v>SENAI Innovation Institute of Green Chemistry (+3 more)</v>
      </c>
      <c r="D5318">
        <v>13</v>
      </c>
      <c r="E5318">
        <v>152</v>
      </c>
      <c r="F5318">
        <v>11.692307</v>
      </c>
      <c r="G5318">
        <v>11</v>
      </c>
      <c r="H5318">
        <v>0.32</v>
      </c>
      <c r="I5318">
        <v>0</v>
      </c>
      <c r="J5318">
        <v>1</v>
      </c>
      <c r="K5318">
        <v>5</v>
      </c>
      <c r="L5318">
        <v>8</v>
      </c>
      <c r="M5318">
        <v>11</v>
      </c>
      <c r="N5318">
        <v>11</v>
      </c>
      <c r="P5318">
        <v>0</v>
      </c>
      <c r="Q5318">
        <v>1</v>
      </c>
      <c r="R5318">
        <v>1</v>
      </c>
      <c r="S5318">
        <v>2</v>
      </c>
    </row>
    <row r="5319" spans="1:19" x14ac:dyDescent="0.35">
      <c r="A5319">
        <v>56192019400</v>
      </c>
      <c r="B5319" t="s">
        <v>5312</v>
      </c>
      <c r="C5319" t="str">
        <f>_xlfn.XLOOKUP(A5319,[1]Affiliations!$J$2:$J$5328,[1]Affiliations!$K$2:$K$5328,0)</f>
        <v>Universidade Federal da Bahia</v>
      </c>
      <c r="D5319">
        <v>13</v>
      </c>
      <c r="E5319">
        <v>121</v>
      </c>
      <c r="F5319">
        <v>9.3076930000000004</v>
      </c>
      <c r="G5319">
        <v>8</v>
      </c>
      <c r="H5319">
        <v>0.32</v>
      </c>
      <c r="I5319">
        <v>0</v>
      </c>
      <c r="J5319">
        <v>1</v>
      </c>
      <c r="K5319">
        <v>3</v>
      </c>
      <c r="L5319">
        <v>4</v>
      </c>
      <c r="M5319">
        <v>6</v>
      </c>
      <c r="N5319">
        <v>7</v>
      </c>
      <c r="P5319">
        <v>0</v>
      </c>
      <c r="Q5319">
        <v>0</v>
      </c>
      <c r="R5319">
        <v>1</v>
      </c>
      <c r="S5319">
        <v>1</v>
      </c>
    </row>
    <row r="5320" spans="1:19" hidden="1" x14ac:dyDescent="0.35">
      <c r="A5320">
        <v>6603415025</v>
      </c>
      <c r="B5320" t="s">
        <v>5311</v>
      </c>
      <c r="C5320" t="str">
        <f>_xlfn.XLOOKUP(A5320,[1]Affiliations!$J$2:$J$5328,[1]Affiliations!$K$2:$K$5328,0)</f>
        <v>Federal University of Rio de Janeiro</v>
      </c>
      <c r="D5320">
        <v>5</v>
      </c>
      <c r="E5320">
        <v>52</v>
      </c>
      <c r="F5320">
        <v>10.4</v>
      </c>
      <c r="G5320">
        <v>14</v>
      </c>
      <c r="H5320">
        <v>0.99</v>
      </c>
      <c r="I5320">
        <v>0</v>
      </c>
      <c r="J5320">
        <v>0</v>
      </c>
      <c r="K5320">
        <v>2</v>
      </c>
      <c r="L5320">
        <v>3</v>
      </c>
      <c r="M5320">
        <v>4</v>
      </c>
      <c r="N5320">
        <v>4</v>
      </c>
      <c r="P5320">
        <v>0</v>
      </c>
      <c r="Q5320">
        <v>0</v>
      </c>
      <c r="R5320">
        <v>0</v>
      </c>
      <c r="S5320">
        <v>1</v>
      </c>
    </row>
    <row r="5321" spans="1:19" x14ac:dyDescent="0.35">
      <c r="A5321">
        <v>8665015900</v>
      </c>
      <c r="B5321" t="s">
        <v>601</v>
      </c>
      <c r="C5321" t="str">
        <f>_xlfn.XLOOKUP(A5321,[1]Affiliations!$J$2:$J$5328,[1]Affiliations!$K$2:$K$5328,0)</f>
        <v>Federal University of Rio de Janeiro</v>
      </c>
      <c r="D5321">
        <v>32</v>
      </c>
      <c r="E5321">
        <v>186</v>
      </c>
      <c r="F5321">
        <v>5.8125</v>
      </c>
      <c r="G5321">
        <v>8</v>
      </c>
      <c r="H5321">
        <v>0.28999999999999998</v>
      </c>
      <c r="I5321">
        <v>0</v>
      </c>
      <c r="J5321">
        <v>0</v>
      </c>
      <c r="K5321">
        <v>4</v>
      </c>
      <c r="L5321">
        <v>6</v>
      </c>
      <c r="M5321">
        <v>15</v>
      </c>
      <c r="N5321">
        <v>23</v>
      </c>
      <c r="P5321">
        <v>0</v>
      </c>
      <c r="Q5321">
        <v>0</v>
      </c>
      <c r="R5321">
        <v>1</v>
      </c>
      <c r="S5321">
        <v>3</v>
      </c>
    </row>
    <row r="5322" spans="1:19" x14ac:dyDescent="0.35">
      <c r="A5322">
        <v>56422021400</v>
      </c>
      <c r="B5322" t="s">
        <v>1104</v>
      </c>
      <c r="C5322" t="str">
        <f>_xlfn.XLOOKUP(A5322,[1]Affiliations!$J$2:$J$5328,[1]Affiliations!$K$2:$K$5328,0)</f>
        <v>Federal University of Santa Catarina</v>
      </c>
      <c r="D5322">
        <v>27</v>
      </c>
      <c r="E5322">
        <v>227</v>
      </c>
      <c r="F5322">
        <v>8.4074080000000002</v>
      </c>
      <c r="G5322">
        <v>9</v>
      </c>
      <c r="H5322">
        <v>0.28999999999999998</v>
      </c>
      <c r="I5322">
        <v>0</v>
      </c>
      <c r="J5322">
        <v>1</v>
      </c>
      <c r="K5322">
        <v>4</v>
      </c>
      <c r="L5322">
        <v>7</v>
      </c>
      <c r="M5322">
        <v>14</v>
      </c>
      <c r="N5322">
        <v>24</v>
      </c>
      <c r="P5322">
        <v>0</v>
      </c>
      <c r="Q5322">
        <v>0</v>
      </c>
      <c r="R5322">
        <v>1</v>
      </c>
      <c r="S5322">
        <v>3</v>
      </c>
    </row>
    <row r="5323" spans="1:19" hidden="1" x14ac:dyDescent="0.35">
      <c r="A5323">
        <v>58117767300</v>
      </c>
      <c r="B5323" t="s">
        <v>5314</v>
      </c>
      <c r="C5323" t="str">
        <f>_xlfn.XLOOKUP(A5323,[1]Affiliations!$J$2:$J$5328,[1]Affiliations!$K$2:$K$5328,0)</f>
        <v>Universidade Federal do Rio Grande do Sul</v>
      </c>
      <c r="D5323">
        <v>2</v>
      </c>
      <c r="E5323">
        <v>1</v>
      </c>
      <c r="F5323">
        <v>0.5</v>
      </c>
      <c r="G5323">
        <v>1</v>
      </c>
      <c r="H5323">
        <v>0.52</v>
      </c>
      <c r="P5323">
        <v>0</v>
      </c>
      <c r="Q5323">
        <v>0</v>
      </c>
      <c r="R5323">
        <v>0</v>
      </c>
      <c r="S5323">
        <v>0</v>
      </c>
    </row>
    <row r="5324" spans="1:19" hidden="1" x14ac:dyDescent="0.35">
      <c r="A5324">
        <v>57188965373</v>
      </c>
      <c r="B5324" t="s">
        <v>5315</v>
      </c>
      <c r="C5324" t="str">
        <f>_xlfn.XLOOKUP(A5324,[1]Affiliations!$J$2:$J$5328,[1]Affiliations!$K$2:$K$5328,0)</f>
        <v>Universidade Federal Fluminense</v>
      </c>
      <c r="D5324">
        <v>9</v>
      </c>
      <c r="E5324">
        <v>109</v>
      </c>
      <c r="F5324">
        <v>12.111110999999999</v>
      </c>
      <c r="G5324">
        <v>7</v>
      </c>
      <c r="H5324">
        <v>1</v>
      </c>
      <c r="I5324">
        <v>1</v>
      </c>
      <c r="J5324">
        <v>3</v>
      </c>
      <c r="K5324">
        <v>5</v>
      </c>
      <c r="L5324">
        <v>9</v>
      </c>
      <c r="M5324">
        <v>9</v>
      </c>
      <c r="N5324">
        <v>9</v>
      </c>
      <c r="P5324">
        <v>0</v>
      </c>
      <c r="Q5324">
        <v>0</v>
      </c>
      <c r="R5324">
        <v>0</v>
      </c>
      <c r="S5324">
        <v>4</v>
      </c>
    </row>
    <row r="5325" spans="1:19" hidden="1" x14ac:dyDescent="0.35">
      <c r="A5325">
        <v>57189626359</v>
      </c>
      <c r="B5325" t="s">
        <v>5316</v>
      </c>
      <c r="C5325" t="str">
        <f>_xlfn.XLOOKUP(A5325,[1]Affiliations!$J$2:$J$5328,[1]Affiliations!$K$2:$K$5328,0)</f>
        <v>Universidade de São Paulo</v>
      </c>
      <c r="D5325">
        <v>25</v>
      </c>
      <c r="E5325">
        <v>66</v>
      </c>
      <c r="F5325">
        <v>2.64</v>
      </c>
      <c r="G5325">
        <v>5</v>
      </c>
      <c r="H5325">
        <v>0.45</v>
      </c>
      <c r="I5325">
        <v>0</v>
      </c>
      <c r="J5325">
        <v>0</v>
      </c>
      <c r="K5325">
        <v>0</v>
      </c>
      <c r="L5325">
        <v>0</v>
      </c>
      <c r="M5325">
        <v>5</v>
      </c>
      <c r="N5325">
        <v>5</v>
      </c>
      <c r="P5325">
        <v>0</v>
      </c>
      <c r="Q5325">
        <v>0</v>
      </c>
      <c r="R5325">
        <v>0</v>
      </c>
      <c r="S5325">
        <v>0</v>
      </c>
    </row>
    <row r="5326" spans="1:19" hidden="1" x14ac:dyDescent="0.35">
      <c r="A5326">
        <v>60086889600</v>
      </c>
      <c r="B5326" t="s">
        <v>5317</v>
      </c>
      <c r="C5326" t="str">
        <f>_xlfn.XLOOKUP(A5326,[1]Affiliations!$J$2:$J$5328,[1]Affiliations!$K$2:$K$5328,0)</f>
        <v>Federal University of Rio de Janeiro</v>
      </c>
      <c r="D5326">
        <v>0</v>
      </c>
      <c r="G5326">
        <v>0</v>
      </c>
    </row>
  </sheetData>
  <autoFilter ref="A2:S5326" xr:uid="{954C80C7-0C5F-4244-BD71-A4E9FD605DF9}">
    <filterColumn colId="3">
      <filters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3"/>
        <filter val="124"/>
        <filter val="125"/>
        <filter val="126"/>
        <filter val="127"/>
        <filter val="129"/>
        <filter val="13"/>
        <filter val="131"/>
        <filter val="132"/>
        <filter val="133"/>
        <filter val="135"/>
        <filter val="137"/>
        <filter val="138"/>
        <filter val="139"/>
        <filter val="14"/>
        <filter val="140"/>
        <filter val="142"/>
        <filter val="143"/>
        <filter val="146"/>
        <filter val="148"/>
        <filter val="15"/>
        <filter val="150"/>
        <filter val="152"/>
        <filter val="153"/>
        <filter val="154"/>
        <filter val="155"/>
        <filter val="156"/>
        <filter val="157"/>
        <filter val="16"/>
        <filter val="164"/>
        <filter val="165"/>
        <filter val="166"/>
        <filter val="167"/>
        <filter val="17"/>
        <filter val="170"/>
        <filter val="172"/>
        <filter val="176"/>
        <filter val="179"/>
        <filter val="18"/>
        <filter val="181"/>
        <filter val="188"/>
        <filter val="19"/>
        <filter val="199"/>
        <filter val="20"/>
        <filter val="21"/>
        <filter val="215"/>
        <filter val="22"/>
        <filter val="220"/>
        <filter val="221"/>
        <filter val="224"/>
        <filter val="227"/>
        <filter val="23"/>
        <filter val="233"/>
        <filter val="24"/>
        <filter val="25"/>
        <filter val="253"/>
        <filter val="26"/>
        <filter val="266"/>
        <filter val="27"/>
        <filter val="28"/>
        <filter val="280"/>
        <filter val="287"/>
        <filter val="29"/>
        <filter val="296"/>
        <filter val="297"/>
        <filter val="30"/>
        <filter val="31"/>
        <filter val="32"/>
        <filter val="33"/>
        <filter val="34"/>
        <filter val="35"/>
        <filter val="352"/>
        <filter val="36"/>
        <filter val="37"/>
        <filter val="38"/>
        <filter val="380"/>
        <filter val="39"/>
        <filter val="40"/>
        <filter val="41"/>
        <filter val="42"/>
        <filter val="43"/>
        <filter val="44"/>
        <filter val="45"/>
        <filter val="46"/>
        <filter val="47"/>
        <filter val="48"/>
        <filter val="486"/>
        <filter val="49"/>
        <filter val="5"/>
        <filter val="50"/>
        <filter val="51"/>
        <filter val="52"/>
        <filter val="53"/>
        <filter val="535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5"/>
      </filters>
    </filterColumn>
    <filterColumn colId="10">
      <filters blank="1">
        <filter val="1"/>
        <filter val="10"/>
        <filter val="106"/>
        <filter val="11"/>
        <filter val="114"/>
        <filter val="12"/>
        <filter val="13"/>
        <filter val="14"/>
        <filter val="15"/>
        <filter val="154"/>
        <filter val="155"/>
        <filter val="16"/>
        <filter val="167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2"/>
        <filter val="53"/>
        <filter val="54"/>
        <filter val="55"/>
        <filter val="57"/>
        <filter val="58"/>
        <filter val="59"/>
        <filter val="6"/>
        <filter val="61"/>
        <filter val="62"/>
        <filter val="64"/>
        <filter val="68"/>
        <filter val="69"/>
        <filter val="7"/>
        <filter val="70"/>
        <filter val="74"/>
        <filter val="8"/>
        <filter val="82"/>
        <filter val="83"/>
        <filter val="87"/>
        <filter val="9"/>
        <filter val="927"/>
        <filter val="93"/>
        <filter val="95"/>
        <filter val="97"/>
      </filters>
    </filterColumn>
    <filterColumn colId="17">
      <filters>
        <filter val="1"/>
        <filter val="10"/>
        <filter val="11"/>
        <filter val="12"/>
        <filter val="13"/>
        <filter val="137"/>
        <filter val="14"/>
        <filter val="15"/>
        <filter val="16"/>
        <filter val="17"/>
        <filter val="18"/>
        <filter val="19"/>
        <filter val="2"/>
        <filter val="20"/>
        <filter val="21"/>
        <filter val="22"/>
        <filter val="23"/>
        <filter val="24"/>
        <filter val="25"/>
        <filter val="26"/>
        <filter val="27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4"/>
        <filter val="40"/>
        <filter val="42"/>
        <filter val="44"/>
        <filter val="45"/>
        <filter val="46"/>
        <filter val="47"/>
        <filter val="5"/>
        <filter val="503"/>
        <filter val="6"/>
        <filter val="62"/>
        <filter val="65"/>
        <filter val="7"/>
        <filter val="75"/>
        <filter val="8"/>
        <filter val="83"/>
        <filter val="89"/>
        <filter val="9"/>
      </filters>
    </filterColumn>
    <sortState xmlns:xlrd2="http://schemas.microsoft.com/office/spreadsheetml/2017/richdata2" ref="A4:S5322">
      <sortCondition descending="1" ref="H2:H5326"/>
    </sortState>
  </autoFilter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49ac42a-3eb4-4074-b885-aea26bd6241e}" enabled="1" method="Standard" siteId="{9274ee3f-9425-4109-a27f-9fb15c1067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Authors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Gusmao, Fernanda S. (ELS-RIO)</dc:creator>
  <cp:lastModifiedBy>Gusmao, Fernanda S. (ELS-RIO)</cp:lastModifiedBy>
  <dcterms:created xsi:type="dcterms:W3CDTF">2026-03-10T18:20:52Z</dcterms:created>
  <dcterms:modified xsi:type="dcterms:W3CDTF">2026-03-13T18:33:56Z</dcterms:modified>
</cp:coreProperties>
</file>